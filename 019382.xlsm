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2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cloudprodamazhotmail-my.sharepoint.com/personal/dennispaul_prodam_sp_gov_br/Documents/"/>
    </mc:Choice>
  </mc:AlternateContent>
  <xr:revisionPtr revIDLastSave="0" documentId="8_{E2836A5C-411D-084C-8E3C-243B151B41A7}" xr6:coauthVersionLast="47" xr6:coauthVersionMax="47" xr10:uidLastSave="{00000000-0000-0000-0000-000000000000}"/>
  <workbookProtection workbookAlgorithmName="SHA-512" workbookHashValue="vSuBLDE7/Sbn2b7SjAE4fIOXH5cnqprpzvL9b2ZYlEIL35tzWdRN9MWlRH2PrjBjx6tCk8IvrIeYLF6ga38wuw==" workbookSaltValue="xf09xL0PTZT3DAQNlS1G7g==" workbookSpinCount="100000" lockStructure="1"/>
  <bookViews>
    <workbookView xWindow="0" yWindow="500" windowWidth="38400" windowHeight="19700" activeTab="1" xr2:uid="{00000000-000D-0000-FFFF-FFFF00000000}"/>
  </bookViews>
  <sheets>
    <sheet name="INÍCIO" sheetId="8" r:id="rId1"/>
    <sheet name="EMEI" sheetId="1" r:id="rId2"/>
    <sheet name="UNIDADES" sheetId="10" state="hidden" r:id="rId3"/>
    <sheet name="Plan2" sheetId="2" state="veryHidden" r:id="rId4"/>
    <sheet name="Plan3" sheetId="3" state="veryHidden" r:id="rId5"/>
    <sheet name="Plan1" sheetId="4" state="veryHidden" r:id="rId6"/>
    <sheet name="Lista" sheetId="5" state="veryHidden" r:id="rId7"/>
    <sheet name="BancoDietas" sheetId="7" state="hidden" r:id="rId8"/>
    <sheet name="Plan4" sheetId="9" state="hidden" r:id="rId9"/>
  </sheets>
  <definedNames>
    <definedName name="_xlnm._FilterDatabase" localSheetId="7" hidden="1">BancoDietas!$A$1:$F$4701</definedName>
    <definedName name="_xlnm._FilterDatabase" localSheetId="1" hidden="1">EMEI!$DZ$2:$EN$465</definedName>
    <definedName name="_xlnm._FilterDatabase" localSheetId="2" hidden="1">UNIDADES!$B$1:$L$467</definedName>
    <definedName name="_xlnm.Print_Area" localSheetId="1">EMEI!$C$2:$BW$118</definedName>
    <definedName name="_xlnm.Print_Area" localSheetId="5">Plan1!$A$1:$U$29</definedName>
    <definedName name="_xlnm.Print_Titles" localSheetId="1">EMEI!$2:$11</definedName>
    <definedName name="Z_A4151E33_58C6_41F5_BA81_6DF0478FCCB4_.wvu.Cols" localSheetId="1" hidden="1">EMEI!$I:$I,EMEI!$W:$W,EMEI!$Y:$Y,EMEI!$AA:$AA,EMEI!$AC:$AD,EMEI!$AF:$AF,EMEI!$AH:$AH,EMEI!$AJ:$AJ,EMEI!$AN:$AN,EMEI!$AP:$AP,EMEI!$AR:$AR,EMEI!$AT:$AT,EMEI!$AV:$AV,EMEI!$AX:$AX,EMEI!$AZ:$BB,EMEI!$BF:$BF,EMEI!$BH:$BH,EMEI!$BL:$BP,EMEI!$BS:$BT</definedName>
    <definedName name="Z_A4151E33_58C6_41F5_BA81_6DF0478FCCB4_.wvu.Cols" localSheetId="3" hidden="1">Plan2!$A:$B,Plan2!$AN:$XFD</definedName>
    <definedName name="Z_A4151E33_58C6_41F5_BA81_6DF0478FCCB4_.wvu.Cols" localSheetId="4" hidden="1">Plan3!$E:$E</definedName>
    <definedName name="Z_A4151E33_58C6_41F5_BA81_6DF0478FCCB4_.wvu.PrintArea" localSheetId="1" hidden="1">EMEI!$C$2:$BW$118</definedName>
    <definedName name="Z_A4151E33_58C6_41F5_BA81_6DF0478FCCB4_.wvu.PrintArea" localSheetId="5" hidden="1">Plan1!$A$1:$U$29</definedName>
    <definedName name="Z_A4151E33_58C6_41F5_BA81_6DF0478FCCB4_.wvu.PrintTitles" localSheetId="1" hidden="1">EMEI!$2:$11</definedName>
    <definedName name="Z_A4151E33_58C6_41F5_BA81_6DF0478FCCB4_.wvu.Rows" localSheetId="1" hidden="1">EMEI!$25:$26,EMEI!$60:$60,EMEI!$63:$70,EMEI!$75:$75</definedName>
    <definedName name="Z_A4151E33_58C6_41F5_BA81_6DF0478FCCB4_.wvu.Rows" localSheetId="3" hidden="1">Plan2!$114:$1048576,Plan2!$1:$8</definedName>
    <definedName name="Z_A4151E33_58C6_41F5_BA81_6DF0478FCCB4_.wvu.Rows" localSheetId="4" hidden="1">Plan3!$1:$10</definedName>
  </definedNames>
  <calcPr calcId="191029"/>
  <customWorkbookViews>
    <customWorkbookView name="admin" guid="{A4151E33-58C6-41F5-BA81-6DF0478FCCB4}" maximized="1" windowWidth="1436" windowHeight="67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9" i="1" l="1"/>
  <c r="D11" i="1"/>
  <c r="BR11" i="1"/>
  <c r="BI11" i="1"/>
  <c r="BI9" i="1"/>
  <c r="D9" i="1"/>
  <c r="H7" i="1"/>
  <c r="BD7" i="1"/>
  <c r="L6" i="1"/>
  <c r="H6" i="1"/>
  <c r="EI464" i="1"/>
  <c r="EI454" i="1"/>
  <c r="EI453" i="1"/>
  <c r="EI351" i="1"/>
  <c r="EI350" i="1"/>
  <c r="EI349" i="1"/>
  <c r="EI348" i="1"/>
  <c r="EI347" i="1"/>
  <c r="EI346" i="1"/>
  <c r="EI345" i="1"/>
  <c r="EI344" i="1"/>
  <c r="EI343" i="1"/>
  <c r="EI342" i="1"/>
  <c r="EI341" i="1"/>
  <c r="EI340" i="1"/>
  <c r="EI233" i="1"/>
  <c r="EI232" i="1"/>
  <c r="EI231" i="1"/>
  <c r="EI230" i="1"/>
  <c r="EI229" i="1"/>
  <c r="EI228" i="1"/>
  <c r="EI227" i="1"/>
  <c r="EI226" i="1"/>
  <c r="EI191" i="1"/>
  <c r="EI175" i="1"/>
  <c r="EI173" i="1"/>
  <c r="EI163" i="1"/>
  <c r="EI162" i="1"/>
  <c r="EI160" i="1"/>
  <c r="EI156" i="1"/>
  <c r="EI150" i="1"/>
  <c r="EI147" i="1"/>
  <c r="EI138" i="1"/>
  <c r="EI132" i="1"/>
  <c r="EI130" i="1"/>
  <c r="EI122" i="1"/>
  <c r="EI114" i="1"/>
  <c r="EI111" i="1"/>
  <c r="EI103" i="1"/>
  <c r="EI102" i="1"/>
  <c r="EI86" i="1"/>
  <c r="EI81" i="1"/>
  <c r="EI80" i="1"/>
  <c r="EI79" i="1"/>
  <c r="CF74" i="1"/>
  <c r="CE74" i="1"/>
  <c r="CD74" i="1"/>
  <c r="CC74" i="1"/>
  <c r="CB74" i="1"/>
  <c r="CA74" i="1"/>
  <c r="BZ74" i="1"/>
  <c r="DH58" i="1"/>
  <c r="DG58" i="1"/>
  <c r="DF58" i="1"/>
  <c r="DE58" i="1"/>
  <c r="DH57" i="1"/>
  <c r="DG57" i="1"/>
  <c r="DF57" i="1"/>
  <c r="DE57" i="1"/>
  <c r="EI56" i="1"/>
  <c r="DH56" i="1"/>
  <c r="DG56" i="1"/>
  <c r="DF56" i="1"/>
  <c r="DE56" i="1"/>
  <c r="DH55" i="1"/>
  <c r="DG55" i="1"/>
  <c r="DF55" i="1"/>
  <c r="DE55" i="1"/>
  <c r="EI54" i="1"/>
  <c r="DH54" i="1"/>
  <c r="DG54" i="1"/>
  <c r="DF54" i="1"/>
  <c r="DE54" i="1"/>
  <c r="DH53" i="1"/>
  <c r="DG53" i="1"/>
  <c r="DF53" i="1"/>
  <c r="DE53" i="1"/>
  <c r="DH52" i="1"/>
  <c r="DG52" i="1"/>
  <c r="DF52" i="1"/>
  <c r="DE52" i="1"/>
  <c r="DH51" i="1"/>
  <c r="DG51" i="1"/>
  <c r="DF51" i="1"/>
  <c r="DE51" i="1"/>
  <c r="DH50" i="1"/>
  <c r="DG50" i="1"/>
  <c r="DF50" i="1"/>
  <c r="DE50" i="1"/>
  <c r="DH49" i="1"/>
  <c r="DG49" i="1"/>
  <c r="DF49" i="1"/>
  <c r="DE49" i="1"/>
  <c r="DH48" i="1"/>
  <c r="DG48" i="1"/>
  <c r="DF48" i="1"/>
  <c r="DE48" i="1"/>
  <c r="DH47" i="1"/>
  <c r="DG47" i="1"/>
  <c r="DF47" i="1"/>
  <c r="DE47" i="1"/>
  <c r="DH46" i="1"/>
  <c r="DG46" i="1"/>
  <c r="DF46" i="1"/>
  <c r="DE46" i="1"/>
  <c r="DH45" i="1"/>
  <c r="DG45" i="1"/>
  <c r="DF45" i="1"/>
  <c r="DE45" i="1"/>
  <c r="DH44" i="1"/>
  <c r="DG44" i="1"/>
  <c r="DF44" i="1"/>
  <c r="DE44" i="1"/>
  <c r="DH43" i="1"/>
  <c r="DG43" i="1"/>
  <c r="DF43" i="1"/>
  <c r="DE43" i="1"/>
  <c r="DK42" i="1"/>
  <c r="DI42" i="1"/>
  <c r="DH42" i="1"/>
  <c r="DG42" i="1"/>
  <c r="DF42" i="1"/>
  <c r="DE42" i="1"/>
  <c r="EI41" i="1"/>
  <c r="DH41" i="1"/>
  <c r="DG41" i="1"/>
  <c r="DF41" i="1"/>
  <c r="DE41" i="1"/>
  <c r="DH40" i="1"/>
  <c r="DG40" i="1"/>
  <c r="DF40" i="1"/>
  <c r="DE40" i="1"/>
  <c r="DH39" i="1"/>
  <c r="DG39" i="1"/>
  <c r="DF39" i="1"/>
  <c r="DE39" i="1"/>
  <c r="DH38" i="1"/>
  <c r="DG38" i="1"/>
  <c r="DF38" i="1"/>
  <c r="DE38" i="1"/>
  <c r="DH37" i="1"/>
  <c r="DG37" i="1"/>
  <c r="DF37" i="1"/>
  <c r="DE37" i="1"/>
  <c r="DH36" i="1"/>
  <c r="DG36" i="1"/>
  <c r="DF36" i="1"/>
  <c r="DE36" i="1"/>
  <c r="DH35" i="1"/>
  <c r="DG35" i="1"/>
  <c r="DF35" i="1"/>
  <c r="DE35" i="1"/>
  <c r="DH34" i="1"/>
  <c r="DG34" i="1"/>
  <c r="DF34" i="1"/>
  <c r="DE34" i="1"/>
  <c r="DH33" i="1"/>
  <c r="DG33" i="1"/>
  <c r="DF33" i="1"/>
  <c r="DE33" i="1"/>
  <c r="DH32" i="1"/>
  <c r="DG32" i="1"/>
  <c r="DF32" i="1"/>
  <c r="DE32" i="1"/>
  <c r="DH31" i="1"/>
  <c r="DG31" i="1"/>
  <c r="DF31" i="1"/>
  <c r="DE31" i="1"/>
  <c r="DH30" i="1"/>
  <c r="DG30" i="1"/>
  <c r="DF30" i="1"/>
  <c r="DE30" i="1"/>
  <c r="DH29" i="1"/>
  <c r="DG29" i="1"/>
  <c r="DF29" i="1"/>
  <c r="DE29" i="1"/>
  <c r="DH28" i="1"/>
  <c r="DG28" i="1"/>
  <c r="DF28" i="1"/>
  <c r="DE28" i="1"/>
  <c r="DE59" i="1" s="1"/>
  <c r="DB24" i="1"/>
  <c r="CZ24" i="1"/>
  <c r="CY24" i="1"/>
  <c r="CX24" i="1"/>
  <c r="CU24" i="1"/>
  <c r="CS24" i="1"/>
  <c r="CR24" i="1"/>
  <c r="CO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Y24" i="1"/>
  <c r="DN20" i="1"/>
  <c r="DN18" i="1"/>
  <c r="DN17" i="1"/>
  <c r="DN16" i="1"/>
  <c r="DN15" i="1"/>
  <c r="EI14" i="1"/>
  <c r="EI13" i="1"/>
  <c r="EI11" i="1"/>
  <c r="DK9" i="1"/>
  <c r="DK10" i="1" s="1"/>
  <c r="DJ9" i="1"/>
  <c r="DJ10" i="1" s="1"/>
  <c r="A28" i="1"/>
  <c r="DH59" i="1" l="1"/>
  <c r="DL9" i="1"/>
  <c r="DL10" i="1" s="1"/>
  <c r="DF59" i="1"/>
  <c r="DG59" i="1"/>
  <c r="A29" i="1"/>
  <c r="C118" i="1"/>
  <c r="B59" i="1" l="1"/>
  <c r="E24" i="1" l="1"/>
  <c r="K16" i="1" l="1"/>
  <c r="E2" i="9" l="1"/>
  <c r="D2" i="9" l="1"/>
  <c r="C16" i="1"/>
  <c r="C17" i="1"/>
  <c r="C18" i="1"/>
  <c r="C15" i="1"/>
  <c r="AB59" i="1" l="1"/>
  <c r="CO28" i="1" l="1"/>
  <c r="CO29" i="1"/>
  <c r="X108" i="1"/>
  <c r="U108" i="1" l="1"/>
  <c r="S108" i="1"/>
  <c r="Q108" i="1"/>
  <c r="O108" i="1"/>
  <c r="M108" i="1"/>
  <c r="K108" i="1"/>
  <c r="H108" i="1"/>
  <c r="F108" i="1"/>
  <c r="D108" i="1"/>
  <c r="BZ72" i="1" s="1"/>
  <c r="BQ59" i="1"/>
  <c r="BJ59" i="1"/>
  <c r="BI59" i="1"/>
  <c r="BE59" i="1"/>
  <c r="AY59" i="1"/>
  <c r="AW59" i="1"/>
  <c r="AU59" i="1"/>
  <c r="AS59" i="1"/>
  <c r="AQ59" i="1"/>
  <c r="AO59" i="1"/>
  <c r="AM59" i="1"/>
  <c r="AL59" i="1"/>
  <c r="AK59" i="1"/>
  <c r="AI59" i="1"/>
  <c r="AJ59" i="1"/>
  <c r="AE59" i="1"/>
  <c r="X59" i="1"/>
  <c r="U59" i="1"/>
  <c r="T59" i="1"/>
  <c r="R59" i="1"/>
  <c r="Q59" i="1"/>
  <c r="P59" i="1"/>
  <c r="O59" i="1"/>
  <c r="N59" i="1"/>
  <c r="M59" i="1"/>
  <c r="L59" i="1"/>
  <c r="K59" i="1"/>
  <c r="J59" i="1"/>
  <c r="H59" i="1"/>
  <c r="G59" i="1"/>
  <c r="E59" i="1"/>
  <c r="DB28" i="1" l="1"/>
  <c r="DB29" i="1"/>
  <c r="DD28" i="1"/>
  <c r="DD29" i="1"/>
  <c r="CT28" i="1"/>
  <c r="CT29" i="1"/>
  <c r="CK22" i="1"/>
  <c r="CK62" i="1"/>
  <c r="CK28" i="1"/>
  <c r="CK29" i="1"/>
  <c r="DC28" i="1"/>
  <c r="DC29" i="1"/>
  <c r="CS28" i="1"/>
  <c r="CS29" i="1"/>
  <c r="CI28" i="1"/>
  <c r="CI29" i="1"/>
  <c r="CJ28" i="1"/>
  <c r="CJ29" i="1"/>
  <c r="CW28" i="1"/>
  <c r="CW29" i="1"/>
  <c r="BY22" i="1"/>
  <c r="BY62" i="1"/>
  <c r="BY28" i="1"/>
  <c r="BY29" i="1"/>
  <c r="CX62" i="1"/>
  <c r="CX22" i="1"/>
  <c r="CX28" i="1"/>
  <c r="CX29" i="1"/>
  <c r="CF28" i="1"/>
  <c r="CF29" i="1"/>
  <c r="CH28" i="1"/>
  <c r="CH29" i="1"/>
  <c r="CA28" i="1"/>
  <c r="CA29" i="1"/>
  <c r="CQ28" i="1"/>
  <c r="CQ29" i="1"/>
  <c r="CD28" i="1"/>
  <c r="CD29" i="1"/>
  <c r="CE28" i="1"/>
  <c r="CE29" i="1"/>
  <c r="CR62" i="1"/>
  <c r="CR22" i="1"/>
  <c r="CR28" i="1"/>
  <c r="CR29" i="1"/>
  <c r="CG28" i="1"/>
  <c r="CG29" i="1"/>
  <c r="CU28" i="1"/>
  <c r="CU29" i="1"/>
  <c r="CV28" i="1"/>
  <c r="CV29" i="1"/>
  <c r="CL28" i="1"/>
  <c r="CL29" i="1"/>
  <c r="CM28" i="1"/>
  <c r="CM29" i="1"/>
  <c r="CY28" i="1"/>
  <c r="CY29" i="1"/>
  <c r="CB28" i="1"/>
  <c r="CB29" i="1"/>
  <c r="CN28" i="1"/>
  <c r="CN29" i="1"/>
  <c r="CZ28" i="1"/>
  <c r="CZ29" i="1"/>
  <c r="CC28" i="1"/>
  <c r="CC29" i="1"/>
  <c r="CP28" i="1"/>
  <c r="CP29" i="1"/>
  <c r="DA28" i="1"/>
  <c r="DA29" i="1"/>
  <c r="V20" i="1"/>
  <c r="CD72" i="1" s="1"/>
  <c r="R20" i="1"/>
  <c r="AI15" i="1" l="1"/>
  <c r="A77" i="1"/>
  <c r="CC77" i="1" l="1"/>
  <c r="CB77" i="1"/>
  <c r="CA77" i="1"/>
  <c r="BZ77" i="1"/>
  <c r="CF77" i="1"/>
  <c r="CE77" i="1"/>
  <c r="CD77" i="1"/>
  <c r="A78" i="1"/>
  <c r="BC111" i="1"/>
  <c r="CF78" i="1" l="1"/>
  <c r="CE78" i="1"/>
  <c r="CD78" i="1"/>
  <c r="CC78" i="1"/>
  <c r="CB78" i="1"/>
  <c r="CA78" i="1"/>
  <c r="BZ78" i="1"/>
  <c r="A79" i="1"/>
  <c r="AQ24" i="1"/>
  <c r="AS24" i="1"/>
  <c r="AL24" i="1"/>
  <c r="AO24" i="1"/>
  <c r="AM24" i="1"/>
  <c r="AH74" i="1"/>
  <c r="CA79" i="1" l="1"/>
  <c r="BZ79" i="1"/>
  <c r="CF79" i="1"/>
  <c r="CE79" i="1"/>
  <c r="CD79" i="1"/>
  <c r="CC79" i="1"/>
  <c r="CB79" i="1"/>
  <c r="A80" i="1"/>
  <c r="AH108" i="1"/>
  <c r="AC108" i="1"/>
  <c r="Y108" i="1"/>
  <c r="W108" i="1"/>
  <c r="CE80" i="1" l="1"/>
  <c r="CD80" i="1"/>
  <c r="CC80" i="1"/>
  <c r="CB80" i="1"/>
  <c r="CA80" i="1"/>
  <c r="BZ80" i="1"/>
  <c r="CF80" i="1"/>
  <c r="A81" i="1"/>
  <c r="AC74" i="1"/>
  <c r="CF81" i="1" l="1"/>
  <c r="CE81" i="1"/>
  <c r="CD81" i="1"/>
  <c r="CC81" i="1"/>
  <c r="CB81" i="1"/>
  <c r="CA81" i="1"/>
  <c r="BZ81" i="1"/>
  <c r="A82" i="1"/>
  <c r="AG59" i="1"/>
  <c r="AF59" i="1"/>
  <c r="AC59" i="1"/>
  <c r="AH59" i="1"/>
  <c r="V59" i="1"/>
  <c r="W59" i="1"/>
  <c r="Y59" i="1"/>
  <c r="CA82" i="1" l="1"/>
  <c r="BZ82" i="1"/>
  <c r="CF82" i="1"/>
  <c r="CE82" i="1"/>
  <c r="CD82" i="1"/>
  <c r="CC82" i="1"/>
  <c r="CB82" i="1"/>
  <c r="A83" i="1"/>
  <c r="F29" i="3"/>
  <c r="E26" i="3"/>
  <c r="B28" i="3" s="1"/>
  <c r="E23" i="3"/>
  <c r="B25" i="3" s="1"/>
  <c r="E20" i="3"/>
  <c r="B22" i="3" s="1"/>
  <c r="E17" i="3"/>
  <c r="B19" i="3" s="1"/>
  <c r="A8" i="3"/>
  <c r="A7" i="3"/>
  <c r="A6" i="3"/>
  <c r="A5" i="3"/>
  <c r="A4" i="3"/>
  <c r="A3" i="3"/>
  <c r="A2" i="3"/>
  <c r="A1" i="3"/>
  <c r="AX59" i="1"/>
  <c r="AV59" i="1"/>
  <c r="AT59" i="1"/>
  <c r="AR59" i="1"/>
  <c r="AP59" i="1"/>
  <c r="AN59" i="1"/>
  <c r="AA59" i="1"/>
  <c r="Z59" i="1"/>
  <c r="I59" i="1"/>
  <c r="C57" i="1"/>
  <c r="AY24" i="1"/>
  <c r="H24" i="1"/>
  <c r="BU21" i="1"/>
  <c r="BA21" i="1"/>
  <c r="L20" i="1"/>
  <c r="K18" i="1"/>
  <c r="A18" i="1"/>
  <c r="K17" i="1"/>
  <c r="A17" i="1"/>
  <c r="A16" i="1"/>
  <c r="CF83" i="1" l="1"/>
  <c r="CE83" i="1"/>
  <c r="CD83" i="1"/>
  <c r="CC83" i="1"/>
  <c r="CB83" i="1"/>
  <c r="CA83" i="1"/>
  <c r="BZ83" i="1"/>
  <c r="A84" i="1"/>
  <c r="AE24" i="1"/>
  <c r="U24" i="1"/>
  <c r="BJ24" i="1"/>
  <c r="BQ24" i="1"/>
  <c r="BE24" i="1"/>
  <c r="BI24" i="1"/>
  <c r="AW24" i="1"/>
  <c r="AU24" i="1"/>
  <c r="P24" i="1"/>
  <c r="G24" i="1"/>
  <c r="AK24" i="1"/>
  <c r="T24" i="1"/>
  <c r="AI24" i="1"/>
  <c r="A70" i="1"/>
  <c r="A71" i="1" s="1"/>
  <c r="A72" i="1" s="1"/>
  <c r="A73" i="1" s="1"/>
  <c r="AR24" i="1"/>
  <c r="AJ24" i="1"/>
  <c r="AH24" i="1"/>
  <c r="AC24" i="1"/>
  <c r="AX24" i="1"/>
  <c r="X24" i="1"/>
  <c r="W24" i="1"/>
  <c r="AB24" i="1"/>
  <c r="R24" i="1"/>
  <c r="AP24" i="1"/>
  <c r="AT24" i="1"/>
  <c r="AA24" i="1"/>
  <c r="AN24" i="1"/>
  <c r="AV24" i="1"/>
  <c r="J24" i="1"/>
  <c r="L24" i="1"/>
  <c r="N24" i="1"/>
  <c r="I24" i="1"/>
  <c r="K24" i="1"/>
  <c r="M24" i="1"/>
  <c r="O24" i="1"/>
  <c r="Q24" i="1"/>
  <c r="CF84" i="1" l="1"/>
  <c r="CE84" i="1"/>
  <c r="CD84" i="1"/>
  <c r="CC84" i="1"/>
  <c r="CB84" i="1"/>
  <c r="CA84" i="1"/>
  <c r="BZ84" i="1"/>
  <c r="A85" i="1"/>
  <c r="CD85" i="1" l="1"/>
  <c r="CC85" i="1"/>
  <c r="CB85" i="1"/>
  <c r="CA85" i="1"/>
  <c r="BZ85" i="1"/>
  <c r="CF85" i="1"/>
  <c r="CE85" i="1"/>
  <c r="A86" i="1"/>
  <c r="A30" i="1"/>
  <c r="CT30" i="1" l="1"/>
  <c r="CH30" i="1"/>
  <c r="CR30" i="1"/>
  <c r="CS30" i="1"/>
  <c r="CG30" i="1"/>
  <c r="CF30" i="1"/>
  <c r="CO30" i="1"/>
  <c r="DD30" i="1"/>
  <c r="DC30" i="1"/>
  <c r="CQ30" i="1"/>
  <c r="CE30" i="1"/>
  <c r="DB30" i="1"/>
  <c r="CP30" i="1"/>
  <c r="CD30" i="1"/>
  <c r="DA30" i="1"/>
  <c r="CC30" i="1"/>
  <c r="CZ30" i="1"/>
  <c r="CN30" i="1"/>
  <c r="CB30" i="1"/>
  <c r="CY30" i="1"/>
  <c r="CM30" i="1"/>
  <c r="CA30" i="1"/>
  <c r="CX30" i="1"/>
  <c r="CL30" i="1"/>
  <c r="BY30" i="1"/>
  <c r="CI30" i="1"/>
  <c r="CW30" i="1"/>
  <c r="CK30" i="1"/>
  <c r="CU30" i="1"/>
  <c r="CV30" i="1"/>
  <c r="CJ30" i="1"/>
  <c r="CF86" i="1"/>
  <c r="CE86" i="1"/>
  <c r="CD86" i="1"/>
  <c r="CC86" i="1"/>
  <c r="CB86" i="1"/>
  <c r="CA86" i="1"/>
  <c r="BZ86" i="1"/>
  <c r="A87" i="1"/>
  <c r="A31" i="1"/>
  <c r="DB31" i="1" l="1"/>
  <c r="CX31" i="1"/>
  <c r="CW31" i="1"/>
  <c r="CV31" i="1"/>
  <c r="CU31" i="1"/>
  <c r="CI31" i="1"/>
  <c r="CY31" i="1"/>
  <c r="CT31" i="1"/>
  <c r="CH31" i="1"/>
  <c r="CS31" i="1"/>
  <c r="CG31" i="1"/>
  <c r="CR31" i="1"/>
  <c r="CF31" i="1"/>
  <c r="CQ31" i="1"/>
  <c r="CE31" i="1"/>
  <c r="CP31" i="1"/>
  <c r="CD31" i="1"/>
  <c r="CO31" i="1"/>
  <c r="CC31" i="1"/>
  <c r="DD31" i="1"/>
  <c r="CN31" i="1"/>
  <c r="CB31" i="1"/>
  <c r="CJ31" i="1"/>
  <c r="DC31" i="1"/>
  <c r="CM31" i="1"/>
  <c r="CA31" i="1"/>
  <c r="DA31" i="1"/>
  <c r="CL31" i="1"/>
  <c r="BY31" i="1"/>
  <c r="CZ31" i="1"/>
  <c r="CK31" i="1"/>
  <c r="CA87" i="1"/>
  <c r="BZ87" i="1"/>
  <c r="CF87" i="1"/>
  <c r="CE87" i="1"/>
  <c r="CD87" i="1"/>
  <c r="CC87" i="1"/>
  <c r="CB87" i="1"/>
  <c r="A88" i="1"/>
  <c r="A32" i="1"/>
  <c r="DC32" i="1" l="1"/>
  <c r="CQ32" i="1"/>
  <c r="CE32" i="1"/>
  <c r="DA32" i="1"/>
  <c r="CY32" i="1"/>
  <c r="CM32" i="1"/>
  <c r="CA32" i="1"/>
  <c r="CX32" i="1"/>
  <c r="CL32" i="1"/>
  <c r="BY32" i="1"/>
  <c r="CW32" i="1"/>
  <c r="CK32" i="1"/>
  <c r="CS32" i="1"/>
  <c r="CG32" i="1"/>
  <c r="CZ32" i="1"/>
  <c r="CD32" i="1"/>
  <c r="CV32" i="1"/>
  <c r="CC32" i="1"/>
  <c r="CU32" i="1"/>
  <c r="CB32" i="1"/>
  <c r="CT32" i="1"/>
  <c r="CR32" i="1"/>
  <c r="CF32" i="1"/>
  <c r="CP32" i="1"/>
  <c r="CO32" i="1"/>
  <c r="DB32" i="1"/>
  <c r="CN32" i="1"/>
  <c r="CJ32" i="1"/>
  <c r="CI32" i="1"/>
  <c r="DD32" i="1"/>
  <c r="CH32" i="1"/>
  <c r="CF88" i="1"/>
  <c r="CE88" i="1"/>
  <c r="CD88" i="1"/>
  <c r="CC88" i="1"/>
  <c r="CB88" i="1"/>
  <c r="CA88" i="1"/>
  <c r="BZ88" i="1"/>
  <c r="A89" i="1"/>
  <c r="A33" i="1"/>
  <c r="DD33" i="1" l="1"/>
  <c r="CR33" i="1"/>
  <c r="CF33" i="1"/>
  <c r="DB33" i="1"/>
  <c r="CP33" i="1"/>
  <c r="CD33" i="1"/>
  <c r="CZ33" i="1"/>
  <c r="CN33" i="1"/>
  <c r="CB33" i="1"/>
  <c r="CY33" i="1"/>
  <c r="CM33" i="1"/>
  <c r="CA33" i="1"/>
  <c r="CX33" i="1"/>
  <c r="CL33" i="1"/>
  <c r="BY33" i="1"/>
  <c r="CV33" i="1"/>
  <c r="CJ33" i="1"/>
  <c r="CT33" i="1"/>
  <c r="CH33" i="1"/>
  <c r="CO33" i="1"/>
  <c r="CK33" i="1"/>
  <c r="CI33" i="1"/>
  <c r="CG33" i="1"/>
  <c r="CE33" i="1"/>
  <c r="CC33" i="1"/>
  <c r="CQ33" i="1"/>
  <c r="DC33" i="1"/>
  <c r="DA33" i="1"/>
  <c r="CW33" i="1"/>
  <c r="CU33" i="1"/>
  <c r="CS33" i="1"/>
  <c r="CF89" i="1"/>
  <c r="CE89" i="1"/>
  <c r="CD89" i="1"/>
  <c r="CC89" i="1"/>
  <c r="CB89" i="1"/>
  <c r="CA89" i="1"/>
  <c r="BZ89" i="1"/>
  <c r="A90" i="1"/>
  <c r="A34" i="1"/>
  <c r="CS34" i="1" l="1"/>
  <c r="CG34" i="1"/>
  <c r="DC34" i="1"/>
  <c r="CQ34" i="1"/>
  <c r="CE34" i="1"/>
  <c r="DA34" i="1"/>
  <c r="CO34" i="1"/>
  <c r="CC34" i="1"/>
  <c r="CZ34" i="1"/>
  <c r="CN34" i="1"/>
  <c r="CB34" i="1"/>
  <c r="CY34" i="1"/>
  <c r="CM34" i="1"/>
  <c r="CA34" i="1"/>
  <c r="CW34" i="1"/>
  <c r="CK34" i="1"/>
  <c r="CU34" i="1"/>
  <c r="CI34" i="1"/>
  <c r="CD34" i="1"/>
  <c r="DD34" i="1"/>
  <c r="BY34" i="1"/>
  <c r="DB34" i="1"/>
  <c r="CF34" i="1"/>
  <c r="CX34" i="1"/>
  <c r="CV34" i="1"/>
  <c r="CT34" i="1"/>
  <c r="CR34" i="1"/>
  <c r="CP34" i="1"/>
  <c r="CL34" i="1"/>
  <c r="CJ34" i="1"/>
  <c r="CH34" i="1"/>
  <c r="CD90" i="1"/>
  <c r="CC90" i="1"/>
  <c r="CB90" i="1"/>
  <c r="CA90" i="1"/>
  <c r="BZ90" i="1"/>
  <c r="CF90" i="1"/>
  <c r="CE90" i="1"/>
  <c r="A91" i="1"/>
  <c r="A35" i="1"/>
  <c r="CT35" i="1" l="1"/>
  <c r="CH35" i="1"/>
  <c r="DD35" i="1"/>
  <c r="CR35" i="1"/>
  <c r="CF35" i="1"/>
  <c r="DB35" i="1"/>
  <c r="CP35" i="1"/>
  <c r="CD35" i="1"/>
  <c r="DA35" i="1"/>
  <c r="CO35" i="1"/>
  <c r="CC35" i="1"/>
  <c r="CZ35" i="1"/>
  <c r="CN35" i="1"/>
  <c r="CB35" i="1"/>
  <c r="CX35" i="1"/>
  <c r="CL35" i="1"/>
  <c r="BY35" i="1"/>
  <c r="CV35" i="1"/>
  <c r="CJ35" i="1"/>
  <c r="CU35" i="1"/>
  <c r="CS35" i="1"/>
  <c r="CW35" i="1"/>
  <c r="CQ35" i="1"/>
  <c r="CM35" i="1"/>
  <c r="CK35" i="1"/>
  <c r="CI35" i="1"/>
  <c r="CG35" i="1"/>
  <c r="CE35" i="1"/>
  <c r="CA35" i="1"/>
  <c r="DC35" i="1"/>
  <c r="CY35" i="1"/>
  <c r="CF91" i="1"/>
  <c r="CE91" i="1"/>
  <c r="CD91" i="1"/>
  <c r="CC91" i="1"/>
  <c r="CB91" i="1"/>
  <c r="CA91" i="1"/>
  <c r="BZ91" i="1"/>
  <c r="A92" i="1"/>
  <c r="A36" i="1"/>
  <c r="CB92" i="1" l="1"/>
  <c r="CA92" i="1"/>
  <c r="BZ92" i="1"/>
  <c r="CF92" i="1"/>
  <c r="CE92" i="1"/>
  <c r="CD92" i="1"/>
  <c r="CC92" i="1"/>
  <c r="CU36" i="1"/>
  <c r="CI36" i="1"/>
  <c r="CS36" i="1"/>
  <c r="CG36" i="1"/>
  <c r="DC36" i="1"/>
  <c r="CQ36" i="1"/>
  <c r="CE36" i="1"/>
  <c r="DB36" i="1"/>
  <c r="CP36" i="1"/>
  <c r="CD36" i="1"/>
  <c r="DA36" i="1"/>
  <c r="CO36" i="1"/>
  <c r="CC36" i="1"/>
  <c r="CY36" i="1"/>
  <c r="CM36" i="1"/>
  <c r="CA36" i="1"/>
  <c r="CW36" i="1"/>
  <c r="CK36" i="1"/>
  <c r="CJ36" i="1"/>
  <c r="CH36" i="1"/>
  <c r="CF36" i="1"/>
  <c r="CB36" i="1"/>
  <c r="DD36" i="1"/>
  <c r="BY36" i="1"/>
  <c r="CZ36" i="1"/>
  <c r="CX36" i="1"/>
  <c r="CV36" i="1"/>
  <c r="CT36" i="1"/>
  <c r="CL36" i="1"/>
  <c r="CR36" i="1"/>
  <c r="CN36" i="1"/>
  <c r="A93" i="1"/>
  <c r="A37" i="1"/>
  <c r="CF93" i="1" l="1"/>
  <c r="CE93" i="1"/>
  <c r="CD93" i="1"/>
  <c r="CC93" i="1"/>
  <c r="CB93" i="1"/>
  <c r="CA93" i="1"/>
  <c r="BZ93" i="1"/>
  <c r="CV37" i="1"/>
  <c r="CJ37" i="1"/>
  <c r="CT37" i="1"/>
  <c r="CH37" i="1"/>
  <c r="DD37" i="1"/>
  <c r="CR37" i="1"/>
  <c r="CF37" i="1"/>
  <c r="DC37" i="1"/>
  <c r="CQ37" i="1"/>
  <c r="CE37" i="1"/>
  <c r="DB37" i="1"/>
  <c r="CP37" i="1"/>
  <c r="CD37" i="1"/>
  <c r="CZ37" i="1"/>
  <c r="CN37" i="1"/>
  <c r="CB37" i="1"/>
  <c r="CX37" i="1"/>
  <c r="CL37" i="1"/>
  <c r="BY37" i="1"/>
  <c r="DA37" i="1"/>
  <c r="CY37" i="1"/>
  <c r="CW37" i="1"/>
  <c r="CU37" i="1"/>
  <c r="CA37" i="1"/>
  <c r="CS37" i="1"/>
  <c r="CO37" i="1"/>
  <c r="CM37" i="1"/>
  <c r="CK37" i="1"/>
  <c r="CI37" i="1"/>
  <c r="CG37" i="1"/>
  <c r="CC37" i="1"/>
  <c r="A94" i="1"/>
  <c r="A38" i="1"/>
  <c r="BZ94" i="1" l="1"/>
  <c r="CF94" i="1"/>
  <c r="CE94" i="1"/>
  <c r="CA94" i="1"/>
  <c r="CD94" i="1"/>
  <c r="CC94" i="1"/>
  <c r="CB94" i="1"/>
  <c r="CW38" i="1"/>
  <c r="CK38" i="1"/>
  <c r="CV38" i="1"/>
  <c r="CJ38" i="1"/>
  <c r="CU38" i="1"/>
  <c r="CI38" i="1"/>
  <c r="CT38" i="1"/>
  <c r="CH38" i="1"/>
  <c r="CS38" i="1"/>
  <c r="CG38" i="1"/>
  <c r="DD38" i="1"/>
  <c r="CR38" i="1"/>
  <c r="CF38" i="1"/>
  <c r="DC38" i="1"/>
  <c r="CQ38" i="1"/>
  <c r="CE38" i="1"/>
  <c r="DB38" i="1"/>
  <c r="CP38" i="1"/>
  <c r="CD38" i="1"/>
  <c r="DA38" i="1"/>
  <c r="CO38" i="1"/>
  <c r="CC38" i="1"/>
  <c r="CY38" i="1"/>
  <c r="CM38" i="1"/>
  <c r="CA38" i="1"/>
  <c r="CZ38" i="1"/>
  <c r="CX38" i="1"/>
  <c r="CN38" i="1"/>
  <c r="CL38" i="1"/>
  <c r="CB38" i="1"/>
  <c r="BY38" i="1"/>
  <c r="A95" i="1"/>
  <c r="A39" i="1"/>
  <c r="CE95" i="1" l="1"/>
  <c r="CD95" i="1"/>
  <c r="CC95" i="1"/>
  <c r="CB95" i="1"/>
  <c r="CA95" i="1"/>
  <c r="BZ95" i="1"/>
  <c r="CF95" i="1"/>
  <c r="CX39" i="1"/>
  <c r="CL39" i="1"/>
  <c r="BY39" i="1"/>
  <c r="CW39" i="1"/>
  <c r="CK39" i="1"/>
  <c r="CV39" i="1"/>
  <c r="CJ39" i="1"/>
  <c r="CU39" i="1"/>
  <c r="CI39" i="1"/>
  <c r="CT39" i="1"/>
  <c r="CH39" i="1"/>
  <c r="CS39" i="1"/>
  <c r="CG39" i="1"/>
  <c r="DD39" i="1"/>
  <c r="CR39" i="1"/>
  <c r="CF39" i="1"/>
  <c r="DC39" i="1"/>
  <c r="CQ39" i="1"/>
  <c r="CE39" i="1"/>
  <c r="DB39" i="1"/>
  <c r="CP39" i="1"/>
  <c r="CD39" i="1"/>
  <c r="DA39" i="1"/>
  <c r="CO39" i="1"/>
  <c r="CC39" i="1"/>
  <c r="CZ39" i="1"/>
  <c r="CN39" i="1"/>
  <c r="CB39" i="1"/>
  <c r="CY39" i="1"/>
  <c r="CM39" i="1"/>
  <c r="CA39" i="1"/>
  <c r="A96" i="1"/>
  <c r="A40" i="1"/>
  <c r="CY40" i="1" l="1"/>
  <c r="CM40" i="1"/>
  <c r="CA40" i="1"/>
  <c r="CX40" i="1"/>
  <c r="CL40" i="1"/>
  <c r="BY40" i="1"/>
  <c r="CW40" i="1"/>
  <c r="CK40" i="1"/>
  <c r="CV40" i="1"/>
  <c r="CJ40" i="1"/>
  <c r="CU40" i="1"/>
  <c r="CI40" i="1"/>
  <c r="CT40" i="1"/>
  <c r="CH40" i="1"/>
  <c r="CS40" i="1"/>
  <c r="CG40" i="1"/>
  <c r="DD40" i="1"/>
  <c r="CR40" i="1"/>
  <c r="CF40" i="1"/>
  <c r="DC40" i="1"/>
  <c r="CQ40" i="1"/>
  <c r="CE40" i="1"/>
  <c r="DB40" i="1"/>
  <c r="CP40" i="1"/>
  <c r="CD40" i="1"/>
  <c r="DA40" i="1"/>
  <c r="CO40" i="1"/>
  <c r="CC40" i="1"/>
  <c r="CZ40" i="1"/>
  <c r="CN40" i="1"/>
  <c r="CB40" i="1"/>
  <c r="CF96" i="1"/>
  <c r="CE96" i="1"/>
  <c r="CD96" i="1"/>
  <c r="CC96" i="1"/>
  <c r="CB96" i="1"/>
  <c r="CA96" i="1"/>
  <c r="BZ96" i="1"/>
  <c r="A97" i="1"/>
  <c r="A41" i="1"/>
  <c r="CE97" i="1" l="1"/>
  <c r="CD97" i="1"/>
  <c r="CC97" i="1"/>
  <c r="CB97" i="1"/>
  <c r="CA97" i="1"/>
  <c r="BZ97" i="1"/>
  <c r="CF97" i="1"/>
  <c r="CZ41" i="1"/>
  <c r="CN41" i="1"/>
  <c r="CB41" i="1"/>
  <c r="CY41" i="1"/>
  <c r="CM41" i="1"/>
  <c r="CA41" i="1"/>
  <c r="CX41" i="1"/>
  <c r="CL41" i="1"/>
  <c r="BY41" i="1"/>
  <c r="CW41" i="1"/>
  <c r="CK41" i="1"/>
  <c r="CV41" i="1"/>
  <c r="CJ41" i="1"/>
  <c r="CU41" i="1"/>
  <c r="CI41" i="1"/>
  <c r="CT41" i="1"/>
  <c r="CH41" i="1"/>
  <c r="CS41" i="1"/>
  <c r="CG41" i="1"/>
  <c r="DD41" i="1"/>
  <c r="CR41" i="1"/>
  <c r="CF41" i="1"/>
  <c r="DC41" i="1"/>
  <c r="CQ41" i="1"/>
  <c r="CE41" i="1"/>
  <c r="DB41" i="1"/>
  <c r="CP41" i="1"/>
  <c r="CD41" i="1"/>
  <c r="DA41" i="1"/>
  <c r="CO41" i="1"/>
  <c r="CC41" i="1"/>
  <c r="A98" i="1"/>
  <c r="A42" i="1"/>
  <c r="CF98" i="1" l="1"/>
  <c r="CE98" i="1"/>
  <c r="CD98" i="1"/>
  <c r="CC98" i="1"/>
  <c r="CB98" i="1"/>
  <c r="CA98" i="1"/>
  <c r="BZ98" i="1"/>
  <c r="CZ42" i="1"/>
  <c r="CN42" i="1"/>
  <c r="CB42" i="1"/>
  <c r="CY42" i="1"/>
  <c r="CM42" i="1"/>
  <c r="CA42" i="1"/>
  <c r="CX42" i="1"/>
  <c r="CL42" i="1"/>
  <c r="BY42" i="1"/>
  <c r="CW42" i="1"/>
  <c r="CK42" i="1"/>
  <c r="CV42" i="1"/>
  <c r="CJ42" i="1"/>
  <c r="CU42" i="1"/>
  <c r="CI42" i="1"/>
  <c r="CT42" i="1"/>
  <c r="CH42" i="1"/>
  <c r="CS42" i="1"/>
  <c r="CG42" i="1"/>
  <c r="DD42" i="1"/>
  <c r="CR42" i="1"/>
  <c r="CF42" i="1"/>
  <c r="DC42" i="1"/>
  <c r="CQ42" i="1"/>
  <c r="CE42" i="1"/>
  <c r="DB42" i="1"/>
  <c r="CP42" i="1"/>
  <c r="CD42" i="1"/>
  <c r="DA42" i="1"/>
  <c r="CO42" i="1"/>
  <c r="CC42" i="1"/>
  <c r="A99" i="1"/>
  <c r="A43" i="1"/>
  <c r="CY43" i="1" l="1"/>
  <c r="CM43" i="1"/>
  <c r="CA43" i="1"/>
  <c r="CX43" i="1"/>
  <c r="CL43" i="1"/>
  <c r="BY43" i="1"/>
  <c r="CW43" i="1"/>
  <c r="CK43" i="1"/>
  <c r="CV43" i="1"/>
  <c r="CJ43" i="1"/>
  <c r="CU43" i="1"/>
  <c r="CI43" i="1"/>
  <c r="CT43" i="1"/>
  <c r="CH43" i="1"/>
  <c r="CS43" i="1"/>
  <c r="CG43" i="1"/>
  <c r="DD43" i="1"/>
  <c r="CR43" i="1"/>
  <c r="CF43" i="1"/>
  <c r="DC43" i="1"/>
  <c r="CQ43" i="1"/>
  <c r="CE43" i="1"/>
  <c r="DB43" i="1"/>
  <c r="CP43" i="1"/>
  <c r="CD43" i="1"/>
  <c r="DA43" i="1"/>
  <c r="CO43" i="1"/>
  <c r="CC43" i="1"/>
  <c r="CZ43" i="1"/>
  <c r="CN43" i="1"/>
  <c r="CB43" i="1"/>
  <c r="CA99" i="1"/>
  <c r="BZ99" i="1"/>
  <c r="CF99" i="1"/>
  <c r="CE99" i="1"/>
  <c r="CD99" i="1"/>
  <c r="CC99" i="1"/>
  <c r="CB99" i="1"/>
  <c r="A100" i="1"/>
  <c r="A44" i="1"/>
  <c r="CZ44" i="1" l="1"/>
  <c r="CN44" i="1"/>
  <c r="CB44" i="1"/>
  <c r="CY44" i="1"/>
  <c r="CM44" i="1"/>
  <c r="CA44" i="1"/>
  <c r="CX44" i="1"/>
  <c r="CL44" i="1"/>
  <c r="BY44" i="1"/>
  <c r="CW44" i="1"/>
  <c r="CK44" i="1"/>
  <c r="CV44" i="1"/>
  <c r="CJ44" i="1"/>
  <c r="CU44" i="1"/>
  <c r="CI44" i="1"/>
  <c r="CT44" i="1"/>
  <c r="CH44" i="1"/>
  <c r="CS44" i="1"/>
  <c r="CG44" i="1"/>
  <c r="DD44" i="1"/>
  <c r="CR44" i="1"/>
  <c r="CF44" i="1"/>
  <c r="DC44" i="1"/>
  <c r="CQ44" i="1"/>
  <c r="CE44" i="1"/>
  <c r="DB44" i="1"/>
  <c r="CP44" i="1"/>
  <c r="CD44" i="1"/>
  <c r="DA44" i="1"/>
  <c r="CO44" i="1"/>
  <c r="CC44" i="1"/>
  <c r="CF100" i="1"/>
  <c r="CE100" i="1"/>
  <c r="CD100" i="1"/>
  <c r="CC100" i="1"/>
  <c r="CB100" i="1"/>
  <c r="CA100" i="1"/>
  <c r="BZ100" i="1"/>
  <c r="A101" i="1"/>
  <c r="A45" i="1"/>
  <c r="CT45" i="1" l="1"/>
  <c r="CH45" i="1"/>
  <c r="CQ45" i="1"/>
  <c r="CS45" i="1"/>
  <c r="CG45" i="1"/>
  <c r="CF45" i="1"/>
  <c r="CV45" i="1"/>
  <c r="CI45" i="1"/>
  <c r="DD45" i="1"/>
  <c r="CR45" i="1"/>
  <c r="CE45" i="1"/>
  <c r="DC45" i="1"/>
  <c r="DB45" i="1"/>
  <c r="CP45" i="1"/>
  <c r="CD45" i="1"/>
  <c r="CA45" i="1"/>
  <c r="DA45" i="1"/>
  <c r="CO45" i="1"/>
  <c r="CC45" i="1"/>
  <c r="CY45" i="1"/>
  <c r="CZ45" i="1"/>
  <c r="CN45" i="1"/>
  <c r="CB45" i="1"/>
  <c r="CM45" i="1"/>
  <c r="CX45" i="1"/>
  <c r="CL45" i="1"/>
  <c r="BY45" i="1"/>
  <c r="CJ45" i="1"/>
  <c r="CU45" i="1"/>
  <c r="CW45" i="1"/>
  <c r="CK45" i="1"/>
  <c r="CF101" i="1"/>
  <c r="CE101" i="1"/>
  <c r="CD101" i="1"/>
  <c r="CC101" i="1"/>
  <c r="CB101" i="1"/>
  <c r="CA101" i="1"/>
  <c r="BZ101" i="1"/>
  <c r="A102" i="1"/>
  <c r="A46" i="1"/>
  <c r="CD102" i="1" l="1"/>
  <c r="CC102" i="1"/>
  <c r="CB102" i="1"/>
  <c r="CA102" i="1"/>
  <c r="BZ102" i="1"/>
  <c r="CF102" i="1"/>
  <c r="CE102" i="1"/>
  <c r="DB46" i="1"/>
  <c r="CP46" i="1"/>
  <c r="CD46" i="1"/>
  <c r="DA46" i="1"/>
  <c r="CO46" i="1"/>
  <c r="CC46" i="1"/>
  <c r="CZ46" i="1"/>
  <c r="CN46" i="1"/>
  <c r="CB46" i="1"/>
  <c r="CY46" i="1"/>
  <c r="CM46" i="1"/>
  <c r="CA46" i="1"/>
  <c r="CX46" i="1"/>
  <c r="CL46" i="1"/>
  <c r="BY46" i="1"/>
  <c r="CW46" i="1"/>
  <c r="CK46" i="1"/>
  <c r="CV46" i="1"/>
  <c r="CJ46" i="1"/>
  <c r="CU46" i="1"/>
  <c r="CI46" i="1"/>
  <c r="CT46" i="1"/>
  <c r="CH46" i="1"/>
  <c r="CS46" i="1"/>
  <c r="CG46" i="1"/>
  <c r="DD46" i="1"/>
  <c r="CR46" i="1"/>
  <c r="CF46" i="1"/>
  <c r="CQ46" i="1"/>
  <c r="CE46" i="1"/>
  <c r="DC46" i="1"/>
  <c r="A103" i="1"/>
  <c r="A47" i="1"/>
  <c r="DC47" i="1" l="1"/>
  <c r="CQ47" i="1"/>
  <c r="CE47" i="1"/>
  <c r="DB47" i="1"/>
  <c r="CP47" i="1"/>
  <c r="CD47" i="1"/>
  <c r="DA47" i="1"/>
  <c r="CO47" i="1"/>
  <c r="CC47" i="1"/>
  <c r="CZ47" i="1"/>
  <c r="CN47" i="1"/>
  <c r="CB47" i="1"/>
  <c r="CY47" i="1"/>
  <c r="CM47" i="1"/>
  <c r="CA47" i="1"/>
  <c r="CX47" i="1"/>
  <c r="CL47" i="1"/>
  <c r="BY47" i="1"/>
  <c r="CW47" i="1"/>
  <c r="CK47" i="1"/>
  <c r="CV47" i="1"/>
  <c r="CJ47" i="1"/>
  <c r="CU47" i="1"/>
  <c r="CI47" i="1"/>
  <c r="CT47" i="1"/>
  <c r="CH47" i="1"/>
  <c r="CS47" i="1"/>
  <c r="CG47" i="1"/>
  <c r="DD47" i="1"/>
  <c r="CR47" i="1"/>
  <c r="CF47" i="1"/>
  <c r="CF103" i="1"/>
  <c r="CE103" i="1"/>
  <c r="CD103" i="1"/>
  <c r="CC103" i="1"/>
  <c r="CB103" i="1"/>
  <c r="CA103" i="1"/>
  <c r="BZ103" i="1"/>
  <c r="A104" i="1"/>
  <c r="A48" i="1"/>
  <c r="CY48" i="1" l="1"/>
  <c r="CM48" i="1"/>
  <c r="CA48" i="1"/>
  <c r="CJ48" i="1"/>
  <c r="CO48" i="1"/>
  <c r="CB48" i="1"/>
  <c r="CX48" i="1"/>
  <c r="CL48" i="1"/>
  <c r="BY48" i="1"/>
  <c r="CW48" i="1"/>
  <c r="CK48" i="1"/>
  <c r="CV48" i="1"/>
  <c r="CU48" i="1"/>
  <c r="CI48" i="1"/>
  <c r="CF48" i="1"/>
  <c r="CC48" i="1"/>
  <c r="CN48" i="1"/>
  <c r="CT48" i="1"/>
  <c r="CH48" i="1"/>
  <c r="CR48" i="1"/>
  <c r="DA48" i="1"/>
  <c r="CS48" i="1"/>
  <c r="CG48" i="1"/>
  <c r="DD48" i="1"/>
  <c r="DC48" i="1"/>
  <c r="CQ48" i="1"/>
  <c r="CE48" i="1"/>
  <c r="DB48" i="1"/>
  <c r="CP48" i="1"/>
  <c r="CD48" i="1"/>
  <c r="CZ48" i="1"/>
  <c r="BZ104" i="1"/>
  <c r="CF104" i="1"/>
  <c r="CE104" i="1"/>
  <c r="CD104" i="1"/>
  <c r="CC104" i="1"/>
  <c r="CB104" i="1"/>
  <c r="CA104" i="1"/>
  <c r="A105" i="1"/>
  <c r="A49" i="1"/>
  <c r="CS49" i="1" l="1"/>
  <c r="CG49" i="1"/>
  <c r="DD49" i="1"/>
  <c r="CR49" i="1"/>
  <c r="CF49" i="1"/>
  <c r="DC49" i="1"/>
  <c r="CQ49" i="1"/>
  <c r="CE49" i="1"/>
  <c r="DB49" i="1"/>
  <c r="CP49" i="1"/>
  <c r="CD49" i="1"/>
  <c r="DA49" i="1"/>
  <c r="CO49" i="1"/>
  <c r="CC49" i="1"/>
  <c r="CZ49" i="1"/>
  <c r="CN49" i="1"/>
  <c r="CB49" i="1"/>
  <c r="CY49" i="1"/>
  <c r="CM49" i="1"/>
  <c r="CA49" i="1"/>
  <c r="CX49" i="1"/>
  <c r="CL49" i="1"/>
  <c r="BY49" i="1"/>
  <c r="CW49" i="1"/>
  <c r="CK49" i="1"/>
  <c r="CV49" i="1"/>
  <c r="CJ49" i="1"/>
  <c r="CU49" i="1"/>
  <c r="CI49" i="1"/>
  <c r="CH49" i="1"/>
  <c r="CT49" i="1"/>
  <c r="CE105" i="1"/>
  <c r="CD105" i="1"/>
  <c r="CC105" i="1"/>
  <c r="CB105" i="1"/>
  <c r="CA105" i="1"/>
  <c r="BZ105" i="1"/>
  <c r="CF105" i="1"/>
  <c r="A106" i="1"/>
  <c r="A50" i="1"/>
  <c r="CT50" i="1" l="1"/>
  <c r="CH50" i="1"/>
  <c r="CS50" i="1"/>
  <c r="CG50" i="1"/>
  <c r="DD50" i="1"/>
  <c r="CR50" i="1"/>
  <c r="CF50" i="1"/>
  <c r="DC50" i="1"/>
  <c r="CQ50" i="1"/>
  <c r="CE50" i="1"/>
  <c r="DB50" i="1"/>
  <c r="CP50" i="1"/>
  <c r="CD50" i="1"/>
  <c r="DA50" i="1"/>
  <c r="CO50" i="1"/>
  <c r="CC50" i="1"/>
  <c r="CZ50" i="1"/>
  <c r="CN50" i="1"/>
  <c r="CB50" i="1"/>
  <c r="CY50" i="1"/>
  <c r="CM50" i="1"/>
  <c r="CA50" i="1"/>
  <c r="CX50" i="1"/>
  <c r="CL50" i="1"/>
  <c r="BY50" i="1"/>
  <c r="CW50" i="1"/>
  <c r="CK50" i="1"/>
  <c r="CV50" i="1"/>
  <c r="CJ50" i="1"/>
  <c r="CU50" i="1"/>
  <c r="CI50" i="1"/>
  <c r="CF106" i="1"/>
  <c r="CE106" i="1"/>
  <c r="CD106" i="1"/>
  <c r="CC106" i="1"/>
  <c r="CB106" i="1"/>
  <c r="CA106" i="1"/>
  <c r="BZ106" i="1"/>
  <c r="A107" i="1"/>
  <c r="A51" i="1"/>
  <c r="CF107" i="1" l="1"/>
  <c r="CF108" i="1" s="1"/>
  <c r="CE107" i="1"/>
  <c r="CE108" i="1" s="1"/>
  <c r="CD107" i="1"/>
  <c r="CD108" i="1" s="1"/>
  <c r="CC107" i="1"/>
  <c r="CC108" i="1" s="1"/>
  <c r="CB107" i="1"/>
  <c r="CA107" i="1"/>
  <c r="CA108" i="1" s="1"/>
  <c r="BZ107" i="1"/>
  <c r="BZ108" i="1" s="1"/>
  <c r="CB108" i="1"/>
  <c r="CU51" i="1"/>
  <c r="CI51" i="1"/>
  <c r="CT51" i="1"/>
  <c r="CH51" i="1"/>
  <c r="CS51" i="1"/>
  <c r="CG51" i="1"/>
  <c r="DD51" i="1"/>
  <c r="CR51" i="1"/>
  <c r="CF51" i="1"/>
  <c r="DC51" i="1"/>
  <c r="CQ51" i="1"/>
  <c r="CE51" i="1"/>
  <c r="DB51" i="1"/>
  <c r="CP51" i="1"/>
  <c r="CD51" i="1"/>
  <c r="DA51" i="1"/>
  <c r="CO51" i="1"/>
  <c r="CC51" i="1"/>
  <c r="CZ51" i="1"/>
  <c r="CN51" i="1"/>
  <c r="CB51" i="1"/>
  <c r="CY51" i="1"/>
  <c r="CM51" i="1"/>
  <c r="CA51" i="1"/>
  <c r="CX51" i="1"/>
  <c r="CL51" i="1"/>
  <c r="BY51" i="1"/>
  <c r="CW51" i="1"/>
  <c r="CK51" i="1"/>
  <c r="CJ51" i="1"/>
  <c r="CV51" i="1"/>
  <c r="A52" i="1"/>
  <c r="CV52" i="1" l="1"/>
  <c r="CJ52" i="1"/>
  <c r="CU52" i="1"/>
  <c r="CI52" i="1"/>
  <c r="CT52" i="1"/>
  <c r="CH52" i="1"/>
  <c r="CS52" i="1"/>
  <c r="CG52" i="1"/>
  <c r="DD52" i="1"/>
  <c r="CR52" i="1"/>
  <c r="CF52" i="1"/>
  <c r="DC52" i="1"/>
  <c r="CQ52" i="1"/>
  <c r="CE52" i="1"/>
  <c r="DB52" i="1"/>
  <c r="CP52" i="1"/>
  <c r="CD52" i="1"/>
  <c r="DA52" i="1"/>
  <c r="CO52" i="1"/>
  <c r="CC52" i="1"/>
  <c r="CZ52" i="1"/>
  <c r="CN52" i="1"/>
  <c r="CB52" i="1"/>
  <c r="CY52" i="1"/>
  <c r="CM52" i="1"/>
  <c r="CA52" i="1"/>
  <c r="CX52" i="1"/>
  <c r="CL52" i="1"/>
  <c r="BY52" i="1"/>
  <c r="CW52" i="1"/>
  <c r="CK52" i="1"/>
  <c r="A53" i="1"/>
  <c r="CW53" i="1" l="1"/>
  <c r="CK53" i="1"/>
  <c r="CV53" i="1"/>
  <c r="CJ53" i="1"/>
  <c r="CU53" i="1"/>
  <c r="CI53" i="1"/>
  <c r="CT53" i="1"/>
  <c r="CH53" i="1"/>
  <c r="CS53" i="1"/>
  <c r="CG53" i="1"/>
  <c r="DD53" i="1"/>
  <c r="CR53" i="1"/>
  <c r="CF53" i="1"/>
  <c r="DC53" i="1"/>
  <c r="CQ53" i="1"/>
  <c r="CE53" i="1"/>
  <c r="DB53" i="1"/>
  <c r="CP53" i="1"/>
  <c r="CD53" i="1"/>
  <c r="DA53" i="1"/>
  <c r="CO53" i="1"/>
  <c r="CC53" i="1"/>
  <c r="CZ53" i="1"/>
  <c r="CN53" i="1"/>
  <c r="CB53" i="1"/>
  <c r="CY53" i="1"/>
  <c r="CM53" i="1"/>
  <c r="CA53" i="1"/>
  <c r="BY53" i="1"/>
  <c r="CX53" i="1"/>
  <c r="CL53" i="1"/>
  <c r="A54" i="1"/>
  <c r="CX54" i="1" l="1"/>
  <c r="CL54" i="1"/>
  <c r="BY54" i="1"/>
  <c r="CW54" i="1"/>
  <c r="CK54" i="1"/>
  <c r="CV54" i="1"/>
  <c r="CJ54" i="1"/>
  <c r="CU54" i="1"/>
  <c r="CI54" i="1"/>
  <c r="CT54" i="1"/>
  <c r="CH54" i="1"/>
  <c r="CS54" i="1"/>
  <c r="CG54" i="1"/>
  <c r="DD54" i="1"/>
  <c r="CR54" i="1"/>
  <c r="CF54" i="1"/>
  <c r="DC54" i="1"/>
  <c r="CQ54" i="1"/>
  <c r="CE54" i="1"/>
  <c r="DB54" i="1"/>
  <c r="CP54" i="1"/>
  <c r="CD54" i="1"/>
  <c r="DA54" i="1"/>
  <c r="CO54" i="1"/>
  <c r="CC54" i="1"/>
  <c r="CZ54" i="1"/>
  <c r="CN54" i="1"/>
  <c r="CB54" i="1"/>
  <c r="CY54" i="1"/>
  <c r="CM54" i="1"/>
  <c r="CA54" i="1"/>
  <c r="A55" i="1"/>
  <c r="CX55" i="1" l="1"/>
  <c r="CL55" i="1"/>
  <c r="BY55" i="1"/>
  <c r="CW55" i="1"/>
  <c r="CK55" i="1"/>
  <c r="CV55" i="1"/>
  <c r="CJ55" i="1"/>
  <c r="CU55" i="1"/>
  <c r="CI55" i="1"/>
  <c r="CT55" i="1"/>
  <c r="CH55" i="1"/>
  <c r="CS55" i="1"/>
  <c r="CG55" i="1"/>
  <c r="DD55" i="1"/>
  <c r="CR55" i="1"/>
  <c r="CF55" i="1"/>
  <c r="DC55" i="1"/>
  <c r="CQ55" i="1"/>
  <c r="CE55" i="1"/>
  <c r="DB55" i="1"/>
  <c r="CP55" i="1"/>
  <c r="CD55" i="1"/>
  <c r="DA55" i="1"/>
  <c r="CO55" i="1"/>
  <c r="CC55" i="1"/>
  <c r="CZ55" i="1"/>
  <c r="CN55" i="1"/>
  <c r="CB55" i="1"/>
  <c r="CY55" i="1"/>
  <c r="CM55" i="1"/>
  <c r="CA55" i="1"/>
  <c r="A56" i="1"/>
  <c r="CY56" i="1" l="1"/>
  <c r="CM56" i="1"/>
  <c r="CA56" i="1"/>
  <c r="CX56" i="1"/>
  <c r="CL56" i="1"/>
  <c r="BY56" i="1"/>
  <c r="CW56" i="1"/>
  <c r="CK56" i="1"/>
  <c r="CV56" i="1"/>
  <c r="CJ56" i="1"/>
  <c r="CU56" i="1"/>
  <c r="CI56" i="1"/>
  <c r="CT56" i="1"/>
  <c r="CH56" i="1"/>
  <c r="CS56" i="1"/>
  <c r="CG56" i="1"/>
  <c r="DD56" i="1"/>
  <c r="CR56" i="1"/>
  <c r="CF56" i="1"/>
  <c r="DC56" i="1"/>
  <c r="CQ56" i="1"/>
  <c r="CE56" i="1"/>
  <c r="DB56" i="1"/>
  <c r="CP56" i="1"/>
  <c r="CD56" i="1"/>
  <c r="DA56" i="1"/>
  <c r="CO56" i="1"/>
  <c r="CC56" i="1"/>
  <c r="CZ56" i="1"/>
  <c r="CN56" i="1"/>
  <c r="CB56" i="1"/>
  <c r="A57" i="1"/>
  <c r="CY57" i="1" l="1"/>
  <c r="CM57" i="1"/>
  <c r="CA57" i="1"/>
  <c r="CX57" i="1"/>
  <c r="CL57" i="1"/>
  <c r="BY57" i="1"/>
  <c r="CW57" i="1"/>
  <c r="CK57" i="1"/>
  <c r="CV57" i="1"/>
  <c r="CJ57" i="1"/>
  <c r="CU57" i="1"/>
  <c r="CI57" i="1"/>
  <c r="CT57" i="1"/>
  <c r="CH57" i="1"/>
  <c r="CS57" i="1"/>
  <c r="CG57" i="1"/>
  <c r="DD57" i="1"/>
  <c r="CR57" i="1"/>
  <c r="CF57" i="1"/>
  <c r="DC57" i="1"/>
  <c r="CQ57" i="1"/>
  <c r="CE57" i="1"/>
  <c r="DB57" i="1"/>
  <c r="CP57" i="1"/>
  <c r="CD57" i="1"/>
  <c r="DA57" i="1"/>
  <c r="CO57" i="1"/>
  <c r="CC57" i="1"/>
  <c r="CZ57" i="1"/>
  <c r="CN57" i="1"/>
  <c r="CB57" i="1"/>
  <c r="A58" i="1"/>
  <c r="CT58" i="1" l="1"/>
  <c r="CT59" i="1" s="1"/>
  <c r="CH58" i="1"/>
  <c r="CH59" i="1" s="1"/>
  <c r="CQ58" i="1"/>
  <c r="CQ59" i="1" s="1"/>
  <c r="CK58" i="1"/>
  <c r="CK59" i="1" s="1"/>
  <c r="CS58" i="1"/>
  <c r="CS59" i="1" s="1"/>
  <c r="CG58" i="1"/>
  <c r="CG59" i="1" s="1"/>
  <c r="CE58" i="1"/>
  <c r="CE59" i="1" s="1"/>
  <c r="CV58" i="1"/>
  <c r="CV59" i="1" s="1"/>
  <c r="DD58" i="1"/>
  <c r="DD59" i="1" s="1"/>
  <c r="CR58" i="1"/>
  <c r="CR59" i="1" s="1"/>
  <c r="CF58" i="1"/>
  <c r="CF59" i="1" s="1"/>
  <c r="DC58" i="1"/>
  <c r="DC59" i="1" s="1"/>
  <c r="CW58" i="1"/>
  <c r="CW59" i="1" s="1"/>
  <c r="DB58" i="1"/>
  <c r="DB59" i="1" s="1"/>
  <c r="CP58" i="1"/>
  <c r="CP59" i="1" s="1"/>
  <c r="CD58" i="1"/>
  <c r="CO58" i="1"/>
  <c r="CO59" i="1" s="1"/>
  <c r="CJ58" i="1"/>
  <c r="CJ59" i="1" s="1"/>
  <c r="DA58" i="1"/>
  <c r="DA59" i="1" s="1"/>
  <c r="CC58" i="1"/>
  <c r="CC59" i="1" s="1"/>
  <c r="CZ58" i="1"/>
  <c r="CZ59" i="1" s="1"/>
  <c r="CN58" i="1"/>
  <c r="CN59" i="1" s="1"/>
  <c r="CB58" i="1"/>
  <c r="CB59" i="1" s="1"/>
  <c r="CY58" i="1"/>
  <c r="CY59" i="1" s="1"/>
  <c r="CM58" i="1"/>
  <c r="CM59" i="1" s="1"/>
  <c r="CA58" i="1"/>
  <c r="CA59" i="1" s="1"/>
  <c r="CL58" i="1"/>
  <c r="CL59" i="1" s="1"/>
  <c r="CX58" i="1"/>
  <c r="CX59" i="1" s="1"/>
  <c r="BY58" i="1"/>
  <c r="BY59" i="1" s="1"/>
  <c r="CU58" i="1"/>
  <c r="CU59" i="1" s="1"/>
  <c r="CI58" i="1"/>
  <c r="CI59" i="1" s="1"/>
  <c r="CD59" i="1"/>
</calcChain>
</file>

<file path=xl/sharedStrings.xml><?xml version="1.0" encoding="utf-8"?>
<sst xmlns="http://schemas.openxmlformats.org/spreadsheetml/2006/main" count="52184" uniqueCount="14843">
  <si>
    <t>Feriados:</t>
  </si>
  <si>
    <t>PREFEITURA DO MUNICÍPIO DE SÃO PAULO - PMSP</t>
  </si>
  <si>
    <t>SECRETARIA MUNICIPAL DE EDUCAÇÃO - SME</t>
  </si>
  <si>
    <t>Cod. EOL</t>
  </si>
  <si>
    <t>TIPO</t>
  </si>
  <si>
    <t>Unidade</t>
  </si>
  <si>
    <t>DRE</t>
  </si>
  <si>
    <t>SIGLA</t>
  </si>
  <si>
    <t>Email da U.E.</t>
  </si>
  <si>
    <t xml:space="preserve">Endereço </t>
  </si>
  <si>
    <t>Numero</t>
  </si>
  <si>
    <t>Bairro</t>
  </si>
  <si>
    <t>ENDER</t>
  </si>
  <si>
    <t xml:space="preserve">CEP </t>
  </si>
  <si>
    <t>Fone</t>
  </si>
  <si>
    <t>Fax</t>
  </si>
  <si>
    <t>Empresa</t>
  </si>
  <si>
    <t>DAE</t>
  </si>
  <si>
    <t>Código CODAE</t>
  </si>
  <si>
    <t>Mês</t>
  </si>
  <si>
    <t>Ano</t>
  </si>
  <si>
    <t>&lt;&lt;&lt;&lt;&lt;&lt;&lt;&lt;&lt;</t>
  </si>
  <si>
    <t>SEG</t>
  </si>
  <si>
    <t>TER</t>
  </si>
  <si>
    <t>QUA</t>
  </si>
  <si>
    <t>QUI</t>
  </si>
  <si>
    <t>SEX</t>
  </si>
  <si>
    <t>SAB</t>
  </si>
  <si>
    <t>DOM</t>
  </si>
  <si>
    <t>E-mail:</t>
  </si>
  <si>
    <t>JANEIRO</t>
  </si>
  <si>
    <t>&lt;&lt;&lt;&lt;&lt; Digite ou Selecione o Código EOL da sua Unidade</t>
  </si>
  <si>
    <t xml:space="preserve">Endereço: </t>
  </si>
  <si>
    <t>CEP</t>
  </si>
  <si>
    <t>Fone/Fax</t>
  </si>
  <si>
    <t>FONE</t>
  </si>
  <si>
    <t>FAX</t>
  </si>
  <si>
    <t>BARRA</t>
  </si>
  <si>
    <t>Nome da Empresa Prestadora do Serviço:</t>
  </si>
  <si>
    <t>Diretoria Regional de Educação</t>
  </si>
  <si>
    <t>LPR</t>
  </si>
  <si>
    <t>RPL</t>
  </si>
  <si>
    <t xml:space="preserve">1º PERÍODO MATUTINO </t>
  </si>
  <si>
    <t xml:space="preserve">2º PERÍODO INTERMEDIÁRIO </t>
  </si>
  <si>
    <t xml:space="preserve">3º PERÍODO VESPERTINO </t>
  </si>
  <si>
    <t>4º PERÍODO NOTURNO / EJA</t>
  </si>
  <si>
    <t>S/N</t>
  </si>
  <si>
    <t>Total</t>
  </si>
  <si>
    <t>ABRIL</t>
  </si>
  <si>
    <t>AGOSTO</t>
  </si>
  <si>
    <t>DEZEMBRO</t>
  </si>
  <si>
    <t>FEVEREIRO</t>
  </si>
  <si>
    <t>JULHO</t>
  </si>
  <si>
    <t>JUNHO</t>
  </si>
  <si>
    <t>MAIO</t>
  </si>
  <si>
    <t>MARÇO</t>
  </si>
  <si>
    <t>NOVEMBRO</t>
  </si>
  <si>
    <t>OUTUBRO</t>
  </si>
  <si>
    <t>SETEMBRO</t>
  </si>
  <si>
    <t>X</t>
  </si>
  <si>
    <t>REFEIÇÃO</t>
  </si>
  <si>
    <t>PERÍODO: Assinalar quais períodos sua unidade possui, os projetos autorizados e se possui dieta especial</t>
  </si>
  <si>
    <t>PERÍODOS</t>
  </si>
  <si>
    <t xml:space="preserve"> INTEGRAL (8 horas)</t>
  </si>
  <si>
    <t>x</t>
  </si>
  <si>
    <t>Dias</t>
  </si>
  <si>
    <t>1 lanche</t>
  </si>
  <si>
    <t>refeição</t>
  </si>
  <si>
    <t>2 lanche</t>
  </si>
  <si>
    <t>Jan</t>
  </si>
  <si>
    <t>Apr</t>
  </si>
  <si>
    <t>Jul</t>
  </si>
  <si>
    <t>Oct</t>
  </si>
  <si>
    <t>Feb</t>
  </si>
  <si>
    <t>May</t>
  </si>
  <si>
    <t>Aug</t>
  </si>
  <si>
    <t>Nov</t>
  </si>
  <si>
    <t>Mar</t>
  </si>
  <si>
    <t>Jun</t>
  </si>
  <si>
    <t>Sep</t>
  </si>
  <si>
    <t>Dec</t>
  </si>
  <si>
    <t>01-01-2017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</si>
  <si>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</si>
  <si>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</si>
  <si>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</si>
  <si>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</si>
  <si>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</si>
  <si>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</si>
  <si>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</si>
  <si>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</si>
  <si>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</si>
  <si>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</si>
  <si>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</si>
  <si>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</si>
  <si>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MÊS</t>
  </si>
  <si>
    <t>SEM</t>
  </si>
  <si>
    <t>Nº DE ALUNOS MATRICULADOS SEM DIETA ESPECIAL</t>
  </si>
  <si>
    <t>Selecionar  os projetos autorizados</t>
  </si>
  <si>
    <t>TROCA (RPL/ LPR)</t>
  </si>
  <si>
    <t>Horas de atendimento</t>
  </si>
  <si>
    <t>até 4h</t>
  </si>
  <si>
    <t>4 a 6 horas</t>
  </si>
  <si>
    <t>a</t>
  </si>
  <si>
    <t>MESES</t>
  </si>
  <si>
    <t>ANO</t>
  </si>
  <si>
    <t>PESQUISA</t>
  </si>
  <si>
    <t>SOBREMESA SERVIDA FOI DOCE?</t>
  </si>
  <si>
    <t>HABILITE A MACRO PARA DAR CONTINUIDADE NA DIGITAÇÃO!!!</t>
  </si>
  <si>
    <t>FRENTE</t>
  </si>
  <si>
    <t>REFEIÇÃO (SOMENTE DIETA ENTERAL)</t>
  </si>
  <si>
    <t>Nome Legível:</t>
  </si>
  <si>
    <t>RF:</t>
  </si>
  <si>
    <t>INFORMAR NOME DOS RESPONSÁVEIS POR ACOMPANHAR A PRESTAÇÃO DOS SERVIÇOS</t>
  </si>
  <si>
    <t>FICHAS COLORIDAS</t>
  </si>
  <si>
    <t>CONTAGEM DE UTENSÍLIOS</t>
  </si>
  <si>
    <t>CATRACA</t>
  </si>
  <si>
    <t>BALANÇA (AUTOSSERVIÇO)</t>
  </si>
  <si>
    <r>
      <t xml:space="preserve">DIETA ESPECIAL </t>
    </r>
    <r>
      <rPr>
        <b/>
        <sz val="10"/>
        <color rgb="FFFF0000"/>
        <rFont val="Calibri"/>
        <family val="2"/>
        <scheme val="minor"/>
      </rPr>
      <t>GRUPO A</t>
    </r>
  </si>
  <si>
    <r>
      <t xml:space="preserve">DIETA ESPECIAL </t>
    </r>
    <r>
      <rPr>
        <b/>
        <sz val="10"/>
        <color rgb="FFFF0000"/>
        <rFont val="Calibri"/>
        <family val="2"/>
        <scheme val="minor"/>
      </rPr>
      <t>GRUPO B</t>
    </r>
  </si>
  <si>
    <t>Sim, sem ocorrências</t>
  </si>
  <si>
    <t>Sim, com a(s) ocorrência(s) apontada(s) no formulário anexo, para que a gestão dos contratos tome as medidas necessárias.</t>
  </si>
  <si>
    <t>Não, pelo(s) motivo(s) apontado(s) no formulário anexo.</t>
  </si>
  <si>
    <r>
      <t>DIRETOR (A) DA UNIDADE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EDUCACIONAL</t>
    </r>
  </si>
  <si>
    <t>DATA</t>
  </si>
  <si>
    <t>CARIMBO E ASSINATURA</t>
  </si>
  <si>
    <r>
      <t xml:space="preserve">Atenção: O acompanhamento diário e </t>
    </r>
    <r>
      <rPr>
        <b/>
        <sz val="12"/>
        <rFont val="Calibri"/>
        <family val="2"/>
        <scheme val="minor"/>
      </rPr>
      <t>medição inicial</t>
    </r>
    <r>
      <rPr>
        <sz val="12"/>
        <rFont val="Calibri"/>
        <family val="2"/>
        <scheme val="minor"/>
      </rPr>
      <t xml:space="preserve"> do serviço é de exclusiva </t>
    </r>
    <r>
      <rPr>
        <b/>
        <sz val="12"/>
        <rFont val="Calibri"/>
        <family val="2"/>
        <scheme val="minor"/>
      </rPr>
      <t>responsabilidade</t>
    </r>
    <r>
      <rPr>
        <sz val="12"/>
        <rFont val="Calibri"/>
        <family val="2"/>
        <scheme val="minor"/>
      </rPr>
      <t xml:space="preserve"> da direção da unidade portanto, devem ser realizados com a máxima atenção, visto fundamentarem o pagamento da contratada.</t>
    </r>
  </si>
  <si>
    <r>
      <rPr>
        <b/>
        <sz val="10"/>
        <color indexed="12"/>
        <rFont val="Calibri"/>
        <family val="2"/>
        <scheme val="minor"/>
      </rPr>
      <t>1</t>
    </r>
    <r>
      <rPr>
        <b/>
        <sz val="10"/>
        <color indexed="8"/>
        <rFont val="Calibri"/>
        <family val="2"/>
        <scheme val="minor"/>
      </rPr>
      <t xml:space="preserve"> - NÚMERO DE ALUNOS MATRICULADOS POR PERÍODO, HORÁRIO, TIPO DE ALIMENTAÇÃO, TIPO DE DIETA ESPECIAL E PROGRAMA/PROJETO</t>
    </r>
  </si>
  <si>
    <r>
      <rPr>
        <b/>
        <sz val="10"/>
        <color rgb="FF0000FF"/>
        <rFont val="Calibri"/>
        <family val="2"/>
        <scheme val="minor"/>
      </rPr>
      <t>2</t>
    </r>
    <r>
      <rPr>
        <b/>
        <sz val="10"/>
        <color theme="3"/>
        <rFont val="Calibri"/>
        <family val="2"/>
        <scheme val="minor"/>
      </rPr>
      <t xml:space="preserve"> -</t>
    </r>
    <r>
      <rPr>
        <b/>
        <sz val="10"/>
        <rFont val="Calibri"/>
        <family val="2"/>
        <scheme val="minor"/>
      </rPr>
      <t xml:space="preserve"> INFORMAR A FREQUENCIA DOS ALUNOS E A QUANTIDADE DE ALIMENTAÇÃO FORNECIDA POR DIA E POR PERÍODO DE ATENDIMENTO</t>
    </r>
  </si>
  <si>
    <r>
      <rPr>
        <b/>
        <sz val="12"/>
        <color rgb="FF0000FF"/>
        <rFont val="Calibri"/>
        <family val="2"/>
        <scheme val="minor"/>
      </rPr>
      <t xml:space="preserve">6 </t>
    </r>
    <r>
      <rPr>
        <b/>
        <sz val="10"/>
        <color rgb="FF0000FF"/>
        <rFont val="Calibri"/>
        <family val="2"/>
        <scheme val="minor"/>
      </rPr>
      <t>-</t>
    </r>
    <r>
      <rPr>
        <b/>
        <sz val="10"/>
        <color theme="3"/>
        <rFont val="Calibri"/>
        <family val="2"/>
        <scheme val="minor"/>
      </rPr>
      <t xml:space="preserve"> </t>
    </r>
    <r>
      <rPr>
        <b/>
        <sz val="10"/>
        <rFont val="Calibri"/>
        <family val="2"/>
        <scheme val="minor"/>
      </rPr>
      <t>Avaliação do Serviço: Neste mês, a direção da Unidade Escolar considera que o serviço foi realizado à contento?</t>
    </r>
  </si>
  <si>
    <r>
      <rPr>
        <b/>
        <sz val="12"/>
        <color rgb="FF0000FF"/>
        <rFont val="Calibri"/>
        <family val="2"/>
        <scheme val="minor"/>
      </rPr>
      <t>5</t>
    </r>
    <r>
      <rPr>
        <b/>
        <sz val="10"/>
        <color rgb="FF0000FF"/>
        <rFont val="Calibri"/>
        <family val="2"/>
        <scheme val="minor"/>
      </rPr>
      <t xml:space="preserve"> - </t>
    </r>
    <r>
      <rPr>
        <b/>
        <sz val="10"/>
        <rFont val="Calibri"/>
        <family val="2"/>
        <scheme val="minor"/>
      </rPr>
      <t>ASSINALAR O(S) MÉTODO(S) DE CONTAGEM DA ALIMENTAÇÃO SERVIDA</t>
    </r>
  </si>
  <si>
    <r>
      <rPr>
        <b/>
        <sz val="12"/>
        <color rgb="FF0000FF"/>
        <rFont val="Calibri"/>
        <family val="2"/>
        <scheme val="minor"/>
      </rPr>
      <t>8 -</t>
    </r>
    <r>
      <rPr>
        <b/>
        <sz val="11"/>
        <color rgb="FF0000FF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 xml:space="preserve"> RESPONSÁVEL PELA CONFERÊNCIA NA DRE</t>
    </r>
  </si>
  <si>
    <t>INTERMEDIÁRIO</t>
  </si>
  <si>
    <t>Marque com X Nos periodos de atendimento</t>
  </si>
  <si>
    <t>MEDIÇÃO INICIAL DO SERVIÇO DE NUTRIÇÃO E ALIMENTAÇÃO ESCOLAR - EMEI</t>
  </si>
  <si>
    <t>KIT LANCHE</t>
  </si>
  <si>
    <t>Lanche (4h)</t>
  </si>
  <si>
    <t>FREQUENCIA</t>
  </si>
  <si>
    <t>INFORMAR O NÚMERO DE EDUCADORES INSCRITOS NO PROGRAMA NA MESMA MESA</t>
  </si>
  <si>
    <t>REFEIÇÃO - NA MESMA MESA</t>
  </si>
  <si>
    <t>PROGRAMA NA MESMA MESA</t>
  </si>
  <si>
    <t>SOBREMESA</t>
  </si>
  <si>
    <t>Observações Gerais:</t>
  </si>
  <si>
    <t>Lanche (6h)</t>
  </si>
  <si>
    <t>PLANILHA DE MEDIÇÃO - EMEI</t>
  </si>
  <si>
    <t>COORDENADORIA DE ALIMENTAÇÃO ESCOLAR - CODAE</t>
  </si>
  <si>
    <t>RESPONSÁVEL PELA CONFERÊNCIA NA DRE</t>
  </si>
  <si>
    <t>CodEscola</t>
  </si>
  <si>
    <t>NomeUnidade</t>
  </si>
  <si>
    <t>TipoGestao</t>
  </si>
  <si>
    <t>CodEOLAluno</t>
  </si>
  <si>
    <t>NomeAluno</t>
  </si>
  <si>
    <t>DataNascimento</t>
  </si>
  <si>
    <t>hoje</t>
  </si>
  <si>
    <t>dias</t>
  </si>
  <si>
    <t>meses</t>
  </si>
  <si>
    <t>faixa</t>
  </si>
  <si>
    <t>DataOcorrencia</t>
  </si>
  <si>
    <t>CodDiagnostico</t>
  </si>
  <si>
    <t>ProtocoloDieta</t>
  </si>
  <si>
    <t>CodCategoriaDaDieta</t>
  </si>
  <si>
    <t>CEI MUN. AYRTON SENNA DA SILVA (TERC)</t>
  </si>
  <si>
    <t>CS</t>
  </si>
  <si>
    <t>TERCEIRIZADA</t>
  </si>
  <si>
    <t>ANA CAROLINA DA SILVA TEIXEIRA</t>
  </si>
  <si>
    <t>23/04/2013</t>
  </si>
  <si>
    <t>2 anos a 3 anos e 11 meses</t>
  </si>
  <si>
    <t>Alergia a Proteína do Leite de Vaca</t>
  </si>
  <si>
    <t>Intolerância à lactose ou alergia à proteina do leite de vaca</t>
  </si>
  <si>
    <t>B</t>
  </si>
  <si>
    <t>DENIS MUNIZ LIMA</t>
  </si>
  <si>
    <t>30/06/2013</t>
  </si>
  <si>
    <t>Intolerância Alimentar a Fruta - Frutas Cítricas</t>
  </si>
  <si>
    <t>Intolerância alimentar - frutas ácidas</t>
  </si>
  <si>
    <t>C</t>
  </si>
  <si>
    <t>JULIA NASCIMENTO DA SILVA</t>
  </si>
  <si>
    <t>01/07/2014</t>
  </si>
  <si>
    <t>Intolerância Alimentar - Fórmula AR</t>
  </si>
  <si>
    <t>intolerância alimentar a Formula AR (prescrição médica de Neslac ou MilNutri ou Enfagrow)</t>
  </si>
  <si>
    <t>KETHELLYN LACERDA KATO</t>
  </si>
  <si>
    <t>15/04/2013</t>
  </si>
  <si>
    <t>Dieta Pastosa</t>
  </si>
  <si>
    <t>Dieta pastosa amassada - Kethellyn Lacerda Kato</t>
  </si>
  <si>
    <t>LIVIA MOREIRA DA CRUZ</t>
  </si>
  <si>
    <t>26/04/2013</t>
  </si>
  <si>
    <t>alergia à proteína do leite de vaca (alimento a base de soja)</t>
  </si>
  <si>
    <t>MICAELA POLICAN XAVIER</t>
  </si>
  <si>
    <t>12/10/2014</t>
  </si>
  <si>
    <t>Gastrite</t>
  </si>
  <si>
    <t>Gastrite padrão</t>
  </si>
  <si>
    <t>CEI MUN. CEL. GERALDO ARRUDA PENTEADO - (TERCEI.)</t>
  </si>
  <si>
    <t>ARTHUR FELIPE DE ANDRADE ESCUDEIRO FERREIRA</t>
  </si>
  <si>
    <t>30/09/2014</t>
  </si>
  <si>
    <t>1 ano a 1 ano e 11 meses</t>
  </si>
  <si>
    <t>Intolerância à Lactose</t>
  </si>
  <si>
    <t>Intolerância à Lactose (leite sem lactose)</t>
  </si>
  <si>
    <t>CEI MUN. DOUGLAS DANIEL DO NASCIMENTO</t>
  </si>
  <si>
    <t>GEOVANNA MIGUEL MENDES ARAUJO</t>
  </si>
  <si>
    <t>27/01/2014</t>
  </si>
  <si>
    <t>Dislipidemia</t>
  </si>
  <si>
    <t>PEDRO GOMES PEREIRA</t>
  </si>
  <si>
    <t>16/04/2016</t>
  </si>
  <si>
    <t>Intolerância à lactose (fórmula sem lactose)</t>
  </si>
  <si>
    <t>TAINA REIS DE SALES FELTRIN</t>
  </si>
  <si>
    <t>24/06/2012</t>
  </si>
  <si>
    <t>Alergia à proteína do leite de vaca (bebida de arroz ou aveia ou amêndoa)</t>
  </si>
  <si>
    <t>VICTOR SOUZA LIMA</t>
  </si>
  <si>
    <t>27/02/2014</t>
  </si>
  <si>
    <t>CEI MUN. JD. ELIANA - (TERCEI.)</t>
  </si>
  <si>
    <t>CHRISTOPHER SANTOS LIMA</t>
  </si>
  <si>
    <t>07/11/2012</t>
  </si>
  <si>
    <t>4 a 6 anos</t>
  </si>
  <si>
    <t>Diabetes Mellitus</t>
  </si>
  <si>
    <t>diabetes Mellitus</t>
  </si>
  <si>
    <t>DAVID ARAUJO SILVA</t>
  </si>
  <si>
    <t>16/04/2012</t>
  </si>
  <si>
    <t>Anemia Ferropriva; Hipercolesterolemia; Hiperglicemia</t>
  </si>
  <si>
    <t>Hipercolesterolemia + Hiperglicemia + anemia ferropriva</t>
  </si>
  <si>
    <t>MARIA EDUARDA DE OLIVEIRA ARAUJO</t>
  </si>
  <si>
    <t>28/09/2012</t>
  </si>
  <si>
    <t>Alergia a Peixe; Alergia a Frutos do Mar</t>
  </si>
  <si>
    <t>Alergia - peixe + frutos do mar</t>
  </si>
  <si>
    <t>VITOR DA SILVA MARIANO</t>
  </si>
  <si>
    <t>19/11/2012</t>
  </si>
  <si>
    <t>Alergia a Fruta - Goiaba</t>
  </si>
  <si>
    <t>Alergia alimentar - goiaba</t>
  </si>
  <si>
    <t>CEI MUN. JD. REIMBERG - (TERCEI.)</t>
  </si>
  <si>
    <t>ARTHUR DA CONCEICAO NEVES</t>
  </si>
  <si>
    <t>12/12/2012</t>
  </si>
  <si>
    <t>Intolerância à lactose</t>
  </si>
  <si>
    <t>JOAO CAMARGO OLIVEIRA SANTOS</t>
  </si>
  <si>
    <t>09/11/2015</t>
  </si>
  <si>
    <t>VITOR MARQUES DA SILVA</t>
  </si>
  <si>
    <t>10/06/2015</t>
  </si>
  <si>
    <t>Alergia a Proteína do Leite de Vaca; Alergia a Embutidos; Alergia a Frutos do Mar; Alergia a Carne Suina; Alergia a Fruta - Morango; Alergia a Enlatados</t>
  </si>
  <si>
    <t>APLV + carne suina + frutos do mar + latarias + embutidos + morango (suco de fruta)</t>
  </si>
  <si>
    <t>CEI MUN. JD. REPÚBLICA - (TERCEI.)</t>
  </si>
  <si>
    <t>MARIA EDUARDA SILVA GUEDES</t>
  </si>
  <si>
    <t>02/03/2016</t>
  </si>
  <si>
    <t>Intolerância Alimentar - Feijão Fava; Intolerância Alimentar - Feijão Branco; Intolerância Alimentar - Feijão Carioca/Feijão Preto</t>
  </si>
  <si>
    <t>Intolerância alimentar - feijão (apenas caldo)</t>
  </si>
  <si>
    <t>CEI MUN. JD. SILVEIRA - (TERCEI.)</t>
  </si>
  <si>
    <t>JOANA CAMPOS DE BARROS</t>
  </si>
  <si>
    <t>06/05/2013</t>
  </si>
  <si>
    <t>Alergia a proteina do leite de vaca (alimento a base de soja)</t>
  </si>
  <si>
    <t>PIETRO MOREIRA DA SILVA RAMOS</t>
  </si>
  <si>
    <t>27/05/2016</t>
  </si>
  <si>
    <t>Alergia ao Trigo</t>
  </si>
  <si>
    <t>Alergia - trigo</t>
  </si>
  <si>
    <t>A</t>
  </si>
  <si>
    <t>CEI MUN. JD. SOMARA (TERC)</t>
  </si>
  <si>
    <t>MIGUEL RODRIGUES VIEIRA LIMA</t>
  </si>
  <si>
    <t>24/11/2015</t>
  </si>
  <si>
    <t>Intolerância Alimentar a Fruta - Banana</t>
  </si>
  <si>
    <t>Intolerância alimentar - banana</t>
  </si>
  <si>
    <t>SOPHIA GABRIELA BARBOSA LIMA</t>
  </si>
  <si>
    <t>12/10/2013</t>
  </si>
  <si>
    <t>Intolerância Alimentar a Fruta - Laranja</t>
  </si>
  <si>
    <t>Intolerância alimentar - laranja</t>
  </si>
  <si>
    <t>CEI MUN. JD. TRÊS CORAÇÕES (TERC)</t>
  </si>
  <si>
    <t>AMANDA DE LIMA</t>
  </si>
  <si>
    <t>01/06/2014</t>
  </si>
  <si>
    <t>Alergia a Corantes; Alergia a Conservantes</t>
  </si>
  <si>
    <t>Alergia alimentar - corantes + conservantes</t>
  </si>
  <si>
    <t>ANNA CLARA SILVA CRUZ</t>
  </si>
  <si>
    <t>14/04/2015</t>
  </si>
  <si>
    <t>APLV (fórmula de proteína isolada de soja)</t>
  </si>
  <si>
    <t>JULIA FREIRE CORDEIRO</t>
  </si>
  <si>
    <t>14/02/2014</t>
  </si>
  <si>
    <t>Intolerância à Lactose (leite sem lactose ou alimento a base de soja)</t>
  </si>
  <si>
    <t>NATALIA MENESES SILVA</t>
  </si>
  <si>
    <t>28/06/2014</t>
  </si>
  <si>
    <t>Constipação/Obstipação Intestinal</t>
  </si>
  <si>
    <t>Obstipação Intestinal- restrição leite em pó (prescrição leite em pó Neslac Comfor)</t>
  </si>
  <si>
    <t>NICOLAS SANTANA SOUZA</t>
  </si>
  <si>
    <t>15/05/2013</t>
  </si>
  <si>
    <t>Síndrome Nefrótica</t>
  </si>
  <si>
    <t>Síndrome nefrótica - Nicolas Santana Souza</t>
  </si>
  <si>
    <t>SOPHIA DA SILVA SOUSA</t>
  </si>
  <si>
    <t>22/01/2015</t>
  </si>
  <si>
    <t>Alergia a Proteína do Leite de Vaca; Alergia a Corantes; Alergia a Embutidos; Alergia a Enlatados; Alergia a Conservas; Alergia a Condimentos</t>
  </si>
  <si>
    <t>APLV + corantes + conservantes + sucos e temperos artificiais + enlatados + embutidos (suco de fruta)</t>
  </si>
  <si>
    <t>CEI MUN. JD. UNIVERSITÁRIO (TERC)</t>
  </si>
  <si>
    <t>STEPHANNY VITORIA FERREIRA DA SILVA</t>
  </si>
  <si>
    <t>19/09/2013</t>
  </si>
  <si>
    <t>Refluxo Gastroesofágico</t>
  </si>
  <si>
    <t>VITOR HUGO COSTA DA PAZ</t>
  </si>
  <si>
    <t>08/03/2016</t>
  </si>
  <si>
    <t>Intolerância à Lactose; Intolerância Alimentar - Corantes</t>
  </si>
  <si>
    <t>Intolerância à Lactose + corante (leite sem lactose)</t>
  </si>
  <si>
    <t>CEI MUN. MITIKO  MATSUSHITA NEVOEIRO (TERC)</t>
  </si>
  <si>
    <t>ALICY MOREIRA CORREIA</t>
  </si>
  <si>
    <t>17/07/2012</t>
  </si>
  <si>
    <t>Alergia a Corantes; Alergia a Conservantes; Alergia a Frutas Ácidas</t>
  </si>
  <si>
    <t>Alergia alimentar - corantes + conservantes + frutas ácidas</t>
  </si>
  <si>
    <t>CAMILLY RAMOS RIBEIRO</t>
  </si>
  <si>
    <t>15/11/2014</t>
  </si>
  <si>
    <t>APLV (suco de fruta)</t>
  </si>
  <si>
    <t>JOAO LUCAS ALVES LOPES BEZERRA</t>
  </si>
  <si>
    <t>09/08/2014</t>
  </si>
  <si>
    <t>KAUA SANTOS DIAS</t>
  </si>
  <si>
    <t>07/11/2013</t>
  </si>
  <si>
    <t>Alergia a Ovo</t>
  </si>
  <si>
    <t>Alergia alimentar - ovo</t>
  </si>
  <si>
    <t>PEDRO HENRIQUE TROMBINE DE OLIVEIRA</t>
  </si>
  <si>
    <t>23/06/2016</t>
  </si>
  <si>
    <t>Baixo Peso</t>
  </si>
  <si>
    <t>Baixo peso (fórmula com engrossante)</t>
  </si>
  <si>
    <t>CEI MUN. NICOLAI NICOLAEVICH KOCHERGIN - (TERCEI.)</t>
  </si>
  <si>
    <t>HEITOR SILVA DE SOUZA</t>
  </si>
  <si>
    <t>15/01/2013</t>
  </si>
  <si>
    <t>Dieta Pastosa Heterogênea - Heitor Silva Souza</t>
  </si>
  <si>
    <t>JOAO VITOR ALVES DOS SANTOS</t>
  </si>
  <si>
    <t>18/05/2013</t>
  </si>
  <si>
    <t>Alergia a Fruta - Abacaxi</t>
  </si>
  <si>
    <t>Alergia alimentar - abacaxi</t>
  </si>
  <si>
    <t>MARIA FERNANDA JOAO DE OLIVEIRA FIGUEIRA SENA</t>
  </si>
  <si>
    <t>25/09/2014</t>
  </si>
  <si>
    <t>Constipação Intestinal (prescrição médica Enfagrow)</t>
  </si>
  <si>
    <t>CEI MUN. PEDRO HENRIQUE DE SIQUEIRA LIMA</t>
  </si>
  <si>
    <t>ANA CECILIA DE LIMA OLIVEIRA</t>
  </si>
  <si>
    <t>17/03/2014</t>
  </si>
  <si>
    <t>SAMUEL ALVES OLIVEIRA DE BARROS</t>
  </si>
  <si>
    <t>23/12/2015</t>
  </si>
  <si>
    <t>Alergia a Proteína do Leite de Vaca; Constipação/Obstipação Intestinal; Refluxo Gastroesofágico</t>
  </si>
  <si>
    <t>APLV + refluxo + constipação (bebida de soja)</t>
  </si>
  <si>
    <t>SIDNEY COSTA DE OLIVEIRA JUNIOR</t>
  </si>
  <si>
    <t>03/02/2015</t>
  </si>
  <si>
    <t>APLV (bebida de soja)</t>
  </si>
  <si>
    <t>CEI MUN. PQ. AMÉRICA - (TERCEI.)</t>
  </si>
  <si>
    <t>FELIPE FORTES GUEDES</t>
  </si>
  <si>
    <t>12/05/2014</t>
  </si>
  <si>
    <t>PIETRO MENDES MAIA</t>
  </si>
  <si>
    <t>15/12/2011</t>
  </si>
  <si>
    <t>Constipação intestinal</t>
  </si>
  <si>
    <t>VITORIA PEREIRA CIRILO</t>
  </si>
  <si>
    <t>20/01/2015</t>
  </si>
  <si>
    <t>Intolerância Alimentar - Leite em pó</t>
  </si>
  <si>
    <t>Intolerância alimentar - Vitória Pereira</t>
  </si>
  <si>
    <t>CEI MUN. PQ. COCAIA - (TERCEI.)</t>
  </si>
  <si>
    <t>ALICE GABRIELE OLIVEIRA DOS SANTOS</t>
  </si>
  <si>
    <t>20/04/2013</t>
  </si>
  <si>
    <t>Intolerância à lactose (leite sem lactose) derivados com moderação</t>
  </si>
  <si>
    <t>EVELYN SOUZA LIMA</t>
  </si>
  <si>
    <t>25/04/2013</t>
  </si>
  <si>
    <t>Alergia à proteína do leite de vaca (alimento a base de soja)</t>
  </si>
  <si>
    <t>GUSTAVO BARBOSA RODRIGUES ALVES</t>
  </si>
  <si>
    <t>05/02/2014</t>
  </si>
  <si>
    <t>JOSE HENRIQUE BARBOSA DOS SANTOS</t>
  </si>
  <si>
    <t>14/03/2014</t>
  </si>
  <si>
    <t>Intolerância Alimentar - Leite e/ou Derivados do Leite</t>
  </si>
  <si>
    <t>Intolerância alimentar - leite (leite desnatado)</t>
  </si>
  <si>
    <t>CEI MUN. PQ. GRAJAÚ II - (TERCEI.)</t>
  </si>
  <si>
    <t>GUILHERME DIAS AMORIM</t>
  </si>
  <si>
    <t>27/11/2013</t>
  </si>
  <si>
    <t>Deficiência de G6PD</t>
  </si>
  <si>
    <t>Deficiência de G6PD restrição de corantes + feijão fava</t>
  </si>
  <si>
    <t>RICHARD EMIDIO DA SILVA</t>
  </si>
  <si>
    <t>28/09/2013</t>
  </si>
  <si>
    <t>Intolerância Alimentar - Chocolate</t>
  </si>
  <si>
    <t>Intolerância alimentar - chocolate</t>
  </si>
  <si>
    <t>RUAN SILVA DOS SANTOS</t>
  </si>
  <si>
    <t>26/04/2014</t>
  </si>
  <si>
    <t>Alergia a Ovo; Alergia a Corantes; Alergia a Peixe; Alergia a Chocolate/Cacau; Alergia a Carne Suina</t>
  </si>
  <si>
    <t>Alergia alimentar - corantes + ovo + peixe + chocolate + carne suína</t>
  </si>
  <si>
    <t>WILLIAM PEREIRA DA SILVA</t>
  </si>
  <si>
    <t>04/04/2013</t>
  </si>
  <si>
    <t>Hipercolesterolemia</t>
  </si>
  <si>
    <t>CEI MUN. PROFA. VANDA MARIA RODRIGUES DOS SANTOS - (TERCEI.)</t>
  </si>
  <si>
    <t>CARLOS EDUARDO DE SOUZA SILVA</t>
  </si>
  <si>
    <t>MAYTE DE MARCO</t>
  </si>
  <si>
    <t>04/08/2014</t>
  </si>
  <si>
    <t>YURI GONCALVES DE SOUZA</t>
  </si>
  <si>
    <t>04/11/2013</t>
  </si>
  <si>
    <t>APLV (suco de fruta) - liberado pães, bolos e biscoitos</t>
  </si>
  <si>
    <t>CEI MUN. VELEIROS</t>
  </si>
  <si>
    <t>ISABELLA BATISTA DE JESUS</t>
  </si>
  <si>
    <t>07/04/2013</t>
  </si>
  <si>
    <t>Intolerância à lactose (alimento a base de soja)</t>
  </si>
  <si>
    <t>MIGUEL LIMA DOS SANTOS SILVA</t>
  </si>
  <si>
    <t>17/02/2014</t>
  </si>
  <si>
    <t>Alergia a Fruta - Banana</t>
  </si>
  <si>
    <t>Alergia - banana</t>
  </si>
  <si>
    <t>CEI MUN. VER. JOSÉ ADRIANO MARREY (TERC)</t>
  </si>
  <si>
    <t>ANA CLARA NOGUEIRA RODRIGUES DA SILVA</t>
  </si>
  <si>
    <t>08/01/2015</t>
  </si>
  <si>
    <t>Alergia a proteina do leite de vaca (prescrição médica Neocate)</t>
  </si>
  <si>
    <t>ANA JULYA LORRANE OLIVEIRA DOS ANJOS</t>
  </si>
  <si>
    <t>25/05/2013</t>
  </si>
  <si>
    <t>Constipação intestinal (leite e derivados sem lactose)</t>
  </si>
  <si>
    <t>ARTHUR AQUINO LACERDA</t>
  </si>
  <si>
    <t>17/10/2013</t>
  </si>
  <si>
    <t>Síndrome nefrótica - hipossódica + hipogordurosa</t>
  </si>
  <si>
    <t>DAVI LUIZ MENDES LEITE</t>
  </si>
  <si>
    <t>19/02/2015</t>
  </si>
  <si>
    <t>CEI MUN. VER. JOSÉ MOLINA JR.</t>
  </si>
  <si>
    <t>ALANA DE OLIVEIRA FERREIRA</t>
  </si>
  <si>
    <t>30/01/2016</t>
  </si>
  <si>
    <t>Alergia - abacaxi</t>
  </si>
  <si>
    <t>MURILO SILVA DOS SANTOS</t>
  </si>
  <si>
    <t>29/01/2013</t>
  </si>
  <si>
    <t>Alergia a Embutidos; Alergia a Chocolate/Cacau; Restrição à Guloseimas/Alimentos com Baixo Valor Nutricional; Alergia a Iogurte</t>
  </si>
  <si>
    <t>Alergia alimentar - Murilo Silva dos Santos</t>
  </si>
  <si>
    <t>CEI MUN. YOJIRO TAKAOKA (TERC)</t>
  </si>
  <si>
    <t>DAVI LUIZ PINHEIRO DE OLIVEIRA</t>
  </si>
  <si>
    <t>dieta pastosa liquidificada homogenea sem pedaços Davi Luiz Pinheiro de Oliveira</t>
  </si>
  <si>
    <t>GIOVANA MENDES DIAS</t>
  </si>
  <si>
    <t>03/07/2013</t>
  </si>
  <si>
    <t>Alergia alimentar - ovo (cru, frito ou cozido) - liberadas preparações assadas</t>
  </si>
  <si>
    <t>MARIA LUIZA ARAUJO DOS SANTOS</t>
  </si>
  <si>
    <t>21/05/2015</t>
  </si>
  <si>
    <t>Refluxo Gastroesofágico - restrição apenas de frutas ácidas</t>
  </si>
  <si>
    <t>CEU CEI MUN. CIDADE DUTRA - (TERCEI.)</t>
  </si>
  <si>
    <t>ENZO GABRIEL SANTANA COSTA</t>
  </si>
  <si>
    <t>19/08/2015</t>
  </si>
  <si>
    <t>Alergia à proteína do leite de vaca (fórmula de proteína isolada de soja)</t>
  </si>
  <si>
    <t>GIOVANNA EINVILLER BRAYN</t>
  </si>
  <si>
    <t>11/06/2016</t>
  </si>
  <si>
    <t>APLV (fórmula extensamente hidrolisada)</t>
  </si>
  <si>
    <t>GUILHERME MORGADO AMARAL</t>
  </si>
  <si>
    <t>19/12/2013</t>
  </si>
  <si>
    <t>Refluxo Gastroesofagico - alimentação em pequenos pedaços</t>
  </si>
  <si>
    <t>HELOISA PRADO SANTOS</t>
  </si>
  <si>
    <t>11/02/2016</t>
  </si>
  <si>
    <t>Diarreia</t>
  </si>
  <si>
    <t>Diarreia - leite e derivados sem lactose</t>
  </si>
  <si>
    <t>HIGOR PESSOA SILVA</t>
  </si>
  <si>
    <t>11/11/2014</t>
  </si>
  <si>
    <t>ISABELLY SOUZA DE OLIVEIRA</t>
  </si>
  <si>
    <t>23/08/2014</t>
  </si>
  <si>
    <t>Intolerância a lactose (leite e derivados sem lactose)</t>
  </si>
  <si>
    <t>MARIA HELOISA SILVA GUEDES</t>
  </si>
  <si>
    <t>22/11/2015</t>
  </si>
  <si>
    <t>Refluxo Gastroesofágico (fórmula infantil antirefluxo)</t>
  </si>
  <si>
    <t>PIETRA PINHEIRO DOS SANTOS PEREIRA</t>
  </si>
  <si>
    <t>16/01/2015</t>
  </si>
  <si>
    <t>SALMA ABDULLAH AHMED ALQURASHI</t>
  </si>
  <si>
    <t>30/11/2014</t>
  </si>
  <si>
    <t>Alergia a Carne Suina; Alergia a Gelatina</t>
  </si>
  <si>
    <t>Alergia - carne suina + gelatina</t>
  </si>
  <si>
    <t>CEU CEI MUN. NAVEGANTES - (TERCEI.)</t>
  </si>
  <si>
    <t>DAVI LUCCA ORMUNDO DA SILVA</t>
  </si>
  <si>
    <t>06/04/2014</t>
  </si>
  <si>
    <t>ENZO GABRIEL SANTOS MEDRADO</t>
  </si>
  <si>
    <t>28/07/2015</t>
  </si>
  <si>
    <t>FABRICIO SOUZA SANTOS</t>
  </si>
  <si>
    <t>17/06/2013</t>
  </si>
  <si>
    <t>GABRIELA RODRIGUES DE ALMEIDA</t>
  </si>
  <si>
    <t>11/12/2014</t>
  </si>
  <si>
    <t>Intolerância ao leite de vaca (aptamil 3)</t>
  </si>
  <si>
    <t>GABRIELLE COELHO MENESES</t>
  </si>
  <si>
    <t>19/04/2014</t>
  </si>
  <si>
    <t>Hipercolesterolemia - leite semidesnatado</t>
  </si>
  <si>
    <t>JOSE LUCAS CARVALHO DOS SANTOS</t>
  </si>
  <si>
    <t>12/02/2015</t>
  </si>
  <si>
    <t>Diarreia - leite fluido sem achocolatado</t>
  </si>
  <si>
    <t>KETLYN ARAUJO CARVALHO</t>
  </si>
  <si>
    <t>20/06/2013</t>
  </si>
  <si>
    <t>Constipação intestinal - sem achocolatado</t>
  </si>
  <si>
    <t>LEONARDO MIGUEL BARBOSA DINIZ</t>
  </si>
  <si>
    <t>04/01/2014</t>
  </si>
  <si>
    <t>Alergia a Corantes; Alergia a Fruta - Abacaxi; Alergia a Condimentos</t>
  </si>
  <si>
    <t>Alergia Alimentar - corantes + condimentos + abacaxi</t>
  </si>
  <si>
    <t>CEU CEI MUN. PARELHEIROS - (TERCEI.)</t>
  </si>
  <si>
    <t>JOAO LUCAS SANTANA SANTOS</t>
  </si>
  <si>
    <t>24/02/2015</t>
  </si>
  <si>
    <t>Alergia a Corantes</t>
  </si>
  <si>
    <t>Alergia - corante</t>
  </si>
  <si>
    <t>JULIA LIS RODRIGUES DE ALMEIDA</t>
  </si>
  <si>
    <t>27/01/2015</t>
  </si>
  <si>
    <t>Intolerância a lactose em investigação (leite isento de lactose)</t>
  </si>
  <si>
    <t>KAUANNY ESCUDEIRO</t>
  </si>
  <si>
    <t>30/09/2012</t>
  </si>
  <si>
    <t>Intolerância à Lactose (bebida de soja)</t>
  </si>
  <si>
    <t>PEDRO HENRIQUE SOUSA DE ALMEIDA</t>
  </si>
  <si>
    <t>02/09/2014</t>
  </si>
  <si>
    <t>ALERGIA À PROTEINA AO LEITE DE VACA ( ALIMENTO A BASE DE  PROTEÍNA ISOLADA DE SOJA)</t>
  </si>
  <si>
    <t>RAFAEL REIMBERG PEREIRA</t>
  </si>
  <si>
    <t>20/12/2012</t>
  </si>
  <si>
    <t>alergia à proteína do leite de vaca (indicação alimento a base de soja)</t>
  </si>
  <si>
    <t>CEU CEI MUN. TRÊS LAGOS - (TERCEI.)</t>
  </si>
  <si>
    <t>ALICIA NASCIMENTO SANTOS</t>
  </si>
  <si>
    <t>16/06/2014</t>
  </si>
  <si>
    <t>BRIAN PHELLIPE GONCALVES DOS SANTOS</t>
  </si>
  <si>
    <t>27/05/2013</t>
  </si>
  <si>
    <t>Intolerância Alimentar - Chocolate; Intolerância Alimentar - Corantes</t>
  </si>
  <si>
    <t>Intolerância alimentar - corantes + chocolate</t>
  </si>
  <si>
    <t>DAVI LUKA REIS DE ARAUJO PIRES</t>
  </si>
  <si>
    <t>23/06/2012</t>
  </si>
  <si>
    <t>EMILLI RODRIGUES FRANCISCO SILVA</t>
  </si>
  <si>
    <t>06/01/2013</t>
  </si>
  <si>
    <t>Alergia a Corantes; Alergia a Chocolate/Cacau</t>
  </si>
  <si>
    <t>Reação adversa  corantes + chocolate</t>
  </si>
  <si>
    <t>GABRIELLA FERREIRA SANTOS</t>
  </si>
  <si>
    <t>20/01/2014</t>
  </si>
  <si>
    <t>HEMILYN SALES DA SILVA</t>
  </si>
  <si>
    <t>08/02/2013</t>
  </si>
  <si>
    <t>Alergia a Hortifruti - Tomate</t>
  </si>
  <si>
    <t>Alergia alimentar tomate</t>
  </si>
  <si>
    <t>HISABELA FERNANDES DA SILVA</t>
  </si>
  <si>
    <t>20/02/2013</t>
  </si>
  <si>
    <t>REFLUXO GASTROESOFÁGICO (APTAMIL AR)</t>
  </si>
  <si>
    <t>JOAO VINICIUS MARTINS DE SOUSA</t>
  </si>
  <si>
    <t>01/04/2015</t>
  </si>
  <si>
    <t>Intolerância a lactose (fórmula infantil de soja)</t>
  </si>
  <si>
    <t>LEONARDO GOMES DE SOUZA</t>
  </si>
  <si>
    <t>22/01/2014</t>
  </si>
  <si>
    <t>Alergia alimentar - peixe + frutos do mar</t>
  </si>
  <si>
    <t>MARJORI VALLENTINA DE SPINOLA ALMEIDA</t>
  </si>
  <si>
    <t>28/02/2014</t>
  </si>
  <si>
    <t>Intolerância à lactose (suco de fruta)</t>
  </si>
  <si>
    <t>MIGUEL CRISTIAN SILVA SANTOS</t>
  </si>
  <si>
    <t>02/06/2012</t>
  </si>
  <si>
    <t>SAMUEL DE OLIVEIRA LIMA</t>
  </si>
  <si>
    <t>03/02/2014</t>
  </si>
  <si>
    <t>Alergia a Proteína do Leite de Vaca; Alergia a Soja</t>
  </si>
  <si>
    <t>ALERGIA À PROTEINA AO LEITE DE VACA + SOJA (BEBIDA A BASE DE ARROZ)</t>
  </si>
  <si>
    <t>SOPHIA DOS SANTOS DA COSTA</t>
  </si>
  <si>
    <t>20/03/2015</t>
  </si>
  <si>
    <t>Alergia a Fruta - Abacaxi; Alergia a Chocolate/Cacau</t>
  </si>
  <si>
    <t>Alergia - abacaxi + chocolate</t>
  </si>
  <si>
    <t>CEU CEI MUN. VL. RUBI - (TERCEI.)</t>
  </si>
  <si>
    <t>CAUE PASSOS FONSECA BENTA</t>
  </si>
  <si>
    <t>10/04/2015</t>
  </si>
  <si>
    <t>Alergia alimentar - banana</t>
  </si>
  <si>
    <t>MARIA CECILIA LIMA FERREIRA</t>
  </si>
  <si>
    <t>10/07/2015</t>
  </si>
  <si>
    <t>Intolerância Alimentar - Mamão</t>
  </si>
  <si>
    <t>Intolerância alimentar - mamão</t>
  </si>
  <si>
    <t>REBECA DOS SANTOS OLIVEIRA</t>
  </si>
  <si>
    <t>23/03/2014</t>
  </si>
  <si>
    <t>Alergia a ovo</t>
  </si>
  <si>
    <t>RYAN MIGUEL RODRIGUES FERREIRA</t>
  </si>
  <si>
    <t>26/02/2014</t>
  </si>
  <si>
    <t>Constipação Intestinal</t>
  </si>
  <si>
    <t>VICTOR HENRIQUE DE SOUZA</t>
  </si>
  <si>
    <t>10/08/2014</t>
  </si>
  <si>
    <t>Intolerância à lactose (leite e derivados sem lactose)</t>
  </si>
  <si>
    <t>CEU EMEF CIDADE DUTRA - (TERCEI.)</t>
  </si>
  <si>
    <t>CLARA BEATRIZ PORTELA DA SILVA</t>
  </si>
  <si>
    <t>06/10/2007</t>
  </si>
  <si>
    <t>DAVI SANTOS MOTA LEAL</t>
  </si>
  <si>
    <t>28/09/2009</t>
  </si>
  <si>
    <t>GABRIEL HENRIQUE NOGUEIRA ARRUDA</t>
  </si>
  <si>
    <t>30/12/2009</t>
  </si>
  <si>
    <t>Dieta pastosa - Gabriel Henrique Nogueira</t>
  </si>
  <si>
    <t>JULIA DOS REIS CLAVER SILVA</t>
  </si>
  <si>
    <t>23/11/2007</t>
  </si>
  <si>
    <t>Doença Celíaca/Alergia ao glúten</t>
  </si>
  <si>
    <t>Alergia ao glúten</t>
  </si>
  <si>
    <t>JULIANA COUTINHO</t>
  </si>
  <si>
    <t>10/11/2008</t>
  </si>
  <si>
    <t>MARIA EDUARDA SANTOS SILVA</t>
  </si>
  <si>
    <t>25/10/2008</t>
  </si>
  <si>
    <t>Alergia alimentar - corantes</t>
  </si>
  <si>
    <t>NATHALY MEDEIROS DOS SANTOS</t>
  </si>
  <si>
    <t>18/10/2006</t>
  </si>
  <si>
    <t>CEU EMEF JD. ELIANA - EX NAVEGANTES - (TERCEI.)</t>
  </si>
  <si>
    <t>JEFERSON JOAQUIM DA SILVA</t>
  </si>
  <si>
    <t>15/10/2010</t>
  </si>
  <si>
    <t>Dieta pastosa - Jeferson Joaquim</t>
  </si>
  <si>
    <t>NATHALIA ORMUNDO DE LEMOS</t>
  </si>
  <si>
    <t>02/09/2004</t>
  </si>
  <si>
    <t>Doença de Wilson</t>
  </si>
  <si>
    <t>CEU EMEF TRÊS LAGOS - (TERCEI.)</t>
  </si>
  <si>
    <t>ANGELITA DOS SANTOS FERNANDES NASCIMENTO</t>
  </si>
  <si>
    <t>21/03/2005</t>
  </si>
  <si>
    <t>Alergia a Proteína do Leite de Vaca; Constipação/Obstipação Intestinal</t>
  </si>
  <si>
    <t>Alergia alimentar + Constipação intestinal</t>
  </si>
  <si>
    <t>FELIPE DA SILVA SOUZA</t>
  </si>
  <si>
    <t>04/05/2003</t>
  </si>
  <si>
    <t>Constipação/Obstipação Intestinal; Doença Celíaca/Alergia ao glúten</t>
  </si>
  <si>
    <t>Doença Celíaca + Constipação</t>
  </si>
  <si>
    <t>SAMUEL BISPO MOREIRA</t>
  </si>
  <si>
    <t>26/09/2009</t>
  </si>
  <si>
    <t>CEU EMEF VL. RUBI - (TERCEI.)</t>
  </si>
  <si>
    <t>CAROLINA ALVES TELLES FRANCISCO</t>
  </si>
  <si>
    <t>09/11/2002</t>
  </si>
  <si>
    <t>dislipidemia</t>
  </si>
  <si>
    <t>GUSTAVO PEREIRA SANTOS</t>
  </si>
  <si>
    <t>26/12/2005</t>
  </si>
  <si>
    <t>Dieta Enteral</t>
  </si>
  <si>
    <t>Dieta Enteral - Gustavo Pereira dos Santos</t>
  </si>
  <si>
    <t>Dieta enteral - Gustavo Pereira dos Santos 2</t>
  </si>
  <si>
    <t>LORENNA TARGINO DA SILVA</t>
  </si>
  <si>
    <t>18/06/2009</t>
  </si>
  <si>
    <t>Síndrome nefrótica - hipossódica</t>
  </si>
  <si>
    <t>PAULO HENRIQUE OLIVEIRA MENDES</t>
  </si>
  <si>
    <t>30/05/2006</t>
  </si>
  <si>
    <t>Baixo Peso; Hipercolesterolemia</t>
  </si>
  <si>
    <t>hipercolesterolemia e baixo peso</t>
  </si>
  <si>
    <t>SOFIA OLIVEIRA BARBOSA</t>
  </si>
  <si>
    <t>16/01/2008</t>
  </si>
  <si>
    <t>alergia alimentar - corantes + conservantes</t>
  </si>
  <si>
    <t>YASMIN OLIVEIRA FERNANDES</t>
  </si>
  <si>
    <t>13/01/2010</t>
  </si>
  <si>
    <t>Leucemia Linfoide</t>
  </si>
  <si>
    <t>Leucemia linfoide - sem alimentos crus e carne suína</t>
  </si>
  <si>
    <t>CEU EMEI NAVEGANTES - (TERCEI.)</t>
  </si>
  <si>
    <t>DAYANE RODRIGUES DE JESUS</t>
  </si>
  <si>
    <t>18/08/2011</t>
  </si>
  <si>
    <t>Intolerância à lactose (leite com baixo teor de lactose)</t>
  </si>
  <si>
    <t>GUSTAVO GOMES DE OLIVEIRA</t>
  </si>
  <si>
    <t>30/01/2013</t>
  </si>
  <si>
    <t>Intolerância à lactose (bebida de soja)</t>
  </si>
  <si>
    <t>KEMILLY RODRIGUES DA SILVA</t>
  </si>
  <si>
    <t>19/09/2011</t>
  </si>
  <si>
    <t>Nefrocalcinose Medular Renal Bilateral</t>
  </si>
  <si>
    <t>Nefrocalcinose medular renal - hipossódica</t>
  </si>
  <si>
    <t>LUCAS HENRIQUE FONSECA ALVES</t>
  </si>
  <si>
    <t>04/02/2013</t>
  </si>
  <si>
    <t>RAFAELA FERNANDA LEONCIO DA SILVA</t>
  </si>
  <si>
    <t>28/09/2011</t>
  </si>
  <si>
    <t>Intolerância à Lactose (bebida de soja ou leite sem lactose)</t>
  </si>
  <si>
    <t>SAMUEL DE OLIVEIRA BASTOS NERI</t>
  </si>
  <si>
    <t>26/12/2012</t>
  </si>
  <si>
    <t>Alergia a Ovo; Alergia ao Trigo; Alergia a Frutos do Mar; Alergia a Oleaginosas - Castanha do Pará; Alergia a Oleaginosas - Castanha de Caju; Alergia a Oleaginosas - Castanha de Barú</t>
  </si>
  <si>
    <t>Alergia - ovo + trigo + castanha + frutos do mar</t>
  </si>
  <si>
    <t>CEU EMEI PARELHEIROS - (TERCEI.)</t>
  </si>
  <si>
    <t>ALISSON RODRIGUES LIMA</t>
  </si>
  <si>
    <t>02/04/2011</t>
  </si>
  <si>
    <t>Alergia a Ovo; Alergia a Proteína do Leite de Vaca; Alergia a Corantes</t>
  </si>
  <si>
    <t>APLV + ovo + corantes (suco de fruta)</t>
  </si>
  <si>
    <t>DAVI MIGUEL LOPES MOREIRA</t>
  </si>
  <si>
    <t>22/04/2012</t>
  </si>
  <si>
    <t>Hipercolesterolemia - sem achocolatado</t>
  </si>
  <si>
    <t>KAYO HENRIQUE FERREIRA DE SOUSA SOBRINHO</t>
  </si>
  <si>
    <t>10/10/2011</t>
  </si>
  <si>
    <t>Intolerância à Lactose + corante (suco de fruta)</t>
  </si>
  <si>
    <t>MARIA FERNANDA SANTOS SIMPLICIO</t>
  </si>
  <si>
    <t>04/01/2012</t>
  </si>
  <si>
    <t>MARIA VITORIA BRAGA</t>
  </si>
  <si>
    <t>Alergia - corantes + conservantes</t>
  </si>
  <si>
    <t>NATHAN TAVARES DOS SANTOS</t>
  </si>
  <si>
    <t>17/05/2011</t>
  </si>
  <si>
    <t>PAULO HENRIQUE SANTOS CERQUEIRA</t>
  </si>
  <si>
    <t>11/10/2012</t>
  </si>
  <si>
    <t>14-fev-2201</t>
  </si>
  <si>
    <t>Intolerância à lactose (leite sem lactose)</t>
  </si>
  <si>
    <t>PIETRO DE OLIVEIRA LIMA</t>
  </si>
  <si>
    <t>16/05/2012</t>
  </si>
  <si>
    <t>Intolerância alimentar - leite (leite sem lactose)</t>
  </si>
  <si>
    <t>CEU EMEI PROF. MILTON SANTOS - CEU CIDADE DUTRA - (TERCEI.)</t>
  </si>
  <si>
    <t>FAHED DE ALMEIDA ALQURASHI</t>
  </si>
  <si>
    <t>04/10/2012</t>
  </si>
  <si>
    <t>Alergia - carne suína + gelatina</t>
  </si>
  <si>
    <t>GUSTAVO SEPULVIDA MAGALHAES</t>
  </si>
  <si>
    <t>20/06/2011</t>
  </si>
  <si>
    <t>Alergia a Ovo; Alergia a Carne Bovina</t>
  </si>
  <si>
    <t>Alergia - ovo + carne bovina</t>
  </si>
  <si>
    <t>JOHANN ABLON VETTER BUENO</t>
  </si>
  <si>
    <t>27/01/2012</t>
  </si>
  <si>
    <t>Intolerância a lactose (leite sem lactose)</t>
  </si>
  <si>
    <t>LAURA GALIARDO DE ALMEIDA</t>
  </si>
  <si>
    <t>24/05/2011</t>
  </si>
  <si>
    <t>LUAN SANTANA PAGANO PAZ</t>
  </si>
  <si>
    <t>15/07/2012</t>
  </si>
  <si>
    <t>MARCELLO VIEIRA PRADO</t>
  </si>
  <si>
    <t>04/05/2011</t>
  </si>
  <si>
    <t>MIGUEL PIRES ROCHA</t>
  </si>
  <si>
    <t>30/11/2011</t>
  </si>
  <si>
    <t>SARAH MEIRELLES NUNES SILVA</t>
  </si>
  <si>
    <t>03/06/2012</t>
  </si>
  <si>
    <t>Alergia a Ovo; Alergia a Proteína do Leite de Vaca; Alergia ao Trigo</t>
  </si>
  <si>
    <t>APLV + ovo + trigo (bebida de soja)</t>
  </si>
  <si>
    <t>CEU EMEI TRÊS LAGOS - (TERCEI.)</t>
  </si>
  <si>
    <t>ELOAH MENDES DOS SANTOS</t>
  </si>
  <si>
    <t>05/01/2013</t>
  </si>
  <si>
    <t>Alergia - corantes + chocolate</t>
  </si>
  <si>
    <t>GUILHERME MOREIRA DOS SANTOS</t>
  </si>
  <si>
    <t>31/07/2012</t>
  </si>
  <si>
    <t>Alergia a Salsicha</t>
  </si>
  <si>
    <t>Alergia - salsicha</t>
  </si>
  <si>
    <t>GUILHERME SILVA VIEIRA</t>
  </si>
  <si>
    <t>25/04/2011</t>
  </si>
  <si>
    <t>Alergia a Fruta - Caju</t>
  </si>
  <si>
    <t>Alergia alimentar - caju</t>
  </si>
  <si>
    <t>MARIA ALICE PINHEIRO MENDES</t>
  </si>
  <si>
    <t>22/08/2012</t>
  </si>
  <si>
    <t>MURILO RODRIGUES MATOS</t>
  </si>
  <si>
    <t>03/10/2012</t>
  </si>
  <si>
    <t>NATHALIA DA SILVA CHAGAS</t>
  </si>
  <si>
    <t>16/03/2013</t>
  </si>
  <si>
    <t>APLV (suco de frutas)</t>
  </si>
  <si>
    <t>CEU EMEI VL. RUBI - (TERCEI.)</t>
  </si>
  <si>
    <t>DAVI ALVES NONATO</t>
  </si>
  <si>
    <t>31/12/2012</t>
  </si>
  <si>
    <t>GABRIEL BEZERRA FAUSTINO</t>
  </si>
  <si>
    <t>27/10/2012</t>
  </si>
  <si>
    <t>GIULLIA SANTOS DA COSTA</t>
  </si>
  <si>
    <t>05/07/2011</t>
  </si>
  <si>
    <t>Intolerância à Lactose (leite sem lactose) derivados com moderação</t>
  </si>
  <si>
    <t>ISADORA ASSIS DE BRITO</t>
  </si>
  <si>
    <t>16/06/2011</t>
  </si>
  <si>
    <t>Alergia a Proteína do Leite de Vaca; Alergia a Corantes; Alergia a Fruta - Limão</t>
  </si>
  <si>
    <t>APLV + corantes + limão (bebida de soja)</t>
  </si>
  <si>
    <t>LETICIA RODRIGUES DE OLIVEIRA</t>
  </si>
  <si>
    <t>04/04/2011</t>
  </si>
  <si>
    <t>MAIELLY VITORIA DA SILVA</t>
  </si>
  <si>
    <t>Dieta enteral - Maiella Vitoria da Silva</t>
  </si>
  <si>
    <t>EMEF ALDINA ANÁLIA AGOSTINHA TADDEO CONDE - (TERCEI.)</t>
  </si>
  <si>
    <t>CAIQUE REIMBERG LEITE SANTOS COSTA</t>
  </si>
  <si>
    <t>14/01/2008</t>
  </si>
  <si>
    <t>Intolerância à Lactose; Dieta Hipossódica; Dieta Laxativa</t>
  </si>
  <si>
    <t>Dieta Hipossódica, laxativa, intolerancia à lactose</t>
  </si>
  <si>
    <t>MATHEUS GONCALVES DONATO GAETA</t>
  </si>
  <si>
    <t>16/10/2007</t>
  </si>
  <si>
    <t>dieta enteral pediatrica, polimérica, normoproteiva, normocalorica. Sugestão: nutrini. Volume da dieta: 250ml. Volume de água para hidratação: 60ml após dieta sendo 20ml em seringa por 3 vezes. Horário de administração:15:30h. Tempo de administração: 30..</t>
  </si>
  <si>
    <t>PEDRO LUCAS RIBEIRO DE SOUSA</t>
  </si>
  <si>
    <t>23/11/2001</t>
  </si>
  <si>
    <t>Sobrepeso e Obesidade</t>
  </si>
  <si>
    <t>Sobrepeso e Obesidade - Hipocalórica</t>
  </si>
  <si>
    <t>EMEF AYRTON OLIVEIRA SAMPAIO - JD. STA. FÉ - (TERCEI.)</t>
  </si>
  <si>
    <t>GABRIELA ANDRADE SANTOS</t>
  </si>
  <si>
    <t>19/10/2006</t>
  </si>
  <si>
    <t>Dieta normocalórica, normoproteica, normoglicídica, sem sacarose, lactose e glúten, 250ml (líquida) ou 7 medidas de pó + 150ml de água. Administrar com seringa às 7h30 e 10h30. Hidratar com 120ml de água após a dieta. Indicações de dieta enteral [...]</t>
  </si>
  <si>
    <t>GUSTAVO SAMUEL ALVES DE SOUSA</t>
  </si>
  <si>
    <t>18/07/2009</t>
  </si>
  <si>
    <t>VITOR DE SOUZA SILVA</t>
  </si>
  <si>
    <t>04/07/2008</t>
  </si>
  <si>
    <t>Alergia a Ovo; Intolerância à Lactose</t>
  </si>
  <si>
    <t>Intolerância à lactose (leite sem lactose) + alergia a ovo</t>
  </si>
  <si>
    <t>EMEF CARLOS FRANCISCO GASPAR - (TERCEI.)</t>
  </si>
  <si>
    <t>HADASSA SOLON RIBEIRO MENDES</t>
  </si>
  <si>
    <t>29/01/2010</t>
  </si>
  <si>
    <t>Dieta Enteral polimérica, normocalórica, normoproteica, rica em fibras, 250ml às 15h. Tempo de administração 40 min a 1h por equipo. Após a dieta administrar 20 mL de água para lavar a sonda através de seringa. Após 1h do término da dieta [...]</t>
  </si>
  <si>
    <t>JOAO GABRIEL SILVA LOPES</t>
  </si>
  <si>
    <t>27/08/2005</t>
  </si>
  <si>
    <t>MIGUEL GONCALVES DINIZ BASSI</t>
  </si>
  <si>
    <t>12/09/2010</t>
  </si>
  <si>
    <t>VINICIUS DE JESUS DA SILVA</t>
  </si>
  <si>
    <t>18/03/2006</t>
  </si>
  <si>
    <t>SOBREPESO E OBESIDADE</t>
  </si>
  <si>
    <t>VITOR VICENTE VIANA DE LIMA</t>
  </si>
  <si>
    <t>30/03/2003</t>
  </si>
  <si>
    <t>DIABETES MELLITUS - TIPO 1</t>
  </si>
  <si>
    <t>EMEF CEU MANOEL VIEIRA DE QUEIROZ FILHO - (TERCEI.)</t>
  </si>
  <si>
    <t>ALLAN BATISTA DA ROCHA</t>
  </si>
  <si>
    <t>10/11/2009</t>
  </si>
  <si>
    <t>Alergia a Ovo; Alergia a Hortifruti - Tomate</t>
  </si>
  <si>
    <t>Alergia - ovo + tomate</t>
  </si>
  <si>
    <t>BRUNA MENDES VIANA</t>
  </si>
  <si>
    <t>03/08/2006</t>
  </si>
  <si>
    <t>Hipertrigliceridemia</t>
  </si>
  <si>
    <t>FERNANDO TAKASHI DO PRADO SILVA</t>
  </si>
  <si>
    <t>13/06/2007</t>
  </si>
  <si>
    <t>INAUANE PEREIRA DOS SANTOS</t>
  </si>
  <si>
    <t>25/02/2009</t>
  </si>
  <si>
    <t>Doença Celíaca/Alergia ao glúten; Alergia a Corantes</t>
  </si>
  <si>
    <t>Alergia alimentar - corantes + gluten</t>
  </si>
  <si>
    <t>ISABELLA DA SILVA MACHADO TELES</t>
  </si>
  <si>
    <t>10/09/2009</t>
  </si>
  <si>
    <t>Alergia a Embutidos</t>
  </si>
  <si>
    <t>Alergia alimentar - embutidos</t>
  </si>
  <si>
    <t>JOAO FERREIRA DA SILVA NETO</t>
  </si>
  <si>
    <t>22/02/2007</t>
  </si>
  <si>
    <t>JOSILENE OLIVEIRA SALES</t>
  </si>
  <si>
    <t>05/03/2000</t>
  </si>
  <si>
    <t>JULIA FERREIRA MATOS</t>
  </si>
  <si>
    <t>19/08/2008</t>
  </si>
  <si>
    <t>Intolerância à lactose (leite sem lactose ou com baixo teor de lactose)</t>
  </si>
  <si>
    <t>KAUAN GUSTAVO FRANCOSO DOS SANTOS</t>
  </si>
  <si>
    <t>19/03/2007</t>
  </si>
  <si>
    <t>Alergia a Salsicha; Alergia a Peixe</t>
  </si>
  <si>
    <t>Alergia a salsicha + peixe</t>
  </si>
  <si>
    <t>KAUANNE STRO DA SILVA</t>
  </si>
  <si>
    <t>19/10/2004</t>
  </si>
  <si>
    <t>Hipertrigliceridemia; Sobrepeso e Obesidade</t>
  </si>
  <si>
    <t>sobrepeso e obesidade - hipertrigliceridemia</t>
  </si>
  <si>
    <t>KAWA GOMES DE LIMA</t>
  </si>
  <si>
    <t>16/05/2006</t>
  </si>
  <si>
    <t>LORENZO SEVERO DE CASTRO</t>
  </si>
  <si>
    <t>11/03/2011</t>
  </si>
  <si>
    <t>MARCELO JOSE DE SOUZA SANTOS</t>
  </si>
  <si>
    <t>13/03/2011</t>
  </si>
  <si>
    <t>MARIA APARECIDA DE LIMA</t>
  </si>
  <si>
    <t>23/12/1977</t>
  </si>
  <si>
    <t>Diabetes Mellitus; Hipercolesterolemia</t>
  </si>
  <si>
    <t>Diabetes Mellitus + Hipercolesterolemia</t>
  </si>
  <si>
    <t>MARIA EDUARDA BARBOSA DA SILVA</t>
  </si>
  <si>
    <t>02/07/2007</t>
  </si>
  <si>
    <t>Síndrome de Pradder Willi</t>
  </si>
  <si>
    <t>Síndrome de Pradder Willi - Maria Eduarda Barbosa da Silva</t>
  </si>
  <si>
    <t>MATHEUS DA CRUZ ARAUJO DOS SANTOS</t>
  </si>
  <si>
    <t>21/05/2007</t>
  </si>
  <si>
    <t>Doença Renal Crônica</t>
  </si>
  <si>
    <t>PALOMA VITORIA LOPES ARAUJO DE OLIVEIRA</t>
  </si>
  <si>
    <t>05/09/2003</t>
  </si>
  <si>
    <t>VANUZA ROSA DE JESUS CERQUEIRA</t>
  </si>
  <si>
    <t>11/07/1972</t>
  </si>
  <si>
    <t>Diabetes Mellitus; Hipertensão; Sobrepeso e Obesidade</t>
  </si>
  <si>
    <t>Hipertensão + obesidade + DM2 - Vanuza Rosa de Jesus</t>
  </si>
  <si>
    <t>EMEF CONSTELAÇÃO DO ÍNDIO - (TERCEI.)</t>
  </si>
  <si>
    <t>JAMILE ROBERTA DA SILVA COSTA</t>
  </si>
  <si>
    <t>25/08/2003</t>
  </si>
  <si>
    <t>alergia ao leite de vaca</t>
  </si>
  <si>
    <t>JUAN PEREIRA ANASTACIO</t>
  </si>
  <si>
    <t>24/08/2005</t>
  </si>
  <si>
    <t>LARISSA GONCALVES DOS SANTOS</t>
  </si>
  <si>
    <t>05/02/2007</t>
  </si>
  <si>
    <t>Intolerância à lactose ou Alergia ao leite de vaca</t>
  </si>
  <si>
    <t>LIVIAN ALVES OLIVEIRA DE BARROS</t>
  </si>
  <si>
    <t>08/12/2008</t>
  </si>
  <si>
    <t>Alergia a Ovo; Alergia a Proteína do Leite de Vaca</t>
  </si>
  <si>
    <t>Alergia à proteína do leite de vaca + ovo (prescrição de alimento a base de soja)</t>
  </si>
  <si>
    <t>RAISSA MACIEL LEAL DOS SANTOS</t>
  </si>
  <si>
    <t>07/11/2007</t>
  </si>
  <si>
    <t>Hipercolesterolemia; Sobrepeso e Obesidade</t>
  </si>
  <si>
    <t>Sobrepeso e Obesidade + Hipercolesterolemia</t>
  </si>
  <si>
    <t>EMEF DES. TEODOMIRO TOLEDO PIZA - (TERCEI.)</t>
  </si>
  <si>
    <t>BRENO MATOS VIEIRA</t>
  </si>
  <si>
    <t>16/03/2004</t>
  </si>
  <si>
    <t>EMEF DR. AFRÂNIO DE MELLO FRANCO - (TERCEI.)</t>
  </si>
  <si>
    <t>BRUNNA DA SILVA BARBOSA</t>
  </si>
  <si>
    <t>25/05/2004</t>
  </si>
  <si>
    <t>HUGO ROBERTO RIBEIRO CABRAL DE OLIVEIRA</t>
  </si>
  <si>
    <t>14/12/2004</t>
  </si>
  <si>
    <t>ISABELLE CRYSTINE GOMES RAMALHO</t>
  </si>
  <si>
    <t>24/05/2004</t>
  </si>
  <si>
    <t>Sobrepeso e obesidade + hipercolesterolemia (leite desnatado e integrais)</t>
  </si>
  <si>
    <t>ISIS CHINAIA</t>
  </si>
  <si>
    <t>29/06/2010</t>
  </si>
  <si>
    <t>LUIGI THIERRY XAVIER SCHER</t>
  </si>
  <si>
    <t>31/07/2003</t>
  </si>
  <si>
    <t>Intolerância à lactose ou Alergia ao leite de vaca + soja</t>
  </si>
  <si>
    <t>PAULO HENRIQUE XAVIER DE MEDEIROS</t>
  </si>
  <si>
    <t>17/04/2005</t>
  </si>
  <si>
    <t>Síndrome Nefrótica (Hipossódica)</t>
  </si>
  <si>
    <t>YNDAIARA GABRIELLE LUNA DE FREITAS</t>
  </si>
  <si>
    <t>31/01/2008</t>
  </si>
  <si>
    <t>EMEF DR. MANOEL DE ABREU - (TERCEI.)</t>
  </si>
  <si>
    <t>JULIA AURELIA DUTRA DIAS</t>
  </si>
  <si>
    <t>16/10/2006</t>
  </si>
  <si>
    <t>LEONARDO MALAQUIAS SANTOS</t>
  </si>
  <si>
    <t>12/03/2011</t>
  </si>
  <si>
    <t>MARIA CLARA DA SILVA</t>
  </si>
  <si>
    <t>07/03/2007</t>
  </si>
  <si>
    <t>Diabetes Mellitus tipo 1</t>
  </si>
  <si>
    <t>MATEUS DA SILVA MOREIRA LIMA</t>
  </si>
  <si>
    <t>08/01/2005</t>
  </si>
  <si>
    <t>NAYARA TRINDADE SOCORRO</t>
  </si>
  <si>
    <t>05/08/2003</t>
  </si>
  <si>
    <t>Reação adversa a corantes e conservantes</t>
  </si>
  <si>
    <t>EMEF DR. MIGUEL VIEIRA FERREIRA - (TERCEI.)</t>
  </si>
  <si>
    <t>DANIELLE NOVAIS MARTINS</t>
  </si>
  <si>
    <t>11/02/2010</t>
  </si>
  <si>
    <t>Constipação intestinal - padrão</t>
  </si>
  <si>
    <t>GUSTAVO OLIVEIRA MARINELI SANT ANNA</t>
  </si>
  <si>
    <t>27/10/2002</t>
  </si>
  <si>
    <t>Alergia a Proteína do Leite de Vaca; Alergia a Corantes; Alergia a Fruta - Morango</t>
  </si>
  <si>
    <t>alergia ao leite de vaca + corantes + morango</t>
  </si>
  <si>
    <t>LUIS OTAVIO NOBREGA DUARTE</t>
  </si>
  <si>
    <t>05/05/2008</t>
  </si>
  <si>
    <t>Hipercolesterolemia (leite desnatado)</t>
  </si>
  <si>
    <t>RAQUEL SILVA DE OLIVEIRA</t>
  </si>
  <si>
    <t>EMEF ENG. JOSÉ AMADEI - (TERCEI.)</t>
  </si>
  <si>
    <t>KAUA CARMO CHAVES</t>
  </si>
  <si>
    <t>28/09/2005</t>
  </si>
  <si>
    <t>Alergia a Ovo; Alergia a Feijão</t>
  </si>
  <si>
    <t>Alergia alimentar - ovo + feijão</t>
  </si>
  <si>
    <t>NICOLLY DE OLIVEIRA</t>
  </si>
  <si>
    <t>20/09/2006</t>
  </si>
  <si>
    <t>alergia a ovo</t>
  </si>
  <si>
    <t>EMEF FREI DAMIÃO - (TERCEI.)</t>
  </si>
  <si>
    <t>ANA CAROLINA NEVES DA SILVA</t>
  </si>
  <si>
    <t>01/05/2006</t>
  </si>
  <si>
    <t>DAVID NICHOLLS BARROS MANJA</t>
  </si>
  <si>
    <t>01/06/2003</t>
  </si>
  <si>
    <t>EMEF GENY MARIA MUNIZ ALMEIDA KLEIN PUSSINELLI - (TERCEI.)</t>
  </si>
  <si>
    <t>GUILHERME MENDES SOARES</t>
  </si>
  <si>
    <t>16/12/2003</t>
  </si>
  <si>
    <t>Dieta Pastosa Homogênea - liquidificada sem pedaços liquidos espessados Guilherme Mendes Soares</t>
  </si>
  <si>
    <t>NATHAN CANDIDO DE SOUZA</t>
  </si>
  <si>
    <t>22/06/2008</t>
  </si>
  <si>
    <t>Doença Renal - hipossódica</t>
  </si>
  <si>
    <t>EMEF HEITOR DE ANDRADE - (TERCEI.)</t>
  </si>
  <si>
    <t>ANA CLARA ARTAGOITIA SALES</t>
  </si>
  <si>
    <t>03/07/2008</t>
  </si>
  <si>
    <t>GABRIEL LUIS GOMES UZAL</t>
  </si>
  <si>
    <t>14/12/2005</t>
  </si>
  <si>
    <t>GUILHERME IAN SANTOS CRUZ</t>
  </si>
  <si>
    <t>22/04/2010</t>
  </si>
  <si>
    <t>Intolerância alimentar - leite (leite vegetal)</t>
  </si>
  <si>
    <t>HELOISA RODRIGUES CIRIACO DE OLIVEIRA</t>
  </si>
  <si>
    <t>27/03/2011</t>
  </si>
  <si>
    <t>EMEF JOÃO DA SILVA - EX JD. LUCELIA - (TERCEI.)</t>
  </si>
  <si>
    <t>GUSTAVO FERREIRA LIMA</t>
  </si>
  <si>
    <t>09/12/2009</t>
  </si>
  <si>
    <t>Alergia a Proteína do Leite de Vaca; Alergia a Corantes</t>
  </si>
  <si>
    <t>APLV + corantes (bebida de soja)</t>
  </si>
  <si>
    <t>LIVIA CRISTINA DAMAS DIAS</t>
  </si>
  <si>
    <t>22/09/2009</t>
  </si>
  <si>
    <t>Dieta pastosa e liquidificada - Lívia Cristina Damas Dias</t>
  </si>
  <si>
    <t>RAPHAELLY PALOMA FERNANDES DE OLIVEIRA</t>
  </si>
  <si>
    <t>09/11/2007</t>
  </si>
  <si>
    <t>VINICIUS PEREIRA DE ANDRADE</t>
  </si>
  <si>
    <t>20/02/2009</t>
  </si>
  <si>
    <t>Intolerância à Lactose; Xerose Cutânea</t>
  </si>
  <si>
    <t>Intolerância à lactose + xerose cutânea</t>
  </si>
  <si>
    <t>EMEF JOÃO DE DEUS CARDOSO DE MELLO - (TERCEI.)</t>
  </si>
  <si>
    <t>LARA MARCELLY SANTOS REIMBERG</t>
  </si>
  <si>
    <t>27/12/2005</t>
  </si>
  <si>
    <t>EMEF MARINA MELANDER  COUTINHO - IV CENTENÁRIO - (TERCEI.)</t>
  </si>
  <si>
    <t>ANA JULIA DE SOUZA FRANCISCO</t>
  </si>
  <si>
    <t>26/08/2003</t>
  </si>
  <si>
    <t>EDSON VIEIRA DA ROCHA</t>
  </si>
  <si>
    <t>14/05/2005</t>
  </si>
  <si>
    <t>alergia a salsicha</t>
  </si>
  <si>
    <t>FERNANDA APARECIDA FERREIRA PORTELA</t>
  </si>
  <si>
    <t>26/08/2005</t>
  </si>
  <si>
    <t>Diabetes mellitus</t>
  </si>
  <si>
    <t>JOSE DANIEL DA SILVA DE QUEIROZ</t>
  </si>
  <si>
    <t>20/01/2004</t>
  </si>
  <si>
    <t>Alergia a Proteína do Leite de Vaca; Alergia a Corantes; Alergia a Conservantes; Alergia a Chocolate/Cacau</t>
  </si>
  <si>
    <t>Alergia ao leite de vaca, chocolate, corante e conservante</t>
  </si>
  <si>
    <t>LEONARDO CUSTODIO MESSIAS BARROS</t>
  </si>
  <si>
    <t>12/08/2006</t>
  </si>
  <si>
    <t>Diabetes Mellitus -n padrão</t>
  </si>
  <si>
    <t>LUIZ FELIPE DA SILVA SANTOS</t>
  </si>
  <si>
    <t>19/08/2004</t>
  </si>
  <si>
    <t>EMEF OLEGÁRIO MARIANO - (TERCEI.)</t>
  </si>
  <si>
    <t>DANIEL YUUKI EPOSHI</t>
  </si>
  <si>
    <t>13/01/2008</t>
  </si>
  <si>
    <t>Intolerância à lactose ou alergia a proteina do leite de vaca</t>
  </si>
  <si>
    <t>DIEGO DOS SANTOS SOUSA</t>
  </si>
  <si>
    <t>01/07/2004</t>
  </si>
  <si>
    <t>sobrepeso e obesidade Diego dos Santos Souza</t>
  </si>
  <si>
    <t>GABRIELA DE MELO ARRUDA</t>
  </si>
  <si>
    <t>10/05/2003</t>
  </si>
  <si>
    <t>Intolerância à lactose+ gluten (leite sem lactose)</t>
  </si>
  <si>
    <t>GUSTAVO LUIZ DE OLIVEIRA MARANHAO</t>
  </si>
  <si>
    <t>06/04/2003</t>
  </si>
  <si>
    <t>SABRINA MATIAS DA SILVA</t>
  </si>
  <si>
    <t>07/06/2004</t>
  </si>
  <si>
    <t>EMEF PAULO SETUBAL - (TERCEI.)</t>
  </si>
  <si>
    <t>JESSE HENRIQUE LIMA DE SOUZA</t>
  </si>
  <si>
    <t>08/10/2005</t>
  </si>
  <si>
    <t>Doença celíaca</t>
  </si>
  <si>
    <t>LARA ISABELY SOUZA DAS DORES</t>
  </si>
  <si>
    <t>15/10/2007</t>
  </si>
  <si>
    <t>Transplante de Medula</t>
  </si>
  <si>
    <t>Transplante de Medula - Lara Isabely</t>
  </si>
  <si>
    <t>MIRELLY DA SILVA COSTA</t>
  </si>
  <si>
    <t>24/02/2005</t>
  </si>
  <si>
    <t>Alergia ao leite de vaca</t>
  </si>
  <si>
    <t>EMEF PEDRO GERALDO SCHUNK - (TERCEI.)</t>
  </si>
  <si>
    <t>ELISA ANTUNES APOLIDORIO SANTOS</t>
  </si>
  <si>
    <t>14/06/2008</t>
  </si>
  <si>
    <t>RONALDY VICTOR LOPES OLIVEIRA</t>
  </si>
  <si>
    <t>Diabetes Mellitus - tipo 1</t>
  </si>
  <si>
    <t>EMEF PLÁCIDO DE CASTRO - (TERCEI.)</t>
  </si>
  <si>
    <t>LANAY DA SILVA GOMES</t>
  </si>
  <si>
    <t>30/01/2010</t>
  </si>
  <si>
    <t>Intolerância à Lactose; Alergia a Soja</t>
  </si>
  <si>
    <t>Intolerância à lactose + soja (leite sem lactose)</t>
  </si>
  <si>
    <t>SAMUEL SANTANA DE ASSIS</t>
  </si>
  <si>
    <t>01/03/2010</t>
  </si>
  <si>
    <t>Refluxo Gastroesofágico com liberação de achocolatado e mistura láctea</t>
  </si>
  <si>
    <t>EMEF PLÍNIO MARCOS - (TERCEI.)</t>
  </si>
  <si>
    <t>ADRIELLY RODRIGUES DOS SANTOS</t>
  </si>
  <si>
    <t>17/01/2008</t>
  </si>
  <si>
    <t>Alergia alimentar - corantes e conservantes</t>
  </si>
  <si>
    <t>BRENDA SILVA ALMEIDA</t>
  </si>
  <si>
    <t>28/05/2008</t>
  </si>
  <si>
    <t>Hipercolesterolemia Brenda Silva Almeida</t>
  </si>
  <si>
    <t>GUSTAVO JONES DE SOUZA</t>
  </si>
  <si>
    <t>24/08/2009</t>
  </si>
  <si>
    <t>Intolerância à Lactose (leite sem lactose) - derivados liberados</t>
  </si>
  <si>
    <t>KAUA EMERSON FERREIRA SANTOS</t>
  </si>
  <si>
    <t>20/06/2008</t>
  </si>
  <si>
    <t>dieta pastosa kaua emerson ferreira santos</t>
  </si>
  <si>
    <t>LUIZ GOMES DOS SANTOS NETO</t>
  </si>
  <si>
    <t>02/04/2005</t>
  </si>
  <si>
    <t>MAURICIO INACIO DE OLIVEIRA</t>
  </si>
  <si>
    <t>08/09/2008</t>
  </si>
  <si>
    <t>Alergia a Corantes; Alergia a Camarão; Alergia a Peixe; Alergia a Oleaginosas - Amendoim; Alergia a Mexilhão</t>
  </si>
  <si>
    <t>Alergia alimentar - corantes + camarão + mexilhão + atum + amendoim</t>
  </si>
  <si>
    <t>THAYNA DE JESUS DE SOUSA</t>
  </si>
  <si>
    <t>19/05/2008</t>
  </si>
  <si>
    <t>Sobrepeso e obesidade</t>
  </si>
  <si>
    <t>YASMIN FERREIRA GODOY</t>
  </si>
  <si>
    <t>29/11/2007</t>
  </si>
  <si>
    <t>EMEF PLÍNIO SALGADO - (TERCEI.)</t>
  </si>
  <si>
    <t>EDUARDO BATISTA VENTURI</t>
  </si>
  <si>
    <t>26/10/2006</t>
  </si>
  <si>
    <t>Dislipidemia; Sobrepeso e Obesidade</t>
  </si>
  <si>
    <t>Dislipidemia + sobrepeso</t>
  </si>
  <si>
    <t>NATASHA ELIAS DOS SANTOS</t>
  </si>
  <si>
    <t>19/05/2009</t>
  </si>
  <si>
    <t>Dieta Hipossódica</t>
  </si>
  <si>
    <t>EMEF PROF. ALMEIDA JR. - (TERCEI.)</t>
  </si>
  <si>
    <t>LUIZ HENRIQUE DE MELO PINN</t>
  </si>
  <si>
    <t>13/09/2003</t>
  </si>
  <si>
    <t>Alergia a corantes e conservantes</t>
  </si>
  <si>
    <t>EMEF PROF. FLORESTAN FERNANDES - (TERCEI.)</t>
  </si>
  <si>
    <t>ALLINE LEITE DE ARAUJO</t>
  </si>
  <si>
    <t>02/12/2009</t>
  </si>
  <si>
    <t>Dieta Pastosa e liquidificada - Alline Leite de Araújo</t>
  </si>
  <si>
    <t>GABRIEL ALMEIDA SILVA</t>
  </si>
  <si>
    <t>01/03/2005</t>
  </si>
  <si>
    <t>Diabetes Mellitus (leite desnatado)</t>
  </si>
  <si>
    <t>ISABELLY BRITO DE MIRANDA SILVA</t>
  </si>
  <si>
    <t>12/10/2010</t>
  </si>
  <si>
    <t>KAUA PABLO DE MACEDO DOS SANTOS</t>
  </si>
  <si>
    <t>04/12/2009</t>
  </si>
  <si>
    <t>KAUAN LEVI CARDOSO CORDEIRO</t>
  </si>
  <si>
    <t>08/10/2010</t>
  </si>
  <si>
    <t>Dieta pastosa - Kauan Levi</t>
  </si>
  <si>
    <t>LAURA GOMES DE PAULA</t>
  </si>
  <si>
    <t>02/03/2010</t>
  </si>
  <si>
    <t>SOBREPESO  E OBESIDADE + DISLIPIDEMIA</t>
  </si>
  <si>
    <t>MARCELLA VITORIA LIMA DE ANDRADE</t>
  </si>
  <si>
    <t>16/12/2007</t>
  </si>
  <si>
    <t>Dieta Pastosa Liquidificada - Marcella Vitoria Lima de Andrade</t>
  </si>
  <si>
    <t>MATHEUS ALMEIDA SILVA</t>
  </si>
  <si>
    <t>MIGUEL MEIRELES DE SOUZA</t>
  </si>
  <si>
    <t>03/02/2005</t>
  </si>
  <si>
    <t>Desnutrição</t>
  </si>
  <si>
    <t>VITORIA FERMINO FERNANDES</t>
  </si>
  <si>
    <t>26/05/2005</t>
  </si>
  <si>
    <t>EMEF PROF. MILTON A. F. ALBUQUERQUE - (TERCEI.)</t>
  </si>
  <si>
    <t>KAIQUE LEAL DA SILVA</t>
  </si>
  <si>
    <t>alergia alimentar - corantes + conservantes Kaique Leal da Silva</t>
  </si>
  <si>
    <t>LETICIA CARVALHO AMORIM</t>
  </si>
  <si>
    <t>26/02/2010</t>
  </si>
  <si>
    <t>Alergia a Corantes; Alergia a Conservantes; Alergia a Enlatados</t>
  </si>
  <si>
    <t>ALERGIA ALIMENTAR - CORANTES + CONSERVANTES + ENLATADOS</t>
  </si>
  <si>
    <t>LUAN MARTINS SILVA</t>
  </si>
  <si>
    <t>19/07/2010</t>
  </si>
  <si>
    <t>Doença Celíaca</t>
  </si>
  <si>
    <t>EMEF PROFA. ELIZA RACHEL MACEDO DE SOUZA - (TERCEI.)</t>
  </si>
  <si>
    <t>ISABELLI LARISSA SILVA DOS SANTOS</t>
  </si>
  <si>
    <t>06/05/2008</t>
  </si>
  <si>
    <t>JOAO PEDRO DE OLIVEIRA</t>
  </si>
  <si>
    <t>17/09/2008</t>
  </si>
  <si>
    <t>Alergia a Corantes; Alergia a Salsicha; Alergia a Chocolate/Cacau; Alergia a Fruta - Morango; Alergia a Extrato/Molho de Tomate</t>
  </si>
  <si>
    <t>Alergia alimentar - corantes + molho de tomate + salsicha + morango + chocolate</t>
  </si>
  <si>
    <t>EMEF ULISSES GUIMARÃES - (TERCEI.)</t>
  </si>
  <si>
    <t>DANY MARCELO DE CAMPOS</t>
  </si>
  <si>
    <t>Alergia a Chocolate/Cacau</t>
  </si>
  <si>
    <t>Alergia a chocolate</t>
  </si>
  <si>
    <t>DEIMISON SANTOS ANDRADE</t>
  </si>
  <si>
    <t>26/08/2007</t>
  </si>
  <si>
    <t>EDUARDO DE SOUSA ILDEFONSO JUNIOR</t>
  </si>
  <si>
    <t>21/08/2006</t>
  </si>
  <si>
    <t>Síndrome Nefrótica + hipossódica</t>
  </si>
  <si>
    <t>JOAO VICTOR SANTOS ANDRADE</t>
  </si>
  <si>
    <t>29/11/2008</t>
  </si>
  <si>
    <t>THOMAS HENRIQUE BORGES FIDELES SILVA</t>
  </si>
  <si>
    <t>18/02/2006</t>
  </si>
  <si>
    <t>EMEF VARGEM GRANDE - (TERCEI.)</t>
  </si>
  <si>
    <t>RAYANE SANTOS DE OLIVEIRA</t>
  </si>
  <si>
    <t>12/05/2004</t>
  </si>
  <si>
    <t>SAMUEL BATISTA DA SILVA</t>
  </si>
  <si>
    <t>07/01/2003</t>
  </si>
  <si>
    <t>Sobrepeso e Obesidade - Hipocalorica + hipogordurosa + hipossódica</t>
  </si>
  <si>
    <t>EMEF VARGEM GRANDE II (TERC)</t>
  </si>
  <si>
    <t>ALMIR BARBOSA DA SILVA JUNIOR</t>
  </si>
  <si>
    <t>07/11/2009</t>
  </si>
  <si>
    <t>Dislipidemia - hipercolesterolemia</t>
  </si>
  <si>
    <t>MARCOS GABRIEL RODRIGUES PAIXAO</t>
  </si>
  <si>
    <t>22/03/2010</t>
  </si>
  <si>
    <t>Hipercolesterolemia (baixo teor de gordura)</t>
  </si>
  <si>
    <t>MARIA EDUARDA FERREIRA DOS SANTOS</t>
  </si>
  <si>
    <t>07/03/2011</t>
  </si>
  <si>
    <t>MIGUEL VICENTE DE MELO</t>
  </si>
  <si>
    <t>17/03/2011</t>
  </si>
  <si>
    <t>VICTOR RODRIGUES SILVA</t>
  </si>
  <si>
    <t>24/06/2010</t>
  </si>
  <si>
    <t>Intolerância à lactose (leitesem lactose)</t>
  </si>
  <si>
    <t>EMEI ANGELO KRETA</t>
  </si>
  <si>
    <t>BETHANIA CORREA XAVIER</t>
  </si>
  <si>
    <t>21/05/2011</t>
  </si>
  <si>
    <t>Alergia alimentar - corante</t>
  </si>
  <si>
    <t>DAVI RODRIGUES MULATO</t>
  </si>
  <si>
    <t>06/12/2012</t>
  </si>
  <si>
    <t>APLV + ovo (suco de fruta)</t>
  </si>
  <si>
    <t>GUILHERME FERNANDES DOS SANTOS</t>
  </si>
  <si>
    <t>21/07/2012</t>
  </si>
  <si>
    <t>GUSTAVO SOUZA DA SILVA</t>
  </si>
  <si>
    <t>28/03/2013</t>
  </si>
  <si>
    <t>NICOLAS NASCIMENTO CAMARA CHAGAS</t>
  </si>
  <si>
    <t>21/01/2013</t>
  </si>
  <si>
    <t>Autismo</t>
  </si>
  <si>
    <t>Autismo - Nicolas Nascimento</t>
  </si>
  <si>
    <t>OSCAR MIGUEL ALCANTARA DE LIMA</t>
  </si>
  <si>
    <t>18/10/2011</t>
  </si>
  <si>
    <t>Dieta industrializada polimérica infantil, normocalórica, normoproteica, 250 mL às 16:30h, administrada em 40 minutos e após oferecer 50 mL de água filtrada. Administrar via equipo.</t>
  </si>
  <si>
    <t>STEPHANY PATROCINIO DE SOUZA</t>
  </si>
  <si>
    <t>12/07/2012</t>
  </si>
  <si>
    <t>Intolerância à Lactose (suco de fruta)</t>
  </si>
  <si>
    <t>THEODORO CANDIDA NASCIMENTO MONTEIRO</t>
  </si>
  <si>
    <t>12/11/2012</t>
  </si>
  <si>
    <t>VINICIUS XAVIER</t>
  </si>
  <si>
    <t>23/10/2011</t>
  </si>
  <si>
    <t>VITORIA LUIZA ROCHA ARAUJO</t>
  </si>
  <si>
    <t>Hipercolesterolemia - leite desnatado</t>
  </si>
  <si>
    <t>EMEI AURÉLIO BUARQUE HOLANDA FERREIRA (TERC)</t>
  </si>
  <si>
    <t>ANA CLARA ESPINDOLA DOS SANTOS</t>
  </si>
  <si>
    <t>17/09/2011</t>
  </si>
  <si>
    <t>ANA CLARA GOMES DA SILVA</t>
  </si>
  <si>
    <t>15/03/2012</t>
  </si>
  <si>
    <t>ANNE CAROLINE PRESTES COLONTONIO</t>
  </si>
  <si>
    <t>17/04/2012</t>
  </si>
  <si>
    <t>DANIELLE SOUSA PROCOPIO</t>
  </si>
  <si>
    <t>15/04/2012</t>
  </si>
  <si>
    <t>Autismo - Danielle Sousa</t>
  </si>
  <si>
    <t>THAYANE VITORIA DOS SANTOS RANGEL</t>
  </si>
  <si>
    <t>23/03/2012</t>
  </si>
  <si>
    <t>Alergia a Proteína do Leite de Vaca; Intolerância ao Glúten</t>
  </si>
  <si>
    <t>Alergia alimentar - leite de vaca + intolerância ao glúten</t>
  </si>
  <si>
    <t>EMEI BR. DO RIO BRANCO (TERC)</t>
  </si>
  <si>
    <t>ANA CLARA VIEGAS MARTINS</t>
  </si>
  <si>
    <t>17/06/2012</t>
  </si>
  <si>
    <t>Alergia - ovo</t>
  </si>
  <si>
    <t>DAFNNY THAYLA DE LA PIETRA PINHEIRO DA SILVA</t>
  </si>
  <si>
    <t>11/08/2011</t>
  </si>
  <si>
    <t>SARAH LIMA BRITO</t>
  </si>
  <si>
    <t>06/05/2012</t>
  </si>
  <si>
    <t>Alergia - corantes</t>
  </si>
  <si>
    <t>EMEI CAMINHO DOS MARTINS (TERC)</t>
  </si>
  <si>
    <t>ADRIELY REIS DA SILVA</t>
  </si>
  <si>
    <t>28/06/2011</t>
  </si>
  <si>
    <t>EMILLY VITORIA PEREIRA GUEDES</t>
  </si>
  <si>
    <t>22/05/2012</t>
  </si>
  <si>
    <t>Lingua geográfica</t>
  </si>
  <si>
    <t>Língua geográfica - Emilly V. P. Guedes</t>
  </si>
  <si>
    <t>GUILHERME DE SENA DIONISIO</t>
  </si>
  <si>
    <t>09/03/2012</t>
  </si>
  <si>
    <t>MANUELA BERNARDO DE SOUZA</t>
  </si>
  <si>
    <t>30/10/2012</t>
  </si>
  <si>
    <t>Alergia a Chocolate/Cacau; Alergia a Carne Bovina; Alergia a Hortifruti - Cenoura; Alergia a Frango; Alergia a Hortifruti - Cebola; Alergia a carne de carneiro; Alergia a carne de cabrito; Alergia a Leites (de origem aninal); Alergia a Linhaça</t>
  </si>
  <si>
    <t>Alergia - Manuela Bernardo (Alergia carne bovina + frango + carneiro + cabrito + leite animal + cenoura + cacau + cebola + linhaça)</t>
  </si>
  <si>
    <t>RUAN JOSE DE JESUS FEITOSA</t>
  </si>
  <si>
    <t>07/01/2013</t>
  </si>
  <si>
    <t>EMEI CARLOS DRUMMOND DE ANDRADE (TERC)</t>
  </si>
  <si>
    <t>DAVID SANTOS BISPO</t>
  </si>
  <si>
    <t>21/03/2013</t>
  </si>
  <si>
    <t>GABRIELLE CRISTINA PRATA BATISTA</t>
  </si>
  <si>
    <t>20/12/2010</t>
  </si>
  <si>
    <t>Diabetes Mellitus tipo I Gabrielle Cristina Prata Batista</t>
  </si>
  <si>
    <t>LUIS FERNANDO OLIVEIRA</t>
  </si>
  <si>
    <t>15/09/2009</t>
  </si>
  <si>
    <t>Alergia ao leite de vaca + ovo</t>
  </si>
  <si>
    <t>EMEI CASTRO ALVES (TERC)</t>
  </si>
  <si>
    <t>CARLOS HENRIQUE SAMPAIO DE CAMARGO</t>
  </si>
  <si>
    <t>11/09/2011</t>
  </si>
  <si>
    <t>KEVIN DOS SANTOS SANTANA</t>
  </si>
  <si>
    <t>13/08/2012</t>
  </si>
  <si>
    <t>Síndrome Nefrótica - Kevin dos Santos</t>
  </si>
  <si>
    <t>MARCO AURELIO SANTANA DA SILVA</t>
  </si>
  <si>
    <t>17/11/2011</t>
  </si>
  <si>
    <t>Alergia a proteina do leite de vaca (alimento a base de soja) liberados pães e biscoitos. Restritos derivados</t>
  </si>
  <si>
    <t>MARIA EDUARDA MOREIRA DE OLIVEIRA</t>
  </si>
  <si>
    <t>Dieta Pastosa - Maria Eduarda Moreira de Oliveira</t>
  </si>
  <si>
    <t>STEPHANY COSTA DA SILVA</t>
  </si>
  <si>
    <t>02/09/2011</t>
  </si>
  <si>
    <t>EMEI CLARA NUNES (TERC)</t>
  </si>
  <si>
    <t>CEFAS GUILHERME MENDES</t>
  </si>
  <si>
    <t>20/01/2011</t>
  </si>
  <si>
    <t>Alergia a Fruta - Coco</t>
  </si>
  <si>
    <t>alergia alimentar - coco</t>
  </si>
  <si>
    <t>GUILHERME SILVA ROSA</t>
  </si>
  <si>
    <t>23/07/2011</t>
  </si>
  <si>
    <t>LETICIA SANTOS</t>
  </si>
  <si>
    <t>15/02/2012</t>
  </si>
  <si>
    <t>Alergia alimentar - chocolate</t>
  </si>
  <si>
    <t>EMEI DR. ALBERT SABIN - (TERCEI.)</t>
  </si>
  <si>
    <t>DAVI MAGALHAES FERREIRA</t>
  </si>
  <si>
    <t>29/12/2011</t>
  </si>
  <si>
    <t>ALERGIA A PROTEÍNA DO LEITE DE VACA (ALIMENTO A BASE DE SOJA)</t>
  </si>
  <si>
    <t>LUCAS SANTANA ARAUJO</t>
  </si>
  <si>
    <t>20/10/2012</t>
  </si>
  <si>
    <t>APLV + ovo (bebida de soja)</t>
  </si>
  <si>
    <t>PIETRO RODRIGUES DA SILVA</t>
  </si>
  <si>
    <t>02/10/2011</t>
  </si>
  <si>
    <t>Alergia a Proteína do Leite de Vaca; Alergia a Soja; Alergia a Oleaginosas - Amendoim</t>
  </si>
  <si>
    <t>Alergia alimentar GRAVE - Leite de vaca = soja + amendoim (prescrição médica bebida de arroz ou aveia)</t>
  </si>
  <si>
    <t>EMEI DR. ARISTIDES NOGUEIRA - (TERCEI.)</t>
  </si>
  <si>
    <t>AGATHA MARTINS DA CONCEICAO</t>
  </si>
  <si>
    <t>04/06/2011</t>
  </si>
  <si>
    <t>ANA BEATRIZ LOPES FERREIRA</t>
  </si>
  <si>
    <t>19/10/2011</t>
  </si>
  <si>
    <t>Alergia a Peixe</t>
  </si>
  <si>
    <t>Alergia alimentar - peixe</t>
  </si>
  <si>
    <t>CIBELLY SINEZIA SILVA BARRETO</t>
  </si>
  <si>
    <t>10/03/2013</t>
  </si>
  <si>
    <t>Doença Celíaca/Alergia ao glúten; Alergia a Peixe</t>
  </si>
  <si>
    <t>Doença celíaca + peixe</t>
  </si>
  <si>
    <t>HELOISA DA SILVA SANTOS</t>
  </si>
  <si>
    <t>30/07/2011</t>
  </si>
  <si>
    <t>Asma</t>
  </si>
  <si>
    <t>Asma - Heloisa da Silva Santos</t>
  </si>
  <si>
    <t>MARIA CLARA DE LIMA BARBOSA</t>
  </si>
  <si>
    <t>22/10/2011</t>
  </si>
  <si>
    <t>EMEI GRAJAÚ - (TERCEI.)</t>
  </si>
  <si>
    <t>ANA JULIA COSTA RIBEIRO</t>
  </si>
  <si>
    <t>Dieta pastosa amassada - Ana Julia Costa</t>
  </si>
  <si>
    <t>LAURA VITTORIA CABRAL DE HOLANDA</t>
  </si>
  <si>
    <t>04/07/2012</t>
  </si>
  <si>
    <t>LORENA SOUZA SILVA</t>
  </si>
  <si>
    <t>02/06/2011</t>
  </si>
  <si>
    <t>Dieta Pastosa Liquidificada - Lorena Souza Silva</t>
  </si>
  <si>
    <t>EMEI JARDIM GAIVOTAS</t>
  </si>
  <si>
    <t>DAVI LEANDRO DE SOUSA LIMA</t>
  </si>
  <si>
    <t>24/02/2013</t>
  </si>
  <si>
    <t>Estomatite</t>
  </si>
  <si>
    <t>MIQUEIAS LIMA DE ALMEIDA SOUZA</t>
  </si>
  <si>
    <t>02/05/2011</t>
  </si>
  <si>
    <t>Alergia a Proteína do Leite de Vaca; Alergia a Glúten</t>
  </si>
  <si>
    <t>APLV + gluten (bebida de soja)</t>
  </si>
  <si>
    <t>PAMELA PEREIRA LEITE</t>
  </si>
  <si>
    <t>15/11/2010</t>
  </si>
  <si>
    <t>EMEI JARDIM MYRNA (TERC)</t>
  </si>
  <si>
    <t>ALICE RODRIGUES CAPUTO</t>
  </si>
  <si>
    <t>04/08/2010</t>
  </si>
  <si>
    <t>Rinite</t>
  </si>
  <si>
    <t>Rinite (leite sem lactose)</t>
  </si>
  <si>
    <t>DEBORAH DE SOUSA OLIVEIRA</t>
  </si>
  <si>
    <t>06/06/2011</t>
  </si>
  <si>
    <t>EMILLI BISPO NUBI SOUZA</t>
  </si>
  <si>
    <t>11/09/2012</t>
  </si>
  <si>
    <t>GEOVANNA MACHADO LIMA</t>
  </si>
  <si>
    <t>07/05/2012</t>
  </si>
  <si>
    <t>JULIA APARECIDA SILVA SANTOS</t>
  </si>
  <si>
    <t>20/03/2012</t>
  </si>
  <si>
    <t>LARA VITORIA LIMA SANTOS</t>
  </si>
  <si>
    <t>08/08/2011</t>
  </si>
  <si>
    <t>LUIS GUILHERME ARAUJO DE OLIVEIRA</t>
  </si>
  <si>
    <t>MIGUEL ARTHUR PEREIRA ALVES</t>
  </si>
  <si>
    <t>26/10/2010</t>
  </si>
  <si>
    <t>MIGUEL NASCIMENTO BANDEIRA</t>
  </si>
  <si>
    <t>20/03/2011</t>
  </si>
  <si>
    <t>MIGUEL NASCIMENTO SILVA</t>
  </si>
  <si>
    <t>Alergiaa alimentar - abacaxi</t>
  </si>
  <si>
    <t>PAOLLA LOPES ALVES</t>
  </si>
  <si>
    <t>05/09/2012</t>
  </si>
  <si>
    <t>YASMIM DE ARAUJO LOPES</t>
  </si>
  <si>
    <t>Sobrepeso e obesidade + dislipidemia</t>
  </si>
  <si>
    <t>YASMIN ISABELLE MOREIRA CELIS</t>
  </si>
  <si>
    <t>03/02/2013</t>
  </si>
  <si>
    <t>EMEI JD. NOVO PARELHEIROS - (TERCEI.)</t>
  </si>
  <si>
    <t>ERIC RAFAEL ALCANTARA MACEDO</t>
  </si>
  <si>
    <t>Alergia a Ovo; Alergia a Soja</t>
  </si>
  <si>
    <t>Alergia - soja + ovo</t>
  </si>
  <si>
    <t>HUGO HENRIQUE ANDRADE VIEIRA</t>
  </si>
  <si>
    <t>08/10/2012</t>
  </si>
  <si>
    <t>ISABELY SOARES DO NASCIMENTO</t>
  </si>
  <si>
    <t>21/09/2012</t>
  </si>
  <si>
    <t>Intolerância alimentar - leite (bebida de soja)</t>
  </si>
  <si>
    <t>LUCAS ALVES LIMA</t>
  </si>
  <si>
    <t>25/12/2011</t>
  </si>
  <si>
    <t>Síndrome Nefrótica - dieta hipossódica</t>
  </si>
  <si>
    <t>LUIZ MATHEUS TENORIO DE LIMA</t>
  </si>
  <si>
    <t>15/09/2011</t>
  </si>
  <si>
    <t>THIERRY MIKAEL DA SILVA</t>
  </si>
  <si>
    <t>04/10/2011</t>
  </si>
  <si>
    <t>Intolerância à lactose (leite sem lactose ou alimento a base de soja)</t>
  </si>
  <si>
    <t>EMEI JOÃO CANDIDO (TERC)</t>
  </si>
  <si>
    <t>ALEXANDRE SANTOS DE OLIVEIRA</t>
  </si>
  <si>
    <t>17/03/2012</t>
  </si>
  <si>
    <t>Alergia - caju</t>
  </si>
  <si>
    <t>GUILHERME MARQUES DE OLIVEIRA</t>
  </si>
  <si>
    <t>03/01/2013</t>
  </si>
  <si>
    <t>Intolerância Alimentar - Feijão Fava; Intolerância Alimentar - Limão; Intolerância Alimentar a Fruta - Laranja; Alergia a Fruta - Pêssego; Intolerância Alimentar - Feijão Branco; Intolerância Alimentar - Feijão Carioca/Feijão Preto; Alergia a Fruta - Maracujá</t>
  </si>
  <si>
    <t>Intolerância alimentar - limão, laranja, maracujá, pêssego, feijão</t>
  </si>
  <si>
    <t>LUIS MIGUEL DA SILVA GOIS</t>
  </si>
  <si>
    <t>12/04/2011</t>
  </si>
  <si>
    <t>NICOLAS ARTHUR DOS SANTOS OLIVEIRA</t>
  </si>
  <si>
    <t>24/11/2012</t>
  </si>
  <si>
    <t>Alergia a Proteína do Leite de Vaca; Alergia a Chocolate/Cacau</t>
  </si>
  <si>
    <t>APLV + chocolate (suco de fruta)</t>
  </si>
  <si>
    <t>STEPHANIE CATHERINE DE SOUZA</t>
  </si>
  <si>
    <t>04/03/2013</t>
  </si>
  <si>
    <t>EMEI JOSÉ ROSCHEL CHRISTI (TERC)</t>
  </si>
  <si>
    <t>ANA LIVIA ALVES MACIEL</t>
  </si>
  <si>
    <t>19/08/2012</t>
  </si>
  <si>
    <t>ANA VICTORIA RODRIGUES QUIRINO</t>
  </si>
  <si>
    <t>07/10/2012</t>
  </si>
  <si>
    <t>DAVID ROCHA CARDOSO</t>
  </si>
  <si>
    <t>14/02/2013</t>
  </si>
  <si>
    <t>LORENA RODRIGUES FELICIANO</t>
  </si>
  <si>
    <t>26/04/2011</t>
  </si>
  <si>
    <t>NICOLLAS GABRIEL AIRES</t>
  </si>
  <si>
    <t>14/08/2011</t>
  </si>
  <si>
    <t>SOFIA CERQUEIRA SOUZA</t>
  </si>
  <si>
    <t>12/01/2013</t>
  </si>
  <si>
    <t>EMEI LUIS TRAVASSOS - (TERCEI.)</t>
  </si>
  <si>
    <t>ANTONIO LIMA DA SILVA</t>
  </si>
  <si>
    <t>BARBARA ELIZA FINAVARO</t>
  </si>
  <si>
    <t>22/04/2011</t>
  </si>
  <si>
    <t>Alergia à proteína do leite de vaca + soja (bebida de arroz ou amêndoa)</t>
  </si>
  <si>
    <t>BEATRIZ ELISA FINAVARO</t>
  </si>
  <si>
    <t>18/08/2012</t>
  </si>
  <si>
    <t>APLV + soja (bebida de arroz, amêndoa)</t>
  </si>
  <si>
    <t>JOYCE BEATRIZ NUNES PEREIRA</t>
  </si>
  <si>
    <t>14/07/2011</t>
  </si>
  <si>
    <t>EMEI LUIZ GONZAGA NASCIMENTO - NOVO PARELHEIROS - (TERCEI.)</t>
  </si>
  <si>
    <t>ADRIAN SANTOS DE OLIVEIRA</t>
  </si>
  <si>
    <t>15/05/2012</t>
  </si>
  <si>
    <t>ANNA SOPHY DA SILVA RODRIGUES</t>
  </si>
  <si>
    <t>25/11/2011</t>
  </si>
  <si>
    <t>EDUARDA RODRIGUES PAZ</t>
  </si>
  <si>
    <t>31/10/2010</t>
  </si>
  <si>
    <t>LAURA LOHANNY XAVIER DE MACEDO</t>
  </si>
  <si>
    <t>10/12/2010</t>
  </si>
  <si>
    <t>Litíase Renal</t>
  </si>
  <si>
    <t>Cálculo Biliar - Laura Lohanny</t>
  </si>
  <si>
    <t>EMEI MAL. OSVALDO CORDEIRO DE FARIAS (TERC)</t>
  </si>
  <si>
    <t>ANGELINA FRANCELINO DE FREITAS</t>
  </si>
  <si>
    <t>ARTUR DE SOUZA OLIVEIRA</t>
  </si>
  <si>
    <t>27/04/2012</t>
  </si>
  <si>
    <t>Alergia a Fruta - Abacaxi; Alergia a Fruta - Melancia; Alergia a Fruta - Limão; Alergia a Fruta - Melão; Alergia a Fruta - Pêra</t>
  </si>
  <si>
    <t>Alergia - melancia, melão, abacaxi, limão, pera</t>
  </si>
  <si>
    <t>JULIANA PAIXAO LIMA</t>
  </si>
  <si>
    <t>03/09/2011</t>
  </si>
  <si>
    <t>Obstipação Intestinal restrição de leite em pó (prescrição leite UHT)</t>
  </si>
  <si>
    <t>KAIKY FERREIRA DA SILVA</t>
  </si>
  <si>
    <t>09/01/2012</t>
  </si>
  <si>
    <t>LAUANNY MIRANDA DE SOUZA</t>
  </si>
  <si>
    <t>11/09/2010</t>
  </si>
  <si>
    <t>YASMIN LIMA SANTOS</t>
  </si>
  <si>
    <t>15/10/2009</t>
  </si>
  <si>
    <t>Dieta Hipossódica; Dieta Hipogordurosa</t>
  </si>
  <si>
    <t>Dieta hipossódica + hipogordurosa - Yasmin Lima Santos</t>
  </si>
  <si>
    <t>EMEI MARIA EUGENIA FAKOURY (TERC)</t>
  </si>
  <si>
    <t>ANA CLARA ARAUJO MARTINS</t>
  </si>
  <si>
    <t>24/10/2011</t>
  </si>
  <si>
    <t>Dislipidemia - padrão</t>
  </si>
  <si>
    <t>MARINNA GABRIELLY COSMO DE OLIVEIRA</t>
  </si>
  <si>
    <t>15/11/2012</t>
  </si>
  <si>
    <t>Alergia a peixe</t>
  </si>
  <si>
    <t>MIGUEL GUSTAVO SANTOS</t>
  </si>
  <si>
    <t>06/09/2012</t>
  </si>
  <si>
    <t>Língua geográfica - Miguel Gustavo</t>
  </si>
  <si>
    <t>NICOLLAS FERRAZ DA SILVA</t>
  </si>
  <si>
    <t>21/10/2011</t>
  </si>
  <si>
    <t>EMEI MARIALICE MENCHARINI FORACCHI (TERC)</t>
  </si>
  <si>
    <t>BRENO SOUZA SANTOS</t>
  </si>
  <si>
    <t>03/09/2010</t>
  </si>
  <si>
    <t>Sobrepeso e Obesidade; Resistência à insulina</t>
  </si>
  <si>
    <t>Obesidade + resistência à insulina</t>
  </si>
  <si>
    <t>CARLOS EDUARDO FERREIRA RITI</t>
  </si>
  <si>
    <t>12/11/2011</t>
  </si>
  <si>
    <t>ALERGIA ALIMENTAR - SOMENTE O OVO</t>
  </si>
  <si>
    <t>PEDRO ARTHUR GOMES</t>
  </si>
  <si>
    <t>12/03/2012</t>
  </si>
  <si>
    <t>ALERGIA ALIMENTAR - CORANTES</t>
  </si>
  <si>
    <t>PYETRO TARIK DA SILVA VIANA</t>
  </si>
  <si>
    <t>02/10/2012</t>
  </si>
  <si>
    <t>EMEI ORLANDO VILLAS BOAS - (TERCEI.)</t>
  </si>
  <si>
    <t>LUIS RICARDO GOMES DE ARAUJO</t>
  </si>
  <si>
    <t>28/10/2011</t>
  </si>
  <si>
    <t>MARIA TEREZA SANTOS OLIVEIRA</t>
  </si>
  <si>
    <t>04/12/2012</t>
  </si>
  <si>
    <t>EMEI PQ. COCAIA II - (TERCEI.)</t>
  </si>
  <si>
    <t>ALANA MIGUEL DOS SANTOS</t>
  </si>
  <si>
    <t>21/08/2011</t>
  </si>
  <si>
    <t>ANA CLARA ALVES DE PAULO</t>
  </si>
  <si>
    <t>Intolerância Alimentar - Ovo; Intolerância Alimentar - Achocolatado</t>
  </si>
  <si>
    <t>Intolerância alimentar - ovo + achocolatado</t>
  </si>
  <si>
    <t>JOAO GUILHERME LUIZ DE SOUSA</t>
  </si>
  <si>
    <t>21/05/2012</t>
  </si>
  <si>
    <t>Alergia a Ovo; Alergia a Proteína do Leite de Vaca; Alergia a Corantes; Alergia a Glúten</t>
  </si>
  <si>
    <t>APLV + ovo + glúten + corante (bebida de soja)</t>
  </si>
  <si>
    <t>JULIA SOBRINHO SANTOS</t>
  </si>
  <si>
    <t>09/09/2011</t>
  </si>
  <si>
    <t>Alergia a Corantes; Alergia a Conservantes; Alergia a Fruta - Uva</t>
  </si>
  <si>
    <t>Alergia alimentar - corantes + conservantes + uva</t>
  </si>
  <si>
    <t>EMEI PROF. JOSÉ LA TORRE - (TERCEI.)</t>
  </si>
  <si>
    <t>ESTER MAMEDIA PAZ</t>
  </si>
  <si>
    <t>16/09/2011</t>
  </si>
  <si>
    <t>JOSE PIETRO MARTINS GUIMARAES</t>
  </si>
  <si>
    <t>13/07/2011</t>
  </si>
  <si>
    <t>EMEI PROF. ODILÉA BOTTA DE MATTOS - (TERCEI.)</t>
  </si>
  <si>
    <t>GIOVANNA CORREIA PAIVA</t>
  </si>
  <si>
    <t>14/06/2011</t>
  </si>
  <si>
    <t>Alergia a Corantes; Alergia a Conservantes; Alergia a Salsicha</t>
  </si>
  <si>
    <t>Alergia alimentar - corante + conservante + salsicha</t>
  </si>
  <si>
    <t>EMEI RECANTO CAMPO BELO - PROFA. DIRCE ZILLESG BORGES DOS SANTOS  (TERCEI.)</t>
  </si>
  <si>
    <t>ANA JULIA DA ROCHA ESPACIANI</t>
  </si>
  <si>
    <t>ARTHUR DE LIMA FREITAS CANDELARIA</t>
  </si>
  <si>
    <t>Intolerância à latose (leite sem lactose ou bebida de soja)</t>
  </si>
  <si>
    <t>FELIPI DA SILVA TORRES</t>
  </si>
  <si>
    <t>05/03/2012</t>
  </si>
  <si>
    <t>INTOLERÂNCIA À LACTOSE (LEITE E DERIVADOS SEM LACTOSE)</t>
  </si>
  <si>
    <t>HELOISA VICTORIA PEREIRA DA SILVA</t>
  </si>
  <si>
    <t>24/03/2012</t>
  </si>
  <si>
    <t>Agenesia Renal</t>
  </si>
  <si>
    <t>Agenesia Renal - hipossódica</t>
  </si>
  <si>
    <t>IGOR DOS SANTOS ALVES</t>
  </si>
  <si>
    <t>10/08/2011</t>
  </si>
  <si>
    <t>Alergia a Proteína do Leite de Vaca; Alergia a Corantes; Alergia a Glúten</t>
  </si>
  <si>
    <t>APLV + gluten + corante (suco de fruta)</t>
  </si>
  <si>
    <t>MIGUEL DIAS VIANA</t>
  </si>
  <si>
    <t>28/04/2011</t>
  </si>
  <si>
    <t>CONSTIPAÇÃO INTESTINAL - PADRÃO</t>
  </si>
  <si>
    <t>EMEI SÉRGIO CARDOSO - (TERCEI.)</t>
  </si>
  <si>
    <t>ANA BEATRIZ DE CARVALHO PEREIRA</t>
  </si>
  <si>
    <t>15/01/2012</t>
  </si>
  <si>
    <t>ANA CLARA DE ASSIS</t>
  </si>
  <si>
    <t>12/04/2012</t>
  </si>
  <si>
    <t>GUILHERME HENRIQUE CAETANO DE MOURA</t>
  </si>
  <si>
    <t>29/09/2012</t>
  </si>
  <si>
    <t>Alergia a Ovo; Alergia a Oleaginosas - Amendoim</t>
  </si>
  <si>
    <t>Alergia - ovo + amendoim</t>
  </si>
  <si>
    <t>MIGUEL CURI DA ROCHA FERREIRA</t>
  </si>
  <si>
    <t>03/08/2011</t>
  </si>
  <si>
    <t>PEDRO DOS SANTOS FAGUNDES</t>
  </si>
  <si>
    <t>06/01/2012</t>
  </si>
  <si>
    <t>Hipercolesterolemia - leite desnatado + sem margarina ou requeijão + redução açúcar</t>
  </si>
  <si>
    <t>EMEI VARGEM GRANDE I (TERC)</t>
  </si>
  <si>
    <t>HENRIQUE FERREIRA SANTANA</t>
  </si>
  <si>
    <t>12/04/2008</t>
  </si>
  <si>
    <t>JOAO PEDRO SANTOS PARMACENE</t>
  </si>
  <si>
    <t>27/03/2010</t>
  </si>
  <si>
    <t>LORENA SILVA ROCHA</t>
  </si>
  <si>
    <t>EMEI VILA NATAL (TERC)</t>
  </si>
  <si>
    <t>ANA JULIA BEZERRA VASCONCELOS</t>
  </si>
  <si>
    <t>17/01/2011</t>
  </si>
  <si>
    <t>Constipação/Obstipação Intestinal; Intolerância Alimentar - Leite em pó</t>
  </si>
  <si>
    <t>CONSTIPAÇÃO INTESTINAL RESTRIÇÃO DE LEITE EM PÓ RESTRIÇÃO DE LEITE EM PÓ (PRESCRIÇÃO LEITE UHT)</t>
  </si>
  <si>
    <t>ARTHUR SOUZA SILVA</t>
  </si>
  <si>
    <t>30/07/2012</t>
  </si>
  <si>
    <t>DAVID ENZO SILVEIRA FIGUEIREDO</t>
  </si>
  <si>
    <t>03/11/2011</t>
  </si>
  <si>
    <t>Alergia a Ovo; Alergia a Proteína do Leite de Vaca; Alergia ao Trigo; Alergia a Peixe; Alergia a Frutos do Mar</t>
  </si>
  <si>
    <t>APLV + ovo + trigo + peixe + frutos do mar (bebida de soja)</t>
  </si>
  <si>
    <t>GABRIELLY DOS ANJOS ALVES</t>
  </si>
  <si>
    <t>11/04/2010</t>
  </si>
  <si>
    <t>Intolerância a lactose (alimento a base de soja)</t>
  </si>
  <si>
    <t>GUSTAVO FERREIRA DA SILVA</t>
  </si>
  <si>
    <t>13/01/2012</t>
  </si>
  <si>
    <t>Alergia a Carne Suina; Alergia a Café</t>
  </si>
  <si>
    <t>Alergia - carne suina + café</t>
  </si>
  <si>
    <t>KAUANA SOUSA DE OLIVEIRA</t>
  </si>
  <si>
    <t>08/04/2010</t>
  </si>
  <si>
    <t>MARIA ALICE DOS SANTOS</t>
  </si>
  <si>
    <t>03/08/2010</t>
  </si>
  <si>
    <t>Alergia a Ovo; Alergia a Frutas Cítricas</t>
  </si>
  <si>
    <t>Alergia alimentar - ovo e frutas cítricas (abacaxi, laranja e limão)</t>
  </si>
  <si>
    <t>MARIA EDUARDA RAMALHO DE ALMEIDA</t>
  </si>
  <si>
    <t>14/12/2012</t>
  </si>
  <si>
    <t>Constipação intestinal - restrição leite em pó (leite fluido)</t>
  </si>
  <si>
    <t>MAYRA ANGELO DE BARROS E SILVA</t>
  </si>
  <si>
    <t>31/07/2010</t>
  </si>
  <si>
    <t>Alergia a Proteína do Leite de Vaca; Dieta Pastosa; Refluxo Gastroesofágico</t>
  </si>
  <si>
    <t>Dieta Pastosa + alergia ao leite de vaca + refluxo Mayra Angelo de Barros e Silva</t>
  </si>
  <si>
    <t>OTAVIO BATISTA BRAGA</t>
  </si>
  <si>
    <t>18/04/2012</t>
  </si>
  <si>
    <t>STEFANY DE FRANCA SANTOS</t>
  </si>
  <si>
    <t>28/05/2011</t>
  </si>
  <si>
    <t>EMEI VIRIATO CORREA - (TERCEI.)</t>
  </si>
  <si>
    <t>KAUA FERREIRA DE OLIVEIRA</t>
  </si>
  <si>
    <t>26/01/2012</t>
  </si>
  <si>
    <t>MYGUEL HENRYK SOUZA LIMA</t>
  </si>
  <si>
    <t>27/02/2013</t>
  </si>
  <si>
    <t>Alergia a Ovo; Alergia a Fruta - Abacaxi; Alergia a Carne Suina</t>
  </si>
  <si>
    <t>Alergia - ovo + carne suína + abacaxi</t>
  </si>
  <si>
    <t>YASMIN ALVES DA SILVA</t>
  </si>
  <si>
    <t>14/09/2011</t>
  </si>
  <si>
    <t>EMEI ZUMBI DOS PALMARES - (TERCEI.)</t>
  </si>
  <si>
    <t>JOSUE FERREIRA AZEVEDO</t>
  </si>
  <si>
    <t>07/12/2011</t>
  </si>
  <si>
    <t>Doença Celíaca/Alergia ao glúten; Intolerância à Lactose</t>
  </si>
  <si>
    <t>Intolerância à Lactose + Doença Celíaca (suco de fruta)</t>
  </si>
  <si>
    <t>LUIZ AUGUSTO BORGES ALVES</t>
  </si>
  <si>
    <t>22/06/2011</t>
  </si>
  <si>
    <t>Intolerância alimentar - leite (suco de fruta) - derivados liberados</t>
  </si>
  <si>
    <t>MATHEUS DOS SANTOS</t>
  </si>
  <si>
    <t>17/02/2011</t>
  </si>
  <si>
    <t>Alergia a Ovo; Doença Celíaca/Alergia ao glúten; Alergia a Oleaginosas - Amendoim</t>
  </si>
  <si>
    <t>Alergia ao ovo, amendoim e glúten</t>
  </si>
  <si>
    <t>NATHAN ARAUJO DOS SANTOS</t>
  </si>
  <si>
    <t>19/07/2012</t>
  </si>
  <si>
    <t>PEDRO HENRIQUE MARTINS FERREIRA</t>
  </si>
  <si>
    <t>Dislipidemia - Pedro Henrique</t>
  </si>
  <si>
    <t>PIETRO BOAZ DE CARVALHO AUGUSTO</t>
  </si>
  <si>
    <t>10/03/2012</t>
  </si>
  <si>
    <t>Alergia a Ovo; Alergia a Camarão; Alergia a Oleaginosas - Amendoim</t>
  </si>
  <si>
    <t>Alergia alimentar - ovo + amendoim + camarão</t>
  </si>
  <si>
    <t>VICKTOR JORGE ROCHA</t>
  </si>
  <si>
    <t>19/11/2011</t>
  </si>
  <si>
    <t>YASMIN KAUANI LIMA DE ALCANTARA</t>
  </si>
  <si>
    <t>15/09/2010</t>
  </si>
  <si>
    <t>EMEI</t>
  </si>
  <si>
    <t>AURELIO BUARQUE DE HOLANDA FERREIRA</t>
  </si>
  <si>
    <t>CAPELA DO SOCORRO</t>
  </si>
  <si>
    <t>RUA DR. ARMANDO FAJARDO</t>
  </si>
  <si>
    <t>JARDIM SÃO BERNARDO</t>
  </si>
  <si>
    <t>RUA DR. ARMANDO FAJARDO, 400 - JARDIM SÃO BERNARDO</t>
  </si>
  <si>
    <t>5928-7612</t>
  </si>
  <si>
    <t>MARIA EUGENIA FAKHOURY</t>
  </si>
  <si>
    <t>RUA CONSTELAÇÃO DO ERIDANO</t>
  </si>
  <si>
    <t>JARDIM CAMPINAS</t>
  </si>
  <si>
    <t>RUA CONSTELAÇÃO DO ERIDANO, 200 - JARDIM CAMPINAS</t>
  </si>
  <si>
    <t>JOSE ROSCHEL CHRISTI - JUCA ROCHA</t>
  </si>
  <si>
    <t>RUA GENTIL SCHUNCK ROSCHEL</t>
  </si>
  <si>
    <t>JARDIM N PARELHEIROS</t>
  </si>
  <si>
    <t>RUA GENTIL SCHUNCK ROSCHEL, 79 - JARDIM N PARELHEIROS</t>
  </si>
  <si>
    <t>5921-9964</t>
  </si>
  <si>
    <t>JOAO CANDIDO</t>
  </si>
  <si>
    <t>RUA DANIEL ALOMIA</t>
  </si>
  <si>
    <t>JARDIM CIPRAMAR</t>
  </si>
  <si>
    <t>RUA DANIEL ALOMIA, 310 - JARDIM CIPRAMAR</t>
  </si>
  <si>
    <t>ANGELO KRETA</t>
  </si>
  <si>
    <t>RUA NOVA DELHI</t>
  </si>
  <si>
    <t>JARDIM EDITH</t>
  </si>
  <si>
    <t>RUA NOVA DELHI, 560 - JARDIM EDITH</t>
  </si>
  <si>
    <t>ORLANDO VILLAS BOAS</t>
  </si>
  <si>
    <t>AVENIDA PAULO COSTA BASTOS</t>
  </si>
  <si>
    <t>JARDIM GUANHEMBU</t>
  </si>
  <si>
    <t>AVENIDA PAULO COSTA BASTOS, S/N - JARDIM GUANHEMBU</t>
  </si>
  <si>
    <t>RUA MARCELO BERNARDINI</t>
  </si>
  <si>
    <t>RECANTO CAMPO BELO</t>
  </si>
  <si>
    <t>RUA MARCELO BERNARDINI, S/N - RECANTO CAMPO BELO</t>
  </si>
  <si>
    <t>GRAJAU</t>
  </si>
  <si>
    <t>RUA ALBA VALDEZ</t>
  </si>
  <si>
    <t>JARDIM REIMBERG</t>
  </si>
  <si>
    <t>RUA ALBA VALDEZ, 101 - JARDIM REIMBERG</t>
  </si>
  <si>
    <t>PARQUE RESID. COCAIA</t>
  </si>
  <si>
    <t>JOSE LA TORRE, PROF.</t>
  </si>
  <si>
    <t>RUA ANTONIO MARCONDES BOETA</t>
  </si>
  <si>
    <t>JARDIM ALADIM</t>
  </si>
  <si>
    <t>RUA ANTONIO MARCONDES BOETA, 161 - JARDIM ALADIM</t>
  </si>
  <si>
    <t>RUA VENANCIO POLETTI</t>
  </si>
  <si>
    <t>JARDIM ROSALINI</t>
  </si>
  <si>
    <t>RUA VENANCIO POLETTI, 181 - JARDIM ROSALINI</t>
  </si>
  <si>
    <t>PARELHEIROS</t>
  </si>
  <si>
    <t>JARDIM NOVO PARELHEIROS</t>
  </si>
  <si>
    <t>JARDIM NOVO PARELHEIROS I</t>
  </si>
  <si>
    <t>RUA GENTIL SCHUNCK ROSCHEL, 101 - JARDIM NOVO PARELHEIROS</t>
  </si>
  <si>
    <t>PARQUE COCAIA II</t>
  </si>
  <si>
    <t>RUA JOSÉ JULIO MENDES</t>
  </si>
  <si>
    <t>PARQUE COCAIA</t>
  </si>
  <si>
    <t>RUA JOSÉ JULIO MENDES, 120 - PARQUE COCAIA</t>
  </si>
  <si>
    <t>VARGEM GRANDE I</t>
  </si>
  <si>
    <t>RUA JAQUEIRA</t>
  </si>
  <si>
    <t>RUA JAQUEIRA, 8 - PARELHEIROS</t>
  </si>
  <si>
    <t>VILA NATAL</t>
  </si>
  <si>
    <t>RUA LIMA NATAL</t>
  </si>
  <si>
    <t>RUA LIMA NATAL, 99 - VILA NATAL</t>
  </si>
  <si>
    <t>JARDIM GAIVOTAS</t>
  </si>
  <si>
    <t>ge.ma@ig.com.br</t>
  </si>
  <si>
    <t>ESTRADA CANAL DE COCAIA</t>
  </si>
  <si>
    <t>ESTRADA CANAL DE COCAIA, 5000 - PARQUE RESID. COCAIA</t>
  </si>
  <si>
    <t>04849-032</t>
  </si>
  <si>
    <t>JARDIM MYRNA</t>
  </si>
  <si>
    <t>AVENIDA CARLOS ALBERTO BASTOS MACHADO</t>
  </si>
  <si>
    <t>AVENIDA CARLOS ALBERTO BASTOS MACHADO,  - JARDIM MYRNA</t>
  </si>
  <si>
    <t>04856-080</t>
  </si>
  <si>
    <t>CAMINHO DOS MARTINS</t>
  </si>
  <si>
    <t>ESTRADA DOS MARTINS</t>
  </si>
  <si>
    <t>JARDIM VARGINHA</t>
  </si>
  <si>
    <t>ESTRADA DOS MARTINS, 40 - JARDIM VARGINHA</t>
  </si>
  <si>
    <t>04870-500</t>
  </si>
  <si>
    <t>RUA JOÃO AMÓS COMENIOS</t>
  </si>
  <si>
    <t>RUA JOÃO AMÓS COMENIOS, 797 - JARDIM SÃO BERNARDO</t>
  </si>
  <si>
    <t>04844-720</t>
  </si>
  <si>
    <t>CANAL DO COCAIA</t>
  </si>
  <si>
    <t>bertulezacarvalho@outlook.com</t>
  </si>
  <si>
    <t>ESTRADA CANAL DE COCAIA, 1440 - PARQUE RESID. COCAIA</t>
  </si>
  <si>
    <t>LUIZ GONZAGA DO NASCIMENTO - GONZAGAO</t>
  </si>
  <si>
    <t>RUA JOÃO ROSCHEL CHRISTE</t>
  </si>
  <si>
    <t>RUA JOÃO ROSCHEL CHRISTE, S/N - JARDIM N PARELHEIROS</t>
  </si>
  <si>
    <t>VIRIATO CORREIA</t>
  </si>
  <si>
    <t>RUA BENTO RODRIGUES BASTOS</t>
  </si>
  <si>
    <t>VILA FRIBURGO</t>
  </si>
  <si>
    <t>RUA BENTO RODRIGUES BASTOS, 25 - VILA FRIBURGO</t>
  </si>
  <si>
    <t>CARLOS DRUMMOND DE ANDRADE</t>
  </si>
  <si>
    <t>RUA JAIME SCHUNCK BRANCO</t>
  </si>
  <si>
    <t>SOCORRO</t>
  </si>
  <si>
    <t>RUA JAIME SCHUNCK BRANCO, S/N - SOCORRO</t>
  </si>
  <si>
    <t>CASTRO ALVES</t>
  </si>
  <si>
    <t>RUA MANOEL VITORINO PEREIRA</t>
  </si>
  <si>
    <t>JORDANÓPOLIS</t>
  </si>
  <si>
    <t>RUA MANOEL VITORINO PEREIRA, 93 - JORDANÓPOLIS</t>
  </si>
  <si>
    <t>RIO BRANCO, BR. DO</t>
  </si>
  <si>
    <t>RUA RAFARD</t>
  </si>
  <si>
    <t>RUA RAFARD, S/N - GRAJAU</t>
  </si>
  <si>
    <t>LUIS TRAVASSOS</t>
  </si>
  <si>
    <t>RUA SANTO ANTONIO DO CANTARO</t>
  </si>
  <si>
    <t>JARDIM BONITO</t>
  </si>
  <si>
    <t>RUA SANTO ANTONIO DO CANTARO, 88 - JARDIM BONITO</t>
  </si>
  <si>
    <t>ARISTIDES NOGUEIRA, DR.</t>
  </si>
  <si>
    <t>RUA CAMPOS DO ARAVIL</t>
  </si>
  <si>
    <t>RUA CAMPOS DO ARAVIL, 290 - PARQUE COCAIA</t>
  </si>
  <si>
    <t>ZUMBI DOS PALMARES</t>
  </si>
  <si>
    <t>RUA ARMANDO SPÓSITO</t>
  </si>
  <si>
    <t>PARQUE AMÉRICA</t>
  </si>
  <si>
    <t>RUA ARMANDO SPÓSITO, 225 - PARQUE AMÉRICA</t>
  </si>
  <si>
    <t>MARIALICE MENCARINI FORACCHI</t>
  </si>
  <si>
    <t>RUA FRANCISCO M. OLIVEIRA JR.</t>
  </si>
  <si>
    <t>JARDIM 3 CORAÇÕES</t>
  </si>
  <si>
    <t>RUA FRANCISCO M. OLIVEIRA JR., 318 - JARDIM 3 CORAÇÕES</t>
  </si>
  <si>
    <t>SERGIO CARDOSO</t>
  </si>
  <si>
    <t>RUA DJALMA PESSOLATO</t>
  </si>
  <si>
    <t>JARDIM SATELITE</t>
  </si>
  <si>
    <t>RUA DJALMA PESSOLATO, 57 - JARDIM SATELITE</t>
  </si>
  <si>
    <t>CLARA NUNES</t>
  </si>
  <si>
    <t>RUA ADIB CHAMMAS</t>
  </si>
  <si>
    <t>VELEIROS</t>
  </si>
  <si>
    <t>RUA ADIB CHAMMAS, 104 - VELEIROS</t>
  </si>
  <si>
    <t>5521-2047</t>
  </si>
  <si>
    <t>ALBERT SABIN, DR.</t>
  </si>
  <si>
    <t>AVENIDA JOÃO PAULO DA SILVA</t>
  </si>
  <si>
    <t>VILA FRANCA</t>
  </si>
  <si>
    <t>AVENIDA JOÃO PAULO DA SILVA, S/N - VILA FRANCA</t>
  </si>
  <si>
    <t>OSVALDO CORDEIRO DE FARIAS, MAL.</t>
  </si>
  <si>
    <t>RUA HENRY ARTHUR JONES</t>
  </si>
  <si>
    <t>JARDIM ELIANA</t>
  </si>
  <si>
    <t>RUA HENRY ARTHUR JONES, S/N - JARDIM ELIANA</t>
  </si>
  <si>
    <t>INTEGRAL</t>
  </si>
  <si>
    <t>1º PERÍODO</t>
  </si>
  <si>
    <t>3º PERÍODO</t>
  </si>
  <si>
    <r>
      <t xml:space="preserve">Nº DE ALUNOS MATRICULADOS </t>
    </r>
    <r>
      <rPr>
        <sz val="10"/>
        <color rgb="FFFF0000"/>
        <rFont val="Calibri"/>
        <family val="2"/>
        <scheme val="minor"/>
      </rPr>
      <t>COM DIETA ESPECIAL -  A</t>
    </r>
  </si>
  <si>
    <r>
      <t xml:space="preserve">Nº DE ALUNOS MATRICULADOS </t>
    </r>
    <r>
      <rPr>
        <sz val="10"/>
        <color rgb="FFFF0000"/>
        <rFont val="Calibri"/>
        <family val="2"/>
        <scheme val="minor"/>
      </rPr>
      <t>COM DIETA ESPECIAL -  B</t>
    </r>
  </si>
  <si>
    <t xml:space="preserve">Nº DE ALUNOS MATRICULADOS </t>
  </si>
  <si>
    <t>GUAIANASES</t>
  </si>
  <si>
    <t>G</t>
  </si>
  <si>
    <t>RUA FELICIANO MENDONÇA</t>
  </si>
  <si>
    <t>JARDIM SÃO PAULO</t>
  </si>
  <si>
    <t>RUA FELICIANO MENDONÇA, 502 - JARDIM SÃO PAULO</t>
  </si>
  <si>
    <t>08461-120</t>
  </si>
  <si>
    <t>2557-1947</t>
  </si>
  <si>
    <t>Apetece Sistemas de Alimentação Ltda</t>
  </si>
  <si>
    <t>VICENTE PAULO DA SILVA</t>
  </si>
  <si>
    <t>FREGUÊSIA / BRASILÂNDIA</t>
  </si>
  <si>
    <t>FO</t>
  </si>
  <si>
    <t>RUA DR. FLEURY SILVEIRA</t>
  </si>
  <si>
    <t>VILA SANTA MARIA</t>
  </si>
  <si>
    <t>RUA DR. FLEURY SILVEIRA, 295 - VILA SANTA MARIA</t>
  </si>
  <si>
    <t>02563-010</t>
  </si>
  <si>
    <t>3981-3227</t>
  </si>
  <si>
    <t>SHA Comércio de Alimentos Ltda</t>
  </si>
  <si>
    <t>NAIR CORREA BUARQUE</t>
  </si>
  <si>
    <t>RUA SANTA ANGELA</t>
  </si>
  <si>
    <t>VILA PALMEIRAS</t>
  </si>
  <si>
    <t>RUA SANTA ANGELA, 51 - VILA PALMEIRAS</t>
  </si>
  <si>
    <t>02727-000</t>
  </si>
  <si>
    <t>3932-9355</t>
  </si>
  <si>
    <t>JAÇANÃ / TREMEMBÉ</t>
  </si>
  <si>
    <t>JT</t>
  </si>
  <si>
    <t>RUA GASTÃO MADEIRA</t>
  </si>
  <si>
    <t>VILA MARIA ALTA</t>
  </si>
  <si>
    <t>RUA GASTÃO MADEIRA, S/N - VILA MARIA ALTA</t>
  </si>
  <si>
    <t>02131-080</t>
  </si>
  <si>
    <t>2955-9902</t>
  </si>
  <si>
    <t>WALFRIDO DE CARVALHO, CEL.</t>
  </si>
  <si>
    <t>RUA VICENTE QUEIROL</t>
  </si>
  <si>
    <t>JARDIM MARTINS SILVA</t>
  </si>
  <si>
    <t>RUA VICENTE QUEIROL , 200 - JARDIM MARTINS SILVA</t>
  </si>
  <si>
    <t>02323-040</t>
  </si>
  <si>
    <t>2995-4062</t>
  </si>
  <si>
    <t>CELIA CAMARGO PENTEADO ELIAS, PROFA.</t>
  </si>
  <si>
    <t>SÃO MATEUS</t>
  </si>
  <si>
    <t>SM I</t>
  </si>
  <si>
    <t>RUA JOSE VIEIRA DO RIO</t>
  </si>
  <si>
    <t>PARQUE SÃO RAFAEL</t>
  </si>
  <si>
    <t>RUA JOSE VIEIRA DO RIO, 257 - PARQUE SÃO RAFAEL</t>
  </si>
  <si>
    <t>08320-120</t>
  </si>
  <si>
    <t>ANTONIO RUBBO MULLER, PROF.</t>
  </si>
  <si>
    <t>IPIRANGA</t>
  </si>
  <si>
    <t>IP I</t>
  </si>
  <si>
    <t>RUA CARMINHA</t>
  </si>
  <si>
    <t>PARQUE SÃO LUCAS</t>
  </si>
  <si>
    <t>RUA CARMINHA, 123 - PARQUE SÃO LUCAS</t>
  </si>
  <si>
    <t>03240-040</t>
  </si>
  <si>
    <t>6104-1127</t>
  </si>
  <si>
    <t>04844-590</t>
  </si>
  <si>
    <t>P.R.M. SERVIÇOS E MÃO DE OBRA ESPECIALIZADA EIRELI</t>
  </si>
  <si>
    <t>04858-580</t>
  </si>
  <si>
    <t>VILA CLEMENTINO</t>
  </si>
  <si>
    <t>RUA LOEFGREEN, 1963 - VILA CLEMENTINO</t>
  </si>
  <si>
    <t>04040-033</t>
  </si>
  <si>
    <t>OLGA BENARIO PRESTES</t>
  </si>
  <si>
    <t>RUA IGARAPÉ DA FORTUNA</t>
  </si>
  <si>
    <t>INÁCIO MONTEIRO</t>
  </si>
  <si>
    <t>RUA IGARAPÉ DA FORTUNA, 195 - INÁCIO MONTEIRO</t>
  </si>
  <si>
    <t>08472-400</t>
  </si>
  <si>
    <t>2555-4188</t>
  </si>
  <si>
    <t>DINA KUTNER DE SOUZA - DINA SFAT</t>
  </si>
  <si>
    <t>RUA MANUEL ARAUJO ARAGÃO</t>
  </si>
  <si>
    <t>JARDIM SANTO ALBERTO</t>
  </si>
  <si>
    <t>RUA MANUEL ARAUJO ARAGÃO, 317 - JARDIM SANTO ALBERTO</t>
  </si>
  <si>
    <t>02356-170</t>
  </si>
  <si>
    <t>2204-4883</t>
  </si>
  <si>
    <t>SAVA POPOVIC</t>
  </si>
  <si>
    <t>RUA FRIBURGO</t>
  </si>
  <si>
    <t>LAUZANE PAULISTA</t>
  </si>
  <si>
    <t>RUA FRIBURGO, 12 - LAUZANE PAULISTA</t>
  </si>
  <si>
    <t>02440-000</t>
  </si>
  <si>
    <t>2231-8002</t>
  </si>
  <si>
    <t>OTAVIO JOSE DA SILVA JUNIOR</t>
  </si>
  <si>
    <t>IP II</t>
  </si>
  <si>
    <t>RUA DO FLAMENGO</t>
  </si>
  <si>
    <t>HELIÓPOLIS</t>
  </si>
  <si>
    <t>RUA DO FLAMENGO, 27 - HELIÓPOLIS</t>
  </si>
  <si>
    <t>04236-190</t>
  </si>
  <si>
    <t>2069-9181</t>
  </si>
  <si>
    <t>EDER SADER</t>
  </si>
  <si>
    <t>SM II</t>
  </si>
  <si>
    <t>RUA SARGENTO HERMINIO AURELIO SAMPAIO</t>
  </si>
  <si>
    <t>CONJ. HABIT. MARECHAL MASCARENHAS DE MORAIS</t>
  </si>
  <si>
    <t>RUA SARGENTO HERMINIO AURELIO SAMPAIO, 477 - CONJ. HABIT. MARECHAL MASCARENHAS DE MORAIS</t>
  </si>
  <si>
    <t>08311-410</t>
  </si>
  <si>
    <t>2919-1940</t>
  </si>
  <si>
    <t>ANTONIO ROBERTO ALVES BRAGA, DR.</t>
  </si>
  <si>
    <t>SÃO MIGUEL</t>
  </si>
  <si>
    <t>MP I</t>
  </si>
  <si>
    <t>RUA DOS ESCOTEIROS</t>
  </si>
  <si>
    <t>SÃO MIGUEL PAULISTA</t>
  </si>
  <si>
    <t>RUA DOS ESCOTEIROS, 110 - SÃO MIGUEL PAULISTA</t>
  </si>
  <si>
    <t>08050-350</t>
  </si>
  <si>
    <t>YOLANDA BASSI, PROFA.</t>
  </si>
  <si>
    <t>RUA DO CARDEIRO</t>
  </si>
  <si>
    <t>VILA SANTA INÊS</t>
  </si>
  <si>
    <t>RUA DO CARDEIRO, 12 - VILA SANTA INÊS</t>
  </si>
  <si>
    <t>03812-110</t>
  </si>
  <si>
    <t>04890-410</t>
  </si>
  <si>
    <t>MARIO BENI, DEP.</t>
  </si>
  <si>
    <t>RUA SARA K. DE OLIVEIRA</t>
  </si>
  <si>
    <t>RUA SARA K. DE OLIVEIRA, 258 - CASTRO ALVES</t>
  </si>
  <si>
    <t>08474-000</t>
  </si>
  <si>
    <t>2282-2361</t>
  </si>
  <si>
    <t>FAUSTO RIBEIRO DA SILVA FILHO, DR.</t>
  </si>
  <si>
    <t>MP II</t>
  </si>
  <si>
    <t>RUA ALEXANDRE DIAS NOGUEIRA</t>
  </si>
  <si>
    <t>VILA NOVA CURUÇA</t>
  </si>
  <si>
    <t>RUA ALEXANDRE DIAS NOGUEIRA, 365 - VILA NOVA CURUÇA</t>
  </si>
  <si>
    <t>08031-240</t>
  </si>
  <si>
    <t>CAIO GRACO DA SILVA PRADO</t>
  </si>
  <si>
    <t>RUA PEDRO POMAR</t>
  </si>
  <si>
    <t>JARDIM TEREZA</t>
  </si>
  <si>
    <t>RUA PEDRO POMAR, 74 - JARDIM TEREZA</t>
  </si>
  <si>
    <t>02375-020</t>
  </si>
  <si>
    <t>3851-3508</t>
  </si>
  <si>
    <t>SEVERINO DO RAMO</t>
  </si>
  <si>
    <t>RUA FRANSCISCO MONTEIRO TAVARES</t>
  </si>
  <si>
    <t>JARDIM ROBRU</t>
  </si>
  <si>
    <t>RUA FRANSCISCO MONTEIRO TAVARES, 235 - JARDIM ROBRU</t>
  </si>
  <si>
    <t>08150-190</t>
  </si>
  <si>
    <t>MARIA LUCIA PETIT DA SILVA, PROFA.</t>
  </si>
  <si>
    <t>RUA SOLAR</t>
  </si>
  <si>
    <t>JARDIM ANTARTICA</t>
  </si>
  <si>
    <t>RUA SOLAR, 303 - JARDIM ANTARTICA</t>
  </si>
  <si>
    <t>02652-160</t>
  </si>
  <si>
    <t>2258-2221</t>
  </si>
  <si>
    <t>JANIO QUADROS, PRES.</t>
  </si>
  <si>
    <t>RUA CANTO DO ENGENHO</t>
  </si>
  <si>
    <t>JARDIM JOAMAR</t>
  </si>
  <si>
    <t>RUA CANTO DO ENGENHO, 240 - JARDIM JOAMAR</t>
  </si>
  <si>
    <t>02322-210</t>
  </si>
  <si>
    <t>2203-5677</t>
  </si>
  <si>
    <t>HENRIQUE RICCHETTI, PROF.</t>
  </si>
  <si>
    <t>RUA NEBULOSAS</t>
  </si>
  <si>
    <t>CIDADE SATELITE-SANTA BARBARA</t>
  </si>
  <si>
    <t>RUA NEBULOSAS, 156 - CIDADE SATELITE-SANTA BARBARA</t>
  </si>
  <si>
    <t>08330-430</t>
  </si>
  <si>
    <t>2019-6812</t>
  </si>
  <si>
    <t>MARINA NOGUEIRA DE SOUZA MARTINS</t>
  </si>
  <si>
    <t>AVENIDA DIREITOS HUMANOS</t>
  </si>
  <si>
    <t>ALTO MANDAQUI</t>
  </si>
  <si>
    <t>AVENIDA DIREITOS HUMANOS, 2767 - ALTO MANDAQUI</t>
  </si>
  <si>
    <t>02475-002</t>
  </si>
  <si>
    <t>2203-2214</t>
  </si>
  <si>
    <t>JOSE ROBERTO DE CASTRO RIBEIRO, PROF.</t>
  </si>
  <si>
    <t>RUA ENGENHEIRO CARLOS GRAZIA</t>
  </si>
  <si>
    <t>SANTA ETELVIAN VII A</t>
  </si>
  <si>
    <t>RUA ENGENHEIRO CARLOS GRAZIA, 120 - SANTA ETELVIAN VII A</t>
  </si>
  <si>
    <t>08490-290</t>
  </si>
  <si>
    <t>2964-9385</t>
  </si>
  <si>
    <t>DULCE SALLES FERRAZ, PROFA.</t>
  </si>
  <si>
    <t>RUA OLIVEIRA ROMA</t>
  </si>
  <si>
    <t>SANTA ETELVINA VII A</t>
  </si>
  <si>
    <t>RUA OLIVEIRA ROMA, 16 - SANTA ETELVINA VII A</t>
  </si>
  <si>
    <t>08475-330</t>
  </si>
  <si>
    <t>2282-4147</t>
  </si>
  <si>
    <t>DORACIL DINA BENICIO, PROFA.</t>
  </si>
  <si>
    <t>RUA BIG BOYS</t>
  </si>
  <si>
    <t>JARDIM BARTIRA - ITAIM PAULISTA</t>
  </si>
  <si>
    <t>RUA BIG BOYS, 365 - JARDIM BARTIRA - ITAIM PAULISTA</t>
  </si>
  <si>
    <t>08152-100</t>
  </si>
  <si>
    <t>TITO LIVIO FERREIRA, PROF.</t>
  </si>
  <si>
    <t>RUA JERONIMO SOUTO MAIOR</t>
  </si>
  <si>
    <t>BRASILANDIA</t>
  </si>
  <si>
    <t>RUA JERONIMO SOUTO MAIOR, 300 - BRASILANDIA</t>
  </si>
  <si>
    <t>02834-090</t>
  </si>
  <si>
    <t>3921-2336</t>
  </si>
  <si>
    <t>CIDADE DO SOL</t>
  </si>
  <si>
    <t>RUA ARTISTAS DE HELIÓPOLIS</t>
  </si>
  <si>
    <t>CIDADE NOVA HELIÓPOLIS</t>
  </si>
  <si>
    <t>RUA ARTISTAS DE HELIÓPOLIS, 35 - CIDADE NOVA HELIÓPOLIS</t>
  </si>
  <si>
    <t>04236-100</t>
  </si>
  <si>
    <t>2069-9500</t>
  </si>
  <si>
    <t>EDUARDO KNEESE DE MELLO, PROF.</t>
  </si>
  <si>
    <t>RUA NASCER DO SOL</t>
  </si>
  <si>
    <t>SANTA ETELVINA II A</t>
  </si>
  <si>
    <t>RUA NASCER DO SOL, 425 - SANTA ETELVINA II A</t>
  </si>
  <si>
    <t>08485-020</t>
  </si>
  <si>
    <t>2964-9383</t>
  </si>
  <si>
    <t>ELISIARIO RODRIGUES DE SOUSA, PROF.</t>
  </si>
  <si>
    <t>RUA EDSON DANILO DOTTO</t>
  </si>
  <si>
    <t>RUA EDSON DANILO DOTTO, 520 - SANTA ETELVINA II A</t>
  </si>
  <si>
    <t>08485-280</t>
  </si>
  <si>
    <t>2516-0391</t>
  </si>
  <si>
    <t>CELSO DE SOUSA OLIVEIRA, PROF.</t>
  </si>
  <si>
    <t>RUA ROBERTO LANARI</t>
  </si>
  <si>
    <t>JOVA RURAL</t>
  </si>
  <si>
    <t>RUA ROBERTO LANARI, 1000 - JOVA RURAL</t>
  </si>
  <si>
    <t>02281-209</t>
  </si>
  <si>
    <t>2249-7016</t>
  </si>
  <si>
    <t>VICENTE MATHEUS</t>
  </si>
  <si>
    <t>ITAQUERA</t>
  </si>
  <si>
    <t>IQ</t>
  </si>
  <si>
    <t>RUA ALEXANDRE CHEID</t>
  </si>
  <si>
    <t>PARQUE SAVOY CITY</t>
  </si>
  <si>
    <t>RUA ALEXANDRE CHEID, 60 - PARQUE SAVOY CITY</t>
  </si>
  <si>
    <t>03570-100</t>
  </si>
  <si>
    <t>2743-9527</t>
  </si>
  <si>
    <t>DO LAR SIRIO</t>
  </si>
  <si>
    <t>PENHA</t>
  </si>
  <si>
    <t>PE II</t>
  </si>
  <si>
    <t>RUA SERRA DE BRAGANÇA</t>
  </si>
  <si>
    <t>TATUAPÉ</t>
  </si>
  <si>
    <t>RUA SERRA DE BRAGANÇA, 990 - TATUAPÉ</t>
  </si>
  <si>
    <t>03318-000</t>
  </si>
  <si>
    <t>2296-4326</t>
  </si>
  <si>
    <t>RUTH GONCALVES CHAVES DE SIQUEIRA, PROFA.</t>
  </si>
  <si>
    <t>PE I</t>
  </si>
  <si>
    <t>RUA FIGUEIRA DA POLINÉSIA</t>
  </si>
  <si>
    <t>ERMELINO MATARAZZO</t>
  </si>
  <si>
    <t>RUA FIGUEIRA DA POLINÉSIA, 373 - ERMELINO MATARAZZO</t>
  </si>
  <si>
    <t>03813-000</t>
  </si>
  <si>
    <t>MARIA LUIZA MORETTI GENTILE, PROFA.</t>
  </si>
  <si>
    <t>RUA JACARAIPE</t>
  </si>
  <si>
    <t>VILA PRUDENTE</t>
  </si>
  <si>
    <t>RUA JACARAIPE, 550 - VILA PRUDENTE</t>
  </si>
  <si>
    <t>03152-150</t>
  </si>
  <si>
    <t>2341-6029</t>
  </si>
  <si>
    <t>VALENTINA ANTONINI DA SILVA, PROFA.</t>
  </si>
  <si>
    <t>RUA CONCEIÇÃO DO ALMEIDA</t>
  </si>
  <si>
    <t>VILA MARA</t>
  </si>
  <si>
    <t>RUA CONCEIÇÃO DO ALMEIDA, 120 - VILA MARA</t>
  </si>
  <si>
    <t>08081-370</t>
  </si>
  <si>
    <t>SEBASTIANA DE ARRUDA CRUZ OLIVEIRA, PROFA.</t>
  </si>
  <si>
    <t>RUA PAULO TAPAJÓS</t>
  </si>
  <si>
    <t>ENCOSTA NORTE</t>
  </si>
  <si>
    <t>RUA PAULO TAPAJÓS, 210 - ENCOSTA NORTE</t>
  </si>
  <si>
    <t>08131-360</t>
  </si>
  <si>
    <t>HELENA LOPES SANTANA DA SILVA, PROFA.</t>
  </si>
  <si>
    <t>RUA ANDES</t>
  </si>
  <si>
    <t>RUA ANDES, 851 - GUAIANASES</t>
  </si>
  <si>
    <t>08440-180</t>
  </si>
  <si>
    <t>2554-4458</t>
  </si>
  <si>
    <t>JOSE JOAQUIM DA SILVA</t>
  </si>
  <si>
    <t>RUA SD ANESIO ANTÃO FERREIRA</t>
  </si>
  <si>
    <t>PARQUE NOVO MUNDO</t>
  </si>
  <si>
    <t>RUA SD ANESIO ANTÃO FERREIRA, 120 - PARQUE NOVO MUNDO</t>
  </si>
  <si>
    <t>02142-000</t>
  </si>
  <si>
    <t>2212-1644</t>
  </si>
  <si>
    <t>ANTONIO FIGUEIREDO AMARAL</t>
  </si>
  <si>
    <t>RUA LEONARDO JONES JÚNIOR</t>
  </si>
  <si>
    <t>BARRA FUNDA</t>
  </si>
  <si>
    <t>RUA LEONARDO JONES JÚNIOR         , 34 - BARRA FUNDA</t>
  </si>
  <si>
    <t>01138-040</t>
  </si>
  <si>
    <t>3392-1591</t>
  </si>
  <si>
    <t>LUCILIA DE ANDRADE FERREIRA, PROFA.</t>
  </si>
  <si>
    <t>RUA CACHOEIRA DO TRIUNFO</t>
  </si>
  <si>
    <t>BARRO BRANCO II</t>
  </si>
  <si>
    <t>RUA CACHOEIRA DO TRIUNFO, 55 - BARRO BRANCO II</t>
  </si>
  <si>
    <t>08475-080</t>
  </si>
  <si>
    <t>2516-0376</t>
  </si>
  <si>
    <t>MARIA DE LOURDES COUTINHO TORRES, DA.</t>
  </si>
  <si>
    <t>RUA BARTOLOMEU GONCALVES</t>
  </si>
  <si>
    <t>JARDIM ESTER</t>
  </si>
  <si>
    <t>RUA BARTOLOMEU GONCALVES, 45 - JARDIM ESTER</t>
  </si>
  <si>
    <t>08330-240</t>
  </si>
  <si>
    <t>2012-4304</t>
  </si>
  <si>
    <t>CEZAR ROGERIO OLIVEIRA PERAMEZZA, PROF.</t>
  </si>
  <si>
    <t>RUA PROF. THIRE</t>
  </si>
  <si>
    <t>VILA NHOCUNÉ</t>
  </si>
  <si>
    <t>RUA PROF. THIRE, 151 - VILA NHOCUNÉ</t>
  </si>
  <si>
    <t>03561-010</t>
  </si>
  <si>
    <t>2742-8108</t>
  </si>
  <si>
    <t>ALEX FREUA NETTO, VER.</t>
  </si>
  <si>
    <t>RUA SANTANA DO ARAÇUAI</t>
  </si>
  <si>
    <t>JARDIM GUARANI</t>
  </si>
  <si>
    <t>RUA SANTANA DO ARAÇUAI, 185 - JARDIM GUARANI</t>
  </si>
  <si>
    <t>02849-130</t>
  </si>
  <si>
    <t>3921-2648</t>
  </si>
  <si>
    <t>RUA TANQUE VELHO</t>
  </si>
  <si>
    <t>VILA CONSTANÇA</t>
  </si>
  <si>
    <t>RUA TANQUE VELHO, 2277 - VILA CONSTANÇA</t>
  </si>
  <si>
    <t>02251-002</t>
  </si>
  <si>
    <t>2240-7177</t>
  </si>
  <si>
    <t>RUA GEOVANNI ALBERONI</t>
  </si>
  <si>
    <t>VILA CARDOSO FRANCO</t>
  </si>
  <si>
    <t>RUA GEOVANNI ALBERONI, 132 - VILA CARDOSO FRANCO</t>
  </si>
  <si>
    <t>03978-060</t>
  </si>
  <si>
    <t>2704-3183</t>
  </si>
  <si>
    <t>JOSEMARIA ESCRIVA, BEM-AVENTURADO</t>
  </si>
  <si>
    <t>RUA PROF. ARNALDO JOÃO SEMERARO</t>
  </si>
  <si>
    <t>JARDIM STA EMILIA</t>
  </si>
  <si>
    <t>RUA PROF. ARNALDO JOÃO SEMERARO, 456 - JARDIM STA EMILIA</t>
  </si>
  <si>
    <t>04184-000</t>
  </si>
  <si>
    <t>2331-4631</t>
  </si>
  <si>
    <t>JOAO MENDONCA FALCAO</t>
  </si>
  <si>
    <t>RUA CEL. MURSA</t>
  </si>
  <si>
    <t>BRÁS</t>
  </si>
  <si>
    <t>RUA CEL. MURSA, 167 - BRÁS</t>
  </si>
  <si>
    <t>03043-050</t>
  </si>
  <si>
    <t>3277-8722</t>
  </si>
  <si>
    <t>GESSY GEBARA, PROFA.</t>
  </si>
  <si>
    <t>RUA CACHOEIRA DAS GARÇASS/N.</t>
  </si>
  <si>
    <t>SÍTIO CONCEIÇÃO</t>
  </si>
  <si>
    <t>RUA CACHOEIRA DAS GARÇASS/N., S/N - SÍTIO CONCEIÇÃO</t>
  </si>
  <si>
    <t>08473-010</t>
  </si>
  <si>
    <t>2555-4182</t>
  </si>
  <si>
    <t>ANTONIO CALLADO</t>
  </si>
  <si>
    <t>RUA ARAGUACEMA</t>
  </si>
  <si>
    <t>BAIRRO DO LIMÃO</t>
  </si>
  <si>
    <t>RUA ARAGUACEMA, 100 - BAIRRO DO LIMÃO</t>
  </si>
  <si>
    <t>02558-070</t>
  </si>
  <si>
    <t>3858-1244</t>
  </si>
  <si>
    <t>ADALBERTO PANZAN, DR.</t>
  </si>
  <si>
    <t>RUA LUISA SARAZIM</t>
  </si>
  <si>
    <t>JARDIM DAS LARANJEIRAS</t>
  </si>
  <si>
    <t>RUA LUISA SARAZIM, 29 - JARDIM DAS LARANJEIRAS</t>
  </si>
  <si>
    <t>08372-100</t>
  </si>
  <si>
    <t>2731-3594</t>
  </si>
  <si>
    <t>THEREZA THE DE CARVALHO, PROFA.</t>
  </si>
  <si>
    <t>RUA BARRA DO CAMARAGIBE</t>
  </si>
  <si>
    <t>VILA GUARANI</t>
  </si>
  <si>
    <t>RUA BARRA DO CAMARAGIBE, 200 - VILA GUARANI</t>
  </si>
  <si>
    <t>03383-120</t>
  </si>
  <si>
    <t>2005-8177</t>
  </si>
  <si>
    <t>MARIA CECILIA DEZAN ROCHA, PROFA.</t>
  </si>
  <si>
    <t>RUA ADAUTO FERNANDES DE ANDRADE</t>
  </si>
  <si>
    <t>PARQUE DOS BANCÁRIOS</t>
  </si>
  <si>
    <t>RUA ADAUTO FERNANDES DE ANDRADE, 51 - PARQUE DOS BANCÁRIOS</t>
  </si>
  <si>
    <t>03923-070</t>
  </si>
  <si>
    <t>2143-2411</t>
  </si>
  <si>
    <t>JOAO RUBENS MARCELO</t>
  </si>
  <si>
    <t>RUA AZEVEDO E BRITO</t>
  </si>
  <si>
    <t>VILA FORMOSA</t>
  </si>
  <si>
    <t>RUA AZEVEDO E BRITO, 395 - VILA FORMOSA</t>
  </si>
  <si>
    <t>03366-040</t>
  </si>
  <si>
    <t>2783-7466</t>
  </si>
  <si>
    <t>DINAH FERNANDES COSTA , PROFA.</t>
  </si>
  <si>
    <t>RUA JOSÉ GIORDANO</t>
  </si>
  <si>
    <t>PARQUE PAINEIRAS</t>
  </si>
  <si>
    <t>RUA JOSÉ GIORDANO, 736 - PARQUE PAINEIRAS</t>
  </si>
  <si>
    <t>03694-010</t>
  </si>
  <si>
    <t>2042-3332</t>
  </si>
  <si>
    <t>NEUSA CONCEICAO STINCHI, PROFA.</t>
  </si>
  <si>
    <t>PRAÇA CEL EZEQUIEL</t>
  </si>
  <si>
    <t>JARDIM DANFER</t>
  </si>
  <si>
    <t>PRAÇA CEL EZEQUIEL, 10 - JARDIM DANFER</t>
  </si>
  <si>
    <t>03728-100</t>
  </si>
  <si>
    <t>2621-3356</t>
  </si>
  <si>
    <t>CLEIDE MOREIRA DOS SANTOS, PROFA.</t>
  </si>
  <si>
    <t>RUA DELMAR SAOARES</t>
  </si>
  <si>
    <t>VILA PEDRA BRANCA</t>
  </si>
  <si>
    <t>RUA DELMAR SAOARES, S/N - VILA PEDRA BRANCA</t>
  </si>
  <si>
    <t>02635-170</t>
  </si>
  <si>
    <t>2258-5463</t>
  </si>
  <si>
    <t>DALMO AMARAL MACHADO, PROF.</t>
  </si>
  <si>
    <t>RUA JOÃO CARLOS AMAT</t>
  </si>
  <si>
    <t>ITAIM PAULISTA</t>
  </si>
  <si>
    <t>RUA JOÃO CARLOS AMAT, 15 - ITAIM PAULISTA</t>
  </si>
  <si>
    <t>08111-760</t>
  </si>
  <si>
    <t>04851-030</t>
  </si>
  <si>
    <t>MARGARETH DE FATIMA MARQUES DE AZEVEDO</t>
  </si>
  <si>
    <t>RUA AUGUSTO RODRIGUES</t>
  </si>
  <si>
    <t>JARDIM FONTÁLIS</t>
  </si>
  <si>
    <t>RUA AUGUSTO RODRIGUES, 262 - JARDIM FONTÁLIS</t>
  </si>
  <si>
    <t>02360-010</t>
  </si>
  <si>
    <t>2992-8012</t>
  </si>
  <si>
    <t>SILVIO CALDAS, COMPOSITOR</t>
  </si>
  <si>
    <t>emeisilviocaldas@prefeitura..sp.gov.br</t>
  </si>
  <si>
    <t>RUA ANDRE PUJOSS/N</t>
  </si>
  <si>
    <t>JARDIM CELESTE</t>
  </si>
  <si>
    <t>RUA ANDRE PUJOSS/N , S/N - JARDIM CELESTE</t>
  </si>
  <si>
    <t>04195-040</t>
  </si>
  <si>
    <t>2331-9907</t>
  </si>
  <si>
    <t>04813-240</t>
  </si>
  <si>
    <t>CLEMENCIA FERREIRA DA SILVA</t>
  </si>
  <si>
    <t>RUA BARÃO DE CALERA</t>
  </si>
  <si>
    <t>RUA BARÃO DE CALERA, 7 - SÃO MIGUEL PAULISTA</t>
  </si>
  <si>
    <t>08070-050</t>
  </si>
  <si>
    <t>2297-4571</t>
  </si>
  <si>
    <t>MARIA DA LUZ SILVA DE OLIVEIRA, PROFA.</t>
  </si>
  <si>
    <t>RUA ERVA DO SERENO</t>
  </si>
  <si>
    <t>RUA ERVA DO SERENO, 103 - SÃO MIGUEL PAULISTA</t>
  </si>
  <si>
    <t>08180-010</t>
  </si>
  <si>
    <t>FRANCISCO ADAUTO RODRIGUES</t>
  </si>
  <si>
    <t>RUA AGUARICO</t>
  </si>
  <si>
    <t>JARDIM HELENA</t>
  </si>
  <si>
    <t>RUA AGUARICO, 5 - JARDIM HELENA</t>
  </si>
  <si>
    <t>08371-150</t>
  </si>
  <si>
    <t>2731-9100</t>
  </si>
  <si>
    <t>RUA CORVETA JEQUITINHONHA</t>
  </si>
  <si>
    <t>VILA PROGRESSO</t>
  </si>
  <si>
    <t>RUA CORVETA JEQUITINHONHA, 731 - VILA PROGRESSO</t>
  </si>
  <si>
    <t>08240-620</t>
  </si>
  <si>
    <t>2053-6312</t>
  </si>
  <si>
    <t>LUIS BIRAGHI, MONSENHOR</t>
  </si>
  <si>
    <t>RUA JOAQUIM FERREIRA DE OLIVEIRA</t>
  </si>
  <si>
    <t>JARDIM Nª Sª DO CARMO</t>
  </si>
  <si>
    <t>RUA JOAQUIM FERREIRA DE OLIVEIRA, 50 - JARDIM Nª Sª DO CARMO</t>
  </si>
  <si>
    <t>08270-480</t>
  </si>
  <si>
    <t>04814-720</t>
  </si>
  <si>
    <t>04880-080</t>
  </si>
  <si>
    <t>JARDIM VILA NOVA</t>
  </si>
  <si>
    <t>AVENIDA ERNESTO SOUZA CRUZ</t>
  </si>
  <si>
    <t>CIDADE A. E. CARVALHO</t>
  </si>
  <si>
    <t>AVENIDA ERNESTO SOUZA CRUZ, 2171 - CIDADE A. E. CARVALHO</t>
  </si>
  <si>
    <t>08225-310</t>
  </si>
  <si>
    <t>NENE DO AMANHA</t>
  </si>
  <si>
    <t>AVENIDA ALVINÓPOLIS</t>
  </si>
  <si>
    <t>VILA CENTENÁRIO</t>
  </si>
  <si>
    <t>AVENIDA ALVINÓPOLIS, 1360 - VILA CENTENÁRIO</t>
  </si>
  <si>
    <t>03644-070</t>
  </si>
  <si>
    <t>GLEBA DO PESSEGO</t>
  </si>
  <si>
    <t>RUA DEMETER</t>
  </si>
  <si>
    <t>GLEBA DO PÊSSEGO</t>
  </si>
  <si>
    <t>RUA DEMETER, 200 - GLEBA DO PÊSSEGO</t>
  </si>
  <si>
    <t>08265-300</t>
  </si>
  <si>
    <t>2522-8763</t>
  </si>
  <si>
    <t>CONJ. HABITACIONAL SAO FRANCISCO</t>
  </si>
  <si>
    <t>TRAVESSA CORUJA DO CAMPO</t>
  </si>
  <si>
    <t>RODOLFO PIRANI</t>
  </si>
  <si>
    <t>TRAVESSA CORUJA DO CAMPO, 100 - RODOLFO PIRANI</t>
  </si>
  <si>
    <t>08310-410</t>
  </si>
  <si>
    <t>2751-6172</t>
  </si>
  <si>
    <t>CONJ. HABITACIONAL GOITI</t>
  </si>
  <si>
    <t>RUA DOS LIRIOS</t>
  </si>
  <si>
    <t>VILA CAMPANELA</t>
  </si>
  <si>
    <t>RUA DOS LIRIOS, S/N - VILA CAMPANELA</t>
  </si>
  <si>
    <t>08220-280</t>
  </si>
  <si>
    <t>2049-2972</t>
  </si>
  <si>
    <t>SANTO DIAS DA SILVA</t>
  </si>
  <si>
    <t>RUA MICHAEL MATTARS/N</t>
  </si>
  <si>
    <t>JARDIM PATENTE</t>
  </si>
  <si>
    <t>RUA MICHAEL MATTARS/N, S/N - JARDIM PATENTE</t>
  </si>
  <si>
    <t>04256-215</t>
  </si>
  <si>
    <t>2352-0099</t>
  </si>
  <si>
    <t>GLOBO DO SOL</t>
  </si>
  <si>
    <t>emeigsol@prefeitura.sp.gov,br</t>
  </si>
  <si>
    <t>RUA GLOBO DO SOL</t>
  </si>
  <si>
    <t>JARDIM PEDRO JOSÉ NUNES</t>
  </si>
  <si>
    <t>RUA GLOBO DO SOL, 85 - JARDIM PEDRO JOSÉ NUNES</t>
  </si>
  <si>
    <t>08061-290</t>
  </si>
  <si>
    <t>ALFREDO VOLPI</t>
  </si>
  <si>
    <t>RUA GEORGE BEKESY</t>
  </si>
  <si>
    <t>FAZENDA DA JUTA</t>
  </si>
  <si>
    <t>RUA GEORGE BEKESY, 16 - FAZENDA DA JUTA</t>
  </si>
  <si>
    <t>03974-015</t>
  </si>
  <si>
    <t>2012-1655</t>
  </si>
  <si>
    <t>APARECIDA CANDIDA DOS SANTOS DE JESUS - DONA CIDICA</t>
  </si>
  <si>
    <t>RUA ALEXANDRE GROPPALI</t>
  </si>
  <si>
    <t>RUA ALEXANDRE GROPPALI, 179 - FAZENDA DA JUTA</t>
  </si>
  <si>
    <t>03977-414</t>
  </si>
  <si>
    <t>2011-8238</t>
  </si>
  <si>
    <t>RAUL NEMENZ, PROF</t>
  </si>
  <si>
    <t>RUA ALFONSO ASTURAROS/N.</t>
  </si>
  <si>
    <t>RUA ALFONSO ASTURAROS/N. , S/N - BARRO BRANCO II</t>
  </si>
  <si>
    <t>08473-591</t>
  </si>
  <si>
    <t>WILSON REIS SANTOS</t>
  </si>
  <si>
    <t>RUA FRANCISCO DE SOUTO MAIOR</t>
  </si>
  <si>
    <t>14 A</t>
  </si>
  <si>
    <t>JARDIM LOURDES</t>
  </si>
  <si>
    <t>RUA FRANCISCO DE SOUTO MAIOR, 14 A - JARDIM LOURDES</t>
  </si>
  <si>
    <t>08452-430</t>
  </si>
  <si>
    <t>2963-3379</t>
  </si>
  <si>
    <t>RUA LOURENÇO FRANCO DO PRADO</t>
  </si>
  <si>
    <t>RUA LOURENÇO FRANCO DO PRADO, 131 - ITAIM PAULISTA</t>
  </si>
  <si>
    <t>08142-230</t>
  </si>
  <si>
    <t>JOSE ROBSON COSTA DE ARAUJO, BOMBEIRO</t>
  </si>
  <si>
    <t>RUA MONS PAULO FERNANDES DE BARROS</t>
  </si>
  <si>
    <t>JARDIM CACHOEIRA</t>
  </si>
  <si>
    <t>RUA MONS PAULO FERNANDES DE BARROS, S/N - JARDIM CACHOEIRA</t>
  </si>
  <si>
    <t>02762-100</t>
  </si>
  <si>
    <t>3983-1191</t>
  </si>
  <si>
    <t>04845-200</t>
  </si>
  <si>
    <t>CARLOS EDUARDO DE CAMARGO ARANHA, DR.</t>
  </si>
  <si>
    <t>RUA DO BOQUEIRÃO</t>
  </si>
  <si>
    <t>JARDIM DA SAUDE</t>
  </si>
  <si>
    <t>RUA DO BOQUEIRÃO, 107 - JARDIM DA SAUDE</t>
  </si>
  <si>
    <t>04293-000</t>
  </si>
  <si>
    <t>5058-2002</t>
  </si>
  <si>
    <t>04883-210</t>
  </si>
  <si>
    <t>MARIA APARECIDA LARA COIADO, PROFA</t>
  </si>
  <si>
    <t>RUA COMANDANTE CARLOS RUHL</t>
  </si>
  <si>
    <t>VILA PRINCESA ISABEL</t>
  </si>
  <si>
    <t>RUA COMANDANTE CARLOS RUHL, 134 - VILA PRINCESA ISABEL</t>
  </si>
  <si>
    <t>08410-130</t>
  </si>
  <si>
    <t>FERNANDO SABINO</t>
  </si>
  <si>
    <t>RUA OLHO D'ÁGUA DO BORGES</t>
  </si>
  <si>
    <t>CANGAÍBA</t>
  </si>
  <si>
    <t>RUA OLHO D'ÁGUA DO BORGES, 290 - CANGAÍBA</t>
  </si>
  <si>
    <t>03820-000</t>
  </si>
  <si>
    <t>JARDIM IMPERADOR</t>
  </si>
  <si>
    <t>RUA EUGENÓPOLIS</t>
  </si>
  <si>
    <t>RUA EUGENÓPOLIS, S/N - JARDIM IMPERADOR</t>
  </si>
  <si>
    <t>03934-090</t>
  </si>
  <si>
    <t>2725-1575</t>
  </si>
  <si>
    <t>CELIA RIBEIRO LANDIM, PROFA</t>
  </si>
  <si>
    <t>CRAVEIRO DO CAMPO</t>
  </si>
  <si>
    <t>CRAVEIRO DO CAMPO , S/N - JARDIM HELENA</t>
  </si>
  <si>
    <t>08090-590</t>
  </si>
  <si>
    <t>2581-3605</t>
  </si>
  <si>
    <t>EDI GREENFIELD, PROFA.</t>
  </si>
  <si>
    <t>RUA DESEMB. FERNANDO DE ALBUQUERQUE PRADO</t>
  </si>
  <si>
    <t>RUA DESEMB. FERNANDO DE ALBUQUERQUE PRADO, 650 - ITAIM PAULISTA</t>
  </si>
  <si>
    <t>08130-110</t>
  </si>
  <si>
    <t>RUA MARIO QUINTANA</t>
  </si>
  <si>
    <t>JARDIM SÃO SAVÉRI</t>
  </si>
  <si>
    <t>RUA MARIO QUINTANA, 15 - JARDIM SÃO SAVÉRI</t>
  </si>
  <si>
    <t>04194-260</t>
  </si>
  <si>
    <t>2331-4745</t>
  </si>
  <si>
    <t>JARDIM DA CONQUISTA II</t>
  </si>
  <si>
    <t>TRAVESSA JAMBALAYA</t>
  </si>
  <si>
    <t>JARDIM DA CONQUISTA</t>
  </si>
  <si>
    <t>TRAVESSA JAMBALAYA, 49 - JARDIM DA CONQUISTA</t>
  </si>
  <si>
    <t>08344-220</t>
  </si>
  <si>
    <t>2735-4695</t>
  </si>
  <si>
    <t>04836-110</t>
  </si>
  <si>
    <t>RUA ELSA MORANTE</t>
  </si>
  <si>
    <t>JARDIM SÃO FRANCISCO</t>
  </si>
  <si>
    <t>RUA ELSA MORANTE, 58 - JARDIM SÃO FRANCISCO</t>
  </si>
  <si>
    <t>08390-324</t>
  </si>
  <si>
    <t>2753-0830</t>
  </si>
  <si>
    <t>PRAÇA JANDAIRA</t>
  </si>
  <si>
    <t>PRAÇA JANDAIRA, S/N - CIDADE A. E. CARVALHO</t>
  </si>
  <si>
    <t>08225-390</t>
  </si>
  <si>
    <t>2046-9633</t>
  </si>
  <si>
    <t>JARDIM KERALUX</t>
  </si>
  <si>
    <t>RUA BATUÍRA DO CAMPO</t>
  </si>
  <si>
    <t>RUA BATUÍRA DO CAMPO, 47 - JARDIM KERALUX</t>
  </si>
  <si>
    <t>03828-110</t>
  </si>
  <si>
    <t>2214-3500</t>
  </si>
  <si>
    <t>ELIZA MARA TORRES, PROFA</t>
  </si>
  <si>
    <t>RUA BAIA DE CAETE</t>
  </si>
  <si>
    <t>LAJEADO</t>
  </si>
  <si>
    <t>RUA BAIA DE CAETE, S/N - LAJEADO</t>
  </si>
  <si>
    <t>08430-027</t>
  </si>
  <si>
    <t>NAJLA CURI IZAR</t>
  </si>
  <si>
    <t>RUA PAULO GRACINDO</t>
  </si>
  <si>
    <t>GUAIANAZES</t>
  </si>
  <si>
    <t>RUA PAULO GRACINDO, 53 - GUAIANAZES</t>
  </si>
  <si>
    <t>08421-520</t>
  </si>
  <si>
    <t>2153-4191</t>
  </si>
  <si>
    <t>EDALZIR SAMPAIO LIPORONI, PROFA.</t>
  </si>
  <si>
    <t>RUA NOSSA SENHORA APARECIDA</t>
  </si>
  <si>
    <t>PARQUE VILA MARIA</t>
  </si>
  <si>
    <t>RUA NOSSA SENHORA APARECIDA, 5 - PARQUE VILA MARIA</t>
  </si>
  <si>
    <t>02169-290</t>
  </si>
  <si>
    <t>2955-5267</t>
  </si>
  <si>
    <t>BERNARDINO PIMENTEL MENDES, DR</t>
  </si>
  <si>
    <t>AVENIDA INAJAR DE SOUZA</t>
  </si>
  <si>
    <t>JARDIM DOS FRANCOS</t>
  </si>
  <si>
    <t>AVENIDA INAJAR DE SOUZA, 6955 - JARDIM DOS FRANCOS</t>
  </si>
  <si>
    <t>02675-070</t>
  </si>
  <si>
    <t>3984-7516</t>
  </si>
  <si>
    <t>VILA VERDE</t>
  </si>
  <si>
    <t>RUA ORLANDO FRATUCELLI</t>
  </si>
  <si>
    <t>RUA ORLANDO FRATUCELLI, 150 - VILA VERDE</t>
  </si>
  <si>
    <t>08230-520</t>
  </si>
  <si>
    <t>2051-9504</t>
  </si>
  <si>
    <t>ALDO GIANNINI, ENG.</t>
  </si>
  <si>
    <t>RUA ARRAIAL DE SANTA BARBARA</t>
  </si>
  <si>
    <t>RUA ARRAIAL DE SANTA BARBARA, 1080 - JARDIM PEDRO JOSÉ NUNES</t>
  </si>
  <si>
    <t>08061-360</t>
  </si>
  <si>
    <t>VILA EMA</t>
  </si>
  <si>
    <t>RUA ANTÔNIO PIRES DE CAMPOS</t>
  </si>
  <si>
    <t>RUA ANTÔNIO PIRES DE CAMPOS, 98 - VILA EMA</t>
  </si>
  <si>
    <t>03283-060</t>
  </si>
  <si>
    <t>JARDIM PREMIANO</t>
  </si>
  <si>
    <t>AV. DO PROGRESSO</t>
  </si>
  <si>
    <t>JARDIM MARILU</t>
  </si>
  <si>
    <t>AV. DO PROGRESSO, 150 - JARDIM MARILU</t>
  </si>
  <si>
    <t>08371-410</t>
  </si>
  <si>
    <t>04850-140</t>
  </si>
  <si>
    <t>RUA NUBIA</t>
  </si>
  <si>
    <t>VILA NOVA UNIÃO</t>
  </si>
  <si>
    <t>RUA NUBIA, 40 - VILA NOVA UNIÃO</t>
  </si>
  <si>
    <t>08072-012</t>
  </si>
  <si>
    <t>LOURO ROSA</t>
  </si>
  <si>
    <t>RUA LOURO ROSA</t>
  </si>
  <si>
    <t>JARDIM CAMARGO NOVO</t>
  </si>
  <si>
    <t>RUA LOURO ROSA, 18 - JARDIM CAMARGO NOVO</t>
  </si>
  <si>
    <t>08141-670</t>
  </si>
  <si>
    <t>JARDIM MONJOLO I</t>
  </si>
  <si>
    <t>RUA CALIXTO DE ALMEIDA</t>
  </si>
  <si>
    <t>442-A</t>
  </si>
  <si>
    <t>FREGUESIA DO Ó</t>
  </si>
  <si>
    <t>RUA CALIXTO DE ALMEIDA, 442-A - FREGUESIA DO Ó</t>
  </si>
  <si>
    <t>02961-000</t>
  </si>
  <si>
    <t>PEDRO ALVARES CABRAL MORAES, PROF.</t>
  </si>
  <si>
    <t>RUA LEONOR F. COSTA ZACHARIAS</t>
  </si>
  <si>
    <t>VILA GUILHERME</t>
  </si>
  <si>
    <t>RUA LEONOR F. COSTA ZACHARIAS, 2150 - VILA GUILHERME</t>
  </si>
  <si>
    <t>02052-020</t>
  </si>
  <si>
    <t>2905-2956</t>
  </si>
  <si>
    <t>04896-160</t>
  </si>
  <si>
    <t>ISOLINA LEONEL FERREIRA, PROFA.</t>
  </si>
  <si>
    <t>ESTRADA DAS LÁGRIMAS</t>
  </si>
  <si>
    <t>SACOMÃ</t>
  </si>
  <si>
    <t>ESTRADA DAS LÁGRIMAS, 603 - SACOMÃ</t>
  </si>
  <si>
    <t>04232-000</t>
  </si>
  <si>
    <t>MARISA RICCA XIMENES, PROFA.</t>
  </si>
  <si>
    <t>RUA VERATRO</t>
  </si>
  <si>
    <t>JARDIM PANORAMA</t>
  </si>
  <si>
    <t>RUA VERATRO, S/N - JARDIM PANORAMA</t>
  </si>
  <si>
    <t>03245-060</t>
  </si>
  <si>
    <t>2036-1132</t>
  </si>
  <si>
    <t>04863-150</t>
  </si>
  <si>
    <t>RUA ITAPIPINAS</t>
  </si>
  <si>
    <t>JARDIM ARTHUR ALVIM</t>
  </si>
  <si>
    <t>RUA ITAPIPINAS, 570 - JARDIM ARTHUR ALVIM</t>
  </si>
  <si>
    <t>03687-020</t>
  </si>
  <si>
    <t>PORTO NACIONAL</t>
  </si>
  <si>
    <t>RUA PORTO NACIONAL</t>
  </si>
  <si>
    <t>VILA SIQUEIRA</t>
  </si>
  <si>
    <t>RUA PORTO NACIONAL, 260 - VILA SIQUEIRA</t>
  </si>
  <si>
    <t>02817-080</t>
  </si>
  <si>
    <t>3922-5602</t>
  </si>
  <si>
    <t>RUA MOACIR GOMES DE ALMEIDA</t>
  </si>
  <si>
    <t>VILA PAULISTA I</t>
  </si>
  <si>
    <t>RUA MOACIR GOMES DE ALMEIDA, S/N - VILA PAULISTA I</t>
  </si>
  <si>
    <t>08490-640</t>
  </si>
  <si>
    <t>PARQUE SANTA RITA I</t>
  </si>
  <si>
    <t>AVENIDA FERNANDO FIGUEIREDO LINS</t>
  </si>
  <si>
    <t>PARQUE SANTA RITA</t>
  </si>
  <si>
    <t>AVENIDA FERNANDO FIGUEIREDO LINS, S/N - PARQUE SANTA RITA</t>
  </si>
  <si>
    <t>08140-040</t>
  </si>
  <si>
    <t>RUA ROBERTO SAID</t>
  </si>
  <si>
    <t>RUA ROBERTO SAID, 183 - ITAIM PAULISTA</t>
  </si>
  <si>
    <t>08142-185</t>
  </si>
  <si>
    <t>BEGONIA REAL</t>
  </si>
  <si>
    <t>RUA HERA DO CANADA</t>
  </si>
  <si>
    <t>JARDIM PEDRA BRANCA</t>
  </si>
  <si>
    <t>RUA HERA DO CANADA, 20 - JARDIM PEDRA BRANCA</t>
  </si>
  <si>
    <t>08490-870</t>
  </si>
  <si>
    <t>2285-8442</t>
  </si>
  <si>
    <t>RUA JORGE CARLOS DE ALMEIDA</t>
  </si>
  <si>
    <t>JARDIM SANTO ANDRÉ</t>
  </si>
  <si>
    <t>RUA JORGE CARLOS DE ALMEIDA, S/N - JARDIM SANTO ANDRÉ</t>
  </si>
  <si>
    <t>08390-355</t>
  </si>
  <si>
    <t>R. São Valfredo  S/N</t>
  </si>
  <si>
    <t>CIDADE TIRADENTES</t>
  </si>
  <si>
    <t>2964-7312</t>
  </si>
  <si>
    <t>CECILIA SANT ANNA DE SOUZA, PROFA.</t>
  </si>
  <si>
    <t>RUA FONTOURA XAVIER</t>
  </si>
  <si>
    <t>RUA FONTOURA XAVIER, 226 - ITAQUERA</t>
  </si>
  <si>
    <t>08295-300</t>
  </si>
  <si>
    <t>2079-1496</t>
  </si>
  <si>
    <t>RUA PADRE NILFO DO AMARAL JUNIOR</t>
  </si>
  <si>
    <t>VILA NOVA CURUÇÁ</t>
  </si>
  <si>
    <t>RUA PADRE NILFO DO AMARAL JUNIOR, 880 - VILA NOVA CURUÇÁ</t>
  </si>
  <si>
    <t>08032-650</t>
  </si>
  <si>
    <t>JOAQUIM ANTONIO DA ROCHA</t>
  </si>
  <si>
    <t>RUA PROF. JOSÉ OZI S/Nº</t>
  </si>
  <si>
    <t>RUA PROF. JOSÉ OZI S/Nº, S/N - IPIRANGA</t>
  </si>
  <si>
    <t>04230-045</t>
  </si>
  <si>
    <t>2063-8006</t>
  </si>
  <si>
    <t>ANA MARCHIONE SALLES, PROFA.</t>
  </si>
  <si>
    <t>emeiamsalles@gmail.com</t>
  </si>
  <si>
    <t>RUA DAS FOLHAGENS</t>
  </si>
  <si>
    <t>JARDIM POPULAR</t>
  </si>
  <si>
    <t>RUA DAS FOLHAGENS, 18 - JARDIM POPULAR</t>
  </si>
  <si>
    <t>03673-070</t>
  </si>
  <si>
    <t>2791-5782</t>
  </si>
  <si>
    <t>IGUATEMI</t>
  </si>
  <si>
    <t>RUA TAURO</t>
  </si>
  <si>
    <t>RUA TAURO, S/N - IGUATEMI</t>
  </si>
  <si>
    <t>08371-770</t>
  </si>
  <si>
    <t>PARQUE DAS FLORES</t>
  </si>
  <si>
    <t>RUA DOS LIRIOS, 10 - PARQUE DAS FLORES</t>
  </si>
  <si>
    <t>08391-280</t>
  </si>
  <si>
    <t>2751-3811</t>
  </si>
  <si>
    <t>FERNANDO CAMARGO SOARES, PROF.</t>
  </si>
  <si>
    <t>RUA GIUSEPPE MARINO</t>
  </si>
  <si>
    <t>RUA GIUSEPPE MARINO, S/N - PARQUE NOVO MUNDO</t>
  </si>
  <si>
    <t>02181-190</t>
  </si>
  <si>
    <t>2636-3446</t>
  </si>
  <si>
    <t>RUA JAN LAND</t>
  </si>
  <si>
    <t>JARDIM VERÔNIA</t>
  </si>
  <si>
    <t>RUA JAN LAND, S/N - JARDIM VERÔNIA</t>
  </si>
  <si>
    <t>03823-100</t>
  </si>
  <si>
    <t>2545-6104</t>
  </si>
  <si>
    <t>04890-210</t>
  </si>
  <si>
    <t>MONTEIRO LOBATO</t>
  </si>
  <si>
    <t>RUA BAHIA</t>
  </si>
  <si>
    <t>HIGIENOPOLIS</t>
  </si>
  <si>
    <t>RUA BAHIA, 257 - HIGIENOPOLIS</t>
  </si>
  <si>
    <t>01244-001</t>
  </si>
  <si>
    <t>3666-3548</t>
  </si>
  <si>
    <t>04882-040</t>
  </si>
  <si>
    <t>04766-010</t>
  </si>
  <si>
    <t>04830-020</t>
  </si>
  <si>
    <t>04840-220</t>
  </si>
  <si>
    <t>04829-070</t>
  </si>
  <si>
    <t>04850-260</t>
  </si>
  <si>
    <t>04822-160</t>
  </si>
  <si>
    <t>04855-340</t>
  </si>
  <si>
    <t>04815-120</t>
  </si>
  <si>
    <t>PIRATININGA</t>
  </si>
  <si>
    <t>RUA GALEANDRA</t>
  </si>
  <si>
    <t>JARDIM ELIANE</t>
  </si>
  <si>
    <t>RUA GALEANDRA, 149 - JARDIM ELIANE</t>
  </si>
  <si>
    <t>03577-040</t>
  </si>
  <si>
    <t>2741-3876</t>
  </si>
  <si>
    <t>MARIA MONTESSORI</t>
  </si>
  <si>
    <t>AVENIDA OSVALDO VALLE CORDEIRO</t>
  </si>
  <si>
    <t>JARDIM BRASÍLIA</t>
  </si>
  <si>
    <t>AVENIDA OSVALDO VALLE CORDEIRO, 263 - JARDIM BRASÍLIA</t>
  </si>
  <si>
    <t>03584-000</t>
  </si>
  <si>
    <t>2741-0952</t>
  </si>
  <si>
    <t>LEONARDO ARROYO</t>
  </si>
  <si>
    <t>leonardoarroyo@ig.com.br</t>
  </si>
  <si>
    <t>RUA PADRE JOSÉ VIEIRA DE MATOS</t>
  </si>
  <si>
    <t>COHAB I - ARTUR ALVIM</t>
  </si>
  <si>
    <t>RUA PADRE JOSÉ VIEIRA DE MATOS, 44 - COHAB I - ARTUR ALVIM</t>
  </si>
  <si>
    <t>03590-010</t>
  </si>
  <si>
    <t>2742-1120</t>
  </si>
  <si>
    <t>MARIA VITORIA DA CUNHA, PROFA.</t>
  </si>
  <si>
    <t>RUA PADRE TOMAS DE VILA NOVA</t>
  </si>
  <si>
    <t>RUA PADRE TOMAS DE VILA NOVA, 644 - COHAB I - ARTUR ALVIM</t>
  </si>
  <si>
    <t>03590-100</t>
  </si>
  <si>
    <t>PEDRO BRASIL BANDECCHI</t>
  </si>
  <si>
    <t>AVENIDA WALDEMAR TIETZ</t>
  </si>
  <si>
    <t>AVENIDA WALDEMAR TIETZ, 950 - COHAB I - ARTUR ALVIM</t>
  </si>
  <si>
    <t>03589-000</t>
  </si>
  <si>
    <t>2741-7617</t>
  </si>
  <si>
    <t>IBIAPABA MARTINS</t>
  </si>
  <si>
    <t>RUA MARIA EUGÊNIA CELSO</t>
  </si>
  <si>
    <t>PARQUE ARTUR ALVIM</t>
  </si>
  <si>
    <t>RUA MARIA EUGÊNIA CELSO, 295 - PARQUE ARTUR ALVIM</t>
  </si>
  <si>
    <t>03568-050</t>
  </si>
  <si>
    <t>2741-83-60</t>
  </si>
  <si>
    <t>LUCIANO ROBERTO, PROF.</t>
  </si>
  <si>
    <t>RUA PADRE CLÁUDIO GOMES</t>
  </si>
  <si>
    <t>RUA PADRE CLÁUDIO GOMES, 82 - COHAB I - ARTUR ALVIM</t>
  </si>
  <si>
    <t>03590-020</t>
  </si>
  <si>
    <t>2741-4316</t>
  </si>
  <si>
    <t>ROBERTO VICTOR CORDEIRO</t>
  </si>
  <si>
    <t>AVENIDA SYLVIO TORRES</t>
  </si>
  <si>
    <t>COHAB I ANCHIETA</t>
  </si>
  <si>
    <t>AVENIDA SYLVIO TORRES, 349 - COHAB I ANCHIETA</t>
  </si>
  <si>
    <t>03589-010</t>
  </si>
  <si>
    <t>2747-3890</t>
  </si>
  <si>
    <t>JOSE DUARTE</t>
  </si>
  <si>
    <t>RUA DIAS COELHO</t>
  </si>
  <si>
    <t>CIDADE LÍDER</t>
  </si>
  <si>
    <t>RUA DIAS COELHO, 97 - CIDADE LÍDER</t>
  </si>
  <si>
    <t>08280-360</t>
  </si>
  <si>
    <t>2747-2111</t>
  </si>
  <si>
    <t>DENISE MERCIER RODRIGUES AGUIAR, PROFA.</t>
  </si>
  <si>
    <t>RUA GIOVANI QUADRI</t>
  </si>
  <si>
    <t>RUA GIOVANI QUADRI, 354 - ITAQUERA</t>
  </si>
  <si>
    <t>08255-500</t>
  </si>
  <si>
    <t>2521-6055</t>
  </si>
  <si>
    <t>BUENO DE AZEVEDO, DR.</t>
  </si>
  <si>
    <t>RUA AUGUSTO CAVALCANTI</t>
  </si>
  <si>
    <t>RUA AUGUSTO CAVALCANTI, 232 - ITAQUERA</t>
  </si>
  <si>
    <t>08253-110</t>
  </si>
  <si>
    <t>2521-1264</t>
  </si>
  <si>
    <t>SYLVIA VARONI DE CASTRO, PROFA.</t>
  </si>
  <si>
    <t>RUA ANTONIO GANDINI</t>
  </si>
  <si>
    <t>RUA ANTONIO GANDINI , 26 - ITAQUERA</t>
  </si>
  <si>
    <t>08215-460</t>
  </si>
  <si>
    <t>2079-0920</t>
  </si>
  <si>
    <t>LEONARDO VAN ACKER, Prof.</t>
  </si>
  <si>
    <t>RUA CONSTANTINO FERNANDES</t>
  </si>
  <si>
    <t>RUA CONSTANTINO FERNANDES, 21 - ITAQUERA</t>
  </si>
  <si>
    <t>08255-030</t>
  </si>
  <si>
    <t>2521-1318</t>
  </si>
  <si>
    <t>FLORIANO PEIXOTO, MAL.</t>
  </si>
  <si>
    <t>RUA VICTÓRIO SANTIM</t>
  </si>
  <si>
    <t>RUA VICTÓRIO SANTIM, 645 - ITAQUERA</t>
  </si>
  <si>
    <t>08290-001</t>
  </si>
  <si>
    <t>2205-6280</t>
  </si>
  <si>
    <t>ANTONIO GONCALVES DIAS</t>
  </si>
  <si>
    <t>RUA ANTÔNIO MOURA ANDRADE</t>
  </si>
  <si>
    <t>JARDIM REDIL</t>
  </si>
  <si>
    <t>RUA ANTÔNIO MOURA ANDRADE, 395 - JARDIM REDIL</t>
  </si>
  <si>
    <t>08210-660</t>
  </si>
  <si>
    <t>2205-0986</t>
  </si>
  <si>
    <t>MANOEL DA NOBREGA, PE.</t>
  </si>
  <si>
    <t>RUA ADELINO</t>
  </si>
  <si>
    <t>RUA ADELINO, 100 - ITAQUERA</t>
  </si>
  <si>
    <t>08225-160</t>
  </si>
  <si>
    <t>2944-6539</t>
  </si>
  <si>
    <t>MARIA HELENA BARBOSA MARTINS, PROFA.</t>
  </si>
  <si>
    <t>RUA IBIAJARA</t>
  </si>
  <si>
    <t>PARADA XV DE NOVEMBRO</t>
  </si>
  <si>
    <t>RUA IBIAJARA, 757 - PARADA XV DE NOVEMBRO</t>
  </si>
  <si>
    <t>08248-110</t>
  </si>
  <si>
    <t>2079-0030</t>
  </si>
  <si>
    <t>RONALD DE CARVALHO</t>
  </si>
  <si>
    <t>RUA LINCOLN JUNQUEIRA</t>
  </si>
  <si>
    <t>JARDIM SÃO PEDRO</t>
  </si>
  <si>
    <t>RUA LINCOLN JUNQUEIRA, 590 - JARDIM SÃO PEDRO</t>
  </si>
  <si>
    <t>08420-660</t>
  </si>
  <si>
    <t>2557-2052</t>
  </si>
  <si>
    <t>RODRIGUES DE ABREU</t>
  </si>
  <si>
    <t>RUA JOÃO DOS REIS</t>
  </si>
  <si>
    <t>RUA JOÃO DOS REIS, 4 - VILA PRINCESA ISABEL</t>
  </si>
  <si>
    <t>08410-150</t>
  </si>
  <si>
    <t>2557-1949</t>
  </si>
  <si>
    <t>GIANFEDERICO PORTA, PROF.</t>
  </si>
  <si>
    <t>RUA TORRE DE SANTIAGO</t>
  </si>
  <si>
    <t>JARDIM SOARES</t>
  </si>
  <si>
    <t>RUA TORRE DE SANTIAGO, 323 - JARDIM SOARES</t>
  </si>
  <si>
    <t>08460-180</t>
  </si>
  <si>
    <t>TOMAS GALHARDO</t>
  </si>
  <si>
    <t>RUA INÁCIO PINTO LIMA</t>
  </si>
  <si>
    <t>PRESTES MAIA</t>
  </si>
  <si>
    <t>RUA INÁCIO PINTO LIMA, 79 - PRESTES MAIA</t>
  </si>
  <si>
    <t>08490-020</t>
  </si>
  <si>
    <t>2555-3256</t>
  </si>
  <si>
    <t>PESTALOZZI</t>
  </si>
  <si>
    <t>RUA ABNER RIBEIRO BORGES</t>
  </si>
  <si>
    <t>JARDIM ROSELY</t>
  </si>
  <si>
    <t>RUA ABNER RIBEIRO BORGES, 154 - JARDIM ROSELY</t>
  </si>
  <si>
    <t>08380-520</t>
  </si>
  <si>
    <t>2736-1841</t>
  </si>
  <si>
    <t>RUA ANTONIO PAVAO</t>
  </si>
  <si>
    <t>PARQUE BOA ESPERANÇA</t>
  </si>
  <si>
    <t>RUA ANTONIO PAVAO, 5 - PARQUE BOA ESPERANÇA</t>
  </si>
  <si>
    <t>08341-070</t>
  </si>
  <si>
    <t>2731-1580</t>
  </si>
  <si>
    <t>JESUINA NUNES BARBOSA</t>
  </si>
  <si>
    <t>RUA EMBAIXADOR  ILDEFONSO FALCAO</t>
  </si>
  <si>
    <t>RUA EMBAIXADOR  ILDEFONSO FALCAO, 157 - SÃO MATEUS</t>
  </si>
  <si>
    <t>03964-020</t>
  </si>
  <si>
    <t>2015-3217</t>
  </si>
  <si>
    <t>CECILIA MEIRELLES</t>
  </si>
  <si>
    <t>RUA DR. PAULO QUEIROZ</t>
  </si>
  <si>
    <t>JARDIM NOVE DE JULHO</t>
  </si>
  <si>
    <t>RUA DR. PAULO QUEIROZ, 987 - JARDIM NOVE DE JULHO</t>
  </si>
  <si>
    <t>03951-090</t>
  </si>
  <si>
    <t>2019-4577</t>
  </si>
  <si>
    <t>FLORINDA ROBERTO QUEIROZ DE CASTRO</t>
  </si>
  <si>
    <t>RUA LINCOLN JUNQUEIRA, 100 - JARDIM SÃO PEDRO</t>
  </si>
  <si>
    <t>2557-2039</t>
  </si>
  <si>
    <t>PEDRO CHAVES, MIN.</t>
  </si>
  <si>
    <t>RUA ISABEL URBINA</t>
  </si>
  <si>
    <t>RUA ISABEL URBINA, 149 - ITAQUERA</t>
  </si>
  <si>
    <t>08253-210</t>
  </si>
  <si>
    <t>2522-8019</t>
  </si>
  <si>
    <t>ERNANI SILVA BRUNO</t>
  </si>
  <si>
    <t>RUA DANIEL MONGOLO</t>
  </si>
  <si>
    <t>RUA DANIEL MONGOLO, 145 - ITAQUERA</t>
  </si>
  <si>
    <t>08250-580</t>
  </si>
  <si>
    <t>2205-6872</t>
  </si>
  <si>
    <t>MIROEL SILVEIRA</t>
  </si>
  <si>
    <t>RUA CORRUIRA DO BREJO</t>
  </si>
  <si>
    <t>RUA CORRUIRA DO BREJO, 133 - ITAQUERA</t>
  </si>
  <si>
    <t>08253-530</t>
  </si>
  <si>
    <t>2521-6670</t>
  </si>
  <si>
    <t>CARLOS JEREISSATI, SEN.</t>
  </si>
  <si>
    <t>RUA GUILHERME VALÊNCIA</t>
  </si>
  <si>
    <t>RUA GUILHERME VALÊNCIA, 125 - ITAQUERA</t>
  </si>
  <si>
    <t>08253-280</t>
  </si>
  <si>
    <t>2521-4433</t>
  </si>
  <si>
    <t>APARECIDA MARIA DE MENDONCA, PROFA.</t>
  </si>
  <si>
    <t>RUA ISIDORO DE LARA</t>
  </si>
  <si>
    <t>RUA ISIDORO DE LARA, 150 - ITAQUERA</t>
  </si>
  <si>
    <t>08253-250</t>
  </si>
  <si>
    <t>2521-7571</t>
  </si>
  <si>
    <t>MARGARIDA MARIA ALVES</t>
  </si>
  <si>
    <t>RUA SANTO RIZZO</t>
  </si>
  <si>
    <t>SANTA ETELVIAN I A</t>
  </si>
  <si>
    <t>RUA SANTO RIZZO, 10 - SANTA ETELVIAN I A</t>
  </si>
  <si>
    <t>08470-250</t>
  </si>
  <si>
    <t>2282-2117</t>
  </si>
  <si>
    <t>CARLOTA PEREIRA DE QUEIROZ</t>
  </si>
  <si>
    <t>RUA FERNANDO GANGA</t>
  </si>
  <si>
    <t>CIDADE TIRADENTES V</t>
  </si>
  <si>
    <t>RUA FERNANDO GANGA, 25 - CIDADE TIRADENTES V</t>
  </si>
  <si>
    <t>08471-100</t>
  </si>
  <si>
    <t>2516-0405</t>
  </si>
  <si>
    <t>ADONIRAN BARBOSA</t>
  </si>
  <si>
    <t>RUA DOS PEDREIROS</t>
  </si>
  <si>
    <t>CIDADE TIRADENTES IV</t>
  </si>
  <si>
    <t>RUA DOS PEDREIROS, 167 - CIDADE TIRADENTES IV</t>
  </si>
  <si>
    <t>08471-530</t>
  </si>
  <si>
    <t>2516-0378</t>
  </si>
  <si>
    <t>NILDO DO AMARAL JUNIOR, PE.</t>
  </si>
  <si>
    <t>RUA LOPES DE MEDEIROS</t>
  </si>
  <si>
    <t>5-A</t>
  </si>
  <si>
    <t>JARDIM NOSSA SRA. DO CARMO</t>
  </si>
  <si>
    <t>RUA LOPES DE MEDEIROS, 5-A - JARDIM NOSSA SRA. DO CARMO</t>
  </si>
  <si>
    <t>08275-430</t>
  </si>
  <si>
    <t>2748-2725</t>
  </si>
  <si>
    <t>AMACIO MAZZAROPI</t>
  </si>
  <si>
    <t>RUA DR. FRANCISCO TENENTE TORRE</t>
  </si>
  <si>
    <t>COHAB JUSCELINO</t>
  </si>
  <si>
    <t>RUA DR. FRANCISCO TENENTE TORRE, 55 - COHAB JUSCELINO</t>
  </si>
  <si>
    <t>08472-070</t>
  </si>
  <si>
    <t>2555-7666</t>
  </si>
  <si>
    <t>ODUVALDO VIANA FILHO</t>
  </si>
  <si>
    <t>AVENIDA UTARO KANAI</t>
  </si>
  <si>
    <t>AVENIDA UTARO KANAI, 216 - COHAB JUSCELINO</t>
  </si>
  <si>
    <t>08465-000</t>
  </si>
  <si>
    <t>2555-2651</t>
  </si>
  <si>
    <t>SAMUEL WAINER</t>
  </si>
  <si>
    <t>RUA CONTO DE AREIA</t>
  </si>
  <si>
    <t>RUA CONTO DE AREIA, 69 - CASTRO ALVES</t>
  </si>
  <si>
    <t>08474-220</t>
  </si>
  <si>
    <t>2282-0440</t>
  </si>
  <si>
    <t>LUIZ PEREIRA, PROF.</t>
  </si>
  <si>
    <t>RUA JOSÉ OITICICA</t>
  </si>
  <si>
    <t>JARDIM IPANEMA</t>
  </si>
  <si>
    <t>RUA JOSÉ OITICICA, 113 - JARDIM IPANEMA</t>
  </si>
  <si>
    <t>03578-080</t>
  </si>
  <si>
    <t>2724-5949</t>
  </si>
  <si>
    <t>ELIS REGINA</t>
  </si>
  <si>
    <t>RUA ERNESTO MANOGRASSO</t>
  </si>
  <si>
    <t>RUA ERNESTO MANOGRASSO, 340 - SÃO MATEUS</t>
  </si>
  <si>
    <t>03963-100</t>
  </si>
  <si>
    <t>2019-2422</t>
  </si>
  <si>
    <t>AUGUSTO FROEBEL</t>
  </si>
  <si>
    <t>RUA FÁBIO JOSÉ BEZERRA</t>
  </si>
  <si>
    <t>PARQUE BOTURUSSU</t>
  </si>
  <si>
    <t>RUA FÁBIO JOSÉ BEZERRA, 643 - PARQUE BOTURUSSU</t>
  </si>
  <si>
    <t>03805-000</t>
  </si>
  <si>
    <t>2943-3098</t>
  </si>
  <si>
    <t>MAX WOLF FILHO, SGT.</t>
  </si>
  <si>
    <t>JARDIM MATARAZZO</t>
  </si>
  <si>
    <t>RUA FIGUEIRA DA POLINÉSIA, 258 - JARDIM MATARAZZO</t>
  </si>
  <si>
    <t>03809-150</t>
  </si>
  <si>
    <t>2546-7745</t>
  </si>
  <si>
    <t>MIGUEL COSTA, GEN.</t>
  </si>
  <si>
    <t>RUA ARROJADO LISBOA</t>
  </si>
  <si>
    <t>JARDIM COTINHA</t>
  </si>
  <si>
    <t>RUA ARROJADO LISBOA, 37 - JARDIM COTINHA</t>
  </si>
  <si>
    <t>03887-010</t>
  </si>
  <si>
    <t>2280-9978</t>
  </si>
  <si>
    <t>RUA FLOR DE SÃO MIGUEL</t>
  </si>
  <si>
    <t>RUA FLOR DE SÃO MIGUEL, 261 - SÃO MIGUEL PAULISTA</t>
  </si>
  <si>
    <t>08061-020</t>
  </si>
  <si>
    <t>EPITACIO PESSOA</t>
  </si>
  <si>
    <t>RUA DANIEL ARCIONI</t>
  </si>
  <si>
    <t>LIMOEIRO</t>
  </si>
  <si>
    <t>RUA DANIEL ARCIONI, 10 - LIMOEIRO</t>
  </si>
  <si>
    <t>08051-080</t>
  </si>
  <si>
    <t>AFRANIO PEIXOTO</t>
  </si>
  <si>
    <t>AVENIDA MARIA SANTANA</t>
  </si>
  <si>
    <t>SITIO CASA PINTADA</t>
  </si>
  <si>
    <t>AVENIDA MARIA SANTANA, 230 - SITIO CASA PINTADA</t>
  </si>
  <si>
    <t>08030-150</t>
  </si>
  <si>
    <t>ANTONIO LAPENNA</t>
  </si>
  <si>
    <t>RUA DIEGO CALADO</t>
  </si>
  <si>
    <t>RUA DIEGO CALADO, 112 - SÃO MIGUEL PAULISTA</t>
  </si>
  <si>
    <t>08011-420</t>
  </si>
  <si>
    <t>GRACILIANO RAMOS</t>
  </si>
  <si>
    <t>RUA GUIRAPÃ</t>
  </si>
  <si>
    <t>VILA CURUÇÁ</t>
  </si>
  <si>
    <t>RUA GUIRAPÃ, 478 - VILA CURUÇÁ</t>
  </si>
  <si>
    <t>08030-290</t>
  </si>
  <si>
    <t>2514-7440</t>
  </si>
  <si>
    <t>ANTONIO PEREIRA LIMA</t>
  </si>
  <si>
    <t>RUA ANANAI</t>
  </si>
  <si>
    <t>RUA ANANAI, 982 - VILA NOVA CURUÇÁ</t>
  </si>
  <si>
    <t>08032-370</t>
  </si>
  <si>
    <t>2514-7426</t>
  </si>
  <si>
    <t>MAGDALENA TAGLIAFERRO</t>
  </si>
  <si>
    <t>RUA PORTO DO BEZERRA.</t>
  </si>
  <si>
    <t>PARQUE GUAIANASES</t>
  </si>
  <si>
    <t>RUA PORTO DO BEZERRA., 1056 - PARQUE GUAIANASES</t>
  </si>
  <si>
    <t>08440-000</t>
  </si>
  <si>
    <t>LUIZA HELENA DE BARROS</t>
  </si>
  <si>
    <t>RUA PATAJUBA</t>
  </si>
  <si>
    <t>RUA PATAJUBA, 8 - ITAIM PAULISTA</t>
  </si>
  <si>
    <t>08160-090</t>
  </si>
  <si>
    <t>JOSE DE ALENCAR</t>
  </si>
  <si>
    <t>RUA ALICIO CLARA SIMÃO</t>
  </si>
  <si>
    <t>RUA ALICIO CLARA SIMÃO, 251 - ITAIM PAULISTA</t>
  </si>
  <si>
    <t>08160-580</t>
  </si>
  <si>
    <t>PEDRO II, D.</t>
  </si>
  <si>
    <t>RUA DR. JOSE DE PORCIÚNCULA</t>
  </si>
  <si>
    <t>PARQUE PAULISTANO</t>
  </si>
  <si>
    <t>RUA DR. JOSE DE PORCIÚNCULA, 1280 - PARQUE PAULISTANO</t>
  </si>
  <si>
    <t>08080-650</t>
  </si>
  <si>
    <t>MARIA QUITERIA</t>
  </si>
  <si>
    <t>RUA MARFIM VEGETAL</t>
  </si>
  <si>
    <t>RUA MARFIM VEGETAL, 126 - SÃO MIGUEL PAULISTA</t>
  </si>
  <si>
    <t>08081-330</t>
  </si>
  <si>
    <t>ALBERTO MENDES JUNIOR, CAP.</t>
  </si>
  <si>
    <t>RUA NOGUEIRA VIOTTI</t>
  </si>
  <si>
    <t>JARDIM CAMARGO VELHO</t>
  </si>
  <si>
    <t>RUA NOGUEIRA VIOTTI, 452 - JARDIM CAMARGO VELHO</t>
  </si>
  <si>
    <t>08120-300</t>
  </si>
  <si>
    <t>OVIDIO DECROLY</t>
  </si>
  <si>
    <t>RUA PIRAMIUNA</t>
  </si>
  <si>
    <t>RUA PIRAMIUNA, 95 - ITAIM PAULISTA</t>
  </si>
  <si>
    <t>08121-440</t>
  </si>
  <si>
    <t>HELENA DE PAULA MARIN, PROFA.</t>
  </si>
  <si>
    <t>RUA JOSÉ FERREIRA CRESPO</t>
  </si>
  <si>
    <t>RUA JOSÉ FERREIRA CRESPO, 471 - SÃO MIGUEL PAULISTA</t>
  </si>
  <si>
    <t>08021-480</t>
  </si>
  <si>
    <t>LEILA DINIZ</t>
  </si>
  <si>
    <t>RUA PEROBA ROSA</t>
  </si>
  <si>
    <t>JARDIM MIRAGAIA</t>
  </si>
  <si>
    <t>RUA PEROBA ROSA, 13 - JARDIM MIRAGAIA</t>
  </si>
  <si>
    <t>08161-310</t>
  </si>
  <si>
    <t>GLAUBER ROCHA</t>
  </si>
  <si>
    <t>RUA PINHEIRO DO PARANÁ</t>
  </si>
  <si>
    <t>PARQUE GUARANI</t>
  </si>
  <si>
    <t>RUA PINHEIRO DO PARANÁ, 493 - PARQUE GUARANI</t>
  </si>
  <si>
    <t>08235-590</t>
  </si>
  <si>
    <t>2051-5733</t>
  </si>
  <si>
    <t>IRENE FAVRET LOPES, PROFA.</t>
  </si>
  <si>
    <t>RUA JARINU</t>
  </si>
  <si>
    <t>RUA JARINU, 640 - TATUAPÉ</t>
  </si>
  <si>
    <t>03306-000</t>
  </si>
  <si>
    <t>2296-3706</t>
  </si>
  <si>
    <t>GOMES CARDIM, INTENDENTE</t>
  </si>
  <si>
    <t>LARGO NOSSA SENHORA DO BOM PARTO</t>
  </si>
  <si>
    <t>VILA GOMES CARDIM</t>
  </si>
  <si>
    <t>LARGO NOSSA SENHORA DO BOM PARTO, S/N - VILA GOMES CARDIM</t>
  </si>
  <si>
    <t>03322-080</t>
  </si>
  <si>
    <t>2091-3194</t>
  </si>
  <si>
    <t>MARIA LAURA DE SOUZA CAMPOS, PROFA.</t>
  </si>
  <si>
    <t>RUA MORORO</t>
  </si>
  <si>
    <t>VILA ANTONINA</t>
  </si>
  <si>
    <t>RUA MORORO, S/N - VILA ANTONINA</t>
  </si>
  <si>
    <t>03410-060</t>
  </si>
  <si>
    <t>2295-3938</t>
  </si>
  <si>
    <t>QUINTINO BOCAIUVA</t>
  </si>
  <si>
    <t>Rua Monte Serrat</t>
  </si>
  <si>
    <t>Rua Monte Serrat, 468 - TATUAPÉ</t>
  </si>
  <si>
    <t>03312-000</t>
  </si>
  <si>
    <t>2097-2788</t>
  </si>
  <si>
    <t>RAFAEL TOBIAS DE AGUIAR, BRIG.</t>
  </si>
  <si>
    <t>emeirtaguiar@prefeitrura.sp.gov.br</t>
  </si>
  <si>
    <t>PRAÇA GOMES CARNEIRO</t>
  </si>
  <si>
    <t>VILA GUILHERMINA</t>
  </si>
  <si>
    <t>PRAÇA GOMES CARNEIRO, 30 - VILA GUILHERMINA</t>
  </si>
  <si>
    <t>03541-040</t>
  </si>
  <si>
    <t>2684-0171</t>
  </si>
  <si>
    <t>LUIZ GOMES CARDIM SANGIRARDI, ENG.</t>
  </si>
  <si>
    <t>RUA LEONOR DOMINGUES</t>
  </si>
  <si>
    <t>JARDIM HERCÍLIA</t>
  </si>
  <si>
    <t>RUA LEONOR DOMINGUES, 244 - JARDIM HERCÍLIA</t>
  </si>
  <si>
    <t>03557-040</t>
  </si>
  <si>
    <t>2749-1667</t>
  </si>
  <si>
    <t>EVARISTO DA VEIGA</t>
  </si>
  <si>
    <t>RUA PIERRE JANSSEN</t>
  </si>
  <si>
    <t>JARDIM NORDESTE</t>
  </si>
  <si>
    <t>RUA PIERRE JANSSEN, 40 - JARDIM NORDESTE</t>
  </si>
  <si>
    <t>03690-010</t>
  </si>
  <si>
    <t>2280-5737</t>
  </si>
  <si>
    <t>TOMAS ANTONIO GONZAGA</t>
  </si>
  <si>
    <t>RUA SÍLVIO RIBEIRO DOS SANTOS</t>
  </si>
  <si>
    <t>VILA UNIÃO</t>
  </si>
  <si>
    <t>RUA SÍLVIO RIBEIRO DOS SANTOS, 46 - VILA UNIÃO</t>
  </si>
  <si>
    <t>03683-040</t>
  </si>
  <si>
    <t>2041-5958</t>
  </si>
  <si>
    <t>JOSE RUBENS PERES FERNANDES, PROF.</t>
  </si>
  <si>
    <t>RUA FAUSTINO PAGANINI</t>
  </si>
  <si>
    <t>CHÁCARA CRUZEIRO DO SUL</t>
  </si>
  <si>
    <t>RUA FAUSTINO PAGANINI, 695 - CHÁCARA CRUZEIRO DO SUL</t>
  </si>
  <si>
    <t>03732-010</t>
  </si>
  <si>
    <t>2641-0625</t>
  </si>
  <si>
    <t>MARIO GRACIOTTI</t>
  </si>
  <si>
    <t>RUA ENTRE RIOS</t>
  </si>
  <si>
    <t>VILA BUENO AIRES</t>
  </si>
  <si>
    <t>RUA ENTRE RIOS, 160 - VILA BUENO AIRES</t>
  </si>
  <si>
    <t>03736-000</t>
  </si>
  <si>
    <t>2684-7178</t>
  </si>
  <si>
    <t>GOULART, ENG.</t>
  </si>
  <si>
    <t>PRAÇA GAJÉ</t>
  </si>
  <si>
    <t>ENG. GOULART</t>
  </si>
  <si>
    <t>PRAÇA GAJÉ, 365 - ENG. GOULART</t>
  </si>
  <si>
    <t>03725-040</t>
  </si>
  <si>
    <t>2621-8095</t>
  </si>
  <si>
    <t>SILVIO ROMERO</t>
  </si>
  <si>
    <t>LARGO SÃO JOSÉ DO MARANHÃO</t>
  </si>
  <si>
    <t>LARGO SÃO JOSÉ DO MARANHÃO, S/N - TATUAPÉ</t>
  </si>
  <si>
    <t>03089-010</t>
  </si>
  <si>
    <t>2092-8344</t>
  </si>
  <si>
    <t>DUTRA, PRES.</t>
  </si>
  <si>
    <t>RUA SANTO ELIAS</t>
  </si>
  <si>
    <t>RUA SANTO ELIAS, 146 - TATUAPÉ</t>
  </si>
  <si>
    <t>03086-050</t>
  </si>
  <si>
    <t>2295-3726</t>
  </si>
  <si>
    <t>MARY BUARQUE</t>
  </si>
  <si>
    <t>RUA RESTINGA</t>
  </si>
  <si>
    <t>RUA RESTINGA, 150 - TATUAPÉ</t>
  </si>
  <si>
    <t>03065-020</t>
  </si>
  <si>
    <t>2296-5396</t>
  </si>
  <si>
    <t>MARIA LACERDA DE MOURA</t>
  </si>
  <si>
    <t>RUA FELIPE SALOMÃO</t>
  </si>
  <si>
    <t>VILA DALILA</t>
  </si>
  <si>
    <t>RUA FELIPE SALOMÃO, 136 - VILA DALILA</t>
  </si>
  <si>
    <t>03522-080</t>
  </si>
  <si>
    <t>2651-0704</t>
  </si>
  <si>
    <t>RODRIGO SOARES JUNIOR</t>
  </si>
  <si>
    <t>RUA CAIÇARA DO RIO DO VENTO</t>
  </si>
  <si>
    <t>VILA CISPER</t>
  </si>
  <si>
    <t>RUA CAIÇARA DO RIO DO VENTO, 237 - VILA CISPER</t>
  </si>
  <si>
    <t>03817-000</t>
  </si>
  <si>
    <t>ALFREDO DA ROCHA VIANA FILHO - PIXINGUINHA</t>
  </si>
  <si>
    <t>RUA LUCIANO NOGUEIRA</t>
  </si>
  <si>
    <t>JARDIM JANIÓPOLIS</t>
  </si>
  <si>
    <t>RUA LUCIANO NOGUEIRA, 360 - JARDIM JANIÓPOLIS</t>
  </si>
  <si>
    <t>03721-080</t>
  </si>
  <si>
    <t>2684-5742</t>
  </si>
  <si>
    <t>RUA BONIFACIO CUBAS</t>
  </si>
  <si>
    <t>RUA BONIFACIO CUBAS, 356 - FREGUESIA DO Ó</t>
  </si>
  <si>
    <t>02736-000</t>
  </si>
  <si>
    <t>3931-3887</t>
  </si>
  <si>
    <t>OLAVO BILAC</t>
  </si>
  <si>
    <t>RUA SILVINO LOPES</t>
  </si>
  <si>
    <t>RUA SILVINO LOPES, S/N - FREGUESIA DO Ó</t>
  </si>
  <si>
    <t>02803-030</t>
  </si>
  <si>
    <t>3975-6643</t>
  </si>
  <si>
    <t>FELIPE MESTRE JOU</t>
  </si>
  <si>
    <t>AVENIDA JOAO PAULO I</t>
  </si>
  <si>
    <t>AVENIDA JOAO PAULO I, 1347 - FREGUESIA DO Ó</t>
  </si>
  <si>
    <t>02738-000</t>
  </si>
  <si>
    <t>3924-1946</t>
  </si>
  <si>
    <t>25 DE JANEIRO</t>
  </si>
  <si>
    <t>RUA PADRE FELICIANO DOMINGUES</t>
  </si>
  <si>
    <t>RUA PADRE FELICIANO DOMINGUES, 182 - FREGUESIA DO Ó</t>
  </si>
  <si>
    <t>02965-140</t>
  </si>
  <si>
    <t>3975-6908</t>
  </si>
  <si>
    <t>JOSE CANAVO FILHO, CEL.</t>
  </si>
  <si>
    <t>RUA EUVALDO AUGUSTO FREIRE</t>
  </si>
  <si>
    <t>JARDIM CAROMBE</t>
  </si>
  <si>
    <t>RUA EUVALDO AUGUSTO FREIRE, 2 - JARDIM CAROMBE</t>
  </si>
  <si>
    <t>02855-030</t>
  </si>
  <si>
    <t>3921-5132</t>
  </si>
  <si>
    <t>ALEXANDRE GAMA, CEL.</t>
  </si>
  <si>
    <t>RUA GREGORIO POMAR</t>
  </si>
  <si>
    <t>JARDIM DAMASCENO</t>
  </si>
  <si>
    <t>RUA GREGORIO POMAR, 12 - JARDIM DAMASCENO</t>
  </si>
  <si>
    <t>02879-050</t>
  </si>
  <si>
    <t>3921-4587</t>
  </si>
  <si>
    <t>ANITA GARIBALDI</t>
  </si>
  <si>
    <t>emeiagaribaldi.prefeitura.sp.gov.br</t>
  </si>
  <si>
    <t>RUA OTELO ZELONI</t>
  </si>
  <si>
    <t>PARQUE PEDROSO</t>
  </si>
  <si>
    <t>RUA OTELO ZELONI, 60 - PARQUE PEDROSO</t>
  </si>
  <si>
    <t>02850-040</t>
  </si>
  <si>
    <t>2851-7262</t>
  </si>
  <si>
    <t>MARTINS FONTES</t>
  </si>
  <si>
    <t>emeimfontes@prefeitura.sp.gopv.br</t>
  </si>
  <si>
    <t>RUA BARTOLOMEU LAURENTI</t>
  </si>
  <si>
    <t>PARQUE TIEITE</t>
  </si>
  <si>
    <t>RUA BARTOLOMEU LAURENTI, 205 - PARQUE TIEITE</t>
  </si>
  <si>
    <t>02870-020</t>
  </si>
  <si>
    <t>3851-0479</t>
  </si>
  <si>
    <t>LUCAS NOGUEIRA GARCEZ, GOV.</t>
  </si>
  <si>
    <t>RUA JOSE DA COSTA GAVIÃO</t>
  </si>
  <si>
    <t>JARDIM LADEIRA ROSA</t>
  </si>
  <si>
    <t>RUA JOSE DA COSTA GAVIÃO, 140 - JARDIM LADEIRA ROSA</t>
  </si>
  <si>
    <t>02172-000</t>
  </si>
  <si>
    <t>3851-3284</t>
  </si>
  <si>
    <t>BILAC PINTO, MIN.</t>
  </si>
  <si>
    <t>RUA IBIRAIARAS</t>
  </si>
  <si>
    <t>JARDIM VISTA ALEGRE</t>
  </si>
  <si>
    <t>RUA IBIRAIARAS, 19 - JARDIM VISTA ALEGRE</t>
  </si>
  <si>
    <t>02878-080</t>
  </si>
  <si>
    <t>ROSA E CAROLINA AGAZZI</t>
  </si>
  <si>
    <t>RUA DR. ARAUJO CASTRO</t>
  </si>
  <si>
    <t>JARDIM PERI</t>
  </si>
  <si>
    <t>RUA DR. ARAUJO CASTRO, S/N - JARDIM PERI</t>
  </si>
  <si>
    <t>02496-010</t>
  </si>
  <si>
    <t>3851-0054</t>
  </si>
  <si>
    <t>JULIO DE MESQUITA FILHO</t>
  </si>
  <si>
    <t>RUA PRF JOSE SOARES DE MELLO</t>
  </si>
  <si>
    <t>VILA NOVA CACHOEIRINHA</t>
  </si>
  <si>
    <t>RUA PRF JOSE SOARES DE MELLO, 64 - VILA NOVA CACHOEIRINHA</t>
  </si>
  <si>
    <t>02882-100</t>
  </si>
  <si>
    <t>3851-0287</t>
  </si>
  <si>
    <t>AVENIDA PROFESSOR CELESTINO BOURROUL</t>
  </si>
  <si>
    <t>JARDIM PEREIRA LEITE</t>
  </si>
  <si>
    <t>AVENIDA PROFESSOR CELESTINO BOURROUL, 358 - JARDIM PEREIRA LEITE</t>
  </si>
  <si>
    <t>3966-1082</t>
  </si>
  <si>
    <t>NELSON MANDELA (EX GUIA LOPES)</t>
  </si>
  <si>
    <t>02710-000</t>
  </si>
  <si>
    <t>ABELARDO GALDINO PINTO - PIOLIN</t>
  </si>
  <si>
    <t>PRAÇA DO CENTENÁRIO</t>
  </si>
  <si>
    <t>CASA VERDE</t>
  </si>
  <si>
    <t>PRAÇA DO CENTENÁRIO, 70 - CASA VERDE</t>
  </si>
  <si>
    <t>02515-040</t>
  </si>
  <si>
    <t>3966-6767</t>
  </si>
  <si>
    <t>EDUARDO GOMES, BRIG.</t>
  </si>
  <si>
    <t>RUA SANTA EUDOXIA</t>
  </si>
  <si>
    <t>PARQUE PERUCHE</t>
  </si>
  <si>
    <t>RUA SANTA EUDOXIA, 800 - PARQUE PERUCHE</t>
  </si>
  <si>
    <t>02533-010</t>
  </si>
  <si>
    <t>3858-0578</t>
  </si>
  <si>
    <t>BERTHA LUTZ</t>
  </si>
  <si>
    <t>emeiberthalutz@prefeitura.sp.gov.bvr</t>
  </si>
  <si>
    <t>RUA ROMULO NALDI</t>
  </si>
  <si>
    <t>JARDIM ELISA MARIA</t>
  </si>
  <si>
    <t>RUA ROMULO NALDI, 117 - JARDIM ELISA MARIA</t>
  </si>
  <si>
    <t>02873-250</t>
  </si>
  <si>
    <t>3851-5094</t>
  </si>
  <si>
    <t>ENZO SILVEIRA, DR.</t>
  </si>
  <si>
    <t>emeienzosil@ig.com.br</t>
  </si>
  <si>
    <t>RUA ARMANDO COELHO E SILVA</t>
  </si>
  <si>
    <t>IMIRIM</t>
  </si>
  <si>
    <t>RUA ARMANDO COELHO E SILVA, 911 - IMIRIM</t>
  </si>
  <si>
    <t>02539-000</t>
  </si>
  <si>
    <t>2239-3721</t>
  </si>
  <si>
    <t>MANUEL BANDEIRA</t>
  </si>
  <si>
    <t>RUA ANTONIO GENELLÍ</t>
  </si>
  <si>
    <t>JARDIM MONTE ALEGRE</t>
  </si>
  <si>
    <t>RUA ANTONIO GENELLÍ , 151 - JARDIM MONTE ALEGRE</t>
  </si>
  <si>
    <t>02811-020</t>
  </si>
  <si>
    <t>3975-8973</t>
  </si>
  <si>
    <t>7 DE SETEMBRO</t>
  </si>
  <si>
    <t>RUA BALTAZAR ABADAL</t>
  </si>
  <si>
    <t>VILA SANTISTA</t>
  </si>
  <si>
    <t>RUA BALTAZAR ABADAL, 23 - VILA SANTISTA</t>
  </si>
  <si>
    <t>02560-150</t>
  </si>
  <si>
    <t>3951-0815</t>
  </si>
  <si>
    <t>JOSE BONIFACIO DE ANDRADA E SILVA</t>
  </si>
  <si>
    <t>RUA DR. CESAR</t>
  </si>
  <si>
    <t>SANTANA</t>
  </si>
  <si>
    <t>RUA DR. CESAR, 581 - SANTANA</t>
  </si>
  <si>
    <t>02013-002</t>
  </si>
  <si>
    <t>2973-9457</t>
  </si>
  <si>
    <t>JOSE AUGUSTO CESAR, DR.</t>
  </si>
  <si>
    <t>PRACA DR. JOSE AUGUSTO CESAR</t>
  </si>
  <si>
    <t>PRACA DR. JOSE AUGUSTO CESAR , 51 - SANTANA</t>
  </si>
  <si>
    <t>02403-080</t>
  </si>
  <si>
    <t>2978-4169</t>
  </si>
  <si>
    <t>GINA DE MARTINO, DRA.</t>
  </si>
  <si>
    <t>PRAÇA DONA JOANA</t>
  </si>
  <si>
    <t>VILA AURORA</t>
  </si>
  <si>
    <t>PRAÇA DONA JOANA, 111 - VILA AURORA</t>
  </si>
  <si>
    <t>02409-050</t>
  </si>
  <si>
    <t>ENIO CORREA, PROF.</t>
  </si>
  <si>
    <t>AVENIDA BASILÉIA</t>
  </si>
  <si>
    <t>AVENIDA BASILÉIA, 80 - LAUZANE PAULISTA</t>
  </si>
  <si>
    <t>02440-160</t>
  </si>
  <si>
    <t>2231-9840</t>
  </si>
  <si>
    <t>EUDOXIA DE BARROS, PROFA.</t>
  </si>
  <si>
    <t>RUA SONIA MARGY</t>
  </si>
  <si>
    <t>JARDIM TREMEMBÉ</t>
  </si>
  <si>
    <t>RUA SONIA MARGY, 246 - JARDIM TREMEMBÉ</t>
  </si>
  <si>
    <t>02351-000</t>
  </si>
  <si>
    <t>2203-3481</t>
  </si>
  <si>
    <t>ARTHUR ETZEL</t>
  </si>
  <si>
    <t>PARQUE DOMINGOS LUIZ</t>
  </si>
  <si>
    <t>PARQUE DOMINGOS LUIZ, 20 - JARDIM SÃO PAULO</t>
  </si>
  <si>
    <t>02043-080</t>
  </si>
  <si>
    <t>2973-1598</t>
  </si>
  <si>
    <t>FEIJO, REG.</t>
  </si>
  <si>
    <t>RUA LACERDA FRANCO, DEP</t>
  </si>
  <si>
    <t>CAMBUCI</t>
  </si>
  <si>
    <t>RUA LACERDA FRANCO, DEP, 795 - CAMBUCI</t>
  </si>
  <si>
    <t>01536-000</t>
  </si>
  <si>
    <t>3277-8700</t>
  </si>
  <si>
    <t>ALBERTO DE OLIVEIRA</t>
  </si>
  <si>
    <t>PRAÇA DONATELLO</t>
  </si>
  <si>
    <t>PRAÇA DONATELLO, 335 - CAMBUCI</t>
  </si>
  <si>
    <t>01518-080</t>
  </si>
  <si>
    <t>3207-3860</t>
  </si>
  <si>
    <t>ANGELO MARTINO</t>
  </si>
  <si>
    <t>RUA HUMAITÁ</t>
  </si>
  <si>
    <t>BELA VISTA</t>
  </si>
  <si>
    <t>RUA HUMAITÁ, 536 - BELA VISTA</t>
  </si>
  <si>
    <t>01321-010</t>
  </si>
  <si>
    <t>PATRICIA GALVAO</t>
  </si>
  <si>
    <t>RUA DA AVANHANDAVA</t>
  </si>
  <si>
    <t>BELA VISTA / CONSOLAÇAO</t>
  </si>
  <si>
    <t>RUA DA AVANHANDAVA, 472 - BELA VISTA / CONSOLAÇAO</t>
  </si>
  <si>
    <t>01306-000</t>
  </si>
  <si>
    <t>3237-3622</t>
  </si>
  <si>
    <t>GABRIEL PRESTES</t>
  </si>
  <si>
    <t>RUA DA CONSOLAÇÃO</t>
  </si>
  <si>
    <t>CONSOLAÇÃO</t>
  </si>
  <si>
    <t>RUA DA CONSOLAÇÃO, 1012 - CONSOLAÇÃO</t>
  </si>
  <si>
    <t>01302-000</t>
  </si>
  <si>
    <t>3258-4875</t>
  </si>
  <si>
    <t>ARMANDO DE ARRUDA PEREIRA</t>
  </si>
  <si>
    <t>emeiaapereira@prefeitura..sp.gov.br</t>
  </si>
  <si>
    <t>PRAÇA DA REPÚBLICA</t>
  </si>
  <si>
    <t>VILA BUARQUE</t>
  </si>
  <si>
    <t>PRAÇA DA REPÚBLICA, 350 - VILA BUARQUE</t>
  </si>
  <si>
    <t>01045-000</t>
  </si>
  <si>
    <t>3224-8170</t>
  </si>
  <si>
    <t>JOAO THEODORO</t>
  </si>
  <si>
    <t>RUA RIBEIRO DE LIMA</t>
  </si>
  <si>
    <t>BOM RETIRO</t>
  </si>
  <si>
    <t>RUA RIBEIRO DE LIMA, 230 - BOM RETIRO</t>
  </si>
  <si>
    <t>01122-000</t>
  </si>
  <si>
    <t>3326-4506</t>
  </si>
  <si>
    <t>ALCEU MAYNARD DE ARAUJO, PROF.</t>
  </si>
  <si>
    <t>RUA NEVES CARVALHO</t>
  </si>
  <si>
    <t>780-A</t>
  </si>
  <si>
    <t>RUA NEVES CARVALHO, 780-A - BOM RETIRO</t>
  </si>
  <si>
    <t>01132-010</t>
  </si>
  <si>
    <t>3221-7993</t>
  </si>
  <si>
    <t>CASPER LIBERO</t>
  </si>
  <si>
    <t>RUA COM. NESTOR PEREIRA</t>
  </si>
  <si>
    <t>CANINDÉ</t>
  </si>
  <si>
    <t>RUA COM. NESTOR PEREIRA, 146 - CANINDÉ</t>
  </si>
  <si>
    <t>03034-070</t>
  </si>
  <si>
    <t>3326-4631</t>
  </si>
  <si>
    <t>DELFINO AZEVEDO</t>
  </si>
  <si>
    <t>PRAÇA PRIMEIRO DE OUTUBRO</t>
  </si>
  <si>
    <t>PRAÇA PRIMEIRO DE OUTUBRO, 30 - IPIRANGA</t>
  </si>
  <si>
    <t>04261-140</t>
  </si>
  <si>
    <t>2272-8023</t>
  </si>
  <si>
    <t>MILTON IMPROTA, PROF.</t>
  </si>
  <si>
    <t>PRAÇA PINHEIRO DA CUNHA</t>
  </si>
  <si>
    <t>PRAÇA PINHEIRO DA CUNHA, 469 - IPIRANGA</t>
  </si>
  <si>
    <t>04275-050</t>
  </si>
  <si>
    <t>5061-7235</t>
  </si>
  <si>
    <t>MANUEL SOARES NEIVA, CEL.</t>
  </si>
  <si>
    <t>PRAÇA COSMOPOLITA</t>
  </si>
  <si>
    <t>PRAÇA COSMOPOLITA, 9 - IPIRANGA</t>
  </si>
  <si>
    <t>04277-030</t>
  </si>
  <si>
    <t>5062-2279</t>
  </si>
  <si>
    <t>THEREZINHA BATISTA PETTAN, PROFA.</t>
  </si>
  <si>
    <t>RUA VIGARIO ALBERNAZ</t>
  </si>
  <si>
    <t>VILA GUMERCINDO</t>
  </si>
  <si>
    <t>RUA VIGARIO ALBERNAZ, 834 - VILA GUMERCINDO</t>
  </si>
  <si>
    <t>04134-021</t>
  </si>
  <si>
    <t>5061-4908</t>
  </si>
  <si>
    <t>MONTESE</t>
  </si>
  <si>
    <t>RUA DOMINGOS DE ROGATIS</t>
  </si>
  <si>
    <t>RUA DOMINGOS DE ROGATIS, 91 - JARDIM DA SAUDE</t>
  </si>
  <si>
    <t>04290-080</t>
  </si>
  <si>
    <t>5061-9003</t>
  </si>
  <si>
    <t>MARIO MARQUES E SERRA, PE.</t>
  </si>
  <si>
    <t>RUA FRANCISCO PESTANA</t>
  </si>
  <si>
    <t>JARDIM CLIMAX</t>
  </si>
  <si>
    <t>RUA FRANCISCO PESTANA, 10 - JARDIM CLIMAX</t>
  </si>
  <si>
    <t>04176-000</t>
  </si>
  <si>
    <t>2335-4678</t>
  </si>
  <si>
    <t>ANTONIO FRANCISCO LISBOA</t>
  </si>
  <si>
    <t>LARGO SÃO JOÃO CLIMACO</t>
  </si>
  <si>
    <t>SÃO JOÃO CLIMACO</t>
  </si>
  <si>
    <t>LARGO SÃO JOÃO CLIMACO, 12 - SÃO JOÃO CLIMACO</t>
  </si>
  <si>
    <t>04245-010</t>
  </si>
  <si>
    <t>2948-4862</t>
  </si>
  <si>
    <t>BATISTA CEPELOS</t>
  </si>
  <si>
    <t>RUA BARÃO DO RIO DA PRATA</t>
  </si>
  <si>
    <t>RUA BARÃO DO RIO DA PRATA, 5 - CIDADE NOVA HELIÓPOLIS</t>
  </si>
  <si>
    <t>04231-004</t>
  </si>
  <si>
    <t>2272-9351</t>
  </si>
  <si>
    <t>ISABEL, PRINC.</t>
  </si>
  <si>
    <t>RUA AMADIS</t>
  </si>
  <si>
    <t>VILA INDEPENDÊNCIA</t>
  </si>
  <si>
    <t>RUA AMADIS, 453 - VILA INDEPENDÊNCIA</t>
  </si>
  <si>
    <t>04221-000</t>
  </si>
  <si>
    <t>2063-6866</t>
  </si>
  <si>
    <t>PEDRO I, D.</t>
  </si>
  <si>
    <t>PRAÇA NAMI JAFET</t>
  </si>
  <si>
    <t>PRAÇA NAMI JAFET, 305 - IPIRANGA</t>
  </si>
  <si>
    <t>04205-050</t>
  </si>
  <si>
    <t>2272-9211</t>
  </si>
  <si>
    <t>LARGO SÃO RAFAEL</t>
  </si>
  <si>
    <t>MOÓCA</t>
  </si>
  <si>
    <t>LARGO SÃO RAFAEL, 185 - MOÓCA</t>
  </si>
  <si>
    <t>03113-020</t>
  </si>
  <si>
    <t>2291-2722</t>
  </si>
  <si>
    <t>MARCILIO DIAS</t>
  </si>
  <si>
    <t>RUA JAIBARAS</t>
  </si>
  <si>
    <t>RUA JAIBARAS, 360 - MOÓCA</t>
  </si>
  <si>
    <t>03163-040</t>
  </si>
  <si>
    <t>2693-1896</t>
  </si>
  <si>
    <t>GUILHERME RUDGE</t>
  </si>
  <si>
    <t>PRAÇA MAJOR GUILHERME RUDGE</t>
  </si>
  <si>
    <t>BELENZINHO</t>
  </si>
  <si>
    <t>PRAÇA MAJOR GUILHERME RUDGE, 128 - BELENZINHO</t>
  </si>
  <si>
    <t>03014-020</t>
  </si>
  <si>
    <t>2694-9790</t>
  </si>
  <si>
    <t>ALUISIO DE AZEVEDO</t>
  </si>
  <si>
    <t>RUA CORUMBAÍBA</t>
  </si>
  <si>
    <t>JARDIM ITÁLIA</t>
  </si>
  <si>
    <t>RUA CORUMBAÍBA, 781 - JARDIM ITÁLIA</t>
  </si>
  <si>
    <t>03192-060</t>
  </si>
  <si>
    <t>2965-3891</t>
  </si>
  <si>
    <t>CORNELIO PIRES</t>
  </si>
  <si>
    <t>PRAÇA MANOEL DE MESQUITA</t>
  </si>
  <si>
    <t>VILA INVERNADA</t>
  </si>
  <si>
    <t>PRAÇA MANOEL DE MESQUITA, 15 - VILA INVERNADA</t>
  </si>
  <si>
    <t>03350-040</t>
  </si>
  <si>
    <t>2028-3688</t>
  </si>
  <si>
    <t>MARIO ALVES DE CARVALHO, DR.</t>
  </si>
  <si>
    <t>PARQUE DOM PEDRO I</t>
  </si>
  <si>
    <t>PARQUE DOM PEDRO I, S/N - VILA INVERNADA</t>
  </si>
  <si>
    <t>03351-125</t>
  </si>
  <si>
    <t>2671-0067</t>
  </si>
  <si>
    <t>FRANCISCO ROQUETTI</t>
  </si>
  <si>
    <t>PRAÇA LEÃO X</t>
  </si>
  <si>
    <t>PRAÇA LEÃO X, S/N - VILA FORMOSA</t>
  </si>
  <si>
    <t>03359-025</t>
  </si>
  <si>
    <t>2004-1102</t>
  </si>
  <si>
    <t>JOAO ORTALE, PROF.</t>
  </si>
  <si>
    <t>PRAÇA DIOGO DE AGUIRRE</t>
  </si>
  <si>
    <t>PRAÇA DIOGO DE AGUIRRE, S/N - VILA FORMOSA</t>
  </si>
  <si>
    <t>03363-110</t>
  </si>
  <si>
    <t>2674-1120</t>
  </si>
  <si>
    <t>ALBERTO MESQUITA DE CAMARGO, PROF.</t>
  </si>
  <si>
    <t>PRAÇA BARÃO HOMEM DE MELO</t>
  </si>
  <si>
    <t>VILA STA ISABEL</t>
  </si>
  <si>
    <t>PRAÇA BARÃO HOMEM DE MELO, S/N - VILA STA ISABEL</t>
  </si>
  <si>
    <t>03423-010</t>
  </si>
  <si>
    <t>2098-0333</t>
  </si>
  <si>
    <t>NEYL GOMEZ MARTIN, PROFA.</t>
  </si>
  <si>
    <t>RUA MIGUEL BASTOS SOARES</t>
  </si>
  <si>
    <t>JARDIM IVA</t>
  </si>
  <si>
    <t>RUA MIGUEL BASTOS SOARES, 275 - JARDIM IVA</t>
  </si>
  <si>
    <t>03910-000</t>
  </si>
  <si>
    <t>2004-1124</t>
  </si>
  <si>
    <t>JOSE VICENTE DA CUNHA, PROF.</t>
  </si>
  <si>
    <t>RUA SÃO JOÃO DO PARAISO</t>
  </si>
  <si>
    <t>RUA SÃO JOÃO DO PARAISO, 281 - JARDIM IMPERADOR</t>
  </si>
  <si>
    <t>03934-000</t>
  </si>
  <si>
    <t>2721-4293</t>
  </si>
  <si>
    <t>OLANDYA PERES RIBEIRO, PROFA.</t>
  </si>
  <si>
    <t>RUA DR. MARIANO C. DE MOURA</t>
  </si>
  <si>
    <t>VILA CARRÃO</t>
  </si>
  <si>
    <t>RUA DR. MARIANO C. DE MOURA, 395 - VILA CARRÃO</t>
  </si>
  <si>
    <t>03451-000</t>
  </si>
  <si>
    <t>2783-0893</t>
  </si>
  <si>
    <t>SUZANA EVANGELINA FELIPPE, PROFA.</t>
  </si>
  <si>
    <t>PRAÇA HAROLDO DALTRO</t>
  </si>
  <si>
    <t>VILA NOVA MANCHESTER</t>
  </si>
  <si>
    <t>PRAÇA HAROLDO DALTRO, S/N - VILA NOVA MANCHESTER</t>
  </si>
  <si>
    <t>03444-090</t>
  </si>
  <si>
    <t>2091-6132</t>
  </si>
  <si>
    <t>ELDY POLI BIFONE, PROFA.</t>
  </si>
  <si>
    <t>AVENIDA ARISTON DE AZEVEDO</t>
  </si>
  <si>
    <t>AVENIDA ARISTON DE AZEVEDO, 134 - BELENZINHO</t>
  </si>
  <si>
    <t>03021-020</t>
  </si>
  <si>
    <t>2694-7365</t>
  </si>
  <si>
    <t>ANCHIETA, PE.</t>
  </si>
  <si>
    <t>RUA MARIA CANDIDA</t>
  </si>
  <si>
    <t>RUA MARIA CANDIDA, 1592 - VILA GUILHERME</t>
  </si>
  <si>
    <t>02071-002</t>
  </si>
  <si>
    <t>2909-3661</t>
  </si>
  <si>
    <t>LOURENCO FILHO, PROF.</t>
  </si>
  <si>
    <t>RUA LUIS FELIPE DE ORLEANS</t>
  </si>
  <si>
    <t>VILA MARIA BAIXA</t>
  </si>
  <si>
    <t>RUA LUIS FELIPE DE ORLEANS, 1062 - VILA MARIA BAIXA</t>
  </si>
  <si>
    <t>02118-001</t>
  </si>
  <si>
    <t>2954-4860</t>
  </si>
  <si>
    <t>ANA NERI</t>
  </si>
  <si>
    <t>RUA SD ALBINO CESAR</t>
  </si>
  <si>
    <t>RUA SD ALBINO CESAR, 25 - PARQUE NOVO MUNDO</t>
  </si>
  <si>
    <t>02180-010</t>
  </si>
  <si>
    <t>2967-5643</t>
  </si>
  <si>
    <t>YUKIO OZAKI, PROF.</t>
  </si>
  <si>
    <t>PRAÇA YEDO</t>
  </si>
  <si>
    <t>JARDIM JAPÃO</t>
  </si>
  <si>
    <t>PRAÇA YEDO, S/N - JARDIM JAPÃO</t>
  </si>
  <si>
    <t>02134-050</t>
  </si>
  <si>
    <t>2934-0523</t>
  </si>
  <si>
    <t>CARLOS GOMES</t>
  </si>
  <si>
    <t>PRAÇA JANIO DA SILVA QUADROS</t>
  </si>
  <si>
    <t>PRAÇA JANIO DA SILVA QUADROS, S/N - VILA MARIA ALTA</t>
  </si>
  <si>
    <t>02132-000</t>
  </si>
  <si>
    <t>2982-1444</t>
  </si>
  <si>
    <t>EDUARDO CARLOS PEREIRA</t>
  </si>
  <si>
    <t>RUA GAL MENDES</t>
  </si>
  <si>
    <t>RUA GAL MENDES, 7 - VILA MARIA ALTA</t>
  </si>
  <si>
    <t>02127-020</t>
  </si>
  <si>
    <t>2954-6177</t>
  </si>
  <si>
    <t>RUA FRANCISCO FRANCO MACHDO</t>
  </si>
  <si>
    <t>VILA SABRINA</t>
  </si>
  <si>
    <t>RUA FRANCISCO FRANCO MACHDO, 160 - VILA SABRINA</t>
  </si>
  <si>
    <t>02139-020</t>
  </si>
  <si>
    <t>2931-5773</t>
  </si>
  <si>
    <t>CIDADE FERNAO DIAS</t>
  </si>
  <si>
    <t>RUA DO BANDOLIM</t>
  </si>
  <si>
    <t>RUA DO BANDOLIM, 27 - VILA SABRINA</t>
  </si>
  <si>
    <t>02161-080</t>
  </si>
  <si>
    <t>2201-6349</t>
  </si>
  <si>
    <t>EDU CHAVES, AVIADOR</t>
  </si>
  <si>
    <t>AVENIDA EDU CHAVES</t>
  </si>
  <si>
    <t>PARQUE EDU CHAVES</t>
  </si>
  <si>
    <t>AVENIDA EDU CHAVES, 1561 - PARQUE EDU CHAVES</t>
  </si>
  <si>
    <t>02229-001</t>
  </si>
  <si>
    <t>2242-7285</t>
  </si>
  <si>
    <t>OTTILIA DE JESUS PIRES, PROFA.</t>
  </si>
  <si>
    <t>RUA SÃO LUIZ GONZAGA</t>
  </si>
  <si>
    <t>JAÇANÃ</t>
  </si>
  <si>
    <t>RUA SÃO LUIZ GONZAGA, 62 - JAÇANÃ</t>
  </si>
  <si>
    <t>02274-150</t>
  </si>
  <si>
    <t>2241-7528</t>
  </si>
  <si>
    <t>TAUFIK DAUD KURBAN</t>
  </si>
  <si>
    <t>RUA MANOEL GAYA</t>
  </si>
  <si>
    <t>VILA MAZZEI</t>
  </si>
  <si>
    <t>RUA MANOEL GAYA, 500 - VILA MAZZEI</t>
  </si>
  <si>
    <t>02313-001</t>
  </si>
  <si>
    <t>2204-5049</t>
  </si>
  <si>
    <t>ITALO BETTARELLO, PROF.</t>
  </si>
  <si>
    <t>AVENIDA JULIO BUONO</t>
  </si>
  <si>
    <t>JARDIM BRASIL</t>
  </si>
  <si>
    <t>AVENIDA JULIO BUONO, 2680 - JARDIM BRASIL</t>
  </si>
  <si>
    <t>02201-000</t>
  </si>
  <si>
    <t>2201-8290</t>
  </si>
  <si>
    <t>LAURA FUNFAS LE SUEUR, PROFA.</t>
  </si>
  <si>
    <t>VILA EDE</t>
  </si>
  <si>
    <t>AVENIDA JULIO BUONO, 915 - VILA EDE</t>
  </si>
  <si>
    <t>2201-8906</t>
  </si>
  <si>
    <t>FLAVIO IMPERIO</t>
  </si>
  <si>
    <t>RUA JOSE FIGLIOLINI</t>
  </si>
  <si>
    <t>VILA NILO</t>
  </si>
  <si>
    <t>RUA JOSE FIGLIOLINI, 735 - VILA NILO</t>
  </si>
  <si>
    <t>02278-020</t>
  </si>
  <si>
    <t>2241-6553</t>
  </si>
  <si>
    <t>LUCY GARCIA SALGADO, PROFA.</t>
  </si>
  <si>
    <t>ALAMEDA DOS GUARAMOMIS</t>
  </si>
  <si>
    <t>AEROPORTO</t>
  </si>
  <si>
    <t>ALAMEDA DOS GUARAMOMIS, 1410 - AEROPORTO</t>
  </si>
  <si>
    <t>04076-012</t>
  </si>
  <si>
    <t>5536-9915</t>
  </si>
  <si>
    <t>IGNACIO HENRIQUE ROMEIRO, PROF.</t>
  </si>
  <si>
    <t>ALAMEDA JAUAPERI</t>
  </si>
  <si>
    <t>MOEMA</t>
  </si>
  <si>
    <t>ALAMEDA JAUAPERI, 1639 - MOEMA</t>
  </si>
  <si>
    <t>04523-016</t>
  </si>
  <si>
    <t>5532-1519</t>
  </si>
  <si>
    <t>ANITA COSTA, DA.</t>
  </si>
  <si>
    <t>ALAMEDA DOS JURUPIS</t>
  </si>
  <si>
    <t>ALAMEDA DOS JURUPIS, 254 - MOEMA</t>
  </si>
  <si>
    <t>04088-000</t>
  </si>
  <si>
    <t>5052-2994</t>
  </si>
  <si>
    <t>SAO PAULO</t>
  </si>
  <si>
    <t>emeispaulo@prefeitura,sp.gov.br</t>
  </si>
  <si>
    <t>RUA PEDRO DE TOLEDO</t>
  </si>
  <si>
    <t>RUA PEDRO DE TOLEDO, 1231 - VILA CLEMENTINO</t>
  </si>
  <si>
    <t>04039-033</t>
  </si>
  <si>
    <t>5086-0316</t>
  </si>
  <si>
    <t>HEITOR VILLA LOBOS</t>
  </si>
  <si>
    <t>RUA CURITIBA</t>
  </si>
  <si>
    <t>VILA MARIANA</t>
  </si>
  <si>
    <t>RUA CURITIBA, 232 - VILA MARIANA</t>
  </si>
  <si>
    <t>04005-030</t>
  </si>
  <si>
    <t>3885-2595</t>
  </si>
  <si>
    <t>RUA ALCEU WAMOSY</t>
  </si>
  <si>
    <t>RUA ALCEU WAMOSY, 244 - VILA MARIANA</t>
  </si>
  <si>
    <t>04105-040</t>
  </si>
  <si>
    <t>5579-0587</t>
  </si>
  <si>
    <t>OSWALDO CRUZ</t>
  </si>
  <si>
    <t>RUA CARLOS GEROLOMO MONACO</t>
  </si>
  <si>
    <t>RUA CARLOS GEROLOMO MONACO, 171 - VILA MARIANA</t>
  </si>
  <si>
    <t>04121-050</t>
  </si>
  <si>
    <t>5571-1361</t>
  </si>
  <si>
    <t>PAULO ALVES, TTE.</t>
  </si>
  <si>
    <t>RUA JOSE DE CAMARGO</t>
  </si>
  <si>
    <t>RUA JOSE DE CAMARGO, 259 - VILA MARIANA</t>
  </si>
  <si>
    <t>04239-010</t>
  </si>
  <si>
    <t>5581-9585</t>
  </si>
  <si>
    <t>QUINTA DAS PAINEIRAS</t>
  </si>
  <si>
    <t>PRAÇA MARIO ORTIZS/Nº</t>
  </si>
  <si>
    <t>PRAÇA MARIO ORTIZS/Nº, S/N - VILA PRUDENTE</t>
  </si>
  <si>
    <t>03151-080</t>
  </si>
  <si>
    <t>2345-5536</t>
  </si>
  <si>
    <t>AFONSO CELSO</t>
  </si>
  <si>
    <t>PRAÇA BELCHIOR DE BORBA</t>
  </si>
  <si>
    <t>VILA ALPINA</t>
  </si>
  <si>
    <t>PRAÇA BELCHIOR DE BORBA, 61 - VILA ALPINA</t>
  </si>
  <si>
    <t>03206-070</t>
  </si>
  <si>
    <t>ZENAIDE GRANDINI, PROFA.</t>
  </si>
  <si>
    <t>RUA GRÃO MONGOI</t>
  </si>
  <si>
    <t>VILA CALIFORNIA</t>
  </si>
  <si>
    <t>RUA GRÃO MONGOI, 240 - VILA CALIFORNIA</t>
  </si>
  <si>
    <t>03213-030</t>
  </si>
  <si>
    <t>2917-5295</t>
  </si>
  <si>
    <t>AVENIDA SÃO LUCAS</t>
  </si>
  <si>
    <t>AVENIDA SÃO LUCAS, 284 - PARQUE SÃO LUCAS</t>
  </si>
  <si>
    <t>03239-000</t>
  </si>
  <si>
    <t>2104-0217</t>
  </si>
  <si>
    <t>JOSE VERISSIMO</t>
  </si>
  <si>
    <t>RUA ANTONIO DE PAIVA AZEVEDO</t>
  </si>
  <si>
    <t>PARQUE TOMAZ SARAIVA</t>
  </si>
  <si>
    <t>RUA ANTONIO DE PAIVA AZEVEDO, 16 - PARQUE TOMAZ SARAIVA</t>
  </si>
  <si>
    <t>03284-080</t>
  </si>
  <si>
    <t>2918-7335</t>
  </si>
  <si>
    <t>BRENNO FERRAZ DO AMARAL</t>
  </si>
  <si>
    <t>RUA JACITARA TUPITI</t>
  </si>
  <si>
    <t>RUA JACITARA TUPITI, 217 - VILA PRUDENTE</t>
  </si>
  <si>
    <t>03244-090</t>
  </si>
  <si>
    <t>ORIGENES LESSA</t>
  </si>
  <si>
    <t>AVENIDA EGIDIO MARTINS</t>
  </si>
  <si>
    <t>JARDIM PRIMAVERA</t>
  </si>
  <si>
    <t>AVENIDA EGIDIO MARTINS, S/N - JARDIM PRIMAVERA</t>
  </si>
  <si>
    <t>03390-010</t>
  </si>
  <si>
    <t>2154-1098</t>
  </si>
  <si>
    <t>BENJAMIN CONSTANT</t>
  </si>
  <si>
    <t>ESTRADA DA CASA GRANDE</t>
  </si>
  <si>
    <t>ESTRADA DA CASA GRANDE, 133 - VILA UNIÃO</t>
  </si>
  <si>
    <t>03260-000</t>
  </si>
  <si>
    <t>2143-3553</t>
  </si>
  <si>
    <t>JOSE CLEMENTE PEREIRA</t>
  </si>
  <si>
    <t>AVENIDA DR. PAULO COLOMBO P. DE QUEIROZ</t>
  </si>
  <si>
    <t>PARQUE SANTA MADALENA</t>
  </si>
  <si>
    <t>AVENIDA DR. PAULO COLOMBO P. DE QUEIROZ, 320 - PARQUE SANTA MADALENA</t>
  </si>
  <si>
    <t>03982-130</t>
  </si>
  <si>
    <t>2702-2674</t>
  </si>
  <si>
    <t>VICENTE DE CARVALHO</t>
  </si>
  <si>
    <t>RUA VITORIA MARCONATO ZONTA</t>
  </si>
  <si>
    <t>JARDIM SAPOPEMBA</t>
  </si>
  <si>
    <t>RUA VITORIA MARCONATO ZONTA, 60 - JARDIM SAPOPEMBA</t>
  </si>
  <si>
    <t>03975-090</t>
  </si>
  <si>
    <t>2015-3198</t>
  </si>
  <si>
    <t>ATAULFO ALVES</t>
  </si>
  <si>
    <t>RUA CACHOEIRA DE MINAS</t>
  </si>
  <si>
    <t>JARDIM SANTA ADELIA</t>
  </si>
  <si>
    <t>RUA CACHOEIRA DE MINAS, 172 - JARDIM SANTA ADELIA</t>
  </si>
  <si>
    <t>03973-050</t>
  </si>
  <si>
    <t>2015-3215</t>
  </si>
  <si>
    <t>MARIO DE ANDRADE</t>
  </si>
  <si>
    <t>RUA SARGENTO IRACITAN COIMBRA</t>
  </si>
  <si>
    <t>JARDIM VERA CRUZ</t>
  </si>
  <si>
    <t>RUA SARGENTO IRACITAN COIMBRA, 511 - JARDIM VERA CRUZ</t>
  </si>
  <si>
    <t>08310-580</t>
  </si>
  <si>
    <t>2019-2299</t>
  </si>
  <si>
    <t>VITAL BRAZIL, DR.</t>
  </si>
  <si>
    <t>AVENIDA RODOLFO PIRANI</t>
  </si>
  <si>
    <t>AVENIDA RODOLFO PIRANI, 320 - RODOLFO PIRANI</t>
  </si>
  <si>
    <t>08310-000</t>
  </si>
  <si>
    <t>2751-3210</t>
  </si>
  <si>
    <t>ANTONIA DE OLIVEIRA MOTA DE ARAUJO, PROFA.</t>
  </si>
  <si>
    <t>RUA CINIRA POLONIO</t>
  </si>
  <si>
    <t>CONJ. PRÓ-MORAR RIO CLARO</t>
  </si>
  <si>
    <t>RUA CINIRA POLONIO, 1 - CONJ. PRÓ-MORAR RIO CLARO</t>
  </si>
  <si>
    <t>08395-320</t>
  </si>
  <si>
    <t>2753-7999</t>
  </si>
  <si>
    <t>MANOEL FIEL FILHO</t>
  </si>
  <si>
    <t>RUA DR. ARISTIDES RICARDO</t>
  </si>
  <si>
    <t>RUA DR. ARISTIDES RICARDO, 297 - PARQUE SÃO RAFAEL</t>
  </si>
  <si>
    <t>08311-270</t>
  </si>
  <si>
    <t>2015-3211</t>
  </si>
  <si>
    <t>ADEVALDO DE MORAES</t>
  </si>
  <si>
    <t>RUA ORESTE DAMOLIN</t>
  </si>
  <si>
    <t>RUA ORESTE DAMOLIN, 791 - JARDIM SAPOPEMBA</t>
  </si>
  <si>
    <t>03526-860</t>
  </si>
  <si>
    <t>2704-3404</t>
  </si>
  <si>
    <t>CARLOS HUMBERTO VOLPON, PROF.</t>
  </si>
  <si>
    <t>RUA SARGENTO LUIS RODRIGUES FILHO</t>
  </si>
  <si>
    <t>COHAB MAKL MASC.  DE MORAES</t>
  </si>
  <si>
    <t>RUA SARGENTO LUIS RODRIGUES FILHO, 191 - COHAB MAKL MASC.  DE MORAES</t>
  </si>
  <si>
    <t>03977-360</t>
  </si>
  <si>
    <t>CLOVIS BEVILACQUA</t>
  </si>
  <si>
    <t>RUA JOSÉ DE QUEIROZ MATOS</t>
  </si>
  <si>
    <t>RUA JOSÉ DE QUEIROZ MATOS, 190 - JARDIM SAPOPEMBA</t>
  </si>
  <si>
    <t>03922-040</t>
  </si>
  <si>
    <t>CHIQUINHA GONZAGA</t>
  </si>
  <si>
    <t>RUA CARLO CLAUSETTI</t>
  </si>
  <si>
    <t>RUA CARLO CLAUSETTI, 298 - JARDIM SAPOPEMBA</t>
  </si>
  <si>
    <t>03928-220</t>
  </si>
  <si>
    <t>NINI DUARTE</t>
  </si>
  <si>
    <t>RUA ESQUIVEL NAVARRO</t>
  </si>
  <si>
    <t>RUA ESQUIVEL NAVARRO, 180 - JARDIM SAPOPEMBA</t>
  </si>
  <si>
    <t>03928-130</t>
  </si>
  <si>
    <t>CARMEM MIRANDA</t>
  </si>
  <si>
    <t>RUA MIGUEL FERREIRA DE MELO</t>
  </si>
  <si>
    <t>JARDIM SANTO ANDRE</t>
  </si>
  <si>
    <t>RUA MIGUEL FERREIRA DE MELO, 10 - JARDIM SANTO ANDRE</t>
  </si>
  <si>
    <t>08390-000</t>
  </si>
  <si>
    <t>JOSE MAURO DE VASCONCELOS</t>
  </si>
  <si>
    <t>RUA JOSINO MENDES ALVARENGA FREIRE</t>
  </si>
  <si>
    <t>JARDIM TIETÊ</t>
  </si>
  <si>
    <t>RUA JOSINO MENDES ALVARENGA FREIRE, 341 - JARDIM TIETÊ</t>
  </si>
  <si>
    <t>2019-6768</t>
  </si>
  <si>
    <t>KLAUS REINACH, ENG.</t>
  </si>
  <si>
    <t>RUA JOSÉ FRANCISCO BRANDÃOS/N.</t>
  </si>
  <si>
    <t>SANTA ETELVINA VI A</t>
  </si>
  <si>
    <t>RUA JOSÉ FRANCISCO BRANDÃOS/N., S/N - SANTA ETELVINA VI A</t>
  </si>
  <si>
    <t>08490-600</t>
  </si>
  <si>
    <t>ELISA KAUFFMANN ABRAMOVICH</t>
  </si>
  <si>
    <t>RUA RENE DE TOLEDO</t>
  </si>
  <si>
    <t>CIDADE TIRADENTES III A</t>
  </si>
  <si>
    <t>RUA RENE DE TOLEDO, 55 - CIDADE TIRADENTES III A</t>
  </si>
  <si>
    <t>08471-740</t>
  </si>
  <si>
    <t>VALDIR AZEVEDO</t>
  </si>
  <si>
    <t>RUA INÁCIO MONTEIRO</t>
  </si>
  <si>
    <t>RUA INÁCIO MONTEIRO, 333 - INÁCIO MONTEIRO</t>
  </si>
  <si>
    <t>08490-000</t>
  </si>
  <si>
    <t>2555-2403</t>
  </si>
  <si>
    <t>TANCREDO NEVES, PRES.</t>
  </si>
  <si>
    <t>RUA ANTONIO MARIA ESCUDEIRO RIVAS</t>
  </si>
  <si>
    <t>RUA ANTONIO MARIA ESCUDEIRO RIVAS, 287 - ITAIM PAULISTA</t>
  </si>
  <si>
    <t>08130-090</t>
  </si>
  <si>
    <t>2963-8629</t>
  </si>
  <si>
    <t>DILSON FUNARO</t>
  </si>
  <si>
    <t>RUA ALBERTINA MEDEIROS</t>
  </si>
  <si>
    <t>VILA DANUBIO AZUL</t>
  </si>
  <si>
    <t>RUA ALBERTINA MEDEIROS, 489 - VILA DANUBIO AZUL</t>
  </si>
  <si>
    <t>08241-250</t>
  </si>
  <si>
    <t>04777-020</t>
  </si>
  <si>
    <t>CARVALHO PINTO, GOV.</t>
  </si>
  <si>
    <t>RUA ANTONIO ALVES SANTOS</t>
  </si>
  <si>
    <t>VILA INDUSTRIAL</t>
  </si>
  <si>
    <t>RUA ANTONIO ALVES SANTOS, 45 - VILA INDUSTRIAL</t>
  </si>
  <si>
    <t>03256-040</t>
  </si>
  <si>
    <t>2702-0035</t>
  </si>
  <si>
    <t>ALIOMAR BALEEIRO, MIN.</t>
  </si>
  <si>
    <t>emeiabaleeiro@prefeitura.sp.gov,br</t>
  </si>
  <si>
    <t>RUA JURITI AZUL</t>
  </si>
  <si>
    <t>RUA JURITI AZUL, 103 - JARDIM HELENA</t>
  </si>
  <si>
    <t>08090-310</t>
  </si>
  <si>
    <t>04851-120</t>
  </si>
  <si>
    <t>ARLINDO VEIGA DOS SANTOS, PROF.</t>
  </si>
  <si>
    <t>AVENIDA FELIX ALVES PEREIRA</t>
  </si>
  <si>
    <t>JARDIM CENTENARIO</t>
  </si>
  <si>
    <t>AVENIDA FELIX ALVES PEREIRA, 9 - JARDIM CENTENARIO</t>
  </si>
  <si>
    <t>02882-030</t>
  </si>
  <si>
    <t>3984-9879</t>
  </si>
  <si>
    <t>ODILIO DENYS, MAL.</t>
  </si>
  <si>
    <t>RUA PORTEIRA DO PINHAL</t>
  </si>
  <si>
    <t>RUA PORTEIRA DO PINHAL, 206 - IMIRIM</t>
  </si>
  <si>
    <t>02474-040</t>
  </si>
  <si>
    <t>3981-1612</t>
  </si>
  <si>
    <t>9 DE JULHO</t>
  </si>
  <si>
    <t>RUA MÁRTIRES ARMENIOS</t>
  </si>
  <si>
    <t>JARDIM L. M. BARROS</t>
  </si>
  <si>
    <t>RUA MÁRTIRES ARMENIOS, 934 - JARDIM L. M. BARROS</t>
  </si>
  <si>
    <t>02345-000</t>
  </si>
  <si>
    <t>2996-1519</t>
  </si>
  <si>
    <t>LUIS GAMA</t>
  </si>
  <si>
    <t>RUA INVASÃO DOS HOLANDESES</t>
  </si>
  <si>
    <t>RUA INVASÃO DOS HOLANDESES, 45 - VILA SABRINA</t>
  </si>
  <si>
    <t>02141-070</t>
  </si>
  <si>
    <t>2212-5675</t>
  </si>
  <si>
    <t>JONISE MAXIMO DA FONSECA, PROFA.</t>
  </si>
  <si>
    <t>RUA MIGUEL ARROJADO LISBOA</t>
  </si>
  <si>
    <t>JARDIM CABUÇU</t>
  </si>
  <si>
    <t>RUA MIGUEL ARROJADO LISBOA, 153 - JARDIM CABUÇU</t>
  </si>
  <si>
    <t>02238-090</t>
  </si>
  <si>
    <t>2242-3900</t>
  </si>
  <si>
    <t>DANTON CASTILHO CABRAL</t>
  </si>
  <si>
    <t>RUA SILVESTRO SILVESTRI</t>
  </si>
  <si>
    <t>JARDIM ANGELA</t>
  </si>
  <si>
    <t>RUA SILVESTRO SILVESTRI, 319 - JARDIM ANGELA</t>
  </si>
  <si>
    <t>03985-000</t>
  </si>
  <si>
    <t>JOSE ALOYSIO RODRIGUES CORREA, PROF.</t>
  </si>
  <si>
    <t>RUA MÁLAGA</t>
  </si>
  <si>
    <t>PARQUE SEVILHA</t>
  </si>
  <si>
    <t>RUA MÁLAGA, 391 - PARQUE SEVILHA</t>
  </si>
  <si>
    <t>03157-030</t>
  </si>
  <si>
    <t>2028-3761</t>
  </si>
  <si>
    <t>CHARLES CHAPLIN</t>
  </si>
  <si>
    <t>COHAB TEOTÔNIO VILELA</t>
  </si>
  <si>
    <t>RUA ESQUIVEL NAVARRO, 463 - COHAB TEOTÔNIO VILELA</t>
  </si>
  <si>
    <t>2704-8885</t>
  </si>
  <si>
    <t>ISA SILVEIRA LEAL</t>
  </si>
  <si>
    <t>RUA JOAQUIM ALVES DINIS</t>
  </si>
  <si>
    <t>VILA SÃO FRANCISCO</t>
  </si>
  <si>
    <t>RUA JOAQUIM ALVES DINIS, 912 - VILA SÃO FRANCISCO</t>
  </si>
  <si>
    <t>03679-020</t>
  </si>
  <si>
    <t>2049-2407</t>
  </si>
  <si>
    <t>JARDIM MARILIA</t>
  </si>
  <si>
    <t>RUA QUINTINO DA CUNHA</t>
  </si>
  <si>
    <t>JARDIM MARÍLIA</t>
  </si>
  <si>
    <t>RUA QUINTINO DA CUNHA, 20 - JARDIM MARÍLIA</t>
  </si>
  <si>
    <t>03579-160</t>
  </si>
  <si>
    <t>2741-0988</t>
  </si>
  <si>
    <t>MARIA DA CONCEICAO VIEIRA PEREIRA, PROFA.</t>
  </si>
  <si>
    <t>RUA DIOGO DE GOUVEIA OSORIO</t>
  </si>
  <si>
    <t>JARDIM DAS OLIVEIRAS</t>
  </si>
  <si>
    <t>RUA DIOGO DE GOUVEIA OSORIO, 18 - JARDIM DAS OLIVEIRAS</t>
  </si>
  <si>
    <t>08122-480</t>
  </si>
  <si>
    <t>RACHEL MESQUITA DE SALLES OLIVEIRA</t>
  </si>
  <si>
    <t>RUA MILTON DA CRUZ</t>
  </si>
  <si>
    <t>JARDIM PLANALTO</t>
  </si>
  <si>
    <t>RUA MILTON DA CRUZ, 585 - JARDIM PLANALTO</t>
  </si>
  <si>
    <t>03983-080</t>
  </si>
  <si>
    <t>DULCE HAUCK</t>
  </si>
  <si>
    <t>dulcehauck@hotmail.com</t>
  </si>
  <si>
    <t>RUA ANTONIO JOAQUIM SILVA</t>
  </si>
  <si>
    <t>JARDIM ALMANARA</t>
  </si>
  <si>
    <t>RUA ANTONIO JOAQUIM SILVA, 10 - JARDIM ALMANARA</t>
  </si>
  <si>
    <t>02865-050</t>
  </si>
  <si>
    <t>3851-8158</t>
  </si>
  <si>
    <t>J.G. DE ARAUJO JORGE</t>
  </si>
  <si>
    <t>RUA VALDOMIRO GONZAGA SILVA</t>
  </si>
  <si>
    <t>RUA VALDOMIRO GONZAGA SILVA, 1209 - ITAIM PAULISTA</t>
  </si>
  <si>
    <t>08111-540</t>
  </si>
  <si>
    <t>CEU EMEI</t>
  </si>
  <si>
    <t>CARLOS OLIVALDO DE SOUZA LOPES MUNIZ, DR.</t>
  </si>
  <si>
    <t>RUA CLAREAR</t>
  </si>
  <si>
    <t>JARDIM SÃO CARLOS</t>
  </si>
  <si>
    <t>RUA CLAREAR, 141 - JARDIM SÃO CARLOS</t>
  </si>
  <si>
    <t>08062-590</t>
  </si>
  <si>
    <t>MILTON SANTOS, PROF.</t>
  </si>
  <si>
    <t>AVENIDA INTERLAGOS</t>
  </si>
  <si>
    <t>INTERLAGOS</t>
  </si>
  <si>
    <t>AVENIDA INTERLAGOS, 7350 - INTERLAGOS</t>
  </si>
  <si>
    <t>04777-000</t>
  </si>
  <si>
    <t>PAULO FREIRE, PROF.</t>
  </si>
  <si>
    <t>RUA KAMPALA</t>
  </si>
  <si>
    <t>JARDIM AMÉRICA DA PENHA</t>
  </si>
  <si>
    <t>RUA KAMPALA, 230 - JARDIM AMÉRICA DA PENHA</t>
  </si>
  <si>
    <t>03704-015</t>
  </si>
  <si>
    <t>ARICANDUVA</t>
  </si>
  <si>
    <t>emeiceuaricanduva@prefeitura.sp.gv.br</t>
  </si>
  <si>
    <t>RUA OLGA FADEL ABARCA</t>
  </si>
  <si>
    <t>JARDIM SANTA TEREZINHA</t>
  </si>
  <si>
    <t>RUA OLGA FADEL ABARCA, S/N - JARDIM SANTA TEREZINHA</t>
  </si>
  <si>
    <t>03572-020</t>
  </si>
  <si>
    <t>2721-1097</t>
  </si>
  <si>
    <t>INACIO MONTEIRO</t>
  </si>
  <si>
    <t>RUA BARÃO BARROSO DO AMAZONASS/N</t>
  </si>
  <si>
    <t>RUA BARÃO BARROSO DO AMAZONASS/N, S/N - INÁCIO MONTEIRO</t>
  </si>
  <si>
    <t>08472-725</t>
  </si>
  <si>
    <t>2518-9012</t>
  </si>
  <si>
    <t>THERESINHA SQUINCA DA SILVA, PROFA</t>
  </si>
  <si>
    <t>RUA JOSÉ PINHEIRO BORGES</t>
  </si>
  <si>
    <t>RUA JOSÉ PINHEIRO BORGES, 60 - GUAIANASES</t>
  </si>
  <si>
    <t>08430-810</t>
  </si>
  <si>
    <t>2960-2025</t>
  </si>
  <si>
    <t>NAVEGANTES</t>
  </si>
  <si>
    <t>RUA MARIA MOASSAB BARBOUR</t>
  </si>
  <si>
    <t>RUA MARIA MOASSAB BARBOUR, S/N - PARQUE RESID. COCAIA</t>
  </si>
  <si>
    <t>04849-330</t>
  </si>
  <si>
    <t>ANTON MAKARENKO</t>
  </si>
  <si>
    <t>RUA DANIEL MULLER</t>
  </si>
  <si>
    <t>RUA DANIEL MULLER, 347 - ITAIM PAULISTA</t>
  </si>
  <si>
    <t>08141-290</t>
  </si>
  <si>
    <t>SAO MATEUS</t>
  </si>
  <si>
    <t>RUA CURUMATIM</t>
  </si>
  <si>
    <t>RUA CURUMATIM, 201 - PARQUE BOA ESPERANÇA</t>
  </si>
  <si>
    <t>08341-240</t>
  </si>
  <si>
    <t>2732-8132</t>
  </si>
  <si>
    <t>TRES LAGOS</t>
  </si>
  <si>
    <t>ESTRADA DO BARRO BRANCO</t>
  </si>
  <si>
    <t>ESTRADA DO BARRO BRANCO, S/N - PARQUE RESID. COCAIA</t>
  </si>
  <si>
    <t>04852-320</t>
  </si>
  <si>
    <t>AVENIDA MARECHAL TITO</t>
  </si>
  <si>
    <t>JARDIM MIRAGAIA/ITAIM PTA</t>
  </si>
  <si>
    <t>AVENIDA MARECHAL TITO, 3400 - JARDIM MIRAGAIA/ITAIM PTA</t>
  </si>
  <si>
    <t>08115-000</t>
  </si>
  <si>
    <t>ROSA DA CHINA</t>
  </si>
  <si>
    <t>RUA CLARA PETRELA</t>
  </si>
  <si>
    <t>JARDIM SÃO ROBERTO</t>
  </si>
  <si>
    <t>RUA CLARA PETRELA, 113 - JARDIM SÃO ROBERTO</t>
  </si>
  <si>
    <t>03978-500</t>
  </si>
  <si>
    <t>2701-2334</t>
  </si>
  <si>
    <t>PAZ</t>
  </si>
  <si>
    <t>RUA DANIEL CERRI</t>
  </si>
  <si>
    <t>JARDIM PARANÁ</t>
  </si>
  <si>
    <t>RUA DANIEL CERRI, 1549 - JARDIM PARANÁ</t>
  </si>
  <si>
    <t>02876-170</t>
  </si>
  <si>
    <t>3986-3417</t>
  </si>
  <si>
    <t>RUA MANUEL DA MOTA COUTINHO</t>
  </si>
  <si>
    <t>RUA MANUEL DA MOTA COUTINHO, 293 - LAJEADO</t>
  </si>
  <si>
    <t>08451-420</t>
  </si>
  <si>
    <t>IRENE MANKE MARQUES, PROFA.</t>
  </si>
  <si>
    <t>AVENIDA DOS METALURGICOS</t>
  </si>
  <si>
    <t>AVENIDA DOS METALURGICOS, 1262 - CIDADE TIRADENTES</t>
  </si>
  <si>
    <t>08471-000</t>
  </si>
  <si>
    <t>2282-7569</t>
  </si>
  <si>
    <t>VILA RUBI</t>
  </si>
  <si>
    <t>RUA DOMINGOS TARROSO</t>
  </si>
  <si>
    <t>RUA DOMINGOS TARROSO, 101 - VILA RUBI</t>
  </si>
  <si>
    <t>04823-090</t>
  </si>
  <si>
    <t>AVENIDA ANTONIO CESAR NETO</t>
  </si>
  <si>
    <t>JARDIM GUAPIRA</t>
  </si>
  <si>
    <t>AVENIDA ANTONIO CESAR NETO, 105 - JARDIM GUAPIRA</t>
  </si>
  <si>
    <t>02276-000</t>
  </si>
  <si>
    <t>3397-3970</t>
  </si>
  <si>
    <t>JARDIM PAULISTANO</t>
  </si>
  <si>
    <t>AVENIDA APARECIDA DO TABOADO</t>
  </si>
  <si>
    <t>AVENIDA APARECIDA DO TABOADO, S/N - JARDIM PAULISTANO</t>
  </si>
  <si>
    <t>02814-000</t>
  </si>
  <si>
    <t>3397-5497</t>
  </si>
  <si>
    <t>BRAZ JAIME ROMANO</t>
  </si>
  <si>
    <t>emeibrazjaimeromano@prefeitura.sp.gov</t>
  </si>
  <si>
    <t>AVENIDA LUIS IMPARATO</t>
  </si>
  <si>
    <t>AVENIDA LUIS IMPARATO, 564 - VILA CISPER</t>
  </si>
  <si>
    <t>03819-160</t>
  </si>
  <si>
    <t>2214-7112</t>
  </si>
  <si>
    <t>Rua Manuel Quirino de Mattos</t>
  </si>
  <si>
    <t>Sapopemba</t>
  </si>
  <si>
    <t>Rua Manuel Quirino de Mattos, S/N - Sapopemba</t>
  </si>
  <si>
    <t>03969-000</t>
  </si>
  <si>
    <t>2075-9126</t>
  </si>
  <si>
    <t>TRES PONTES</t>
  </si>
  <si>
    <t>RUA CAPACHOS</t>
  </si>
  <si>
    <t>JARDIM CÉLIA</t>
  </si>
  <si>
    <t>RUA CAPACHOS, 400 - JARDIM CÉLIA</t>
  </si>
  <si>
    <t>08191-330</t>
  </si>
  <si>
    <t>ROQUE SPENCER MACIEL DE BARROS, PROF.</t>
  </si>
  <si>
    <t>JARDIM RIO CLARO</t>
  </si>
  <si>
    <t>RUA CINIRA POLONIO, 80 - JARDIM RIO CLARO</t>
  </si>
  <si>
    <t>2752-1019</t>
  </si>
  <si>
    <t>RUA PROF. ARTUR PRIMAVESI</t>
  </si>
  <si>
    <t>PARQUE BRISTOL</t>
  </si>
  <si>
    <t>RUA PROF. ARTUR PRIMAVESI, S/N - PARQUE BRISTOL</t>
  </si>
  <si>
    <t>04177-070</t>
  </si>
  <si>
    <t>2264-8831</t>
  </si>
  <si>
    <t>FORMOSA</t>
  </si>
  <si>
    <t>RUA MANUEL FERREIRA PIRES</t>
  </si>
  <si>
    <t>CAPÃO DO EMBIRA</t>
  </si>
  <si>
    <t>RUA MANUEL FERREIRA PIRES, S/N - CAPÃO DO EMBIRA</t>
  </si>
  <si>
    <t>03386-090</t>
  </si>
  <si>
    <t>ALTO ALEGRE</t>
  </si>
  <si>
    <t>AVENIDA BENTO GUELFI</t>
  </si>
  <si>
    <t>AVENIDA BENTO GUELFI, S/N - JARDIM DAS LARANJEIRAS</t>
  </si>
  <si>
    <t>08381-001</t>
  </si>
  <si>
    <t>RUA JOSE PEDRO DE BORBA</t>
  </si>
  <si>
    <t>RUA JOSE PEDRO DE BORBA, 20 - JARDIM NOVO PARELHEIROS</t>
  </si>
  <si>
    <t>04890-090</t>
  </si>
  <si>
    <t>JOSE GASPAR, D.</t>
  </si>
  <si>
    <t>2723-7521</t>
  </si>
  <si>
    <t>BENNO HUBERT STOLLENWERK, PE.</t>
  </si>
  <si>
    <t>emeipadrebenno@prefeitura.sp.gog.br</t>
  </si>
  <si>
    <t>RUA BARBINOS</t>
  </si>
  <si>
    <t>RUA BARBINOS, 111 - JARDIM PATENTE</t>
  </si>
  <si>
    <t>04240-110</t>
  </si>
  <si>
    <t>2945-2520</t>
  </si>
  <si>
    <t xml:space="preserve"> </t>
  </si>
  <si>
    <t>ORIENTAÇÕES:</t>
  </si>
  <si>
    <t>2) Estas informações serão utilizadas para: fazer o pagamento à Empresa,  aplicação de penalidades e indicar a necessidade de adoção de providências pela Empresa, de acordo com as ocorrências apontadas.</t>
  </si>
  <si>
    <t>4) Apenas as células que devem ser preenchidas estão desbloqueadas, as demais, não é possível clicar ou escrever.</t>
  </si>
  <si>
    <t>&gt;&gt;</t>
  </si>
  <si>
    <t>Aba EMEI</t>
  </si>
  <si>
    <t>Registrar o número total de crianças matriculadas de acordo com os períodos</t>
  </si>
  <si>
    <t>2.1)</t>
  </si>
  <si>
    <t>2.2)</t>
  </si>
  <si>
    <t>2.3)</t>
  </si>
  <si>
    <t>2.4)</t>
  </si>
  <si>
    <t>4.1)</t>
  </si>
  <si>
    <t xml:space="preserve">Se apontar que o período de atendimento é de 4 a 6h, os lanches  4h estarão bloqueados. Se apontar que o período de atendimento é de até 4h, os lanches  6h estarão bloqueados. </t>
  </si>
  <si>
    <t>5.1)</t>
  </si>
  <si>
    <t>5.2)</t>
  </si>
  <si>
    <t>5.3)</t>
  </si>
  <si>
    <t>Informar os dias que foram servidas sobremesas doces no almoço com um "x" nas colunas BR e BW</t>
  </si>
  <si>
    <t xml:space="preserve"> Informar a quantidade de Lanche 4h e/ou Lanche 6h dos alunos COM dieta especial tipo A e B, de acordo com o horário de atendimento de cada período mencionado na parte superior da planilha  (células J16 a J19)</t>
  </si>
  <si>
    <t>7.1)</t>
  </si>
  <si>
    <t>Informar a quantidade de refeição na dieta tipo A, apenas se for dieta enteral (sonda)</t>
  </si>
  <si>
    <t>8.1)</t>
  </si>
  <si>
    <t>Para alunos com dieta (sem ser dieta enteral), a refeição deve ser apontada junto com os outros alunos nas linhas 27 a 57</t>
  </si>
  <si>
    <t>Informar nome e RF dos responsáveis</t>
  </si>
  <si>
    <t>Informar o método de contagem da alimentação servida</t>
  </si>
  <si>
    <t>Avaliar se o serviço foi a contento ou não e se teve ocorrência ou não.</t>
  </si>
  <si>
    <t>Aba Banco de dietas</t>
  </si>
  <si>
    <t>Aba para verificar quais crianças têm dieta autorizada pela CODAE e os tipos de dieta</t>
  </si>
  <si>
    <t>Marcar um "x" em quais itens houve ocorrências no mês e clicar no botão "habilitar perguntas"</t>
  </si>
  <si>
    <t>Registre a ocorrência no item específico do relatório</t>
  </si>
  <si>
    <t>Digite a data e preencha a descrição das ocorrências</t>
  </si>
  <si>
    <t>Conferir os dados da unidade e colocar o número total de matriculados e o do maior período</t>
  </si>
  <si>
    <t>Preencher os campos em verde</t>
  </si>
  <si>
    <t>As abas de Notificação somente serão habilitadas se as notificações não tiverem sido enviadas ao longo do mês ao cogestor</t>
  </si>
  <si>
    <t xml:space="preserve">Conferir os dados da unidade </t>
  </si>
  <si>
    <t>Observar se há erro preliminar no preenchimento na aba Conferência</t>
  </si>
  <si>
    <t>Se houver erro, pode ser que você não consiga imprimir</t>
  </si>
  <si>
    <t>Salvar o arquivo com o código eol da sua unidade para enviar por e-mail a DRE.</t>
  </si>
  <si>
    <t>Refeição</t>
  </si>
  <si>
    <t>REPETIÇÃO SOBREMESA</t>
  </si>
  <si>
    <t>2º PERÍODO</t>
  </si>
  <si>
    <t>DIETA A</t>
  </si>
  <si>
    <t>DIETA B</t>
  </si>
  <si>
    <t>OBSERVAÇÕES - NESTES CAMPOS PODEM SER INFORMADAS AS OBSERVAÇÕES DIÁRIAS REFERENTES AOS APONTAMENTOS DOS  CAMPO 02 (ACIMA) E 03</t>
  </si>
  <si>
    <t>TOTAL</t>
  </si>
  <si>
    <t>Verificar campos antes de imprimir</t>
  </si>
  <si>
    <t>FELIPE GABRIEL BERNARDES INACIO</t>
  </si>
  <si>
    <t>ESTHEVANN DOS SANTOS</t>
  </si>
  <si>
    <t>Intolerância Alimentar - Carne Suína</t>
  </si>
  <si>
    <t>HELOISA SILVA PASSOS</t>
  </si>
  <si>
    <t>BYIAN SANTANA ALVES CARDOSO</t>
  </si>
  <si>
    <t>MANUELA DA SILVA FELIPPE</t>
  </si>
  <si>
    <t>Alergia a Corantes; Alergia a Aromatizantes</t>
  </si>
  <si>
    <t>BRUNA EVARISTO GOMES</t>
  </si>
  <si>
    <t>FABRICIO ORMUNDO SILVA</t>
  </si>
  <si>
    <t>ISABELA CRISTINA DA SILVA</t>
  </si>
  <si>
    <t>Constipação/Obstipação Intestinal; Intolerância Alimentar - Leite e/ou Derivados do Leite</t>
  </si>
  <si>
    <t>JOAO PAULO PEQUENO DA SILVA</t>
  </si>
  <si>
    <t>LEON DE OLIVEIRA BRITO DA SILVA</t>
  </si>
  <si>
    <t>LUIS HENRIQUE FERREIRA DA SILVA</t>
  </si>
  <si>
    <t>Alergia a Fruta - Mamão</t>
  </si>
  <si>
    <t>DANIEL MARTINS DA SILVA</t>
  </si>
  <si>
    <t>FELIPE DE ANDRADE PEREIRA</t>
  </si>
  <si>
    <t>LAYLA PONCIANO RODRIGUES</t>
  </si>
  <si>
    <t>Alergia a Carne Suina</t>
  </si>
  <si>
    <t>MIKAEL SANTANA ALMEIDA</t>
  </si>
  <si>
    <t>CAUA DOS SANTOS OLIVEIRA</t>
  </si>
  <si>
    <t>BRUNO HENRIQUE DINIZ</t>
  </si>
  <si>
    <t/>
  </si>
  <si>
    <t>DANIEL GOMES FILGUEIRA</t>
  </si>
  <si>
    <t>LUIS FELIPE NUNES VELASQUES</t>
  </si>
  <si>
    <t>FABIO NOGUEIRA SANTOS</t>
  </si>
  <si>
    <t>ANA JULIA SOARES DO NASCIMENTO</t>
  </si>
  <si>
    <t>YASMIM MACEDO DA SILVA</t>
  </si>
  <si>
    <t>LAURA MENDES DA SILVA</t>
  </si>
  <si>
    <t>LUCAS DE ARAUJO SANTOS</t>
  </si>
  <si>
    <t>VINICIUS ERCINO MONTEIRO JUNIOR</t>
  </si>
  <si>
    <t>Alergia a Proteína do Leite de Vaca; Intolerância à Lactose</t>
  </si>
  <si>
    <t>LAURA PINHEIRO SANTOS</t>
  </si>
  <si>
    <t>GUSTAVO CESAR DE OLIVEIRA CAMPOS</t>
  </si>
  <si>
    <t>LUANA VITORIA COSTA PEREIRA</t>
  </si>
  <si>
    <t>EMEI JARDIM SÃO BERNARDO (TERC)</t>
  </si>
  <si>
    <t>Constipação/Obstipação Intestinal; Intolerância à Lactose</t>
  </si>
  <si>
    <t>GRAZIELY ROCHA DE SOUSA</t>
  </si>
  <si>
    <t>YURI ALMEIDA DE ALCANTARA</t>
  </si>
  <si>
    <t>JANAINNA SOARES CORREIA</t>
  </si>
  <si>
    <t>ANA CAROLINA DE JESUS ALMEIDA</t>
  </si>
  <si>
    <t>Hiperglicemia</t>
  </si>
  <si>
    <t>VINICIUS RAFAEL ALMEIDA DE SOUZA</t>
  </si>
  <si>
    <t>BRAYAN PEREIRA GARCIA</t>
  </si>
  <si>
    <t>HENZO RAFAEL CORDEIRO SILVA</t>
  </si>
  <si>
    <t>CCI N. SRA . DO Ó (TERC)</t>
  </si>
  <si>
    <t>ARTHUR BASTOS SILVA ALECRIM</t>
  </si>
  <si>
    <t>ENZO DE ALMEIDA CARLOS FERREIRA AZEVEDO</t>
  </si>
  <si>
    <t>SOPHIA ANUVALE FONTANA</t>
  </si>
  <si>
    <t>CEI MUN. CASA VERDE (TERC.)</t>
  </si>
  <si>
    <t>BRENO HENRIQUE SOARES DOS SANTOS</t>
  </si>
  <si>
    <t>DIEGO KENJI IWAKI</t>
  </si>
  <si>
    <t>GIOVANNA OLIVEIRA SANTOS</t>
  </si>
  <si>
    <t>HERON HIROSHI DOS SANTOS SAMEZIMA</t>
  </si>
  <si>
    <t>PEDRO CUSTODIO PRESSE</t>
  </si>
  <si>
    <t>VALENTINA SONTACHI GOGIEL</t>
  </si>
  <si>
    <t>Alergia a Ovo; Alergia a Carne Suina; Alergia a Carne Bovina; Alergia a carne de carneiro; Alergia a carne de cabrito; Alergia a Leites (de origem aninal); Alergia a Bebida de Soja</t>
  </si>
  <si>
    <t>CEI MUN. GUILHERME HENRIQUE PINTO COELHO - (TERCEI.)</t>
  </si>
  <si>
    <t>ALICIA VITORIA DANIEL DOS SANTOS</t>
  </si>
  <si>
    <t>MIGUEL SIQUEIRA GONCALVES</t>
  </si>
  <si>
    <t>NICOLAS BORGES SANTOS</t>
  </si>
  <si>
    <t>CEI MUN. JD. MONJOLO - (TERCEI.)</t>
  </si>
  <si>
    <t>FELIPE FERREIRA DIAS</t>
  </si>
  <si>
    <t>LORENA CATHARINA DA SILVA BOTELHO SANTOS</t>
  </si>
  <si>
    <t>Intolerância Alimentar - Fórmula Láctea Infantil</t>
  </si>
  <si>
    <t>SOPHIA DE ARAUJO FIORENTIN</t>
  </si>
  <si>
    <t>CEI MUN. JD. MONTE ALEGRE - (TERCEI.)</t>
  </si>
  <si>
    <t>AGATHA RIBEIRO TIMOTIO</t>
  </si>
  <si>
    <t>LUIZA CORREA DE SOUZA</t>
  </si>
  <si>
    <t>MARIA CLARA ARAUJO LOURENCO</t>
  </si>
  <si>
    <t>PRETHA DANDARA ANASTACIO MARCONDES</t>
  </si>
  <si>
    <t>CEI MUN. JD. PERI - (TERCEI.)</t>
  </si>
  <si>
    <t>CAUAN BELTELLINI RUGGIERO DE BARROS</t>
  </si>
  <si>
    <t>MARIA EDUARDA ALVES DE SOUZA</t>
  </si>
  <si>
    <t>CEI MUN. JD. PRIMAVERA I - (TERCEI.)</t>
  </si>
  <si>
    <t>ANA BEATRIZ SANTOS OLIVEIRA</t>
  </si>
  <si>
    <t>BRENNO ALMEIDA SOUSA</t>
  </si>
  <si>
    <t>LUCAS DE ALMEIDA ALVES</t>
  </si>
  <si>
    <t>LUIZA HELENA ALMEIDA BUENO</t>
  </si>
  <si>
    <t>CEI MUN. JD. STA. TEREZA (TERCEI.)</t>
  </si>
  <si>
    <t>BRENDA MANUELY DE SOUZA DA SILVA</t>
  </si>
  <si>
    <t>EDUARDO LOPES DA PAZ</t>
  </si>
  <si>
    <t>CEI MUN. JD. VISTA ALEGRE - (TERCEI.)</t>
  </si>
  <si>
    <t>MURILO BACELAR COSTA DA SILVA</t>
  </si>
  <si>
    <t>CEI MUN. MÁRCIA RICCO FERRAZ - (TERCEI.)</t>
  </si>
  <si>
    <t>ADRIEL HENRIQUE VENANCIO NOBRE</t>
  </si>
  <si>
    <t>ENZO RICARDO JALES PRAZERES DA SILVA</t>
  </si>
  <si>
    <t>JULIA BEATRIZ SOUZA OLIVEIRA</t>
  </si>
  <si>
    <t>PEDRO SILVA DOS SANTOS</t>
  </si>
  <si>
    <t>CEI MUN. PROF. REYNALDO M. FREITAS E SILVA - (TERCEI.)</t>
  </si>
  <si>
    <t>ENZO OLIVEIRA SANTOS</t>
  </si>
  <si>
    <t>ISABELLA FERREIRA MARQUES</t>
  </si>
  <si>
    <t>KATARINA ARAUJO BENTO</t>
  </si>
  <si>
    <t>PEDRO OLIVEIRA COELHO</t>
  </si>
  <si>
    <t>CEI MUN. VL. BRASILÂNDIA - (TERCEI.)</t>
  </si>
  <si>
    <t>ALICIA GABRIELLY SILVA ALVES</t>
  </si>
  <si>
    <t>BRENO YURI PEREIRA DOS SANTOS</t>
  </si>
  <si>
    <t>Alergia a Ovo; Alergia a Proteína do Leite de Vaca; Alergia a Peixe</t>
  </si>
  <si>
    <t>HEITOR SANTOS CAETANO</t>
  </si>
  <si>
    <t>CEI MUN. VL. PENTEADO</t>
  </si>
  <si>
    <t>ANNA JULIA ROCHA JESUS</t>
  </si>
  <si>
    <t>Assadura</t>
  </si>
  <si>
    <t>ISABELLY SILVA SANTOS</t>
  </si>
  <si>
    <t>NICOLLAS SANTANA DOS SANTOS</t>
  </si>
  <si>
    <t>CEI MUN. VL. PRADO - (TERCEI.)</t>
  </si>
  <si>
    <t>MARIAH CLARA BARBOSA DA SILVA</t>
  </si>
  <si>
    <t>CEU CEI MUN. DA PAZ - (TERCEI.)</t>
  </si>
  <si>
    <t>ARTHUR SOUZA SANTOS</t>
  </si>
  <si>
    <t>ELEONORA NOVAES RAMOS DE AZEVEDO</t>
  </si>
  <si>
    <t>CEU CEI MUN. JD. PAULISTANO - (TERCEI.)</t>
  </si>
  <si>
    <t>GABRIELY LIMA DA SILVA</t>
  </si>
  <si>
    <t>RAYSSA NICOLLY PEREIRA DOS SANTOS</t>
  </si>
  <si>
    <t>CEU EMEF PAULISTANO - (TERCEI.)</t>
  </si>
  <si>
    <t>ARTHUR HENEAS GOMES DA CRUZ</t>
  </si>
  <si>
    <t>GABRIELY RODRIGUES GUIMARAES</t>
  </si>
  <si>
    <t>ISMAEL MARIO DANTAS</t>
  </si>
  <si>
    <t>Anemia Falciforme</t>
  </si>
  <si>
    <t>LUIZ FELIPE PAIVA DA SILVA</t>
  </si>
  <si>
    <t>Síndrome Nefrótica; Dieta Hipossódica; Dieta Hipogordurosa</t>
  </si>
  <si>
    <t>LUIZA PEREIRA DE OLIVEIRA</t>
  </si>
  <si>
    <t>Acidemia Metilmalônica</t>
  </si>
  <si>
    <t>MYGUEL DE SOUZA SANTOS</t>
  </si>
  <si>
    <t>Hipoglicemia</t>
  </si>
  <si>
    <t>RAISSA FERREIRA DA SILVA</t>
  </si>
  <si>
    <t>CEU EMEI DA PAZ - (TERCEI.)</t>
  </si>
  <si>
    <t>ANNA BEATRIZ OLIVEIRA UCHOA</t>
  </si>
  <si>
    <t>LEONE LAUDIONOR DA ANUNCIACAO</t>
  </si>
  <si>
    <t>Intolerância à Glicose / Má Absorção de Glicose</t>
  </si>
  <si>
    <t>CEU EMEI PAULISTANO - (TERCEI.)</t>
  </si>
  <si>
    <t>EMEBS PROF. MÁRIO PEREIRA BICUDO (TERC)</t>
  </si>
  <si>
    <t>LOANY SANTOS DZIOBA</t>
  </si>
  <si>
    <t>Nefrectomia</t>
  </si>
  <si>
    <t>THAIS MARCAL DE SANTANA</t>
  </si>
  <si>
    <t>Alergia a Corantes; Alergia a Conservantes; Alergia a Chocolate/Cacau</t>
  </si>
  <si>
    <t>EMEF CEL. PM JOSÉ HERMÍNIO RODRIGUES - (TERCEI.)</t>
  </si>
  <si>
    <t>EMEF CTE. GARCIA D'AVILA - (TERCEI.)</t>
  </si>
  <si>
    <t>FERNANDA CAROLINE SILVA COSTA</t>
  </si>
  <si>
    <t>NICOLLY APARECIDA DUARTE MUSTO</t>
  </si>
  <si>
    <t>EMEF DES. SEBASTIÃO NOGUEIRA DE LIMA - (TERCEI.)</t>
  </si>
  <si>
    <t>DEIVID GEOVANNE VIANA FERNANDES</t>
  </si>
  <si>
    <t>LUCAS FELICIO PINTO</t>
  </si>
  <si>
    <t>EMEF DNA. ANGELINA MAFFEI VITA - (TERCEI.)</t>
  </si>
  <si>
    <t>FELIPE ROCHA DOS SANTOS</t>
  </si>
  <si>
    <t>Esofagite</t>
  </si>
  <si>
    <t>PEDRO HENRIQUE PEREIRA RODRIGUES</t>
  </si>
  <si>
    <t>EMEF EMB. RAUL FERNANDES (TERC)</t>
  </si>
  <si>
    <t>AMANDA DE OLIVEIRA MARQUES</t>
  </si>
  <si>
    <t>EMEF ÉRICO VERÍSSIMO - (TERCEI.)</t>
  </si>
  <si>
    <t>DAVID SAMUEL URIAS GOMES DE OLIVEIRA</t>
  </si>
  <si>
    <t>GIOVANNA SEIFERT DA SILVA</t>
  </si>
  <si>
    <t>MOISES FARIAS ALVES</t>
  </si>
  <si>
    <t>EMEF GERALDO SESSO JR. - (TERCEI.)</t>
  </si>
  <si>
    <t>MARIA JULIA SOUZA DOS SANTOS</t>
  </si>
  <si>
    <t>EMEF GILBERTO DUPAS (TERC)</t>
  </si>
  <si>
    <t>EZEQUIEL DA SILVA SANTOS</t>
  </si>
  <si>
    <t>JENNIFER NICOLI WADA PADRINI</t>
  </si>
  <si>
    <t>EMEF JD. DAMASCENO - (TERCEI.)</t>
  </si>
  <si>
    <t>ALICE ALVES RODRIGUES DA SILVA</t>
  </si>
  <si>
    <t>ANTONIEL SOUZA OLIVEIRA</t>
  </si>
  <si>
    <t>BRUNO DE MELO</t>
  </si>
  <si>
    <t>Intolerância à Lactose; Alergia a Oleaginosas - Amendoim; Alergia a Hortifruti - Cenoura; Alergia a Hortifruti - Abobrinha; Alergia a Hortifruti - Couve; Intolerância Alimentar - Feijão Carioca/Feijão Preto</t>
  </si>
  <si>
    <t>GUSTAVO HENRIQUE OLIVEIRA VIEIRA</t>
  </si>
  <si>
    <t>JOAO VICTOR SEVERIANO GRAMA</t>
  </si>
  <si>
    <t>Alergia a Ovo; Alergia a Corantes; Alergia a Conservantes; Alergia a Embutidos</t>
  </si>
  <si>
    <t>LARISSA PROTAZIO AMORIM</t>
  </si>
  <si>
    <t>MIKAELY DA SILVA PAULO</t>
  </si>
  <si>
    <t>NICKOLLY GONCALVES DOS SANTOS</t>
  </si>
  <si>
    <t>STHEFANY CASTRO LEANDRO DOS SANTOS</t>
  </si>
  <si>
    <t>EMEF JD. GUARANI - (TERCEI.)</t>
  </si>
  <si>
    <t>ANIELLY FERNANDES ARAUJO</t>
  </si>
  <si>
    <t>APARECIDA DESTERRO FLORENCIO BELCHIOR</t>
  </si>
  <si>
    <t>BRENA PAES SOARES</t>
  </si>
  <si>
    <t>Alergia a Peixe; Alergia a Frutos do Mar; Alergia a Carne Suina</t>
  </si>
  <si>
    <t>CARLOS DANIEL DA CONCEICAO SOTERO SILVA</t>
  </si>
  <si>
    <t>JULIA FELIX NASCIMENTO</t>
  </si>
  <si>
    <t>LETICIA VICENTE DA SILVA</t>
  </si>
  <si>
    <t>RENAN APOLINARIO RAMOS DOS SANTOS</t>
  </si>
  <si>
    <t>EMEF MARCILIO DIAS - (TERCEI.)</t>
  </si>
  <si>
    <t>DAVI LUCAS DE AZEVEDO FREITAS</t>
  </si>
  <si>
    <t>GUSTAVO BELTRAMI DE SOUSA</t>
  </si>
  <si>
    <t>Intolerância Alimentar a Hortifruti - Tomate</t>
  </si>
  <si>
    <t>ISABELE ELIAS COSTA</t>
  </si>
  <si>
    <t>ISABELLA BUENO DE OLIVEIRA</t>
  </si>
  <si>
    <t>Alergia a Fruta - Abacaxi; Alergia a Hortifruti - Tomate</t>
  </si>
  <si>
    <t>JOAO VICTOR DOS SANTOS SOUZA</t>
  </si>
  <si>
    <t>NICOLE LOPES DOS SANTOS</t>
  </si>
  <si>
    <t>VIVIAN CAROLINE DA SILVA SANTOS</t>
  </si>
  <si>
    <t>Alergia a Ovo; Alergia a Salsicha</t>
  </si>
  <si>
    <t>EMEF PAULO NOGUEIRA FILHO - (TERCEI.)</t>
  </si>
  <si>
    <t>AISHA ALVES FERREIRA</t>
  </si>
  <si>
    <t>Alergia a Proteína do Leite de Vaca; Intolerância Alimentar - Leite e/ou Derivados do Leite</t>
  </si>
  <si>
    <t>HENRIQUE RODRIGUES TOTALI FERNANDES</t>
  </si>
  <si>
    <t>JESSICA BEATRIZ FERREIRA SENRIDILLO</t>
  </si>
  <si>
    <t>EMEF PEDRO AMÉRICO - (TERCEI.)</t>
  </si>
  <si>
    <t>Hipercolesterolemia; Hipertensão; Sobrepeso e Obesidade</t>
  </si>
  <si>
    <t>GUILHERME YURI LESSA</t>
  </si>
  <si>
    <t>LUCAS FREITAS DE OLIVEIRA</t>
  </si>
  <si>
    <t>EMEF PROF NEIR AUGUSTO LOPES - ANTIG. CHB. VILA NOVA CACHOEIRINHA - (TERCEI.)</t>
  </si>
  <si>
    <t>GABRIELA NUNES DUARTE DA SILVA</t>
  </si>
  <si>
    <t>TAINA MARQUES DANTAS</t>
  </si>
  <si>
    <t>WENDEL DIOGO DA SILVA NASCIMENTO</t>
  </si>
  <si>
    <t>EMEF PROF. ANDRÉ RODRIGUES ALCKMIN - (TERCEI.)</t>
  </si>
  <si>
    <t>EMEF PROF. ANTONIO PRUDENTE - (TERCEI.)</t>
  </si>
  <si>
    <t>DAVID TORRES FERNANDES</t>
  </si>
  <si>
    <t>EMEF PROF. PRIMO PASCOLI MELARÉ - (TERCEI.)</t>
  </si>
  <si>
    <t>MARIA HELOISA LUCIO FELIX</t>
  </si>
  <si>
    <t>EMEF PROF. ROBERTO PATRÍCIO - (TERCEI.)</t>
  </si>
  <si>
    <t>ALINE SILVA DE CARVALHO</t>
  </si>
  <si>
    <t>MARIA HELLOISA MARQUES CARDOZO</t>
  </si>
  <si>
    <t>VINICIUS FOGACA GONCALVES</t>
  </si>
  <si>
    <t>EMEF PROFª LILIAN MASO  (TERC)</t>
  </si>
  <si>
    <t>LUCAS FELIPE RUBIN FIGLIOLLI SALES</t>
  </si>
  <si>
    <t>MARCOS ALLAN SANTOS MENEZES</t>
  </si>
  <si>
    <t>EMEF PROFA. CAIRA ALAYDE ALVARENGA MEDEA - (TERCEI.)</t>
  </si>
  <si>
    <t>GRAZIELLE LEAL GARCAO</t>
  </si>
  <si>
    <t>YURI PIRES LOLA DA SILVA</t>
  </si>
  <si>
    <t>EMEF PROFA. CECÍLIA MORAES DE VASCONCELOS - (TERCEI.)</t>
  </si>
  <si>
    <t>EMANUELLY VITORIA DA SILVA SANTOS</t>
  </si>
  <si>
    <t>SAMIRA LEITE DE JESUS</t>
  </si>
  <si>
    <t>EMEF PROFA. JOANINHA GRASSI FAGUNDES - (TERCEI.)</t>
  </si>
  <si>
    <t>VITORIA CAMILLI SIQUEIRA DE SANTANA</t>
  </si>
  <si>
    <t>EMEF SEN. MILTON CAMPOS - (TERCEI.)</t>
  </si>
  <si>
    <t>HEVELYN MELO DE LIMA</t>
  </si>
  <si>
    <t>Alergia a Ovo; Alergia a Corantes; Alergia a Conservantes; Alergia a Peixe</t>
  </si>
  <si>
    <t>EMEF SEN. TEOTÔNIO VILELA - CEU PAZ - (TERCEI.)</t>
  </si>
  <si>
    <t>BRUNO AMORIM MARCAL</t>
  </si>
  <si>
    <t>DANIEL FELIPE DA SILVA</t>
  </si>
  <si>
    <t>JOAO PAULO DE JESUS DA SILVA</t>
  </si>
  <si>
    <t>PAOLA KAROLAINE DA SILVA SANTOS</t>
  </si>
  <si>
    <t>SARA DOS SANTOS ANDRADE</t>
  </si>
  <si>
    <t>Alergia a Corantes; Alergia a Enlatados</t>
  </si>
  <si>
    <t>SARA FELIPE DE CARVALHO</t>
  </si>
  <si>
    <t>EMEF ZILKA S. DE CARVALHO - CHB. JD. ANTART - (TERCEI.)</t>
  </si>
  <si>
    <t>ANA CLARA SALES COELHO</t>
  </si>
  <si>
    <t>BIANCA TEODORO DA SILVA</t>
  </si>
  <si>
    <t>FELIPE ALVES CARDIM</t>
  </si>
  <si>
    <t>IRANDIR FERNANDES BEZERRA APOLINARIO</t>
  </si>
  <si>
    <t>MARIA EDUARDA PEQUENO DOS REIS</t>
  </si>
  <si>
    <t>RICHARD LEAL</t>
  </si>
  <si>
    <t>RUTI SANTOS DA SILVA</t>
  </si>
  <si>
    <t>Síndrome Nefrótica; Dieta Hipossódica</t>
  </si>
  <si>
    <t>THOMAS MORAES CIQUEIRA</t>
  </si>
  <si>
    <t>WESLEY DA SILVA SOUZA</t>
  </si>
  <si>
    <t>EMEF-MARIA APARECIDA RODRIGUES CINTRA, PROFA. (TERC)</t>
  </si>
  <si>
    <t>ANA LUIZA FERREIRA DA FRANCA</t>
  </si>
  <si>
    <t>NICOLAS GUEDES LAZARTE</t>
  </si>
  <si>
    <t>NICOLE DOS SANTOS CAMARGO</t>
  </si>
  <si>
    <t>Diabetes Insipidus Nefrogênico</t>
  </si>
  <si>
    <t>RAISSA ISABEL ALCANTARA DE OLIVEIRA</t>
  </si>
  <si>
    <t>RYAN HENRI MASCARENHA DA SILVA</t>
  </si>
  <si>
    <t>EMEI 25 DE JANEIRO - (TERCEI.)</t>
  </si>
  <si>
    <t>ALICE DA SILVA SOUSA</t>
  </si>
  <si>
    <t>RAFAEL FIDELIS PONTES DA SILVA MARTINS</t>
  </si>
  <si>
    <t>SARAH CRISTINA DE SOUSA SILVA</t>
  </si>
  <si>
    <t>EMEI ANITA GARIBALDI (TERC)</t>
  </si>
  <si>
    <t>VALENTINA DE OLIVEIRA DA SILVA</t>
  </si>
  <si>
    <t>EMEI ANTONIO CALLADO - (TERCEI.)</t>
  </si>
  <si>
    <t>HENRIQUE GUILHERME BRUEHMUELLER DE OLIVEIRA</t>
  </si>
  <si>
    <t>LEONARDO OLIVEIRA NEVES</t>
  </si>
  <si>
    <t>EMEI BERTHA LUTZ - (TERCEI.)</t>
  </si>
  <si>
    <t>EMEI BOMB. JOSÉ ROBSON COSTA DE ARAÚJO - (TERCEI.)</t>
  </si>
  <si>
    <t>IZABELLY VICTORIA ALVES LENCO</t>
  </si>
  <si>
    <t>PEDRO MYGUEL ALVES DA COSTA</t>
  </si>
  <si>
    <t>EMEI BRIG. EDUARDO GOMES - (TERCEI.)</t>
  </si>
  <si>
    <t>MURILO HENRIQUE PASSOS FIALHO</t>
  </si>
  <si>
    <t>PEDRO FRANCISCO SANTOS DA SILVA</t>
  </si>
  <si>
    <t>EMEI CAIO GRACO DA SILVA PRADO</t>
  </si>
  <si>
    <t>ESTHER ASSUNCAO ALVES</t>
  </si>
  <si>
    <t>JOHN PINA GONALVES DURVAL</t>
  </si>
  <si>
    <t>EMEI CEL. ALEXANDRE GAMA</t>
  </si>
  <si>
    <t>ANA BEATRIZ DE FREITAS SANTOS</t>
  </si>
  <si>
    <t>JOSE MIGUEL MARTINS GREGORIO</t>
  </si>
  <si>
    <t>Alergia a Ovo; Alergia a Proteína do Leite de Vaca; Alergia a Soja; Alergia a Oleaginosas - Amendoim</t>
  </si>
  <si>
    <t>EMEI CEL. JOSÉ CANAVO FILHO - (TERCEI.)</t>
  </si>
  <si>
    <t>ALICE ARAUJO DE LIMA</t>
  </si>
  <si>
    <t>EMEI DR. BERNARDINO PIMENTEL MENDES - (TERCEI.)</t>
  </si>
  <si>
    <t>MURILO MENESES SAMPAIO</t>
  </si>
  <si>
    <t>VITORIA SOUZA DA SILVA</t>
  </si>
  <si>
    <t>EMEI DR. ENZO SILVEIRA - (TERCEI.)</t>
  </si>
  <si>
    <t>GUSTAVO DE SOUZA DOS SANTOS</t>
  </si>
  <si>
    <t>MARIA EDUARDA NASCIMENTO PERES</t>
  </si>
  <si>
    <t>THIERRY MENDES DE SOUZA</t>
  </si>
  <si>
    <t>EMEI FELIPE MESTRE JOU - (TERCEI.)</t>
  </si>
  <si>
    <t>CAMILLY FRANCISCHINI TORRES DE LIMA</t>
  </si>
  <si>
    <t>Rim Único</t>
  </si>
  <si>
    <t>Alergia a Corantes; Alergia a Conservantes; Alergia a Embutidos; Alergia a Enlatados</t>
  </si>
  <si>
    <t>EMEI GOV. LUCAS NOGUEIRA GARCEZ (TERC)</t>
  </si>
  <si>
    <t>DAVI SANTOS OLIVEIRA</t>
  </si>
  <si>
    <t>EMEI JD. MONJOLO I (TERC)</t>
  </si>
  <si>
    <t>ANDERSON DANNYEL ARCA DA SILVA SANTOS</t>
  </si>
  <si>
    <t>EMEI JÚLIO MESQUITA FILHO (TERC)</t>
  </si>
  <si>
    <t>ANA CLARA DE OLIVEIRA FALCON</t>
  </si>
  <si>
    <t>Galactosemia</t>
  </si>
  <si>
    <t>NICOLAS ALVARES DA SILVA</t>
  </si>
  <si>
    <t>Alergia a Corantes; Alergia a Oleaginosas - Amendoim; Alergia a Chocolate/Cacau</t>
  </si>
  <si>
    <t>EMEI MAL. ODILIO DENYS (TERC)</t>
  </si>
  <si>
    <t>EMEI MANOEL PRETO - (TERCEI.)</t>
  </si>
  <si>
    <t>ALICE BATISTA SOUZA</t>
  </si>
  <si>
    <t>GABRIEL CALADO ARRUDA</t>
  </si>
  <si>
    <t>GABRIELL FERNANDES SALVIANO</t>
  </si>
  <si>
    <t>JUAN GUSTAVO BEZERRA</t>
  </si>
  <si>
    <t>Alergia a Ovo; Alergia a Chocolate/Cacau; Intolerância Alimentar - Biscoito em geral</t>
  </si>
  <si>
    <t>LUANA ESTRELA SILVA</t>
  </si>
  <si>
    <t>VITOR SILVESTRE BRITO DOS SANTOS</t>
  </si>
  <si>
    <t>EMEI MANUEL BANDEIRA - (TERCEI.)</t>
  </si>
  <si>
    <t>ANA JULIA DOS SANTOS ARAUJO</t>
  </si>
  <si>
    <t>DANILO ALBERTINI RODRIGUES</t>
  </si>
  <si>
    <t>Alergia a Fruta - Abacaxi; Alergia a Embutidos</t>
  </si>
  <si>
    <t>GABRIEL SOUZA DA SILVA</t>
  </si>
  <si>
    <t>EMEI MARTINS FONTES</t>
  </si>
  <si>
    <t>ISAQUE DE SOUZA SILVA</t>
  </si>
  <si>
    <t>RHANNA LARA OLIVEIRA LIMA</t>
  </si>
  <si>
    <t>EMEI MIN. BILAC PINTO  - (TERCEI.)</t>
  </si>
  <si>
    <t>EMEI NAIR CORREA BUARQUE (TERC)</t>
  </si>
  <si>
    <t>ENZO GUSTAVO DA SILVA NASCIMENTO</t>
  </si>
  <si>
    <t>Megacolon Congênito</t>
  </si>
  <si>
    <t>LARISSA BEATRIZ FREITAS LIMA</t>
  </si>
  <si>
    <t>SAMUEL NUNES MARTINS</t>
  </si>
  <si>
    <t>EMEI NELSON MANDELA - ANTIG. EMEI GUIA LOPES - (TERCEI.)</t>
  </si>
  <si>
    <t>MICAEL FELIPE SOUZA DOS SANTOS</t>
  </si>
  <si>
    <t>EMEI OLAVO BILAC</t>
  </si>
  <si>
    <t>NICOLLY LADEIA VASCONCELOS BRITO MOTA</t>
  </si>
  <si>
    <t>EMEI PORTO NACIONAL - (TERCEI.)</t>
  </si>
  <si>
    <t>ARTHUR LUCCA DA COSTA</t>
  </si>
  <si>
    <t>EMEI PROF. ARLINDO VEIGA DOS SANTOS</t>
  </si>
  <si>
    <t>DEIVID PEDRO DANTAS JUNIOR</t>
  </si>
  <si>
    <t>ISABELA SALGADO SANTOS</t>
  </si>
  <si>
    <t>JULIA CRISTINA ALVES DOS SANTOS</t>
  </si>
  <si>
    <t>KAUA GOMES DA COSTA MATTOOSS</t>
  </si>
  <si>
    <t>LARISSA FIGUEIREDO CHINEMANN SOARES</t>
  </si>
  <si>
    <t>LORETTA GOMES SOUZA SILVA</t>
  </si>
  <si>
    <t>MATHEUS ALEX SANTOS SILVA</t>
  </si>
  <si>
    <t>VICTOR HENRIQUE DOMINGUES ALVES</t>
  </si>
  <si>
    <t>YASMIM CAMILLY LIMA CAVALCANTI</t>
  </si>
  <si>
    <t>EMEI PROF. TITO LIVIO FERREIRA - (TERCEI.)</t>
  </si>
  <si>
    <t>LORRAYNE SILVA PRIMO</t>
  </si>
  <si>
    <t>WELLINGTON DIAS SILVA</t>
  </si>
  <si>
    <t>EMEI PROFA. MARIA LÚCIA PETIT DA SILVA - (TERCEI.)</t>
  </si>
  <si>
    <t>ANDRES NILMAR HINOJOSA FLORES</t>
  </si>
  <si>
    <t>DAVID LUCAS SILVA MATOS</t>
  </si>
  <si>
    <t>ESTHER DE AQUINO OLIVEIRA</t>
  </si>
  <si>
    <t>JOAO PEDRO OLIVEIRA BOMFIM</t>
  </si>
  <si>
    <t>Alergia a Ovo; Alergia a Proteína do Leite de Vaca; Alergia ao Trigo; Alergia a Soja; Alergia a Peixe; Alergia a Frutos do Mar; Alergia a Oleaginosas - Amendoim; Alergia a Fruta - Banana; Alergia a Hortifruti - Beterraba</t>
  </si>
  <si>
    <t>EMEI ROSA E CAROLINA AGAZZI - (TERCEI.)</t>
  </si>
  <si>
    <t>PEDRO LUIZ DE SOUZA LIMA</t>
  </si>
  <si>
    <t>Alergia a Alimentos Ácidos</t>
  </si>
  <si>
    <t>EMEI VER. ALEX FREUA NETTO - (TERCEI.)</t>
  </si>
  <si>
    <t>FERNANDO MIGUEL RODRIGUES VASQUES OLIVEIRA</t>
  </si>
  <si>
    <t>LUAN VINICIUS LIMA ANDRADE</t>
  </si>
  <si>
    <t>SAMUEL ABDON FELTRIN</t>
  </si>
  <si>
    <t>THARCISIO ABDON FELTRIN</t>
  </si>
  <si>
    <t>EMEI VICENTE PAULO DA SILVA - (TERCEI.)</t>
  </si>
  <si>
    <t>DAVI MIRANDA DOS SANTOS</t>
  </si>
  <si>
    <t>CEI CEU JOSELY MARIA CARDOSO BENTO (TERC)</t>
  </si>
  <si>
    <t>GABRYEL ALVES PINHO</t>
  </si>
  <si>
    <t>Intolerância à Lactose; Intolerância Alimentar - Ovo</t>
  </si>
  <si>
    <t>VALENTINA SANTOS OLIVA</t>
  </si>
  <si>
    <t>CEI MUN. ADHEMAR FERREIRA DA SILVA - (TERCEI.)</t>
  </si>
  <si>
    <t>MANUELLA RIBEIRO PEREIRA</t>
  </si>
  <si>
    <t>CEI MUN. BÁRBARA HELIODORA - (TERCEI.)</t>
  </si>
  <si>
    <t>ANNY LOUISE LIMA AMBROSIO DOS SANTOS</t>
  </si>
  <si>
    <t>DAVI LUCAS VIEIRA DE MELO</t>
  </si>
  <si>
    <t>DHIEGO GABRIEL DE ALMEIDA GONCALVES</t>
  </si>
  <si>
    <t>GUSTAVO CALORIO VERISSIMO</t>
  </si>
  <si>
    <t>CEI MUN. CIDADE TIRADENTES - (TERCEI.)</t>
  </si>
  <si>
    <t>Alergia a Ovo; Alergia ao Trigo</t>
  </si>
  <si>
    <t>HEITOR HENRIQUE DOS SANTOS</t>
  </si>
  <si>
    <t>PEDRO MIGUEL REIS COELHO</t>
  </si>
  <si>
    <t>THOMAS BUCHMEIER DA SILVA</t>
  </si>
  <si>
    <t>CEI MUN. D. LUCIANO MENDES DE ALMEIDA  - (TERCEI.)</t>
  </si>
  <si>
    <t>IGOR DOS SANTOS LEME</t>
  </si>
  <si>
    <t>ISAQUE OLIVEIRA DOS SANTOS</t>
  </si>
  <si>
    <t>CEI MUN. FR. TITO DE ALENCAR - (TERCEI.)</t>
  </si>
  <si>
    <t>JHON WILLIAN MORAES DE LIMA</t>
  </si>
  <si>
    <t>CEI MUN. GERALDO MAGELA PERON (TERC)</t>
  </si>
  <si>
    <t>LUCAS VINICIUS PEREIRA DE SOUZA</t>
  </si>
  <si>
    <t>CEI MUN. INÁCIO MONTEIRO (TERC)</t>
  </si>
  <si>
    <t>JOAO VICTOR RODRIGUES DA AGUILAR</t>
  </si>
  <si>
    <t>Alergia a Ovo; Alergia a Alimentos Cítricos</t>
  </si>
  <si>
    <t>YASMIN ALVES BERNARDO</t>
  </si>
  <si>
    <t>CEI MUN. JD. SÃO PAULO (TERC)</t>
  </si>
  <si>
    <t>KAIQUE CAVALCANTE DOS SANTOS</t>
  </si>
  <si>
    <t>NAYAN FREITAS</t>
  </si>
  <si>
    <t>VINICIUS SOUSA GONCALVES</t>
  </si>
  <si>
    <t>YANNI BARBOSA RAMOS</t>
  </si>
  <si>
    <t>Alergia a Corantes; Alergia a Conservantes; Alergia a Salsicha; Alergia a Feijão</t>
  </si>
  <si>
    <t>CEI MUN. JOCELYNE GUIMARÃES FERM MELLO - (TERCEI.)</t>
  </si>
  <si>
    <t>AGEU GABRIEL FERREIRA CORREIA</t>
  </si>
  <si>
    <t>ENZO GOMES SILVA</t>
  </si>
  <si>
    <t>LETICIA MACEDO CARDOSO DOS SANTOS</t>
  </si>
  <si>
    <t>MURILO ANDRADE NUNES</t>
  </si>
  <si>
    <t>VITORIA FRANCILEIA FERREIRA DE JESUS</t>
  </si>
  <si>
    <t>MARCOS DA SILVA FERREIRA</t>
  </si>
  <si>
    <t>CEI MUN. MD. PAULINA - (TERCEI.)</t>
  </si>
  <si>
    <t>EDUARDO RODRIGUES DOS SANTOS</t>
  </si>
  <si>
    <t>GUSTAVO LIMA ROMAO</t>
  </si>
  <si>
    <t>NYCOLAS SOUZA DA SILVA</t>
  </si>
  <si>
    <t>CEI MUN. NEIDE KETELHUT - (TERCEI.)</t>
  </si>
  <si>
    <t>AGHATA DE LIMA MENESES</t>
  </si>
  <si>
    <t>JONATA GOMES SIQUEIRA</t>
  </si>
  <si>
    <t>SARAH ARAUJO SALES</t>
  </si>
  <si>
    <t>SOPHIA TAVARES SANCHES</t>
  </si>
  <si>
    <t>CEI MUN. PRES. JUSCELINO KUBITSCHEK DE OLIVEIRA - (TERCEI.)</t>
  </si>
  <si>
    <t>CEI MUN. PRESTES MAIA - (TERCEI.)</t>
  </si>
  <si>
    <t>AQUILES GUSTAVO LUCARIELLI RODRIGUES</t>
  </si>
  <si>
    <t>LORENZO RANGEL ÁVILA</t>
  </si>
  <si>
    <t>Alergia a Proteína do Leite de Vaca; Alergia a Oleaginosas - Amendoim; Alergia a Oleaginosas - Castanha do Pará; Alergia a Oleaginosas - Castanha de Caju; Alergia a Oleaginosas - Castanha de Barú; Alergia a Oleaginosas - Nozes; Alergia a Fruta - Coco</t>
  </si>
  <si>
    <t>CEI MUN. PROF. MARIO PEREIRA COSTA (TERC)</t>
  </si>
  <si>
    <t>ALIYAH ANDRADE DE SOUSA</t>
  </si>
  <si>
    <t>DAVI SANTANA OLIVEIRA DOS SANTOS</t>
  </si>
  <si>
    <t>PAULO HENRIQUE VICENTE RAMOS</t>
  </si>
  <si>
    <t>CEI MUN. PROFª MARIA AUGUSTA DE PAULA (TERCEI.)</t>
  </si>
  <si>
    <t>GEOVANA VITORIA PIRES DA SILVA</t>
  </si>
  <si>
    <t>Alergia a Corantes; Alergia a Salsicha</t>
  </si>
  <si>
    <t>HELOISA GABRYELLA TREWIKOWSKI DE LIMA</t>
  </si>
  <si>
    <t>CEI MUN. PROFA MARIELCIA FLORÊNCIO DE MORAIS (TERC)</t>
  </si>
  <si>
    <t>ALICE SIMAO RUTTER MACHADO</t>
  </si>
  <si>
    <t>GUILHERME VINICIUS DOS SANTOS SILVA</t>
  </si>
  <si>
    <t>MARIA EDUARDA LARA DOMINGOS</t>
  </si>
  <si>
    <t>CEI MUN. PROFA. MARIA DA CONCEIÇÃO MONT. AYRES - (TERCEI.)</t>
  </si>
  <si>
    <t>YASMIN SILVA DOS SANTOS</t>
  </si>
  <si>
    <t>CEI MUN. VER. JOAQUIM GOUVEIA FRANCO JR.</t>
  </si>
  <si>
    <t>ARTHUR GERMANO CAVALCANTE</t>
  </si>
  <si>
    <t>Prematuro / Pré termo</t>
  </si>
  <si>
    <t>SAMUEL DE FARIAS BRAGA</t>
  </si>
  <si>
    <t>CEI MUN. VER. PEDRO BRASIL BANDECCHI (TERC)</t>
  </si>
  <si>
    <t>SAULO MICHELL FREITAS DA SILVA</t>
  </si>
  <si>
    <t>Intolerância Alimentar - Feijão Carioca/Feijão Preto</t>
  </si>
  <si>
    <t>CEI MUN. VL. MARILENA - (TERCEI.)</t>
  </si>
  <si>
    <t>DANILLO FERREIRA ALTRAN</t>
  </si>
  <si>
    <t>CEI MUN. ZACARIAS MAURO FACCIO GONÇALVES - (TERCEI.)</t>
  </si>
  <si>
    <t>DAVI LUCCA RODRIGUES NASCIMENTO</t>
  </si>
  <si>
    <t>CEU CEI MUN. ÁGUA AZUL - (TERCEI.)</t>
  </si>
  <si>
    <t>ALICE GAVIOLI RIBEIRO DA SILVA</t>
  </si>
  <si>
    <t>ENZO GABRIEL HERDEIRO DOS SANTOS</t>
  </si>
  <si>
    <t>GEOVANA REGO DA SILVA</t>
  </si>
  <si>
    <t>LUCCA OLLIVER SOARES LIMA</t>
  </si>
  <si>
    <t>RODRIGO ANTONIO FERNANDES NEVES</t>
  </si>
  <si>
    <t>RYAN GRISI DOS SANTOS GOMES</t>
  </si>
  <si>
    <t>CEU CEI MUN. PROFA. EVANIR A. H. - EX. JAMBEIRO - (TERCEI.)</t>
  </si>
  <si>
    <t>BEATRIZ SEIXAS TEIXEIRA</t>
  </si>
  <si>
    <t>Anemia Ferropriva</t>
  </si>
  <si>
    <t>CEU CEI. SILVANA APARECIDA TOBIAS, PROFª (TERC) (ANTIGO CEU CEI MUN. JD. SOARES II)</t>
  </si>
  <si>
    <t>HENRIQUE JERONIMO DA SILVA</t>
  </si>
  <si>
    <t>CEU EMEF ÁGUA AZUL - PROF. PAULO RENATO COSTA SOUZA - (TERCEI.)</t>
  </si>
  <si>
    <t>ALICIA DE SOUZA MOLINA</t>
  </si>
  <si>
    <t>KAUAN FLORENCE DA SILVA</t>
  </si>
  <si>
    <t>KEVEN ADELSON PEREIRA SANTOS</t>
  </si>
  <si>
    <t>LORENA BARBOSA JARDIM</t>
  </si>
  <si>
    <t>PEDRO HENRIQUE DOS SANTOS ANUNOBI</t>
  </si>
  <si>
    <t>CEU EMEF INÁCIO MONTEIRO - (TERCEI.)</t>
  </si>
  <si>
    <t>MAYSA APARECIDA ROCHA BRAGA</t>
  </si>
  <si>
    <t>Alergia a Ovo; Alergia a Corantes</t>
  </si>
  <si>
    <t>MURILLO DE SOUZA UCHOA</t>
  </si>
  <si>
    <t>NATHALIN CUNHA RAMOS</t>
  </si>
  <si>
    <t>Alergia a Corantes; Alergia a Chocolate/Cacau; Alergia a Fruta - Morango</t>
  </si>
  <si>
    <t>CEU EMEF JAMBEIRO JOSE GUILHERME GIANETTI - (TERCEI.)</t>
  </si>
  <si>
    <t>ALICIA SILVA RODRIGUES FELICIO</t>
  </si>
  <si>
    <t>Disfagia; Sobrepeso e Obesidade</t>
  </si>
  <si>
    <t>GABRIEL RODRIGO ALCANTARA NASCIMENTO</t>
  </si>
  <si>
    <t>KAUAN VINICIUS SOUZA SILVA</t>
  </si>
  <si>
    <t>Alergia a Soja</t>
  </si>
  <si>
    <t>RAFAELY VITORIA MENEZES SILVA</t>
  </si>
  <si>
    <t>REBECA DA SILVA NUNES ARAUJO</t>
  </si>
  <si>
    <t>Alergia a Corantes; Alergia a Conservantes; Alergia a Embutidos</t>
  </si>
  <si>
    <t>CEU EMEF LAJEADO - (TERCEI.)</t>
  </si>
  <si>
    <t>EDUARDO EZIO SANTOS SILVA</t>
  </si>
  <si>
    <t>LEONARDO DOS SANTOS CASSIMIRO</t>
  </si>
  <si>
    <t>MARIANA ESTER SANTOS REAL</t>
  </si>
  <si>
    <t>CEU EMEI INÁCIO MONTEIRO - (TERCEI.)</t>
  </si>
  <si>
    <t>GABRIEL ROCHA SILVA</t>
  </si>
  <si>
    <t>CEU EMEI PROFA. EDNA ALVES DE SOUSA - (TERCEI.)</t>
  </si>
  <si>
    <t>ALEXIA PEREIRA DA SILVA</t>
  </si>
  <si>
    <t>Alergia a Ovo; Alergia a Proteína do Leite de Vaca; Alergia a Oleaginosas - Amendoim</t>
  </si>
  <si>
    <t>MANOELA APARECIDA VITORIA SILVEIRA PIRES</t>
  </si>
  <si>
    <t>RAFAELA BARRETO DA SILVA</t>
  </si>
  <si>
    <t>CEU EMEI PROFA. IRENE MANKE MARQUES - (TERCEI.)</t>
  </si>
  <si>
    <t>ARTHUR ARAUJO ADAO</t>
  </si>
  <si>
    <t>DANIEL BRITO DE FARIAS</t>
  </si>
  <si>
    <t>FELIPE DE JESUS BRANT</t>
  </si>
  <si>
    <t>Deficiência de G6PD; Alergia a Corantes; Intolerância Alimentar - Feijão Fava</t>
  </si>
  <si>
    <t>KAYLLANE MARIA SANTOS DINIZ</t>
  </si>
  <si>
    <t>MELISSA SILVA BELCHIOR DOS SANTOS</t>
  </si>
  <si>
    <t>Enxaqueca</t>
  </si>
  <si>
    <t>EMEF  HELINA  COUTINHO LOURENÇO ALVES, PROFA  -  (TERCEI.)</t>
  </si>
  <si>
    <t>ISABELA SANTOS SILVA</t>
  </si>
  <si>
    <t>MARCOS PAULO DOS SANTOS PEREIRA</t>
  </si>
  <si>
    <t>SAFHIRA KAUANNY DOS SANTOS SILVA</t>
  </si>
  <si>
    <t>EMEF  PROFª MARIA APARECIDA MAGNANELLI FERNANDES (TERCEI.)</t>
  </si>
  <si>
    <t>Dislipidemia; Gastrite</t>
  </si>
  <si>
    <t>ERICK FERNANDES CAMPOS DA CRUZ</t>
  </si>
  <si>
    <t>MAYARA DIAS DA SILVA</t>
  </si>
  <si>
    <t>EMEF 25 DE JANEIRO (TERCEI.)</t>
  </si>
  <si>
    <t>AMANDA CAMPOS DA SILVA</t>
  </si>
  <si>
    <t>EMEF ALEXANDRE DE GUSMÃO - (TERCEI.)</t>
  </si>
  <si>
    <t>GUSTAVO ALVES HUNGARO</t>
  </si>
  <si>
    <t>PEDRO SOARES ARAUJO</t>
  </si>
  <si>
    <t>SAMUEL LOPES CORDEIRO</t>
  </si>
  <si>
    <t>YASMIM DE SOUSA CASSEMIRO</t>
  </si>
  <si>
    <t>EMEF ALEXANDRE VANNUCHI LEME - (TERCEI.)</t>
  </si>
  <si>
    <t>ISAAC GABRIEL DONATO DA SILVA</t>
  </si>
  <si>
    <t>EMEF ANTONIO PEREIRA IGNÁCIO (TERC)</t>
  </si>
  <si>
    <t>HELOA PEREIRA DOS SANTOS</t>
  </si>
  <si>
    <t>EMEF AURELIANO LEITE  (TERC)</t>
  </si>
  <si>
    <t>CHRISTOPHER LEAL LOPES</t>
  </si>
  <si>
    <t>DANIELLY ISIS DE MELO SILVA</t>
  </si>
  <si>
    <t>EMEF CONJ. HAB. BARRO BRANCO II - C - (TERCEI.)</t>
  </si>
  <si>
    <t>CARLOS VINICIUS MOURA SANTOS</t>
  </si>
  <si>
    <t>Hipercolesterolemia; Hiperglicemia</t>
  </si>
  <si>
    <t>MARCOS PAULO BATISTA MELLO</t>
  </si>
  <si>
    <t>MARIA EDUARDA DAS CHAGAS LIMA</t>
  </si>
  <si>
    <t>Hipercolesterolemia; Hipotireoidismo</t>
  </si>
  <si>
    <t>RANAJA VIEIRA PINTO</t>
  </si>
  <si>
    <t>EMEF DEP. CAIO SÉRGIO POMPEU DE TOLEDO - (TERCEI.)</t>
  </si>
  <si>
    <t>BEATRYS SILVA SANTOS</t>
  </si>
  <si>
    <t>ELIAS JUNIOR CABRAL DE SOUZA</t>
  </si>
  <si>
    <t>EMEF DIAS GOMES - (TERCEI.)</t>
  </si>
  <si>
    <t>ARTHUR MAYK DA SILVA</t>
  </si>
  <si>
    <t>FELIPE LIRA NOVAES</t>
  </si>
  <si>
    <t>ISABEL APARECIDA LOPES</t>
  </si>
  <si>
    <t>JACKSON DA SILVA CARDOSO</t>
  </si>
  <si>
    <t>Fenilcetonúria</t>
  </si>
  <si>
    <t>EMEF DR. JOSÉ AUGUSTO CESAR SALGADO - (TERCEI.)</t>
  </si>
  <si>
    <t>AMANDA GABRYELLA DE CASTRO BARBOSA</t>
  </si>
  <si>
    <t>PAOLA GEOVANA BRESSAN</t>
  </si>
  <si>
    <t>RHAFAELLA OLIVEIRA CONCEICAO</t>
  </si>
  <si>
    <t>EMEF ELIAS SHAMMASS - (TERCEI.)</t>
  </si>
  <si>
    <t>HAULLIANY DE OLIVEIRA GRANGEIRO</t>
  </si>
  <si>
    <t>HELLEN BIANKA DA ROCHA RODRIGUES</t>
  </si>
  <si>
    <t>EMEF JOEL FERNANDES DE SOUZA - (TERCEI.)</t>
  </si>
  <si>
    <t>CAIQUE DE BRITO ALMEIDA</t>
  </si>
  <si>
    <t>ESTEVAO DIAS PEREIRA</t>
  </si>
  <si>
    <t>GABRIEL SOUZA FRAGOSO</t>
  </si>
  <si>
    <t>MARIA GABRIELE DA SILVA GOMES</t>
  </si>
  <si>
    <t>MARLON FELIPE DE OLIVEIRA</t>
  </si>
  <si>
    <t>PEDRO HENRIQUE DE SOUZA</t>
  </si>
  <si>
    <t>EMEF MARIA APARECIDA DO NASCIMENTO, PROFA. - (TERCEI.)</t>
  </si>
  <si>
    <t>ALINE GONCALVES VAZ</t>
  </si>
  <si>
    <t>FERNANDO SILVA ABREU</t>
  </si>
  <si>
    <t>HENRIQUE SOUZA NASCIMENTO</t>
  </si>
  <si>
    <t>ISABELLA RIBEIRO DOS SANTOS SOARES</t>
  </si>
  <si>
    <t>KAUANE YASMIN DIAS FERREIRA</t>
  </si>
  <si>
    <t>LAYANNE SOUZA NASCIMENTO</t>
  </si>
  <si>
    <t>Hipercolesterolemia; Hipertrigliceridemia</t>
  </si>
  <si>
    <t>EMEF MAURÍCIO GOULART - (TERCEI.)</t>
  </si>
  <si>
    <t>CAIO CESAR SANTOS DIONISIO</t>
  </si>
  <si>
    <t>EMEF MD. JOANA ANGÉLICA DE JESUS - (TERCEI.)</t>
  </si>
  <si>
    <t>ALICIA VITORIA DA SILVA DIAS</t>
  </si>
  <si>
    <t>EYSHILLA GABRIELLE SILVA NOBRE</t>
  </si>
  <si>
    <t>FERNANDA VITORIA ALCANTARA DIAS</t>
  </si>
  <si>
    <t>HIAGO LUIZ FERREIRA DE LIMA</t>
  </si>
  <si>
    <t>LETICIA ALBUQUERQUE SANTOS</t>
  </si>
  <si>
    <t>LIVIA GARRIDO FREITAS</t>
  </si>
  <si>
    <t>LIVIA VICTORIA GONCALVES SOARES</t>
  </si>
  <si>
    <t>REBECA RAYANE DOMINGUES PEREIRA</t>
  </si>
  <si>
    <t>SOPHIA LOPES VIEIRA</t>
  </si>
  <si>
    <t>Hipercolesterolemia; Litíase Renal</t>
  </si>
  <si>
    <t>WAGNER NUNES DA SILVA SANTOS</t>
  </si>
  <si>
    <t>EMEF PRES. JUSCELINO KUBISTCHECK DE OLIVEIRA - (TERCEI.)</t>
  </si>
  <si>
    <t>ANA CLARA DA CRUZ PENTEADO</t>
  </si>
  <si>
    <t>BRYAN GONCALVES ARRAES</t>
  </si>
  <si>
    <t>FELIPE FERREIRA NUNES</t>
  </si>
  <si>
    <t>ISADORA JAMILLY FERREIRA DA SILVA</t>
  </si>
  <si>
    <t>KELVIN SERCUNDO FRAZAO DA SILVA</t>
  </si>
  <si>
    <t>Alergia a Ovo; Alergia a Proteína do Leite de Vaca; Doença Celíaca/Alergia ao glúten</t>
  </si>
  <si>
    <t>LAIS VITORIA DO NASCIMENTO SANTOS</t>
  </si>
  <si>
    <t>LUIZA ISABELLE MARTINS</t>
  </si>
  <si>
    <t>MELISSA OLIVEIRA DA SILVA</t>
  </si>
  <si>
    <t>EMEF PROF. ANTONIO D'AVILA - (TERCEI.)</t>
  </si>
  <si>
    <t>FERNANDA GALVAO DE OLIVEIRA</t>
  </si>
  <si>
    <t>EMEF PROF. JOÃO DE LIMA PAIVA - (TERCEI.)</t>
  </si>
  <si>
    <t>GIOVANNA LORRAINE BRAZ LOPES</t>
  </si>
  <si>
    <t>MANUELA PESSETI DIAS</t>
  </si>
  <si>
    <t>Alergia a Ovo; Alergia a Corantes; Alergia a Conservantes; Alergia a Oleaginosas - Amendoim; Alergia a Oleaginosas - Castanha do Pará; Alergia a Oleaginosas - Castanha de Caju; Alergia a Oleaginosas - Avelã; Alergia a Fruta - Coco</t>
  </si>
  <si>
    <t>MATHEUS DE SOUZA BATISTA</t>
  </si>
  <si>
    <t>MICAELA DO NASCIMENTO MENEZES</t>
  </si>
  <si>
    <t>EMEF PROF. LUIZ ROBERTO MEGA - (TERCEI.)</t>
  </si>
  <si>
    <t>DEBORA FARIAS DE ASSIS</t>
  </si>
  <si>
    <t>EMEF PROF. MAILSON DELANE - (TERCEI.)</t>
  </si>
  <si>
    <t>CAMILI ALVES DINIZ</t>
  </si>
  <si>
    <t>KELVIN GOMES MESSIAS</t>
  </si>
  <si>
    <t>LUIZ HENRIQUE MONTEIRO DE SOUSA</t>
  </si>
  <si>
    <t>Hipertensão</t>
  </si>
  <si>
    <t>RAYSSA CONCEICAO DA SILVA</t>
  </si>
  <si>
    <t>EMEF PROF. QUIRINO CARNEIRO RENNO - (TERCEI.)</t>
  </si>
  <si>
    <t>HITALO CHAVES DOS SANTOS</t>
  </si>
  <si>
    <t>ISABELLA ASSIS DA SILVA</t>
  </si>
  <si>
    <t>JAQUELINE SILVA DE SOUZA</t>
  </si>
  <si>
    <t>MARCOS PAULO NOBRE E SILVA</t>
  </si>
  <si>
    <t>EMEF PROFA. CÉLIA REGINA ANDERY BRAGA (TERCEI.)</t>
  </si>
  <si>
    <t>ANA MARIA ALVES FEITOSA</t>
  </si>
  <si>
    <t>DANIEL SILVA SANTOS</t>
  </si>
  <si>
    <t>GUSTAVO DA SILVA ALMEIDA SANTOS</t>
  </si>
  <si>
    <t>JAQUELINE EVARISTO NOVAIS</t>
  </si>
  <si>
    <t>JULIANY OLIVEIRA BORGES</t>
  </si>
  <si>
    <t>NATHAN DINIZ DOS SANTOS</t>
  </si>
  <si>
    <t>NICOLAS OLIVEIRA DE LIMA</t>
  </si>
  <si>
    <t>EMEF PROFA. CLAUDIA BARTOLOMAZI - (TERCEI.)</t>
  </si>
  <si>
    <t>GUSTAVO CARVALHO</t>
  </si>
  <si>
    <t>KAUA SANTOS DE SOUZA</t>
  </si>
  <si>
    <t>RAFAEL LUCILIO ALVES</t>
  </si>
  <si>
    <t>RAYANE DOMINGAS DA SILVA SOUZA</t>
  </si>
  <si>
    <t>EMEF PROFA. IDEMIA DE GODOY - (TERCEI.)</t>
  </si>
  <si>
    <t>AMANDA DA SILVA SANTOS</t>
  </si>
  <si>
    <t>FLAVIA DOURADO DOS SANTOS</t>
  </si>
  <si>
    <t>EMEF PROFA. OLINDA MENEZES SERRA VIDAL - (TERCEI.)</t>
  </si>
  <si>
    <t>BRUNO DANIEL CARVALHO PEIXOTO</t>
  </si>
  <si>
    <t>FELIPE MANO MOREIRA</t>
  </si>
  <si>
    <t>KAIO EUSTAQUIO DE OLIVEIRA BORGES</t>
  </si>
  <si>
    <t>Hipercolesterolemia; Hipoglicemia</t>
  </si>
  <si>
    <t>VICTOR HUGO DE OLIVEIRA DIAS</t>
  </si>
  <si>
    <t>EMEF SATURNINO PEREIRA - (TERCEI.)</t>
  </si>
  <si>
    <t>JOAO VICTOR DA SILVA SANTOS</t>
  </si>
  <si>
    <t>LANA RAISSA BATISTA DE MORAES</t>
  </si>
  <si>
    <t>MELINA SURIYYA MOTA KAYIKCI</t>
  </si>
  <si>
    <t>TALISON SOUZA DE JESUS</t>
  </si>
  <si>
    <t>YANKA KAWANNA DA ROCHA SOUZA</t>
  </si>
  <si>
    <t>EMEF SEN. LUIS CARLOS PRESTES - (TERCEI.)</t>
  </si>
  <si>
    <t>EMEF VER. ANNA LAMBERGA ZEGLIO - (TERCEI.)</t>
  </si>
  <si>
    <t>DANIELLY ALVES DOS SANTOS</t>
  </si>
  <si>
    <t>LAURA SILVA DE OLIVEIRA</t>
  </si>
  <si>
    <t>EMEF VLADIMIR HERZOG (TERC)</t>
  </si>
  <si>
    <t>AYKON DO NASCIMENTO LEITE</t>
  </si>
  <si>
    <t>Alergia a Fruta - Maracujá</t>
  </si>
  <si>
    <t>AYSHA APARECIDA DO NASCIMENTO LEITE</t>
  </si>
  <si>
    <t>Intolerância Alimentar - Ovo</t>
  </si>
  <si>
    <t>DAVI DE SOUZA FRANCA</t>
  </si>
  <si>
    <t>ENZO FARIAS SILVA</t>
  </si>
  <si>
    <t>EMEFM OSWALDO ARANHA BANDEIRA DE MELLO - (TERCEI.)</t>
  </si>
  <si>
    <t>BEATRIZ ALMEIDA DE OLIVEIRA COUTINHO</t>
  </si>
  <si>
    <t>FELIPE MENDES ALVES DA SILVA</t>
  </si>
  <si>
    <t>Alergia a Proteína do Leite de Vaca; Intolerância ao Glúten; Alergia a Oleaginosas - Castanha do Pará; Alergia a Oleaginosas - Castanha de Caju</t>
  </si>
  <si>
    <t>NARIANNY GARCIA BUCCINI</t>
  </si>
  <si>
    <t>EMEI ADONIRAN BARBOSA - (TERCEI.)</t>
  </si>
  <si>
    <t>CARLOS EDUARDO DO NASCIMENTO</t>
  </si>
  <si>
    <t>EMEI AMÁCIO MAZZAROPI (TERC)</t>
  </si>
  <si>
    <t>DAVID ERIK LEANDRO RABELO</t>
  </si>
  <si>
    <t>ENZO AKIRA AMANCIO WATANABE</t>
  </si>
  <si>
    <t>EMEI ANTONIO PEREIRA LIMA - (TERCEI.)</t>
  </si>
  <si>
    <t>LUCAS LEONI DE SENA FERNANDES</t>
  </si>
  <si>
    <t>NICOLLAS ARAUJO DE JESUS</t>
  </si>
  <si>
    <t>PEDRO HENRIQUE TEIXEIRA</t>
  </si>
  <si>
    <t>RYAN PACATONIO DA SILVA</t>
  </si>
  <si>
    <t>EMEI CARLOTA PEREIRA DE QUEIROZ (TERC)</t>
  </si>
  <si>
    <t>ANA LUIZA BARBOSA DO NASCIMENTO</t>
  </si>
  <si>
    <t>KAUAN FELIPE DOS SANTOS NASCIMENTO</t>
  </si>
  <si>
    <t>LUCAS DANIEL DE SOUZA FRANCISCO</t>
  </si>
  <si>
    <t>CARLOS EDUARDO PEIXOTO DOS ANJOS</t>
  </si>
  <si>
    <t>LARA VIEIRA CARVALHO</t>
  </si>
  <si>
    <t>EMEI DEP. MARIO BENI - (TERCEI.)</t>
  </si>
  <si>
    <t>MARCELO DA SILVA FERREIRA JUNIOR</t>
  </si>
  <si>
    <t>NICOLLAS OLIVEIRA DA SILVA</t>
  </si>
  <si>
    <t>EMEI ELISA KAUFMANN ABRAMOVICH - (TERCEI.)</t>
  </si>
  <si>
    <t>VIVIAN FREITAS NAVES</t>
  </si>
  <si>
    <t>EMEI ELIZA MARA TORRES - (TERCEI.)</t>
  </si>
  <si>
    <t>MARIA EDUARDA ALVES DA SILVA BRIGIDO</t>
  </si>
  <si>
    <t>STHEFANY OLIVEIRA DA SILVA</t>
  </si>
  <si>
    <t>EMEI ENG. KLAUS REINACH - (TERCEI.)</t>
  </si>
  <si>
    <t>HELLOIZA CARDOSO DA SILVA</t>
  </si>
  <si>
    <t>Transplante Cardíaco</t>
  </si>
  <si>
    <t>Alergia a Café</t>
  </si>
  <si>
    <t>EMEI MAGDALENA TAGLIAFERRO - (TERCEI.)</t>
  </si>
  <si>
    <t>HIGOR PEREIRA BARBOSA</t>
  </si>
  <si>
    <t>NOAH DANIEL MIGUEL FARIAS</t>
  </si>
  <si>
    <t>PEDRO GABRIEL ANDRADE SANTOS</t>
  </si>
  <si>
    <t>EMEI MARGARIDA MARIA ALVES</t>
  </si>
  <si>
    <t>DAVI LIMA DOS SANTOS</t>
  </si>
  <si>
    <t>FANTYNI ARAUJO MOTA</t>
  </si>
  <si>
    <t>MURILLO DOS SANTOS MORAIS</t>
  </si>
  <si>
    <t>Constipação/Obstipação Intestinal; Dieta Pastosa; Refluxo Gastroesofágico</t>
  </si>
  <si>
    <t>SOPHIE APARECIDA DOS SANTOS</t>
  </si>
  <si>
    <t>EMEI MARIA APARECIDA LARA COIADO - (TERCEI.)</t>
  </si>
  <si>
    <t>AMYLEE VYCTORIA SILVA COSTA</t>
  </si>
  <si>
    <t>PEDRO MARTINS DE SOUZA SILVA</t>
  </si>
  <si>
    <t>Disfagia</t>
  </si>
  <si>
    <t>EMEI ODUVALDO VIANA FILHO - (TERCEI.)</t>
  </si>
  <si>
    <t>JULIO CESAR DOS SANTOS NASCIMENTO</t>
  </si>
  <si>
    <t>EMEI OLGA BENÁRIO PRESTES (TERC)</t>
  </si>
  <si>
    <t>MIGUEL OLIVEIRA CARDOSO</t>
  </si>
  <si>
    <t>PEDRO HENRIQUE SOUZA DE ANDRADE CAMPOS</t>
  </si>
  <si>
    <t>SOPHIA ARAUJO RODRIGUES</t>
  </si>
  <si>
    <t>EMEI PAULO CAMILHIER FLORENCANO - (TERCEI.)</t>
  </si>
  <si>
    <t>GABRIELA ALVES DA SILVA</t>
  </si>
  <si>
    <t>MICHELLE SANTOS REIS</t>
  </si>
  <si>
    <t>EMEI PROF ANA PAULA APARECIDA DINIZ PRIMO (ANTIG. EMEI LAJEADO I)</t>
  </si>
  <si>
    <t>FRANCISCO CLEMENTE DE SOUSA COSTA</t>
  </si>
  <si>
    <t>Alergia a Feijão</t>
  </si>
  <si>
    <t>Alergia a Corantes; Alergia a Conservantes; Alergia a Embutidos; Restrição à Guloseimas/Alimentos com Baixo Valor Nutricional; Alergia a Enlatados</t>
  </si>
  <si>
    <t>SOPHIA SANTOS FRAZAO</t>
  </si>
  <si>
    <t>EMEI PROF. EDUARDO KNEESE DE MELO (TERC)</t>
  </si>
  <si>
    <t>THALITA SANTOS EVANGELISTA DA SILVA</t>
  </si>
  <si>
    <t>EMEI PROF. GIANFEDERICO PORTA - (TERCEI.)</t>
  </si>
  <si>
    <t>NATALY ISABELLY DA SILVA DA CRUZ</t>
  </si>
  <si>
    <t>EMEI PROF. JOSÉ ROBERTO DE CASTRO RIBEIRO - (TERCEI.)</t>
  </si>
  <si>
    <t>ANA CLARA TRAVES SOUZA</t>
  </si>
  <si>
    <t>DAVI TEIXEIRA FERREIRA DE LIMA</t>
  </si>
  <si>
    <t>DAVID COSME SOUZA SANTOS</t>
  </si>
  <si>
    <t>FELIPE FEITOSA BOMFIM</t>
  </si>
  <si>
    <t>JHONATAN NATAN PESTANA SILVA</t>
  </si>
  <si>
    <t>Alergia a Proteína do Leite de Vaca; Alergia a Hortifruti - Milho
Alergia a Milho</t>
  </si>
  <si>
    <t>RAPHAEL RAMOS DO NASCIMENTO</t>
  </si>
  <si>
    <t>Intolerância Alimentar - Soja</t>
  </si>
  <si>
    <t>EMEI PROF. RAUL NEMENZ - (TERCEI.)</t>
  </si>
  <si>
    <t>GABRIEL DE SOUSA OLIVEIRA</t>
  </si>
  <si>
    <t>JULIA DA SILVA RODRIGUES</t>
  </si>
  <si>
    <t>EMEI PROF. WILSON REIS  SANTOS - GUAIANASES - (TERCEI.)</t>
  </si>
  <si>
    <t>ANA CLARA COSTAS TORRES</t>
  </si>
  <si>
    <t>LAISE MORAES PEDROSO</t>
  </si>
  <si>
    <t>EMEI PROFA. DULCE SALLES FERRAZ - (TERCEI.)</t>
  </si>
  <si>
    <t>KEVEN RICHARD SILVA DE ABREU</t>
  </si>
  <si>
    <t>EMEI PROFA. GESSY GEBARA - (TERCEI.)</t>
  </si>
  <si>
    <t>GIOVANNA OLIVEIRA DOS SANTOS</t>
  </si>
  <si>
    <t>Dislipidemia; Anemia Megaloblástica</t>
  </si>
  <si>
    <t>EMEI PROFA. HELENA LOPES SANTANA SILVA - (TERCEI.)</t>
  </si>
  <si>
    <t>ALICIA SOUZA PAES LANDIM</t>
  </si>
  <si>
    <t>EMANUELLY GONCALVES DE MESQUITA</t>
  </si>
  <si>
    <t>JOAO PEDRO DOS SANTOS CARVALHO</t>
  </si>
  <si>
    <t>YURI DANTAS DE LIMA</t>
  </si>
  <si>
    <t>EMEI PROFA. LUCILIA ANDRADE FERREIRA</t>
  </si>
  <si>
    <t>MARCOS VINICIUS DA SILVA ROSA</t>
  </si>
  <si>
    <t>Alergia a Peixe; Alergia a Frutos do Mar; Alergia a Chocolate/Cacau</t>
  </si>
  <si>
    <t>REBEKA VITORIA SOUZA FIEL</t>
  </si>
  <si>
    <t>RHAMON FONTENELE RODRIGUES DA SILVA</t>
  </si>
  <si>
    <t>Alergia a Ovo; Alergia a Proteína do Leite de Vaca; Alergia ao Trigo; Alergia a Soja; Alergia a Peixe</t>
  </si>
  <si>
    <t>EMEI PROFA. THEREZINHA SQUINCA DA SILVA - (TERCEI.)</t>
  </si>
  <si>
    <t>GUILHERME GUSTAVO MUNIZ DE SOUZA SANTOS</t>
  </si>
  <si>
    <t>JOSE FELIPE BOA VENTURA DE JESUS</t>
  </si>
  <si>
    <t>MATHEUS MONFRE DIAS</t>
  </si>
  <si>
    <t>SAMUEL DE ALBURQUEQUE AGUIAR</t>
  </si>
  <si>
    <t>EMEI RODRIGUES DE ABREU - (TERCEI.)</t>
  </si>
  <si>
    <t>ARTHUR RODRIGUES DOS SANTOS</t>
  </si>
  <si>
    <t>Alergia a Proteína do Leite de Vaca; Alergia a Corantes; Alergia a Peixe</t>
  </si>
  <si>
    <t>ISABELLY VIRGINIO DE PAULA</t>
  </si>
  <si>
    <t>Infecção do Trato Urinário</t>
  </si>
  <si>
    <t>EMEI SAMUEL WAINER (TERC)</t>
  </si>
  <si>
    <t>EMEI TOMÁS GALHARDO (TERC)</t>
  </si>
  <si>
    <t>SOPHIA LOREN FERREIRA DA SILVA</t>
  </si>
  <si>
    <t>Alergia a Embutidos; Alergia a Fruta - Laranja pera</t>
  </si>
  <si>
    <t>CCI IÇAMI TIBA (ANTIGO CCI DO HOSP.SERV. PÚBLICO MUN.) (TERC.)</t>
  </si>
  <si>
    <t>IP</t>
  </si>
  <si>
    <t>ANA LUIZA DE CARVALHO FERRAZ</t>
  </si>
  <si>
    <t>Alergia a Alimentos Cítricos</t>
  </si>
  <si>
    <t>DAVI NASCIMENTO DOS SANTOS</t>
  </si>
  <si>
    <t>Alergia a Ovo; Alergia a Proteína do Leite de Vaca; Alergia a Oleaginosas - Amendoim; Alergia a Oleaginosas - Castanha do Pará; Alergia a Oleaginosas - Castanha de Caju; Alergia a Hortifruti - Milho
Alergia a Milho</t>
  </si>
  <si>
    <t>MAYARA GONCALVES DA SILVA</t>
  </si>
  <si>
    <t>CEI MUN. ASSISTENTE SOCIAL VICENTINA VELASCO - (TERCEI.)</t>
  </si>
  <si>
    <t>JOAO MIGUEL DE SOUZA DOS SANTOS</t>
  </si>
  <si>
    <t>CEI MUN. DR. EDUARDO DE CAMPOS ROSMANINHO - (TERCEI.)</t>
  </si>
  <si>
    <t>CEI MUN. ENEDINA DE SOUZA CARVALHO - (TERCEI.)</t>
  </si>
  <si>
    <t>DANILO SILVA HABERMANN</t>
  </si>
  <si>
    <t>Baixo Peso; Constipação/Obstipação Intestinal</t>
  </si>
  <si>
    <t>FIORELLA BRUCOLI ABREU</t>
  </si>
  <si>
    <t>GABRIELE RODRIGUES DE SOUZA</t>
  </si>
  <si>
    <t>LORENZO FELLIPE RIBEIRO FERNANDES</t>
  </si>
  <si>
    <t>LUAN HENRIQUE RODRIGUES LOPES</t>
  </si>
  <si>
    <t>Alergia a Ovo; Alergia a Peixe</t>
  </si>
  <si>
    <t>LUIS GUSTAVO ALVES SILVA</t>
  </si>
  <si>
    <t>MARIANA DE QUEIROZ LEOBALDO</t>
  </si>
  <si>
    <t>Alergia a Proteína do Leite de Vaca; Alergia a Fruta - Laranja pera</t>
  </si>
  <si>
    <t>MELYSSA PORTO MORAES</t>
  </si>
  <si>
    <t>SAMUEL GOMES DE OLIVEIRA</t>
  </si>
  <si>
    <t>CEI MUN. GENOVEVA DASCOLI - (TERCEI.)</t>
  </si>
  <si>
    <t>CEI MUN. INÊZ MENEZES MARIA - (TERCEI.)</t>
  </si>
  <si>
    <t>ANA JULIA ALVES CORDEIRO</t>
  </si>
  <si>
    <t>ENZO COLOMBO GIUSFREDI</t>
  </si>
  <si>
    <t>GABRIEL FREIRE MONDIN</t>
  </si>
  <si>
    <t>ISABELLY VARJAO DE ANDRADE</t>
  </si>
  <si>
    <t>SOFIA APARECIDA LOUREDO DA SILVA</t>
  </si>
  <si>
    <t>CEI MUN. INOCOOP IPIRANGA  - (TERCEI.)</t>
  </si>
  <si>
    <t>CEI MUN. JD. CLÍMAX II - (TERCEI.)</t>
  </si>
  <si>
    <t>NATAN GARCIA DA SILVA</t>
  </si>
  <si>
    <t>Alergia a Corantes; Alergia a Suco de Uva</t>
  </si>
  <si>
    <t>THAYLLA RIBEIRO OLIVEIRA DOS SANTOS</t>
  </si>
  <si>
    <t>CEI MUN. JD. GUAIRACA - (TERCEI.)</t>
  </si>
  <si>
    <t>KADU BASTOS SOUZA</t>
  </si>
  <si>
    <t>LIVIA DA COSTA JULIANO</t>
  </si>
  <si>
    <t>CEI MUN. MONUMENTO - (TERCEI.)</t>
  </si>
  <si>
    <t>MANOELA GALIASSI TRIVIA</t>
  </si>
  <si>
    <t>CEI MUN. PE. GREGÓRIO WESTRUPP (TERC)</t>
  </si>
  <si>
    <t>LUNA SANTOS DOMINGUES</t>
  </si>
  <si>
    <t>VITOR DIONISIO PAES DA SILVA</t>
  </si>
  <si>
    <t>CEI MUN. PQ. FONGARO</t>
  </si>
  <si>
    <t>DIEGO BESERRA BASTOS</t>
  </si>
  <si>
    <t>LUIGI ROQUE BERTHAUD</t>
  </si>
  <si>
    <t>LUIS OTAVIO LIRA PULCINO</t>
  </si>
  <si>
    <t>CEI MUN. SILVA COVAS - (TERCEI.)</t>
  </si>
  <si>
    <t>MIGUEL ANTONIO VIEIRA RODRIGUES</t>
  </si>
  <si>
    <t>YASMIN OLIVEIRA DE ASSIS</t>
  </si>
  <si>
    <t>CEI MUN. SUZANA CAMPOS TAUIL - (TERCEI.)</t>
  </si>
  <si>
    <t>CLARICE LAGO DIONISIO</t>
  </si>
  <si>
    <t>RONALDO RODRIGUES BEZERRA</t>
  </si>
  <si>
    <t>TOM CANTO MALDONADO</t>
  </si>
  <si>
    <t>Alergia a Ovo; Alergia a Proteína do Leite de Vaca; Alergia a Fruta - Banana</t>
  </si>
  <si>
    <t>VALENTIM DE LA BARRA LOBATO</t>
  </si>
  <si>
    <t>YASMIN MIRANDA AMARO</t>
  </si>
  <si>
    <t>CEI MUN. TREZE DE MAIO - (TERCEI.)</t>
  </si>
  <si>
    <t>CAIQUE BRUK SILVA SOUSA</t>
  </si>
  <si>
    <t>DAVI LOPES ANTUNES</t>
  </si>
  <si>
    <t>HENRIQUE GUIMARAES DE CAMPOS COSTA</t>
  </si>
  <si>
    <t>ISADORA DA SILVA NOVAIS</t>
  </si>
  <si>
    <t>Alergia a Proteína do Leite de Vaca; Alergia a Salsicha</t>
  </si>
  <si>
    <t>CEI MUN. VER. FRANCISCO PEREZ - (TERCEI.)</t>
  </si>
  <si>
    <t>LARA HELOISA GOUVEIA GOMES</t>
  </si>
  <si>
    <t>SOPHIA FERREIRA LIMA</t>
  </si>
  <si>
    <t>CEI MUN. VER. JOSÉ DE MOURA - (TERCEI.)</t>
  </si>
  <si>
    <t>LUIZA MEDEIROS LEAL</t>
  </si>
  <si>
    <t>CEI MUN. VER. JOSÉ GOMES DE MORAES NETTO - (TERCEI.)</t>
  </si>
  <si>
    <t>GIULIA ZAGOTTO SILVA</t>
  </si>
  <si>
    <t>HENRIQUE ASHER BARUC REZON SOUZA</t>
  </si>
  <si>
    <t>CEI MUN. VL. STA. TERESA - (TERCEI.)</t>
  </si>
  <si>
    <t>MELISSA MOREIRA LAINO</t>
  </si>
  <si>
    <t>CEI MUN. WILSON JOSÉ ABDALA - (TERCEI.)</t>
  </si>
  <si>
    <t>KAUA SOUZA SANTOS</t>
  </si>
  <si>
    <t>LUIZ HENRIQUE CASTRO APOLINARIO</t>
  </si>
  <si>
    <t>CEI MUNICIPAL INDIANÓPOLIS (TERC)</t>
  </si>
  <si>
    <t>AGATHA GONCALVES DE OLIVEIRA</t>
  </si>
  <si>
    <t>ELLA FATTIBELLO HOFFMANN</t>
  </si>
  <si>
    <t>CEU CEI MUN. MENINOS - (TERCEI.)</t>
  </si>
  <si>
    <t>ARTHUR GALDINO DE OLIVEIRA</t>
  </si>
  <si>
    <t>DAVI TEIXEIRA MARTINS COSTA</t>
  </si>
  <si>
    <t>GABRIEL APARECIDO GONCALVES VENDETTI</t>
  </si>
  <si>
    <t>GUSTAVO KARPUSENKO BRIONES</t>
  </si>
  <si>
    <t>MANUELA AMADOR CORREA</t>
  </si>
  <si>
    <t>MARCOS MENEZES CARDOSO</t>
  </si>
  <si>
    <t>MARIA VICTÓRIA FERREIRA DE SOUZA</t>
  </si>
  <si>
    <t>MATHEUS ETO SALES</t>
  </si>
  <si>
    <t>Alergia a Oleaginosas - Amendoim</t>
  </si>
  <si>
    <t>RENAN THIERRY SILVA</t>
  </si>
  <si>
    <t>SAMUEL GOMES DA SILVA</t>
  </si>
  <si>
    <t>CEU CEI MUN. PQ. BRISTOL - (TERCEI.)</t>
  </si>
  <si>
    <t>ARTHUR AUGUSTO REBONATO</t>
  </si>
  <si>
    <t>Intolerância à Lactose; Alergia a Corantes</t>
  </si>
  <si>
    <t>LUIS MIGUEL GODOI XAVIER</t>
  </si>
  <si>
    <t>VICTORIA IAISHA BISPO DA SILVA</t>
  </si>
  <si>
    <t>VITOR FRANCA DOS SANTOS</t>
  </si>
  <si>
    <t>CEU EMEF MENINOS - (TERCEI.)</t>
  </si>
  <si>
    <t>MAIARA VITORIA SANTOS</t>
  </si>
  <si>
    <t>ROBERTA SANTANA DIAS</t>
  </si>
  <si>
    <t>ROBSON ROCHA PEDROSA</t>
  </si>
  <si>
    <t>THAMARA SANTOS DA SILVA</t>
  </si>
  <si>
    <t>CEU EMEF PROFA MARA CRISTINA TARTAGLIA SENA - (TERCEI.)</t>
  </si>
  <si>
    <t>ACSA HELENA ALVES DO NASCIMENTO</t>
  </si>
  <si>
    <t>EDUARDA SILVA COELHO</t>
  </si>
  <si>
    <t>JAMILLY TAVARES DE ARAUJO</t>
  </si>
  <si>
    <t>NICOLAS YOHAN SANTOS DA COSTA</t>
  </si>
  <si>
    <t>Glicogenose</t>
  </si>
  <si>
    <t>RAYANE MARTINS MARREIRA</t>
  </si>
  <si>
    <t>Resistência à insulina</t>
  </si>
  <si>
    <t>SARAH VILELA DOS SANTOS</t>
  </si>
  <si>
    <t>Puberdade Precoce</t>
  </si>
  <si>
    <t>YAGO HENRIQUE DELFINO DE ANDRADE</t>
  </si>
  <si>
    <t>CEU EMEI PE. BENNO HUBERT STOLLENWERK - (TERCEI.)</t>
  </si>
  <si>
    <t>CEU EMEI PROFA. LUCIANA AZEVEDO POMPERMAYER - (TERCEI.)</t>
  </si>
  <si>
    <t>DANIEL ALVES CARDOSO</t>
  </si>
  <si>
    <t>RAFAEL VITORINO DE SOUSA</t>
  </si>
  <si>
    <t>SOPHIA SIQUEIRA DE LIMA</t>
  </si>
  <si>
    <t>EMEBS HELLEN KELLER - (TERCEI.)</t>
  </si>
  <si>
    <t>GABRIEL BITENCOURT PUGA</t>
  </si>
  <si>
    <t>KAROLINA JESUS DIAS SILVA</t>
  </si>
  <si>
    <t>Intolerância à Lactose; Alergia a Corantes; Alergia a Embutidos</t>
  </si>
  <si>
    <t>MARIA CLARA XAVIER CERINO</t>
  </si>
  <si>
    <t>MARIANA AHIRES PATROCINIO ARAUJO DE CASTRO</t>
  </si>
  <si>
    <t>MURILLO EDUARDO DA SILVA MOREIRA</t>
  </si>
  <si>
    <t>Intolerância à Lactose; Refluxo Gastroesofágico</t>
  </si>
  <si>
    <t>VICTOR EITARO MORISUE</t>
  </si>
  <si>
    <t>EMEF ABRÃO HUCK</t>
  </si>
  <si>
    <t>ISABELA GUEDES DE SOUZA</t>
  </si>
  <si>
    <t>JOAO GUILHERME FERNANDES SOARES</t>
  </si>
  <si>
    <t>EMEF ALTINO ARANTES - (TERCEI.)</t>
  </si>
  <si>
    <t>DRIELLY FEITOSA SOARES</t>
  </si>
  <si>
    <t>GUSTAVO PEREIRA DAS GRACAS</t>
  </si>
  <si>
    <t>EMEF ALVARES DE AZEVEDO - (TERCEI.)</t>
  </si>
  <si>
    <t>IVANILDO BEZERRA DA SILVA FILHO</t>
  </si>
  <si>
    <t>JOANA MARIA OLIVEIRA DA SILVA</t>
  </si>
  <si>
    <t>LAISLA PRISCILA SANTOS DA SILVA</t>
  </si>
  <si>
    <t>MATHEUS FERREIRA DE MELO</t>
  </si>
  <si>
    <t>THAYSA CRISTINY BARROS SILVA</t>
  </si>
  <si>
    <t>EMEF ANTONIO DE ALCÂNTARA MACHADO - (TERCEI.)</t>
  </si>
  <si>
    <t>BEATRIZ DAMASCENO SILVA</t>
  </si>
  <si>
    <t>ELIZANDRO DA SILVA ARAUJO</t>
  </si>
  <si>
    <t>GABRIEL FERREIRA DA SILVA</t>
  </si>
  <si>
    <t>JOAO CARLOS RODRIGUES SABINO</t>
  </si>
  <si>
    <t>JOAO VICTOR BERNARDO PORTO</t>
  </si>
  <si>
    <t>JULIA FERREIRA GOMES</t>
  </si>
  <si>
    <t>LETICIA RODRIGUES E SILVA</t>
  </si>
  <si>
    <t>LUAN TALLES GRECHE PAES DE CAMARGO CLARINDO</t>
  </si>
  <si>
    <t>MOISES EDUARDO COSTA AS DE SOUZA</t>
  </si>
  <si>
    <t>PRISCILA TEIXEIRA CRUZ</t>
  </si>
  <si>
    <t>WESLLEY DA CRUZ NOVAIS</t>
  </si>
  <si>
    <t>YAGO LEITE CARDOSO SILVA</t>
  </si>
  <si>
    <t>EMEF BRIG. FARIA LIMA - (TERCEI.)</t>
  </si>
  <si>
    <t>JULIO CESAR DE FREITAS JUSTINO</t>
  </si>
  <si>
    <t>Alergia a Salsicha; Alergia a Hortifruti - Tomate; Dieta Hipogordurosa</t>
  </si>
  <si>
    <t>RIANA ROBERTA NUNES OLIVEIRA</t>
  </si>
  <si>
    <t>EMEF CASSIANO RICARDO - (TERCEI.)</t>
  </si>
  <si>
    <t>ELIAS BATISTA DE ARAUJO</t>
  </si>
  <si>
    <t>GABRIEL DIAS SANTANA</t>
  </si>
  <si>
    <t>GUSTAVO HENRIQUE GOMES FALSETTI</t>
  </si>
  <si>
    <t>MARCOS FELIPE DE ARAUJO LIMA</t>
  </si>
  <si>
    <t>MARIA EDUARDA DOS SANTOS DA SILVA</t>
  </si>
  <si>
    <t>PEDRO HENRIQUE BATISTA LOPES</t>
  </si>
  <si>
    <t>EMEF CELSO LEITE RIBEIRO FILHO - (TERCEI.)</t>
  </si>
  <si>
    <t>ROBERTA DA SILVA ARAUJO</t>
  </si>
  <si>
    <t>THAYNA SANTOS FREIRE</t>
  </si>
  <si>
    <t>EMEF CLEÓMENES CAMPOS - (TERCEI.)</t>
  </si>
  <si>
    <t>GABRIEL ASAFE RODRIGUES SILVA</t>
  </si>
  <si>
    <t>LARISSA DOS SANTOS OLIVEIRA</t>
  </si>
  <si>
    <t>NAIARA GONCALVES DE SOUZA SANTOS</t>
  </si>
  <si>
    <t>SAMUEL ISAQUE RODRIGUES SILVA</t>
  </si>
  <si>
    <t>EMEF DES. FRANCISCO MEIRELLES - (TERCEI.)</t>
  </si>
  <si>
    <t>BRUNA VITORIA SOUSA DA SILVA</t>
  </si>
  <si>
    <t>JOSE NICOLAS CARDOSO DE ALMEIDA</t>
  </si>
  <si>
    <t>EMEF DQ. DE CAXIAS - (TERCEI.)</t>
  </si>
  <si>
    <t>GABRIEL HENRIQUE DA SILVA TORRES</t>
  </si>
  <si>
    <t>NICOLY DE SOUSA PAULO</t>
  </si>
  <si>
    <t>EMEF GAL. OSÓRIO - (TERCEI.)</t>
  </si>
  <si>
    <t>GABRIEL MORELES STROGENSKI</t>
  </si>
  <si>
    <t>EMEF HERCÍLIA DE CAMPOS COSTA - (TERCEI.)</t>
  </si>
  <si>
    <t>AGATHA VYCTORIA SILVA DOS PRAZERES</t>
  </si>
  <si>
    <t>MARCOS VINICIUS ALVES DOS SANTOS SILVA</t>
  </si>
  <si>
    <t>WESLEY SOUZA NUNES</t>
  </si>
  <si>
    <t>EMEF IRINEU MARINHO - (TERCEI.)</t>
  </si>
  <si>
    <t>ARIANE FERREIRA SILVA</t>
  </si>
  <si>
    <t>EMERSON DOS SANTOS DA SILVA</t>
  </si>
  <si>
    <t>JUCIELY SANTOS DE ARAUJO</t>
  </si>
  <si>
    <t>JULIA CASTRO ALVES</t>
  </si>
  <si>
    <t>KAYRONE SANDORA OLIVEIRA DOS SANTOS</t>
  </si>
  <si>
    <t>LORENA VITORIA LEMES DA SILVA</t>
  </si>
  <si>
    <t>Alergia a Proteína do Leite de Vaca; Alergia a Salsicha; Intolerância Alimentar - Macarrão</t>
  </si>
  <si>
    <t>MELISSA SANCHES CERQUEIRA</t>
  </si>
  <si>
    <t>PEDRO HENRIQUE DA SILVA</t>
  </si>
  <si>
    <t>VITORIA GOMES COSTA</t>
  </si>
  <si>
    <t>EMEF JEAN MERMOZ - (TERCEI.)</t>
  </si>
  <si>
    <t>JOAO PEDRO BATISTA MARQUES</t>
  </si>
  <si>
    <t>Alergia a Soja; Alergia a Corantes; Alergia a Conservantes</t>
  </si>
  <si>
    <t>JOAO PEDRO SOUSA</t>
  </si>
  <si>
    <t>RAFAEL MIGLIATI SANTOS</t>
  </si>
  <si>
    <t>EMEF JOSÉ DO PATROCÍNIO - (TERCEI.)</t>
  </si>
  <si>
    <t>ENZO BALAN PEREIRA DAMASCENO</t>
  </si>
  <si>
    <t>EMEF JOSÉ MARIA LISBOA - (TERCEI.)</t>
  </si>
  <si>
    <t>ANDERSON DA SILVA NUNES</t>
  </si>
  <si>
    <t>ANTONIO CARLOS DA SILVA</t>
  </si>
  <si>
    <t>DAVI FELIPE BARBOSA TEIXEIRA DE SOUSA</t>
  </si>
  <si>
    <t>FELIPPE PINHEIRO GUEDES</t>
  </si>
  <si>
    <t>JOELSON ALIXANDRE GOMES</t>
  </si>
  <si>
    <t>MANUELLA FERREIRA SANTOS</t>
  </si>
  <si>
    <t>RODRIGO WERNER BARROS</t>
  </si>
  <si>
    <t>Diabetes Mellitus; Doença Celíaca/Alergia ao glúten</t>
  </si>
  <si>
    <t>EMEF LUIZ GONZAGA NASCIMENTO JR - (TERCEI.)</t>
  </si>
  <si>
    <t>AMANDA LOPES PEREIRA</t>
  </si>
  <si>
    <t>EMANUELLY MUNDES FRANCOSO</t>
  </si>
  <si>
    <t>ERIK MORAIS BENTO DA SILVA</t>
  </si>
  <si>
    <t>KEMELY EYSCHILA DE JESUS VIEIRA</t>
  </si>
  <si>
    <t>LEONARDO DOS SANTOS CAVELAGNA</t>
  </si>
  <si>
    <t>LUCAS DIAS SOARES</t>
  </si>
  <si>
    <t>THAUANY CAROLINA VIANA DA COSTA</t>
  </si>
  <si>
    <t>YASMIN SOPHIA BARBOSA DE MORAES</t>
  </si>
  <si>
    <t>Alergia a Soja; Alergia a Oleaginosas - Amendoim</t>
  </si>
  <si>
    <t>EMEF MAL. EURICO GASPAR DUTRA - (TERCEI.)</t>
  </si>
  <si>
    <t>JESSICA APARECIDA SILVA</t>
  </si>
  <si>
    <t>MARCUS VINICIUS DOS SANTOS</t>
  </si>
  <si>
    <t>MARIA CAROLINA TEIXEIRA SILVA</t>
  </si>
  <si>
    <t>MARIA EDUARDA LINS DA SILVA</t>
  </si>
  <si>
    <t>Anemia Ferropriva; Sobrepeso e Obesidade</t>
  </si>
  <si>
    <t>MIKAEL SOARES DE OLIVEIRA SANTOS</t>
  </si>
  <si>
    <t>EMEF MAL. MASCARENHAS DE MORAES - (TERCEI.)</t>
  </si>
  <si>
    <t>DAVID DE AGUIAR PINTO</t>
  </si>
  <si>
    <t>PEDRO HENRIQUE CASTRO CARRICONDO</t>
  </si>
  <si>
    <t>EMEF OLAVO FONTOURA - (TERCEI.)</t>
  </si>
  <si>
    <t>EDUARDO DE ARAUJO AMORIM</t>
  </si>
  <si>
    <t>FERNANDA SOUZA SANTOS</t>
  </si>
  <si>
    <t>GABRIEL ALEXANDRINO SILVA</t>
  </si>
  <si>
    <t>IGOR OLIVEIRA LEITE DA SILVA</t>
  </si>
  <si>
    <t>Diabetes Mellitus; Dislipidemia</t>
  </si>
  <si>
    <t>MATHEUS SILVA DOS REIS GARCIA</t>
  </si>
  <si>
    <t>MAURICIO SANTANA NAPOLEAO</t>
  </si>
  <si>
    <t>PAOLLA FRANCA PEREIRA DE BRITO</t>
  </si>
  <si>
    <t>VALENTINA NOGUEIRA</t>
  </si>
  <si>
    <t>YASMIM VITORIA CASTRO SILVA</t>
  </si>
  <si>
    <t>EMEF PE. MANOEL PAIVA - (TERCEI.)</t>
  </si>
  <si>
    <t>ANDREY PEREIRA ALMEIDA</t>
  </si>
  <si>
    <t>GABRIEL GOMES VITAL DOS SANTOS</t>
  </si>
  <si>
    <t>GUSTAVO PEREIRA ALMEIDA</t>
  </si>
  <si>
    <t>JULIA COSTA SILVA</t>
  </si>
  <si>
    <t>EMEF PÉRICLES EUGÊNIO SILVA RAMOS - (TERCEI.)</t>
  </si>
  <si>
    <t>JULIA COELHO FERREIRA</t>
  </si>
  <si>
    <t>Alergia a Ovo; Alergia a Corantes; Alergia a Conservantes; Alergia a Peixe; Alergia a Chocolate/Cacau; Alergia a Fruta - Banana; Alergia a Fruta - Coco; Alergia a Hortifruti - Milho
Alergia a Milho; Alergia a Aveia; Alergia a Hortifruti - Cenoura; Alergia a Frango; Intolerância Alimentar - Leite e/ou Derivados do Leite</t>
  </si>
  <si>
    <t>EMEF PRES. CAMPOS SALLES - (TERCEI.)</t>
  </si>
  <si>
    <t>GIOVANNA PEREIRA DE SOUSA</t>
  </si>
  <si>
    <t>ISABELLY TEIXEIRA DA SILVA</t>
  </si>
  <si>
    <t>EMEF PROF. FRANCISCO DA SILVEIRA BUENO - (TERCEI.)</t>
  </si>
  <si>
    <t>VITORIA NASCIMENTO SOUZA</t>
  </si>
  <si>
    <t>EMEF PROF. JOÃO CARLOS DA SILVA  BORGES - (TERCEI.)</t>
  </si>
  <si>
    <t>ALINE BONFIM SANTOS</t>
  </si>
  <si>
    <t>DOUGLAS DA SILVA ALVES</t>
  </si>
  <si>
    <t>LUIZ ALBERTO FERREIRA DE MORAES</t>
  </si>
  <si>
    <t>NATHAN DIAS GOUVEA</t>
  </si>
  <si>
    <t>EMEF PROF. LEÃO MACHADO - (TERCEI.)</t>
  </si>
  <si>
    <t>BARBARA KAMILLE REGGIO SILVA</t>
  </si>
  <si>
    <t>GUILHERME TEIXEIRA SOARES</t>
  </si>
  <si>
    <t>MARCELLA MACEDO MARINELLI</t>
  </si>
  <si>
    <t>EMEF PROF. QUEIROZ FILHO - (TERCEI.)</t>
  </si>
  <si>
    <t>ANA CAROLINA MUNIZ CORREIA</t>
  </si>
  <si>
    <t>GABRIEL SILVA DE CARVALHO</t>
  </si>
  <si>
    <t>RAPHAEL MOURA RIBEIRO</t>
  </si>
  <si>
    <t>EMEF PROF. ROBERTO PLINIO COLACIOPPO - (TERCEI.)</t>
  </si>
  <si>
    <t>ALICE MYKAELI FARIAS COSTA</t>
  </si>
  <si>
    <t>ANDRE HENRIQUE VIEIRA SOUSA</t>
  </si>
  <si>
    <t>EDUARDO ICHIRO RAMINELI HISAMURA</t>
  </si>
  <si>
    <t>GABRIELLE PALMEIRA BASTOS</t>
  </si>
  <si>
    <t>JOAO PEDRO FERREIRA CORREIA</t>
  </si>
  <si>
    <t>Alergia a Proteína do Leite de Vaca; Baixo Peso; Alergia a Corantes; Hiperferritinemia</t>
  </si>
  <si>
    <t>KATARINE COSTA PRIMO</t>
  </si>
  <si>
    <t>LANA GABRIELLY SANTOS DO NASCIMENTO</t>
  </si>
  <si>
    <t>LOHANE LAVIGNE SILVA DE LIMA</t>
  </si>
  <si>
    <t>SOPHIA MAYUMI NOVAIS TAGUCHI</t>
  </si>
  <si>
    <t>VIVIANE BARBOSA PASSOS</t>
  </si>
  <si>
    <t>EMEF PROFA. ÁUREA RIBEIRO XAVIER LOPES - (TERCEI.)</t>
  </si>
  <si>
    <t>BEATRIZ MELLO DE FARIA CANDIDO</t>
  </si>
  <si>
    <t>MAYARA CARRILHO BERLATTO</t>
  </si>
  <si>
    <t>YAN LUCAS DA SILVA NASCIMENTO</t>
  </si>
  <si>
    <t>EMEF PROFA. MARLENE RONDELLI - (TERCEI.)</t>
  </si>
  <si>
    <t>AMANDA ALI MARTINS</t>
  </si>
  <si>
    <t>Diabetes Mellitus; Sobrepeso e Obesidade</t>
  </si>
  <si>
    <t>FABRICIO EDUARDO GONCALVES</t>
  </si>
  <si>
    <t>ISABELLA PEREIRA LIMA GARCIA</t>
  </si>
  <si>
    <t>LETICIA PAVINI DOS SANTOS</t>
  </si>
  <si>
    <t>LUCAS EDUARDO RODRIGUES DE MORAIS</t>
  </si>
  <si>
    <t>NATHALY PATRICIA SILVA</t>
  </si>
  <si>
    <t>Hipotireoidismo</t>
  </si>
  <si>
    <t>RAFAEL VASCONCELOS GONSALVES</t>
  </si>
  <si>
    <t>EMEF PROFA. RUTH LOPES DE ANDRADE - (TERCEI.)</t>
  </si>
  <si>
    <t>JOAO VITOR SOARES DO NASCIMENTO</t>
  </si>
  <si>
    <t>KAUE VIEIRA DE LIMA</t>
  </si>
  <si>
    <t>EMEF PROFA. SYLVIA MARTINS PIRES - (TERCEI.)</t>
  </si>
  <si>
    <t>EMANUELLE PEREIRA DE ANDRADE</t>
  </si>
  <si>
    <t>LUCAS SILVA NASCIMENTO</t>
  </si>
  <si>
    <t>LUIZ HENRIQUE CORREIA DA SILVA</t>
  </si>
  <si>
    <t>Alergia a Ovo; Alergia a Embutidos; Alergia a Oleaginosas - Amendoim</t>
  </si>
  <si>
    <t>MIGUEL LUIZ DA SILVA FERREIRA</t>
  </si>
  <si>
    <t>THAYNA LORRANE COSTA FRANCELINO DOS SANTOS</t>
  </si>
  <si>
    <t>EMEI AFONSO CELSO (TERC)</t>
  </si>
  <si>
    <t>EMANUELLY FERNANDA QUEIROZ</t>
  </si>
  <si>
    <t>GIOVANNA BARBOSA DE OLIVEIRA</t>
  </si>
  <si>
    <t>ISABELI LUCCHI MARTINS</t>
  </si>
  <si>
    <t>EMEI ALBERTO DE OLIVEIRA - (TERCEI.)</t>
  </si>
  <si>
    <t>NAYARA OLIVEIRA DA SILVA</t>
  </si>
  <si>
    <t>EMEI ANTONIO FIGUEIREDO AMARAL - (TERCEI.)</t>
  </si>
  <si>
    <t>GEOVANNA AQUINO BORSA</t>
  </si>
  <si>
    <t>EMEI ANTONIO FRANCISCO LISBOA - (TERCEI.)</t>
  </si>
  <si>
    <t>JULIO CESAR SOUSA ARAUJO</t>
  </si>
  <si>
    <t>Alergia a Ovo; Alergia a Corantes; Alergia a Conservantes</t>
  </si>
  <si>
    <t>EMEI ARMANDO DE ARRUDA PEREIRA - (TERCEI.)</t>
  </si>
  <si>
    <t>EMEI BATISTA CEPELOS - (TERCEI.)</t>
  </si>
  <si>
    <t>AGATHA OLIVEIRA DE MIRANDA</t>
  </si>
  <si>
    <t>EMEI BEM AVENTURADO JOSÉ MARIA ESCRIVA - (TERCEI.)</t>
  </si>
  <si>
    <t>DANIEL MURCA DOS SANTOS CERQUEIRA</t>
  </si>
  <si>
    <t>JULIANA OLIVEIRA DE VECHI</t>
  </si>
  <si>
    <t>LAURA APARECIDA SILVA ROSA</t>
  </si>
  <si>
    <t>EMEI BRENNO FERRAZ DO AMARAL - (TERCEI.)</t>
  </si>
  <si>
    <t>MURILLO DA SILVA EVARISTO</t>
  </si>
  <si>
    <t>RENAN SANTOS SILVA</t>
  </si>
  <si>
    <t>EMEI CEL. MANUEL SOARES NEIVA - (TERCEI.)</t>
  </si>
  <si>
    <t>KAUA VICTOR MATOS DA SILVA</t>
  </si>
  <si>
    <t>OCTAVIO CAROLEI CAMPOS MORAES</t>
  </si>
  <si>
    <t>EMEI CIDADE DO SOL - (TERCEI.)</t>
  </si>
  <si>
    <t>EMEI COMPOSITOR SILVIO CALDAS - (TERCEI.)</t>
  </si>
  <si>
    <t>AMANDA REGINA GOMES BARBOSA</t>
  </si>
  <si>
    <t>LARISSA MARGARIDA MARQUES DE SOUZA</t>
  </si>
  <si>
    <t>MARIA EDUARDA TISTAO SOUTO</t>
  </si>
  <si>
    <t>EMEI D. PEDRO I - (TERCEI.)</t>
  </si>
  <si>
    <t>EMEI DELFINO AZEVEDO - (TERCEI.)</t>
  </si>
  <si>
    <t>MIGUEL DE ARAUJO SANTOS</t>
  </si>
  <si>
    <t>EMEI DNA. ANA ROSA DE ARAUJO - (TERCEI.)</t>
  </si>
  <si>
    <t>CAROL MARIA ALVES DA MOTTA</t>
  </si>
  <si>
    <t>PAMELLA FERREIRA BARBOSA DE OLIVEIRA</t>
  </si>
  <si>
    <t>EMEI DR. CARLOS EDUARDO DE CAMARGO ARANHA - (TERCEI.)</t>
  </si>
  <si>
    <t>MIGUEL DAVI CUTALO IMPERATO</t>
  </si>
  <si>
    <t>YUSSUF ABOBACAR MUMADE ALI</t>
  </si>
  <si>
    <t>EMEI GABRIEL PRESTES (TERC)</t>
  </si>
  <si>
    <t>MAX WARDI NORONHA</t>
  </si>
  <si>
    <t>Alergia a Glúten</t>
  </si>
  <si>
    <t>EMEI GOV. CARVALHO PINTO - (TERCEI.)</t>
  </si>
  <si>
    <t>CAMILLY VITORIA DE SOUZA OLIVEIRA</t>
  </si>
  <si>
    <t>Alergia a Ovo; Alergia a Proteína do Leite de Vaca; Alergia a Corantes; Alergia a Conservantes; Alergia a Enlatados</t>
  </si>
  <si>
    <t>EMEI ISOLINA LEONEL FERREIRA, PROFA. (TERC)</t>
  </si>
  <si>
    <t>DAVI LUCAS TEIXEIRA</t>
  </si>
  <si>
    <t>FRANCISCO HUGO XIMENES SALES</t>
  </si>
  <si>
    <t>GUILHERME SOARES LOPES</t>
  </si>
  <si>
    <t>MARIA EDUARDA DA SILVA</t>
  </si>
  <si>
    <t>MATHEUS DEGAN GODOI</t>
  </si>
  <si>
    <t>RYAN PABLO SOUSA DE ANDRADE</t>
  </si>
  <si>
    <t>EMEI JOÃO THEODORO - (TERCEI.)</t>
  </si>
  <si>
    <t>EMEI JOAQUIM ANTONIO DA ROCHA - (TERCEI.)</t>
  </si>
  <si>
    <t>GABRIEL MIRANDA FABIO</t>
  </si>
  <si>
    <t>LARISSA OLIVEIRA DOS SANTOS CORDEIRO</t>
  </si>
  <si>
    <t>EMEI JOSÉ VERÍSSIMO - (TERCEI.)</t>
  </si>
  <si>
    <t>DANILLO GUSTTAVO SILVA DOS SANTOS</t>
  </si>
  <si>
    <t>ERICK DIAS RUMBUTIS</t>
  </si>
  <si>
    <t>GABRIEL FELIX SCALIZE</t>
  </si>
  <si>
    <t>PYETRO FERNANDO TEIXEIRA CRUZ</t>
  </si>
  <si>
    <t>EMEI MONTEIRO LOBATO - (TERCEI.)</t>
  </si>
  <si>
    <t>ALICE BATISTA DE LUNA</t>
  </si>
  <si>
    <t>ISABELLA PIRES DA CRUZ REALE CACAPAVA</t>
  </si>
  <si>
    <t>LUCCA ATTILI COUTINHO</t>
  </si>
  <si>
    <t>MARINA LACERDA GARBI</t>
  </si>
  <si>
    <t>EMEI MONTESE - (TERCEI.)</t>
  </si>
  <si>
    <t>ALICE RISSO SULZER GARCIA</t>
  </si>
  <si>
    <t>RODRIGO RODA MICHELS</t>
  </si>
  <si>
    <t>EMEI OTÁVIO JOSÉ DA SILVA JR. - (TERCEI.)</t>
  </si>
  <si>
    <t>HELOISA VITORIA DE OLIVEIRA</t>
  </si>
  <si>
    <t>EMEI PATRÍCIA GALVÃO - (TERCEI.)</t>
  </si>
  <si>
    <t>ANA LIVIA ARAUJO LIMA</t>
  </si>
  <si>
    <t>EMEI PE. MARIO MARQUES E SERRA - (TERCEI.)</t>
  </si>
  <si>
    <t>RENAN MARTINS CARVALHO</t>
  </si>
  <si>
    <t>YUDI BRASIL DOS SANTOS</t>
  </si>
  <si>
    <t>EMEI PRINCS. ISABEL - (TERCEI.)</t>
  </si>
  <si>
    <t>ARIELE SILVA DE SOUSA</t>
  </si>
  <si>
    <t>RHYAN FERNANDES RIBEIRO DA SILVA</t>
  </si>
  <si>
    <t>EMEI PROF.  FATIMA REGINA DA CRUZ SABINO CALAÇA - (TERCEI.)</t>
  </si>
  <si>
    <t>ARIELLE SOUZA SANTIAGO</t>
  </si>
  <si>
    <t>MARIA EDUARDA RODRIGUES ALVES VIDAL</t>
  </si>
  <si>
    <t>MARIANA SILVA BASTISTA</t>
  </si>
  <si>
    <t>MILLENA SALVIANO VIEIRA</t>
  </si>
  <si>
    <t>EMEI PROF. ALCEU MAYNARD DE ARAÚJO - (TERCEI.)</t>
  </si>
  <si>
    <t>KAIO GABRIEL RODRIGUES DA SILVA</t>
  </si>
  <si>
    <t>EMEI PROF. ANGELO DE MARTINO (TERC)</t>
  </si>
  <si>
    <t>DAVI MAGNO FELIX DA SILVA</t>
  </si>
  <si>
    <t>EMEI PROF. ANTONIO RUBBO MULLER - (TERCEI.)</t>
  </si>
  <si>
    <t>EMEI PROF. MILTON IMPROTA - (TERCEI.)</t>
  </si>
  <si>
    <t>LORENZO AVOLI SALVADOR BISPO</t>
  </si>
  <si>
    <t>EMEI PROFA. LUCY GARCIA SALGADO - (TERCEI.)</t>
  </si>
  <si>
    <t>MANUELLA KOLENETZ DE LIMA</t>
  </si>
  <si>
    <t>EMEI PROFA. MARIA LUIZA MORETTI GENTILE - (TERCEI.)</t>
  </si>
  <si>
    <t>HENRIQUE ALEXANDRINO DE ALMEIDA</t>
  </si>
  <si>
    <t>Alergia a Ovo; Alergia a Peixe; Alergia a Maionese</t>
  </si>
  <si>
    <t>JULIO RIBEIRO TERAHATA</t>
  </si>
  <si>
    <t>LUIZA SOPHIA TEIXEIRA SILVA</t>
  </si>
  <si>
    <t>MIGUEL DE SOUSA AMORIM CARNEIRO</t>
  </si>
  <si>
    <t>EMEI PROFA. THEREZINHA BATISTA PETTAN - (TERCEI.)</t>
  </si>
  <si>
    <t>LIVIA TEIXEIRA SILVA</t>
  </si>
  <si>
    <t>EMEI PROFA. ZENAIDE GRANDINI - (TERCEI.)</t>
  </si>
  <si>
    <t>MARIA EDUARDA FEITOSA AMORIM</t>
  </si>
  <si>
    <t>MIGUEL SANTANA ARAGONE</t>
  </si>
  <si>
    <t>Intolerância à Lactose; Intolerância Alimentar - Soja</t>
  </si>
  <si>
    <t>EMEI SÃO PAULO - (TERCEI.)</t>
  </si>
  <si>
    <t>Hipercolesterolemia; Intolerância à Lactose</t>
  </si>
  <si>
    <t>LUCAS YUKIO DE FREITAS TUZITA BRITTO</t>
  </si>
  <si>
    <t>EMEI STO. DIAS DA SILVA - (TERCEI.)</t>
  </si>
  <si>
    <t>JOAO PAULO MION DE MENEZES</t>
  </si>
  <si>
    <t>EMEI TTE. PAULO ALVES - (TERCEI.)</t>
  </si>
  <si>
    <t>ANANDA SOFIA ROSA MAGALHAES</t>
  </si>
  <si>
    <t>BEATRIZ VIEIRA GARCIA</t>
  </si>
  <si>
    <t>BIANCA SILVA CRUZ FERREIRA</t>
  </si>
  <si>
    <t>Alergia a Proteína do Leite de Vaca; Doença Celíaca/Alergia ao glúten</t>
  </si>
  <si>
    <t>CAUE HENRIQUE SANTOS BARBOSA</t>
  </si>
  <si>
    <t>CLARICE BORGES SANTANA</t>
  </si>
  <si>
    <t>Alergia a Proteína do Leite de Vaca; Alergia a Soja; Alergia a Carne Suina; Alergia a Carne Bovina; Alergia a Glúten; Alergia ao açúcar; Alergia a carne de carneiro; Alergia a carne de cabrito</t>
  </si>
  <si>
    <t>DIOGO FERRATA M. FREITAS</t>
  </si>
  <si>
    <t>ESTEVAO FERRAZ ANTONIO GOMES</t>
  </si>
  <si>
    <t>Alergia a Proteína do Leite de Vaca; Alergia a Corantes; Alergia a Conservantes; Alergia a Fruta - Morango</t>
  </si>
  <si>
    <t>GABRIEL FELIPE DA SILVA</t>
  </si>
  <si>
    <t>MARCOS SPINELLI DA COSTA</t>
  </si>
  <si>
    <t>MARIA EDUARDA ALVES SILVA</t>
  </si>
  <si>
    <t>MELISSA SANABRIA FIDELIS</t>
  </si>
  <si>
    <t>NICKLAS PETER GUIDA</t>
  </si>
  <si>
    <t>EMEI VL. EMA - (TERCEI.)</t>
  </si>
  <si>
    <t>CEI MUN. ARAUCÁRIAS - (TERCEI.)</t>
  </si>
  <si>
    <t>AGATHA MARIAH SILVIANO DOS SANTOS</t>
  </si>
  <si>
    <t>LIVIA DE FRANCA MENDES</t>
  </si>
  <si>
    <t>CEI MUN. CABREUVAS - (TERCEI.)</t>
  </si>
  <si>
    <t>ALICE MARIA RODRIGUES TELES</t>
  </si>
  <si>
    <t>ARTHUR DO NASCIMENTO QUEIROZ</t>
  </si>
  <si>
    <t>ESTER DA SILVA GUIMARAES BARRETO</t>
  </si>
  <si>
    <t>HEITOR FREIRE MARTINELLI LOBO</t>
  </si>
  <si>
    <t>JULIA CANDOIA FERREIRA ANDRADE</t>
  </si>
  <si>
    <t>LAURA SALGADO SILVA</t>
  </si>
  <si>
    <t>Alergia a Ovo; Alergia a Proteína do Leite de Vaca; Alergia a Soja</t>
  </si>
  <si>
    <t>CEI MUN. CONJ. HAB. GOITI - (TERCEI.)</t>
  </si>
  <si>
    <t>MIGUEL PEREIRA SILVA</t>
  </si>
  <si>
    <t>NYCOLAS CASSIANO DA SILVA</t>
  </si>
  <si>
    <t>VALENTIM AZEVEDO DA SILVA</t>
  </si>
  <si>
    <t>CEI MUN. DANIELLE MONTEIRO - JD. CATARINA - (TERCEI.)</t>
  </si>
  <si>
    <t>LUIS GUSTAVO MAGALHAES DE MORAIS</t>
  </si>
  <si>
    <t>MARIA CLARA CARLOS DA SILVA</t>
  </si>
  <si>
    <t>CEI MUN. DOROTHY STANG - EX. CIDADE LIDER - (TERCEI.)</t>
  </si>
  <si>
    <t>CEI MUN. JD. SÃO PEDRO - (TERCEI.)</t>
  </si>
  <si>
    <t>DAVI BARROS RABELO SANTANA</t>
  </si>
  <si>
    <t>Alergia a Ovo; Alergia a Proteína do Leite de Vaca; Alergia a Soja; Alergia a Peixe; Alergia a Frutos do Mar; Alergia a Oleaginosas - Amendoim</t>
  </si>
  <si>
    <t>INGRYD VITORIA MACHADO SANTOS</t>
  </si>
  <si>
    <t>ISABELLA GABRIEL SOUZA</t>
  </si>
  <si>
    <t>JEFFERSON VALENTIN VARELLA</t>
  </si>
  <si>
    <t>MARINA LOPES KOCH NUNES</t>
  </si>
  <si>
    <t>CEI MUN. JD. STA. MARIA - (TERCEI.)</t>
  </si>
  <si>
    <t>GIOVANNA AMORIM RODRIGUES</t>
  </si>
  <si>
    <t>JOAO PIETRO CHIARI</t>
  </si>
  <si>
    <t>CEI MUN. JOÃO BENTO DE CARVALHO - JD. MARÍLIA - (TERCEI.)</t>
  </si>
  <si>
    <t>ARTHUR FERNANDES COSTA</t>
  </si>
  <si>
    <t>Alergia a Ovo; Refluxo Gastroesofágico; Alergia a Soja; Alergia a Oleaginosas - Amendoim</t>
  </si>
  <si>
    <t>EDUARDO RODRIGUES DA SILVA</t>
  </si>
  <si>
    <t>ISABELLA VITORIA VARELLA DE ALENCAR</t>
  </si>
  <si>
    <t>KEVIN DOS REIS NAVARRA DE PAULA</t>
  </si>
  <si>
    <t>LUCAS ALFENAS PESSOA DE MELO</t>
  </si>
  <si>
    <t>RAPHAEL ARAUJO DE ALENCAR</t>
  </si>
  <si>
    <t>THAYLA LORENNA RODRIGUES</t>
  </si>
  <si>
    <t>Alergia a Fruta - Laranja pera</t>
  </si>
  <si>
    <t>CEI MUN. MARIA APARECIDA SIQUEIRA CAMPOS - (TERCEI.)</t>
  </si>
  <si>
    <t>DAVI ARAUJO BONFIM</t>
  </si>
  <si>
    <t>EDUARDA ROQUE DOS SANTOS</t>
  </si>
  <si>
    <t>GEOVANNA VITORIA OLIVEIRA DE SOUZA</t>
  </si>
  <si>
    <t>SARAH DE ALMEIDA ALEIXO</t>
  </si>
  <si>
    <t>SOFIA MARQUES SILVA</t>
  </si>
  <si>
    <t>SOPHIA DE SANTANA PIN</t>
  </si>
  <si>
    <t>TIFANNY MARQUES SILVA</t>
  </si>
  <si>
    <t>CEI MUN. PARADA XV DE NOVEMBRO - (TERCEI.)</t>
  </si>
  <si>
    <t>ALICE CRUCES FERREIRA</t>
  </si>
  <si>
    <t>ANA LUIZA MACCHERONI SOUSA</t>
  </si>
  <si>
    <t>HEITTOR FRANCISCO BEZERRA DA SILVA</t>
  </si>
  <si>
    <t>JOSE LORENZO MIGUEL DE OLIVEIRA</t>
  </si>
  <si>
    <t>MIGUEL PINHEIRO DE OLIVEIRA</t>
  </si>
  <si>
    <t>CEI MUN. PE. ELIAS PEREIRA DE MELO - (TERCEI.)</t>
  </si>
  <si>
    <t>AGATA MARIA DOS SANTOS MOREIRA</t>
  </si>
  <si>
    <t>BERNARDO AUGUSTO APARECIDO DA ROCHA</t>
  </si>
  <si>
    <t>CEI MUN. PQ. GUARANI - (TERCEI.)</t>
  </si>
  <si>
    <t>MATHEUS DAVID COSME GUARACHI</t>
  </si>
  <si>
    <t>RAPHAEL LOPES DE CASTRO NETO</t>
  </si>
  <si>
    <t>CEI MUN. PQ. SAVOY CITY - (TERCEI.)</t>
  </si>
  <si>
    <t>ALICE VIEIRA BAYER</t>
  </si>
  <si>
    <t>ANA JULIA SOUZA LIMA</t>
  </si>
  <si>
    <t>APOLO NOGUEIRA SANTANA</t>
  </si>
  <si>
    <t>ELOAH ALMEIDA DE MATOS</t>
  </si>
  <si>
    <t>GUILHERME DE MELO LIBANIO CHAGAS</t>
  </si>
  <si>
    <t>LAURA DA SILVA MARIANO</t>
  </si>
  <si>
    <t>LORENZO HENRIQUE DA SILVA MATOS</t>
  </si>
  <si>
    <t>CEI MUN. PROF. CELSO DANIEL - CIDADE LIDER II - (TERCEI.)</t>
  </si>
  <si>
    <t>ANA LETICIA DO NASCIMENTO</t>
  </si>
  <si>
    <t>BERNARDO MATIAS DA SILVA DE ARAUJO</t>
  </si>
  <si>
    <t>CEI MUN. VER. CORYNTHO BALDOINO DA COSTA FILHO - (TERCEI.)</t>
  </si>
  <si>
    <t>LAURA GONÇALVES SOARES</t>
  </si>
  <si>
    <t>MARIA ALICE VIEIRA SANTOS</t>
  </si>
  <si>
    <t>PYETRO SILVA NUSSI</t>
  </si>
  <si>
    <t>RENAN DA SILVA FREIRE</t>
  </si>
  <si>
    <t>CEI MUN. VER. GABRIEL NOGUEIRA DE QUADROS - (TERCEI.)</t>
  </si>
  <si>
    <t>LUCAS DANIEL LOURENÇO DE SOUZA</t>
  </si>
  <si>
    <t>MARIA LUIZA TESOTO MAGOSSI</t>
  </si>
  <si>
    <t>MILLENA RODRIGUES DOS SANTOS</t>
  </si>
  <si>
    <t>CEI MUN. VL. CARMOSINA - (TERCEI.)</t>
  </si>
  <si>
    <t>EDUARDA BARBOSA SAMOFALOV</t>
  </si>
  <si>
    <t>EMANUELLY DA SILVA CASTRO</t>
  </si>
  <si>
    <t>KEILA NIKOLE DO NASCIMENTO ARZE</t>
  </si>
  <si>
    <t>LARA SILVA</t>
  </si>
  <si>
    <t>LUIZ GUSTAVO CAETANO ARAUJO</t>
  </si>
  <si>
    <t>MARIA EDUARDA SILVA FERNANDES</t>
  </si>
  <si>
    <t>CEI MUN. VL. CHUCA - (TERCEI.)</t>
  </si>
  <si>
    <t>VICENTE SILVA APARECIDO</t>
  </si>
  <si>
    <t>CEI MUN. VL. RAMOS - (TERCEI.)</t>
  </si>
  <si>
    <t>GUSTAVO AQUINO DE LIMA</t>
  </si>
  <si>
    <t>KAUA PEREIRA DA SILVA</t>
  </si>
  <si>
    <t>CEI MUN. VL. STA. TEREZINHA - (TERCEI.)</t>
  </si>
  <si>
    <t>MIGUEL GONCALVES BRITO DE SOUSA</t>
  </si>
  <si>
    <t>Alterações Gastrointestinais</t>
  </si>
  <si>
    <t>NATHAN MARTINS DOS SANTOS</t>
  </si>
  <si>
    <t>CEU CEI MUN. AZUL DA COR DO MAR - (TERCEI.)</t>
  </si>
  <si>
    <t>ESTER ACSA SILVA MIRANDA</t>
  </si>
  <si>
    <t>GABRIEL FONSECA CRISPIM</t>
  </si>
  <si>
    <t>GUILHERME OLIVEIRA REIS</t>
  </si>
  <si>
    <t>GUILHERME RODRIGUES SANTOS ALVES</t>
  </si>
  <si>
    <t>LETYCIA VITORIA GAMA DE SOUZA</t>
  </si>
  <si>
    <t>LUCAS SOUZA RIBEIRO</t>
  </si>
  <si>
    <t>MATHEUS PEREIRA ANARIO</t>
  </si>
  <si>
    <t>MELISSA GOMES MACEDO</t>
  </si>
  <si>
    <t>MIGUEL FERNANDES DE BRITO FREITAS</t>
  </si>
  <si>
    <t>MURILLO SANTOS SILVA</t>
  </si>
  <si>
    <t>SAMUEL BOTELHO DE LUCENA</t>
  </si>
  <si>
    <t>CEU CEI MUN. DIRCE MIGLIACCIO - (TERCEI.)</t>
  </si>
  <si>
    <t>KELVIN DOS SANTOS GERA</t>
  </si>
  <si>
    <t>PEROLA RODRIGUES FELICIANO</t>
  </si>
  <si>
    <t>RAFAEL DOS SANTOS GERA</t>
  </si>
  <si>
    <t>ALICE BENCICE FEITOSA</t>
  </si>
  <si>
    <t>Alergia a Fruta - Abacate</t>
  </si>
  <si>
    <t>ESTER VIEIRA SILVA</t>
  </si>
  <si>
    <t>MARIA HELENA GONCALVES DA SILVA</t>
  </si>
  <si>
    <t>MIGUEL SOUSA ARRUDA</t>
  </si>
  <si>
    <t>PEDRO HENRIQUE ARAKAKI CHECCO</t>
  </si>
  <si>
    <t>RYAN DE OLIVEIRA DA CRUZ</t>
  </si>
  <si>
    <t>SAMUEL GONCALVES CONRADO CAMPOS</t>
  </si>
  <si>
    <t>TIAGO AUGUSTO CONCEICAO DA SILVA</t>
  </si>
  <si>
    <t>VICTOR LUCCA PEREIRA DOS SANTOS</t>
  </si>
  <si>
    <t>Síndrome do Lactente com Sibilância (Bebê Chiador)</t>
  </si>
  <si>
    <t>CEU EMEF MARIA APARECIDA DE SOUZA CAMPOS - (TERCEI.)</t>
  </si>
  <si>
    <t>ALANA SANTANA DE OLIVEIRA</t>
  </si>
  <si>
    <t>JAIME ANTONIO DA SILVA FILHO</t>
  </si>
  <si>
    <t>CEU EMEF PROFª CONCEIÇÃO APARECIDA DE JESUS - (TERCEI.)</t>
  </si>
  <si>
    <t>ANA CHRISTINA LIMA BRITO</t>
  </si>
  <si>
    <t>ANNA CLARA SILVA DIAS</t>
  </si>
  <si>
    <t>DAVID FERREIRA DOS SANTOS</t>
  </si>
  <si>
    <t>KAYLLANE ARAUJO DE CASTRO</t>
  </si>
  <si>
    <t>RICHARD MARCELINO DAS NEVES SILVA</t>
  </si>
  <si>
    <t>VICTOR GABRIEL DE OLIVEIRA ARAUJO</t>
  </si>
  <si>
    <t>Hipercolesterolemia; Hipertrigliceridemia; Síndrome Nefrótica</t>
  </si>
  <si>
    <t>VITORIA GASPARETO DE ALMEIDA</t>
  </si>
  <si>
    <t>WENDEL RAMOS DELFINO DE SOUZA</t>
  </si>
  <si>
    <t>CEU EMEI ARICANDUVA -  (TERCEI.)</t>
  </si>
  <si>
    <t>EDUARDA CAVALCANTE DOS SANTOS</t>
  </si>
  <si>
    <t>SOPHIA FERREIRA DE LIMA</t>
  </si>
  <si>
    <t>CEU EMEI D. JOSÉ GASPAR - CEU ARICANDUVA - (TERCEI.)</t>
  </si>
  <si>
    <t>DIOGO BERNARDINO SILVA</t>
  </si>
  <si>
    <t>JHENNEFHER RODRIGUES MOTA</t>
  </si>
  <si>
    <t>YURI MIGUEL AVILA DA SILVA</t>
  </si>
  <si>
    <t>CEU EMEI FORMOSA - (TERCEI.)</t>
  </si>
  <si>
    <t>CAIO MOREIRA FRUSTACI DE OLIVEIRA</t>
  </si>
  <si>
    <t>Hidronefrose</t>
  </si>
  <si>
    <t>GABRIELLY VIEIRA SILVA</t>
  </si>
  <si>
    <t>EMEF 8 DE MAIO - (TERCEI.)</t>
  </si>
  <si>
    <t>EMANUELLY MEDEIROS SILVA SANTOS</t>
  </si>
  <si>
    <t>Artrite Idiopática Juvenil</t>
  </si>
  <si>
    <t>EMEF ÁGUAS DE MARÇO - (TERCEI.)</t>
  </si>
  <si>
    <t>MARIA EDUARDA FERREIRA SANTANA SENA</t>
  </si>
  <si>
    <t>MARIANA BASTOS BERTO</t>
  </si>
  <si>
    <t>MATHEUS LIMA LEAL</t>
  </si>
  <si>
    <t>EMEF ARTUR NEIVA - (TERCEI.)</t>
  </si>
  <si>
    <t>CAROLINA HERRERA DIAS DOS SANTOS</t>
  </si>
  <si>
    <t>LUCAS MARTINS SANTANA</t>
  </si>
  <si>
    <t>EMEF AYRES MARTINS TORRES - (TERCEI.)</t>
  </si>
  <si>
    <t>FELLIPE FERREIRA DA SILVA MELLO</t>
  </si>
  <si>
    <t>Intolerância à Lactose; Alergia a Corantes; Alergia a Conservantes; Alergia a Embutidos; Alergia a Enlatados; Alergia a Sucos Artificiais</t>
  </si>
  <si>
    <t>LIVIA MARIA ALY MATHIAS</t>
  </si>
  <si>
    <t>LUIS FERNANDO PINHEIRO MACIEL DOS REIS</t>
  </si>
  <si>
    <t>NICOLY RODRIGUES DE MATOS</t>
  </si>
  <si>
    <t>EMEF BARTOLOMEU LOURENÇO DE GUSMÃO - (TERCEI.)</t>
  </si>
  <si>
    <t>GABRIEL NASCIMENTO B. DE OLIVEIRA</t>
  </si>
  <si>
    <t>Doença de Crohn</t>
  </si>
  <si>
    <t>MATHEUS GARCIA GORGATI</t>
  </si>
  <si>
    <t>RAFAELA LINO DE FREITAS</t>
  </si>
  <si>
    <t>YOUSSEF MAHMOUD MOURAD</t>
  </si>
  <si>
    <t>Dieta Pastosa; Intolerância à Lactose</t>
  </si>
  <si>
    <t>EMEF BENEDITO CALIXTO - (TERCEI.)</t>
  </si>
  <si>
    <t>ARTHUR MENEZES DA SILVA</t>
  </si>
  <si>
    <t>Alergia a Soja; Alergia a Corantes; Alergia a Conservas</t>
  </si>
  <si>
    <t>AUGUSTO DOS SANTOS GOES</t>
  </si>
  <si>
    <t>DAVI MENDES DO ROSARIO</t>
  </si>
  <si>
    <t>EMEF BRIG. CORREA DE MELLO - (TERCEI.)</t>
  </si>
  <si>
    <t>ANTHONY UFUOMA OJO</t>
  </si>
  <si>
    <t>DANIEL FERNANDO DOS REIS PEDERNESCHI</t>
  </si>
  <si>
    <t>GABRIEL LIMA DA SILVA</t>
  </si>
  <si>
    <t>GABRIELLE SILVA DE ASSIS</t>
  </si>
  <si>
    <t>GIOVANNI BELISARIO DA SILVA</t>
  </si>
  <si>
    <t>JULIA YUM HUAMANI GIROTO</t>
  </si>
  <si>
    <t>MARINA APARECIDA ALVES FELICIO</t>
  </si>
  <si>
    <t>Alergia ao Trigo; Alergia a Oleaginosas - Castanha do Pará</t>
  </si>
  <si>
    <t>MATHEUS ROSA DE JESUS</t>
  </si>
  <si>
    <t>RYAN GABRIEL DA SILVA</t>
  </si>
  <si>
    <t>EMEF CARLOS CHAGAS - (TERCEI.)</t>
  </si>
  <si>
    <t>JOAO HENRIQUE BRANDAO TEPPER</t>
  </si>
  <si>
    <t>LOHANY PAZELLO CALDEIRA DA SILVA</t>
  </si>
  <si>
    <t>LORENNA SOUZA SILVA MIRANDA</t>
  </si>
  <si>
    <t>MATHEUS LUCAS ARAUJO SANTOS</t>
  </si>
  <si>
    <t>MIGUEL SALES BATISTA DA RESSURREICAO</t>
  </si>
  <si>
    <t>MYLENA PAZELLO CALDEIRA DA SILVA</t>
  </si>
  <si>
    <t>TAUANE VITORIA FERNANDES PIRES</t>
  </si>
  <si>
    <t>VICTOR KAUE DOS SANTOS RAMOS</t>
  </si>
  <si>
    <t>EMEF CEU PROF.  PAULO GOMES CARDIM -CEU ARICANDUVA  - (TERCEI.)</t>
  </si>
  <si>
    <t>LAZARO DA SILVA PEREIRA</t>
  </si>
  <si>
    <t>LUCAS CARDOSO FERREIRA</t>
  </si>
  <si>
    <t>NICOLAS CARVALHO MESQUITA</t>
  </si>
  <si>
    <t>NICOLLY VICTORIO SANT ANA</t>
  </si>
  <si>
    <t>VITORIA BRANDAO QUEIROZ</t>
  </si>
  <si>
    <t>EMEF DANYLO JOSÉ FERNANDES - (TERCEI.)</t>
  </si>
  <si>
    <t>ISAQUE REIS MARTINS</t>
  </si>
  <si>
    <t>RAFAEL MATSUBARA DE SOUZA</t>
  </si>
  <si>
    <t>EMEF DR. JOÃO NAOKI SUMITA - (TERCEI.)</t>
  </si>
  <si>
    <t>LEONARDO GREGORIO DA SILVA SANTOS</t>
  </si>
  <si>
    <t>YASMIN ARANDA COMINO</t>
  </si>
  <si>
    <t>YASMIN GUEDES DO CARMO</t>
  </si>
  <si>
    <t>EMEF EDUARDO PRADO - (TERCEI.)</t>
  </si>
  <si>
    <t>ELIEZER SANTOS LACERDA</t>
  </si>
  <si>
    <t>LUCAS ASSIS CIPRIANO</t>
  </si>
  <si>
    <t>EMEF FRANCISCO ALVES MENDES FILHO - CHICO MENDES (TERC)</t>
  </si>
  <si>
    <t>ABIMAEL DE JESUS DA SILVA</t>
  </si>
  <si>
    <t>DANIEL ALVES NASCIMENTO</t>
  </si>
  <si>
    <t>Alergia a Ovo; Alergia a Proteína do Leite de Vaca; Diabetes Mellitus</t>
  </si>
  <si>
    <t>KRISTYAN MORAIS TEIXEIRA DA SILVA</t>
  </si>
  <si>
    <t>MATHEUS GOMES CEDRAN</t>
  </si>
  <si>
    <t>RAFAEL LISBOA DE OLIVEIRA</t>
  </si>
  <si>
    <t>VITORIA ALVES NERES</t>
  </si>
  <si>
    <t>EMEF GILMAR TACCOLA - (TERCEI.)</t>
  </si>
  <si>
    <t>BIANCA RODRIGUES DE PAULA</t>
  </si>
  <si>
    <t>IZADORA SERINI COELHO</t>
  </si>
  <si>
    <t>Constipação/Obstipação Intestinal; Sobrepeso e Obesidade</t>
  </si>
  <si>
    <t>KATRYNA BORBA NOLASCO</t>
  </si>
  <si>
    <t>KETLYN RODRIGUES PRATES</t>
  </si>
  <si>
    <t>MARIANA KOJIMA</t>
  </si>
  <si>
    <t>Alergia a Corantes; Alergia a Fruta - Mamão; Alergia a Fruta - Melancia; Alergia a Peixe; Alergia a Carne Suina; Alergia a Fruta - Morango; Alergia a Fruta - Banana</t>
  </si>
  <si>
    <t>NICOLLAS SANTOS PASCHOAL</t>
  </si>
  <si>
    <t>PEDRO HENRIQUE FERREIRA SERRA</t>
  </si>
  <si>
    <t>EMEF GUIMARÃES ROSA - (TERCEI.)</t>
  </si>
  <si>
    <t>DOMINIQUE LARA LOPES RODRIGUES</t>
  </si>
  <si>
    <t>SIANG LAIZA BANZAI DE CASTRO</t>
  </si>
  <si>
    <t>EMEF MAL. MALLET - (TERCEI.)</t>
  </si>
  <si>
    <t>SARA DA SILVA</t>
  </si>
  <si>
    <t>EMEF PRES. KENNEDY - (TERCEI.)</t>
  </si>
  <si>
    <t>VITOR BUENO FERNANDES</t>
  </si>
  <si>
    <t>EMEF PROF. ANTONIO DUARTE DE ALMEIDA - (TERCEI.)</t>
  </si>
  <si>
    <t>CARLOS EDUARDO ZANOTI</t>
  </si>
  <si>
    <t>FABIO DOS SANTOS</t>
  </si>
  <si>
    <t>GIOVANNA LOPES FERREIRA DOS SANTOS</t>
  </si>
  <si>
    <t>JOAO PEDRO SILVA DE OLIVEIRA</t>
  </si>
  <si>
    <t>LETICIA DOS SANTOS SILVA</t>
  </si>
  <si>
    <t>LETICIA LOPES MARCOS</t>
  </si>
  <si>
    <t>EMEF PROF. AURÉLIO ARROBAS MARTINS - (TERCEI.)</t>
  </si>
  <si>
    <t>ALICE PEREIRA SANTOS</t>
  </si>
  <si>
    <t>JOAO GUSTAVO SOUZA DO NASCIMENTO</t>
  </si>
  <si>
    <t>NATHAN ALVES DOS SANTOS</t>
  </si>
  <si>
    <t>Paralisia Cerebral</t>
  </si>
  <si>
    <t>EMEF PROF. JOSÉ QUERINO RIBEIRO - (TERCEI.)</t>
  </si>
  <si>
    <t>ALEX KAUA BRITO DE SANTANA</t>
  </si>
  <si>
    <t>Duodenite; Esofagite; Gastrite; Refluxo Gastroesofágico</t>
  </si>
  <si>
    <t>BEATRIZ SANTOS CARVALHO</t>
  </si>
  <si>
    <t>LUIZ GUSTAVO RIBEIRO DE SIQUEIRA</t>
  </si>
  <si>
    <t>RONALDO MACHADO DE CASTRO</t>
  </si>
  <si>
    <t>RYAN GOMES DA SILVA</t>
  </si>
  <si>
    <t>SOFIA SOARES REIS</t>
  </si>
  <si>
    <t>EMEF PROF. JÚLIO CESAR DE MELO E SOUZA - MALBA TAHAN - (TERCEI.)</t>
  </si>
  <si>
    <t>ENZO GABRIEL DOS SANTOS</t>
  </si>
  <si>
    <t>GABRIEL LIRIO LEME</t>
  </si>
  <si>
    <t>JULIA LIMA HILDEBRANDO</t>
  </si>
  <si>
    <t>LUANA BELKO PEREIRA</t>
  </si>
  <si>
    <t>MATHEUS ALEXANDRE MELARI DE ALMEIDA</t>
  </si>
  <si>
    <t>RAFAELA ALVES DE OLIVEIRA</t>
  </si>
  <si>
    <t>REGINA HELENA SANTOS GOMES</t>
  </si>
  <si>
    <t>TIPHANY VITORIA ALVES CORTEZ</t>
  </si>
  <si>
    <t>EMEF PROFA. CLOTILDE ROSA HENRIQUE ELIAS (TERC)</t>
  </si>
  <si>
    <t>ANA BEATRIZ BIAZETTI DOS SANTOS</t>
  </si>
  <si>
    <t>DELZIR SILVA FILHO</t>
  </si>
  <si>
    <t>RIAN COSTA DO NASCIMENTO</t>
  </si>
  <si>
    <t>THAYSA MUNIZ DE ALENCAR</t>
  </si>
  <si>
    <t>Dislipidemia; Síndrome Nefrótica</t>
  </si>
  <si>
    <t>EMEF ROQUETTE PINTO - (TERCEI.)</t>
  </si>
  <si>
    <t>ANDREZA PEREIRA DOS SANTOS</t>
  </si>
  <si>
    <t>GABRIELA LOPES DE SOUSA ASSIS</t>
  </si>
  <si>
    <t>GABRIELLA PASQUARELLI TORREZANI</t>
  </si>
  <si>
    <t>Gota</t>
  </si>
  <si>
    <t>EMEF SEBASTIÃO FRANCISCO O NEGRO - (TERCEI.)</t>
  </si>
  <si>
    <t>RAQUEL SAMPAIO</t>
  </si>
  <si>
    <t>EMEF SÉRGIO MILLIET- (TERCEI.)</t>
  </si>
  <si>
    <t>NADIN WALID AHEL MATMATI</t>
  </si>
  <si>
    <t>NICOLE SOARES PLAZA</t>
  </si>
  <si>
    <t>EMEF VICENTINA RIBEIRO DA LUZ - (TERCEI.)</t>
  </si>
  <si>
    <t>AYANNE OLIVEIRA DA SILVA</t>
  </si>
  <si>
    <t>EDUARDO DIAS FERREIRA</t>
  </si>
  <si>
    <t>MARINA SARA DE JESUS AMARAL LIMA</t>
  </si>
  <si>
    <t>Refluxo Gastroesofágico; Dieta Hipogordurosa</t>
  </si>
  <si>
    <t>PEDRO HENRIQUE FIGUEIREDO BARBOSA</t>
  </si>
  <si>
    <t>EMEI BEGONIA REAL (TERC)</t>
  </si>
  <si>
    <t>ANA CAROLINA RIBEIRO DA SILVA</t>
  </si>
  <si>
    <t>HYENZO VICTOR SANTANA DE SOUSA</t>
  </si>
  <si>
    <t>LORENA MOREIRA AUGUSTO SOARES</t>
  </si>
  <si>
    <t>RUAN RODRIGUES DA SILVA</t>
  </si>
  <si>
    <t>VINICIUS LIMA DOS SANTOS</t>
  </si>
  <si>
    <t>EMEI CIDADE A. E. CARVALHO - (TERCEI.)</t>
  </si>
  <si>
    <t>DIOGO VIEIRA RODRIGUES</t>
  </si>
  <si>
    <t>EDSON MIGUEL MENEZES DE LIMA</t>
  </si>
  <si>
    <t>GABRIELLA CORDEIRO MARTINS</t>
  </si>
  <si>
    <t>ISABELY VITORIA SOUZA LIMA</t>
  </si>
  <si>
    <t>JOAO VICTOR FERREIRA DOS SANTOS</t>
  </si>
  <si>
    <t>MIGUEL ANGELO RODRIGUES PIMENTEL</t>
  </si>
  <si>
    <t>Alergia a Ovo; Alergia a Corantes; Alergia a Fruta - Abacaxi; Alergia a Camarão; Alergia a Hortifruti - Tomate; Alergia a Peixe; Alergia a Frutos do Mar; Alergia a Oleaginosas - Amendoim; Alergia a Chocolate/Cacau; Alergia a Carne Suina; Alergia a Oleaginosas - Castanha do Pará; Alergia a Oleaginosas - Castanha de Caju; Alergia a Oleaginosas - Nozes; Alergia a Fruta - Morango; Alergia a Fruta - Banana</t>
  </si>
  <si>
    <t>UKERLIS SANTOS DA SILVA</t>
  </si>
  <si>
    <t>VINICIUS NATIVIDADE DOS SANTOS</t>
  </si>
  <si>
    <t>Alergia a Fruta - Abacate; Alergia a Fruta - Banana</t>
  </si>
  <si>
    <t>EMEI CONJ. HAB. GOITI - (TERCEI.)</t>
  </si>
  <si>
    <t>SABRINA PROVENCA ARAGAO</t>
  </si>
  <si>
    <t>Megacolon Funcional</t>
  </si>
  <si>
    <t>ALICIA VITORIA SANTOS LAFITE</t>
  </si>
  <si>
    <t>CLARA LUZ CRISPIM CUNHA</t>
  </si>
  <si>
    <t>MANUELLA KERNCHEN ALCEBIADES</t>
  </si>
  <si>
    <t>EMEI FLORINDA ROBERTO QUEIROZ  DE CASTRO - (TERCEI.)</t>
  </si>
  <si>
    <t>JOAO MIGUEL SILVA ANDRIOLLI</t>
  </si>
  <si>
    <t>Alergia a Proteína do Leite de Vaca; Alergia ao Trigo</t>
  </si>
  <si>
    <t>EMEI FRANCISCO ROQUETTI - (TERCEI.)</t>
  </si>
  <si>
    <t>ALICE ROSSI SCAPULATIELLO</t>
  </si>
  <si>
    <t>HENZO EDUARDO SONNA MEIRA</t>
  </si>
  <si>
    <t>ISABELLA REGINA ROCHA DE OLIVEIRA</t>
  </si>
  <si>
    <t>MARCELLA JARDIM FARIA</t>
  </si>
  <si>
    <t>REBECA ABREU MASETTI</t>
  </si>
  <si>
    <t>RICHARD HENRIQUE FARINELI DE SOUZA</t>
  </si>
  <si>
    <t>EMEI GLAUBER ROCHA - (TERCEI.)</t>
  </si>
  <si>
    <t>LORENNA EIRAI DA COSTA</t>
  </si>
  <si>
    <t>PEDRO LUCAS MERCES PIEDADE</t>
  </si>
  <si>
    <t>EMEI GLEBA DO PÊSSEGO - (TERCEI.)</t>
  </si>
  <si>
    <t>BRENO JOAQUIM ALVES DOS SANTOS</t>
  </si>
  <si>
    <t>RAPHAEL RODRIGUES CASTRO</t>
  </si>
  <si>
    <t>SAMUEL MATHEUS BEZERRA DE LIMA</t>
  </si>
  <si>
    <t>WALLACE SILVA DOMINGOS</t>
  </si>
  <si>
    <t>EMEI JARDIM VILA NOVA - (TERCEI.)</t>
  </si>
  <si>
    <t>ALICE VITORIA BARBOSA MONTEIRO</t>
  </si>
  <si>
    <t>Intolerância à Lactose; Intolerância Alimentar - Ovo; Intolerância Alimentar - Soja</t>
  </si>
  <si>
    <t>JOAO PEDRO SANTOS LOPES</t>
  </si>
  <si>
    <t>LAVINYA SANTOS DA PAIXAO</t>
  </si>
  <si>
    <t>SARA MENDES LINHARES</t>
  </si>
  <si>
    <t>EMEI JD. MARÍLIA - (TERCEI.)</t>
  </si>
  <si>
    <t>ALICE ROPERO DOS REIS</t>
  </si>
  <si>
    <t>ALEKSANDER FERNANDES ALVES</t>
  </si>
  <si>
    <t>ARTUR RICHTERS PAULA BARBOSA</t>
  </si>
  <si>
    <t>JOAO VITOR AQUINO VIDAL</t>
  </si>
  <si>
    <t>MARIA LUIZ CABRAL TORRES</t>
  </si>
  <si>
    <t>SAYMON DE MOURA RODRIGUES</t>
  </si>
  <si>
    <t>EMEI MAL. FLORIANO PEIXOTO - (TERCEI.)</t>
  </si>
  <si>
    <t>ANA LUIZA SOUSA SANTOS</t>
  </si>
  <si>
    <t>ARTHUR GABRIEL SOUSA SANTOS</t>
  </si>
  <si>
    <t>ARTHUR LIMA ALMEIDA MEDEIROS DE GOIS</t>
  </si>
  <si>
    <t>EMILY DE ALMEIDA ALEGRETI</t>
  </si>
  <si>
    <t>MARIA CLARA TRUDES BORGES</t>
  </si>
  <si>
    <t>EMEI MARIA MONTESSORI  - (TERCEI.)</t>
  </si>
  <si>
    <t>ISABELLA VITORIA DE SOUZ NERI</t>
  </si>
  <si>
    <t>JOAO ERIK BIBIANO SOUZA</t>
  </si>
  <si>
    <t>JUAN OLIVEIRA DA SILVA</t>
  </si>
  <si>
    <t>MARCELLA HAGUIWARA MOURA</t>
  </si>
  <si>
    <t>YASMIM VITORIA LEANDRO DOS SANTOS</t>
  </si>
  <si>
    <t>EMEI MIN. PEDRO CHAVES (TERC)</t>
  </si>
  <si>
    <t>MILENA DOS SANTOS VIANA</t>
  </si>
  <si>
    <t>MIRELA DOS SANTOS VIANA</t>
  </si>
  <si>
    <t>EMEI MIROEL SILVEIRA - (TERCEI.)</t>
  </si>
  <si>
    <t>EDUARDO DOS ANJOS RODRIGUES</t>
  </si>
  <si>
    <t>LIVIA MARIA DE OLIVEIRA NUNES</t>
  </si>
  <si>
    <t>MIGUEL FERRAZ BOTELHO</t>
  </si>
  <si>
    <t>Alergia a Corantes; Alergia a Embutidos</t>
  </si>
  <si>
    <t>EMEI MONS. LUIS BIRAGHI - (TERCEI.)</t>
  </si>
  <si>
    <t>ANA CLARA DE LIMA</t>
  </si>
  <si>
    <t>ANDRE RODRIGUES BARBOSA DE SOUZA</t>
  </si>
  <si>
    <t>HENZO GABRIEL GOMES DA SILVA</t>
  </si>
  <si>
    <t>Alergia a Proteína do Leite de Vaca; Alergia a Corantes; Alergia a Conservantes</t>
  </si>
  <si>
    <t>WILLIAM COSTA</t>
  </si>
  <si>
    <t>EMEI NAJLA CURI IZAR - (TERCEI.)</t>
  </si>
  <si>
    <t>DAVI ROCHA VIEIRA FELIZARDO</t>
  </si>
  <si>
    <t>Dieta Hipogordurosa</t>
  </si>
  <si>
    <t>LEONARDO DIOGENES TEIXEIRA DOS SANTOS</t>
  </si>
  <si>
    <t>LIVIA SILVA DO SANTOS</t>
  </si>
  <si>
    <t>Constipação/Obstipação Intestinal; Dislipidemia; Restrição a Espessantes</t>
  </si>
  <si>
    <t>PAULO HENRIQUE FERREIRA LOPES DE BRITO</t>
  </si>
  <si>
    <t>BRUNO RAMOS CERQUEIRA</t>
  </si>
  <si>
    <t>RAFAELLA PEREIRA DE GODOI</t>
  </si>
  <si>
    <t>EMEI PIRATININGA - (TERCEI.)</t>
  </si>
  <si>
    <t>EMEI PROF.  ALBERTO MESQUITA DE CAMARGO - (TERCEI.)</t>
  </si>
  <si>
    <t>CAIQUE CUNHA COUTINHO</t>
  </si>
  <si>
    <t>KAUE TORRES MELHADO</t>
  </si>
  <si>
    <t>RAFAEL MARQUES FONSECA</t>
  </si>
  <si>
    <t>EMEI PROF. JOÃO ORTALE - (TERCEI.)</t>
  </si>
  <si>
    <t>FELIPE GABRIEL SHENG</t>
  </si>
  <si>
    <t>EMEI PROF. LUIZ PEREIRA - (TERCEI.)</t>
  </si>
  <si>
    <t>GABRIEL SOARES SILVA</t>
  </si>
  <si>
    <t>Intolerância à Lactose; Intolerância Alimentar - Peixe</t>
  </si>
  <si>
    <t>ISABELA FRANCINE DA SILVA SALES</t>
  </si>
  <si>
    <t>EMEI PROFA. APARECIDA MARIA DE MENDONÇA - (TERCEI.)</t>
  </si>
  <si>
    <t>FELIPE ENZO DOS REIS SANTOS</t>
  </si>
  <si>
    <t>RUTE MARIA DA SILVA CUNHA</t>
  </si>
  <si>
    <t>FELIPE RODRIGUES DE SOUSA</t>
  </si>
  <si>
    <t>DAVI COSTA CARDOSO</t>
  </si>
  <si>
    <t>EMEI PROFA. MARIA LAURA SOUZA CAMPOS - (TERCEI.)</t>
  </si>
  <si>
    <t>LORENA DOS SANTOS OLIVEIRA RHAMET</t>
  </si>
  <si>
    <t>MANUELA SOUSA DE PAULA</t>
  </si>
  <si>
    <t>Alergia a Ovo; Doença Celíaca/Alergia ao glúten</t>
  </si>
  <si>
    <t>PEDRO DAGUANO LABUSSIERE</t>
  </si>
  <si>
    <t>VITORIA CAROLINE CAZANGI ALVES DE SOUSA</t>
  </si>
  <si>
    <t>EMEI PROFA. NEYL GOMEZ MARTIN - (TERCEI.)</t>
  </si>
  <si>
    <t>ARTUR TOBIAS SABINO VIEIRA</t>
  </si>
  <si>
    <t>GABRIEL ALVES OLIVEIRA</t>
  </si>
  <si>
    <t>MIKAELLY DE SOUZA AKESSIL</t>
  </si>
  <si>
    <t>VITORIA ANGELICA SOUSA DIAS</t>
  </si>
  <si>
    <t>EMEI PROFA. OLANDYA PERES RIBEIRO - (TERCEI.)</t>
  </si>
  <si>
    <t>NICOLAS QUERCIA DA SILVA</t>
  </si>
  <si>
    <t>EMEI PROFA. SUZANA EVANGELINA FELIPPE - (TERCEI.)</t>
  </si>
  <si>
    <t>CAROLINA QUELHOS CARAMELO</t>
  </si>
  <si>
    <t>Intolerância à Lactose; Alergia ao Trigo</t>
  </si>
  <si>
    <t>GEOVANNA APARECIDA MONTEIRO DA SILVA</t>
  </si>
  <si>
    <t>JULIA CRISTINA DE SOUZA SENA ANTONIO ISIDORO</t>
  </si>
  <si>
    <t>THAYLA SOARES RIBEIRO</t>
  </si>
  <si>
    <t>EMEI PROFA. SYLVIA VARONI DE CASTRO - (TERCEI.)</t>
  </si>
  <si>
    <t>ALICE SANTOS SAMBATE</t>
  </si>
  <si>
    <t>MAYRA SOARES NIZ</t>
  </si>
  <si>
    <t>Alergia a Fruta - Mamão; Alergia a Chocolate/Cacau</t>
  </si>
  <si>
    <t>ALLICYA GABRIELLY MOTA SILVA</t>
  </si>
  <si>
    <t>FABIO HENRIQUE CONDORI CHOQUE</t>
  </si>
  <si>
    <t>Alergia a Proteína do Leite de Vaca; Alergia a Feijão</t>
  </si>
  <si>
    <t>HELOISA DA SILVA MEDEIROS</t>
  </si>
  <si>
    <t>TALLES CARVALHO FERREIRA</t>
  </si>
  <si>
    <t>EMEI VICENTE MATHEUS - PQ. SAVOY CITY - (TERCEI.)</t>
  </si>
  <si>
    <t>DAVI LUIZ SILVA CRUZ</t>
  </si>
  <si>
    <t>KAUAN HENRIQUE SILVA DE ALMEIDA AVELINO</t>
  </si>
  <si>
    <t>LAURA ALVES DE OLIVEIRA</t>
  </si>
  <si>
    <t>MARIANA MEIRE DE OLIVEIRA</t>
  </si>
  <si>
    <t>VITORIA BEATRIZ CORREA DARWIN DA SILVA</t>
  </si>
  <si>
    <t>EMEI VL. VERDE - (TERCEI.)</t>
  </si>
  <si>
    <t>PYETRO LACERDA DE SOUZA</t>
  </si>
  <si>
    <t>SOFIA CANER RODRIGUES</t>
  </si>
  <si>
    <t>TAINA BATISTA SOUZA</t>
  </si>
  <si>
    <t>CEI MUN. ADELAIDE LOPES RODRIGUES - (TERCEI.)</t>
  </si>
  <si>
    <t>ANA LAURA DA SILVA FELIPE</t>
  </si>
  <si>
    <t>GUSTAVO FURNO GUANABARA</t>
  </si>
  <si>
    <t>LETICIA NASCIMENTO CAVALCANTE</t>
  </si>
  <si>
    <t>CEI MUN. CIDADE NOVA PQ. NOVO MUNDO - (TERCEI.)</t>
  </si>
  <si>
    <t>TAINA PACHECO SILVA</t>
  </si>
  <si>
    <t>CEI MUN. FERNÃO DIAS - (TERCEI.)</t>
  </si>
  <si>
    <t>JULIA PRESCINOTO DA COSTA</t>
  </si>
  <si>
    <t>LUIZ HENRIQUE TIMOTEO DE OLIVEIRA GOMES</t>
  </si>
  <si>
    <t>MIGUEL HENRIQUE SOBREIRA AMARAL</t>
  </si>
  <si>
    <t>CEI MUN. FRANCISCO MARCONDES DE OLIVEIRA - (TERCEI.)</t>
  </si>
  <si>
    <t>HELOISA MORAES DE LIMA</t>
  </si>
  <si>
    <t>CEI MUN. JD. DAS PEDRAS - (TERCEI.)</t>
  </si>
  <si>
    <t>CEI MUN. JD. JAPÃO - (TERCEI.)</t>
  </si>
  <si>
    <t>ANA CLARA ALMEIDA AZEVEDO</t>
  </si>
  <si>
    <t>SARA OLIVEIRA CRISOSTENES</t>
  </si>
  <si>
    <t>CEI MUN. MARIA AUXILIADORA DA SILVA - (TERCEI.)</t>
  </si>
  <si>
    <t>ANA JULIA BORGES DE OLIVEIRA</t>
  </si>
  <si>
    <t>JOAO VICTOR AVELINO</t>
  </si>
  <si>
    <t>Alergia a Proteína do Leite de Vaca; Intolerância ao Glúten; Alergia a Soja</t>
  </si>
  <si>
    <t>LORENA SAADA DE OLIVEIRA</t>
  </si>
  <si>
    <t>CEI MUN. MARIA HENRIQUETA CATITE - (TERCEI.)</t>
  </si>
  <si>
    <t>ALICE SILVA GERVASIO DE SOUSA</t>
  </si>
  <si>
    <t>CAROLINA RODRIGUES RIO LIMA</t>
  </si>
  <si>
    <t>LAURA VITORIA ALVES DA SILVA</t>
  </si>
  <si>
    <t>CEI MUN. MD. CRISTINA - (TERCEI.)</t>
  </si>
  <si>
    <t>CAUANY EMANUELLY MENDES DOS SANTOS</t>
  </si>
  <si>
    <t>VITORIA PEREIRA DE SOUZA</t>
  </si>
  <si>
    <t>CEI MUN. PQ. CASA DA PEDRA - (TERCEI.)</t>
  </si>
  <si>
    <t>ALICIA DO NASCIMENTO LEAL</t>
  </si>
  <si>
    <t>FERNANDA ARAGAO SANTOS</t>
  </si>
  <si>
    <t>CEI MUN. PQ. EDU CHAVES - (TERCEI.)</t>
  </si>
  <si>
    <t>ANGELO GABRIEL DA SILVA SANTOS</t>
  </si>
  <si>
    <t>BENJAMIM DOS SANTOS OLIVEIRA</t>
  </si>
  <si>
    <t>KEROLAYNE KIMBERLY NOVAS ANDRADE</t>
  </si>
  <si>
    <t>LARISSA VIDAL OLIVEIRA</t>
  </si>
  <si>
    <t>LEVI CAMPOS RODRIGUES SIMOES</t>
  </si>
  <si>
    <t>CEI MUN. PQ. NOVO MUNDO - (TERCEI.)</t>
  </si>
  <si>
    <t>ISAAC LIMA SOUZA</t>
  </si>
  <si>
    <t>LUAN DA SILVA SANTOS</t>
  </si>
  <si>
    <t>CEI MUN. PROF. MARIO DA COSTA BARBOSA - (TERCEI.)</t>
  </si>
  <si>
    <t>ANA LUIZA BRITO DE FREITAS</t>
  </si>
  <si>
    <t>KEMILLY VITORIA DE BARROS LIMA</t>
  </si>
  <si>
    <t>CEI MUN. PROFA. ANITA CASTALDI ZAMPIROLLO - (TERCEI.)</t>
  </si>
  <si>
    <t>CESAR YUTAKA BUTUEM</t>
  </si>
  <si>
    <t>ISABELLA DOS SANTOS MACIEL MOREIRA</t>
  </si>
  <si>
    <t>LAURA ALONSO IZIDORO</t>
  </si>
  <si>
    <t>MARINA MING NOVELLI NETTO PASALO</t>
  </si>
  <si>
    <t>NAYARA VICTORIA YAPUDJIAN FERNANDES</t>
  </si>
  <si>
    <t>CEI MUN. PROFA. CÉLIA REGINA KUHL - (TERCEI.)</t>
  </si>
  <si>
    <t>ANA JULIA ALEXANDRE BENI</t>
  </si>
  <si>
    <t>ELOAH NOGUEIRA CHUBACHI</t>
  </si>
  <si>
    <t>JORGE HENRIQUE SANTOS VIEIRA</t>
  </si>
  <si>
    <t>JULIO GABRIEL CARDOZO LOPES</t>
  </si>
  <si>
    <t>KAIQUE FERNANDES PEIXOTO</t>
  </si>
  <si>
    <t>LORENZO DE OLIVEIRA KAVAMURA</t>
  </si>
  <si>
    <t>Intolerância Alimentar - Café; Intolerância Alimentar a Fruta - Laranja</t>
  </si>
  <si>
    <t>PIETRO LUCCA RODRIGUES JUSTINO</t>
  </si>
  <si>
    <t>WALLACE GABRIEL ARAUJO DE JESUS SANTOS</t>
  </si>
  <si>
    <t>YGOR DE SOUZA MACEDO</t>
  </si>
  <si>
    <t>CEI MUN. PROFº WILSON D'ANGELO BRAZ - (TERCEI.)</t>
  </si>
  <si>
    <t>CEI MUN. VER. CANTIDIO NOGUEIRA SAMPAIO - (TERCEI.)</t>
  </si>
  <si>
    <t>DIOGO NUNES MACHADO</t>
  </si>
  <si>
    <t>MARIA VICTORIA SANTANA DE ARAUJO</t>
  </si>
  <si>
    <t>SAMUEL BARROS LOPES</t>
  </si>
  <si>
    <t>CEI MUN. VER. ERMANO MARCHETTI - (TERCEI.)</t>
  </si>
  <si>
    <t>ALICIA PAIXAO ARAUJO</t>
  </si>
  <si>
    <t>EDUARDO IOMMI SANTOS MOREIRA</t>
  </si>
  <si>
    <t>VINICIUS ALEXANDRE BISPO DOS SANTOS</t>
  </si>
  <si>
    <t>CEI MUN. VER. JOAQUIM THOMÉ FILHO - (TERCEI.)</t>
  </si>
  <si>
    <t>ALLAN FERNANDES INHUMA MACEDO</t>
  </si>
  <si>
    <t>ENZO TEIXEIRA RAMOS MONTEIRO</t>
  </si>
  <si>
    <t>MATHEUS FONSECA DA SILVA</t>
  </si>
  <si>
    <t>PEDRO HENRIQUE DE ANDRADE SANTOS</t>
  </si>
  <si>
    <t>CEI MUN. VL. BASILÉIA - (TERCEI.)</t>
  </si>
  <si>
    <t>LORENZO FERREIRA ALBE</t>
  </si>
  <si>
    <t>MARIA HELENA GOMES DE PAULO</t>
  </si>
  <si>
    <t>CEI MUN. VL. CONSTANÇA - (TERCEI.)</t>
  </si>
  <si>
    <t>ANDRE MAXIMUS BARBOSA CORREIA</t>
  </si>
  <si>
    <t>Alergia a Ovo; Alergia a Proteína do Leite de Vaca; Alergia a Fruta - Abacate</t>
  </si>
  <si>
    <t>CAUA RAFAEL SILVA DOS SANTOS</t>
  </si>
  <si>
    <t>DAVI CAPELETTI DOS SANTOS</t>
  </si>
  <si>
    <t>GUSTAVO DA SILVA ALBUQUERQUE</t>
  </si>
  <si>
    <t>LANA PEREZ XAVIER</t>
  </si>
  <si>
    <t>SARAH DINIZ DOS SANTOS</t>
  </si>
  <si>
    <t>CEI MUN. VL. GUSTAVO - (TERCEI.)</t>
  </si>
  <si>
    <t>ISABELLA VITORIA DA SILVA LIMA</t>
  </si>
  <si>
    <t>CEU CEI MUN. JAÇANÃ - (TERCEI.)</t>
  </si>
  <si>
    <t>HELOISA OLIVEIRA FRANCISCO</t>
  </si>
  <si>
    <t>LUIS GUSTAVO SALES GUIMARAES</t>
  </si>
  <si>
    <t>LUIZ MIGUEL TARGINO</t>
  </si>
  <si>
    <t>MAYARA DE SOUZA ROCHA</t>
  </si>
  <si>
    <t>THAYNA ALVES DE SOUSA</t>
  </si>
  <si>
    <t>CEU EMEF JAÇANÃ - (TERCEI.)</t>
  </si>
  <si>
    <t>JOAO BRUNNERSON BARBOZA DE LIMA</t>
  </si>
  <si>
    <t>Esteatose Hepática; Hipertrigliceridemia; Sobrepeso e Obesidade</t>
  </si>
  <si>
    <t>KAIQUE SALES SANTOS</t>
  </si>
  <si>
    <t>MURILO DA ANUNCIACAO REIS</t>
  </si>
  <si>
    <t>RAFAELA DA SILVA LUSTOZA</t>
  </si>
  <si>
    <t>SILAS THIAGO DE JESUS DA SILVA</t>
  </si>
  <si>
    <t>CEU EMEI JAÇANÃ - (TERCEI.)</t>
  </si>
  <si>
    <t>EDUARDO MARTINS DOS SANTOS</t>
  </si>
  <si>
    <t>ENZO NASCIMENTO DOS SANTOS</t>
  </si>
  <si>
    <t>GUILHERME ALVES PAIVA</t>
  </si>
  <si>
    <t>LUIZ FERNANDO MATIAS LIMA</t>
  </si>
  <si>
    <t>MATEUS DE SOUZA CUNHA</t>
  </si>
  <si>
    <t>SAMUEL MATIAS DE LIMA</t>
  </si>
  <si>
    <t>Intolerância à Lactose; Intolerância ao Glúten</t>
  </si>
  <si>
    <t>SAMUEL ROBERTO DE JESUS DA SILVA</t>
  </si>
  <si>
    <t>YASMIM SANTOS DA SILVA</t>
  </si>
  <si>
    <t>EMEBS MD. LUCIE BRAY (TERC)</t>
  </si>
  <si>
    <t>GIOVANA GOMES DE SOUSA</t>
  </si>
  <si>
    <t>MIGUEL ANDRADE JOLY</t>
  </si>
  <si>
    <t>MIKAELLE RODRIGUES DE SOUSA</t>
  </si>
  <si>
    <t>Alergia a Salsicha; Alergia a Peixe; Alergia a Chocolate/Cacau</t>
  </si>
  <si>
    <t>EMEF ALBERTO SANTOS DUMONT - (TERCEI.)</t>
  </si>
  <si>
    <t>DEBORAH DE SOUZA MELO</t>
  </si>
  <si>
    <t>JOSUE ANDERSON CRUZ MOLLER</t>
  </si>
  <si>
    <t>JULIA VITORIA ARAUJO DE ANDRADE</t>
  </si>
  <si>
    <t>LUCAS CARTAXO SILVA DA CUNHA</t>
  </si>
  <si>
    <t>EMEF ALM. TAMANDARÉ - (TERCEI.)</t>
  </si>
  <si>
    <t>BRUNO BARROS</t>
  </si>
  <si>
    <t>EIDRYAN LOPES DE OLIVEIRA</t>
  </si>
  <si>
    <t>LUIS CLAUDIO DE OLIVEIRA SILVA</t>
  </si>
  <si>
    <t>RAQUEL CALANDRINO DE PAULA</t>
  </si>
  <si>
    <t>VITOR HUGO CASSIANO DA SILVA</t>
  </si>
  <si>
    <t>EMEF CEL. ARY GOMES - (TERCEI.)</t>
  </si>
  <si>
    <t>YASMIM SABINO DE OLIVEIRA</t>
  </si>
  <si>
    <t>EMEF CEL. HÉLIO FRANCO CHAVES - (TERCEI.)</t>
  </si>
  <si>
    <t>GUILHERME RIBEIRO AMORIM</t>
  </si>
  <si>
    <t>MELISSA ADRIELY TRIGO DE OLIVEIRA</t>
  </si>
  <si>
    <t>NATHAN OLIVEIRA MOREIRA</t>
  </si>
  <si>
    <t>VICTORIA CORDEIRO GUIMARAES</t>
  </si>
  <si>
    <t>EMEF CEL. ROMÃO GOMES - (TERCEI.)</t>
  </si>
  <si>
    <t>KLEBBYSON ITALO LIMA DOS SANTOS</t>
  </si>
  <si>
    <t>EMEF CTE. GASTÃO MOUTINHO - (TERCEI.)</t>
  </si>
  <si>
    <t>SARA CRISTINA ALMEIDA MAGALHAES</t>
  </si>
  <si>
    <t>EMEF D. PEDRO I - (TERCEI.)</t>
  </si>
  <si>
    <t>GABRIELLE DA SILVA PEREIRA</t>
  </si>
  <si>
    <t>KAIQUE MENDES DA SILVA</t>
  </si>
  <si>
    <t>LUCCAS RIBEIRO FORNAZIER</t>
  </si>
  <si>
    <t>STEFANY TRINDADE DOS PASSOS</t>
  </si>
  <si>
    <t>EMEF EDSON RODRIGUES - (TERCEI.)</t>
  </si>
  <si>
    <t>KEVIN MARQUES DOS SANTOS</t>
  </si>
  <si>
    <t>EMEF ENÉAS DE CARVALHO AGUIAR - (TERCEI.)</t>
  </si>
  <si>
    <t>FERNANDO DOS SANTOS LIMA</t>
  </si>
  <si>
    <t>GIOVANA GALANTE DA SILVA</t>
  </si>
  <si>
    <t>JONATHAN DE FRANCA FELIX VIEIRA</t>
  </si>
  <si>
    <t>RAISSA DE FRANCA FELIX VIEIRA</t>
  </si>
  <si>
    <t>EMEF GAL. JÚLIO MARCONDES SALGADO - (TERCEI.)</t>
  </si>
  <si>
    <t>ANA CLARA DO NASCIMENTO MOURA</t>
  </si>
  <si>
    <t>ANA CLARA LIMA DE FRANCA</t>
  </si>
  <si>
    <t>LEONARDO REIS AQUINO</t>
  </si>
  <si>
    <t>TANIA MARISOL VELAZQUEZ ROTELA</t>
  </si>
  <si>
    <t>Intolerância à Lactose; Alergia a Camarão</t>
  </si>
  <si>
    <t>EMEF HIPÓLITO JOSÉ COSTA - (TERCEI.)</t>
  </si>
  <si>
    <t>ABRAAO JOSE MARQUES</t>
  </si>
  <si>
    <t>Insuficiência Renal Crônica</t>
  </si>
  <si>
    <t>BEATRIZ ALEXANDRE MACEDO</t>
  </si>
  <si>
    <t>GILSON DE JESUS ALVES FILHO</t>
  </si>
  <si>
    <t>JESSICA SILVA CERQUEIRA</t>
  </si>
  <si>
    <t>LETICIA PULSONI</t>
  </si>
  <si>
    <t>RAFAEL DA SILVA LOPES</t>
  </si>
  <si>
    <t>EMEF JD. FONTALIS - (TERCEI.)</t>
  </si>
  <si>
    <t>DIOGO VINICIUS OLIVEIRA DA SILVA</t>
  </si>
  <si>
    <t>JENEFER MARIA DA SILVA MELO</t>
  </si>
  <si>
    <t>Alergia a Ovo; Alergia a Proteína do Leite de Vaca; Alergia ao Trigo; Alergia a Peixe; Alergia a Oleaginosas - Amendoim</t>
  </si>
  <si>
    <t>EMEF JOÃO DOMINGUES SAMPAIO - (TERCEI.)</t>
  </si>
  <si>
    <t>ANDREY FERREIRA DA SILVA</t>
  </si>
  <si>
    <t>EVELYN VIANA RODRIGUES</t>
  </si>
  <si>
    <t>JEFFERSON CAVALHEIRO DIAS</t>
  </si>
  <si>
    <t>LUIGI FRANCESCO BARLETTA DOS SANTOS</t>
  </si>
  <si>
    <t>MARIANA CRISTINA LIMA DE JESUS</t>
  </si>
  <si>
    <t>MATEUS PAULO KAMEI DA SILVA</t>
  </si>
  <si>
    <t>MIGUEL AUGUSTO FRANCA DE BARROS</t>
  </si>
  <si>
    <t>VITOR MESSIAS NASCIMENTO BASTOS</t>
  </si>
  <si>
    <t>EMEF JOÃO RAMOS - (TERCEI.)</t>
  </si>
  <si>
    <t>ARTHUR GARCIA DE SOUSA</t>
  </si>
  <si>
    <t>KAUAM SOUSA MARQUES</t>
  </si>
  <si>
    <t>Diabetes Mellitus; Dislipidemia; Sobrepeso e Obesidade</t>
  </si>
  <si>
    <t>KAYANY NEVES ROVIRA</t>
  </si>
  <si>
    <t>MARIANA DA CONCEICAO SILVA</t>
  </si>
  <si>
    <t>Litíase Renal; Hipercalciúria</t>
  </si>
  <si>
    <t>SHIRLEI DA CONCEICAO SENA</t>
  </si>
  <si>
    <t>EMEF LOURENÇO FILHO - (TERCEI.)</t>
  </si>
  <si>
    <t>BIANCA APARECIDA BATISTA CALABREZ</t>
  </si>
  <si>
    <t>LUIZA ALVES DOS SANTOS</t>
  </si>
  <si>
    <t>MARIA PAULA GOMES VENTURA</t>
  </si>
  <si>
    <t>THAIS YUMI SHIGUEMORI DA SILVA</t>
  </si>
  <si>
    <t>EMEF MAL. RONDON - (TERCEI.)</t>
  </si>
  <si>
    <t>GIOVANNY MACHADO SOUZA</t>
  </si>
  <si>
    <t>EMEF MARCOS MÉLEGA - (TERCEI.)</t>
  </si>
  <si>
    <t>CAIO WALLACE MARTINS DE ALMEIDA</t>
  </si>
  <si>
    <t>DAVI DE JESUS DUARTE</t>
  </si>
  <si>
    <t>ESTER NUNES DA CRUZ</t>
  </si>
  <si>
    <t>EMEF MARTIM FRANCISCO RIBEIRO DE ANDRADA - (TERCEI.)</t>
  </si>
  <si>
    <t>GABRIEL EMANNUEL FERREIRA ANTUNES</t>
  </si>
  <si>
    <t>GUILHERME SOARES DA SILVA REIS</t>
  </si>
  <si>
    <t>MATHEUS EUZEBIO BARBOSA</t>
  </si>
  <si>
    <t>MELISSA FINARDI GROTA</t>
  </si>
  <si>
    <t>Alergia a Lentilha</t>
  </si>
  <si>
    <t>PATRICK SOUZA MONTEIRO</t>
  </si>
  <si>
    <t>Doença Péptica; Alergia a Corantes; Alergia a Conservantes</t>
  </si>
  <si>
    <t>THAYNA ALENCAR DE MENDONCA</t>
  </si>
  <si>
    <t>EMEF OCTÁVIO PEREIRA LOPES - (TERCEI.)</t>
  </si>
  <si>
    <t>FERNANDO TEIXEIRA ALVES</t>
  </si>
  <si>
    <t>GABRIEL DOS SANTOS SILVA</t>
  </si>
  <si>
    <t>EMEF OLIVA IRENE BAYERLEIN SILVA - (TERCEI.)</t>
  </si>
  <si>
    <t>IAGO FERREIRA OLIVEIRA</t>
  </si>
  <si>
    <t>RUBI MARITE MULLISACA HUANCA</t>
  </si>
  <si>
    <t>TANILE THATY CAVALCANTI DE OLIVEIRA</t>
  </si>
  <si>
    <t>WHADILEN DE SOUZA SANTOS MACEDO</t>
  </si>
  <si>
    <t>EMEF PROF. ADOLPHO OTTO DE LAET - (TERCEI.)</t>
  </si>
  <si>
    <t>MARIA EDUARDA RODRIGUES GALVAO</t>
  </si>
  <si>
    <t>RODRIGO HERNANDES CAMPOS SILVEIRA</t>
  </si>
  <si>
    <t>EMEF PROF. FRANKLIN AUGUSTO MOURA CAMPOS - (TERCEI.)</t>
  </si>
  <si>
    <t>ANA CAROLINA FERNANDES EVANGELISTA</t>
  </si>
  <si>
    <t>HENRIQUE AUGUSTO LORDELLO DO ESPIRITO SANTO</t>
  </si>
  <si>
    <t>NAUHANE DOS ANJOS DE ANA</t>
  </si>
  <si>
    <t>Alergia a Corantes; Alergia a Embutidos; Alergia a Enlatados; Alergia a Condimentos</t>
  </si>
  <si>
    <t>EMEF PROF. NOÉ DE AZEVEDO - (TERCEI.)</t>
  </si>
  <si>
    <t>CARLOS EDUARDO MUNIZ PEREIRA</t>
  </si>
  <si>
    <t>GIOVANNA OLIVEIRA DE FREITAS</t>
  </si>
  <si>
    <t>GUILHERME NUNES ALMEIDA</t>
  </si>
  <si>
    <t>ISABELA PEREIRA GUIMARAES</t>
  </si>
  <si>
    <t>JANAYNA SANTANA MIRANDA</t>
  </si>
  <si>
    <t>KAUA GOMES DA SILVA</t>
  </si>
  <si>
    <t>PEDRO NUNES ALMEIDA</t>
  </si>
  <si>
    <t>PEDRO RODRIGUES FARIAS</t>
  </si>
  <si>
    <t>SAMUEL NUNES MARQUES AZEVEDO</t>
  </si>
  <si>
    <t>EMEF PROF. SHIRLEY GUIO - (TERCEI.)</t>
  </si>
  <si>
    <t>BRAYAN MUNOZ MORAES</t>
  </si>
  <si>
    <t>GABRIELA ARAUJO DE OLIVEIRA</t>
  </si>
  <si>
    <t>EMEF PROFA. CÉLIA REGINA LEKEVICIUS CONSOLIN - (TERCEI.)</t>
  </si>
  <si>
    <t>GUILHERME CAUA FERREIRA DA SILVA</t>
  </si>
  <si>
    <t>EMEF PROFA. ESMERALDA SALLES PEREIRA RAMOS - (TERCEI.)</t>
  </si>
  <si>
    <t>GUSTAVO HENRIQUE BARBOSA</t>
  </si>
  <si>
    <t>KAWE RODRIGO ALVES FERNANDES</t>
  </si>
  <si>
    <t>KEVYN WILKER DA SILVA SIMOES</t>
  </si>
  <si>
    <t>MAYARA GIOVANNA DE PAULA</t>
  </si>
  <si>
    <t>EMEF PROFA. HELENA LOMBARD BRAGA - (TERCEI.)</t>
  </si>
  <si>
    <t>KAUA MATHEUS NASCIMENTO RODRIGUES</t>
  </si>
  <si>
    <t>NICOLI CAROL CASTRO ILARI</t>
  </si>
  <si>
    <t>PAMELLA CRISTINA DE JESUS SANCHES</t>
  </si>
  <si>
    <t>RAFAEL GUSTAVO SANTOS DA CRUZ</t>
  </si>
  <si>
    <t>RAFAELA ROSA NUNES</t>
  </si>
  <si>
    <t>ROSELAINE NOGUERA BUSTAMANTE</t>
  </si>
  <si>
    <t>EMEF PROFA. MARIA HELENA FARIA LIMA - (TERCEI.)</t>
  </si>
  <si>
    <t>ARTHUR FREDERICO FABIANO</t>
  </si>
  <si>
    <t>EMEF PROFA. NILCE CRUZ FIGUEIREDO - (TERCEI.)</t>
  </si>
  <si>
    <t>ANA LUIZA FREITAS SANTOS</t>
  </si>
  <si>
    <t>EMANUEL CARLOS DE SOUZA</t>
  </si>
  <si>
    <t>NICOLI SOUZA SANTOS</t>
  </si>
  <si>
    <t>PEDRO HENRIQUE ALVES BEZERRA</t>
  </si>
  <si>
    <t>EMEF RAUL DE LEONI - (TERCEI.)</t>
  </si>
  <si>
    <t>ALAN VIANA SANTOS</t>
  </si>
  <si>
    <t>BRENDA VITORIA DA SILVA</t>
  </si>
  <si>
    <t>DAVI ALVES QUARESMA</t>
  </si>
  <si>
    <t>DAVI CORREA DA SILVA</t>
  </si>
  <si>
    <t>FERNANDO SOARES SILVA</t>
  </si>
  <si>
    <t>GABRIEL DOS SANTOS MACIEL</t>
  </si>
  <si>
    <t>NICOLAS ALVES BOROCZKY</t>
  </si>
  <si>
    <t>RILLARY EDUARDA CARVALHO MOTA</t>
  </si>
  <si>
    <t>UELLEN JENNIFER CRUZ DE SOUZA</t>
  </si>
  <si>
    <t>EMEF RUY BARBOSA - (TERCEI.)</t>
  </si>
  <si>
    <t>GUILHERME PAULINO</t>
  </si>
  <si>
    <t>Alergia a Ovo; Alergia a Fruta - Coco</t>
  </si>
  <si>
    <t>JULIANA DE SOUSA SANTANA</t>
  </si>
  <si>
    <t>LUIS GABRIEL ALVES DE OLIVEIRA ANDRADE</t>
  </si>
  <si>
    <t>RENATO ELIAS DE OLIVEIRA</t>
  </si>
  <si>
    <t>EMEFM PROF. DERVILLE ALEGRETTI - (TERCEI.)</t>
  </si>
  <si>
    <t>GUILHERME AUGUSTO MIGUEL DOS SANTOS SILVA</t>
  </si>
  <si>
    <t>HIGOR VAZ DA SILVA</t>
  </si>
  <si>
    <t>MARCOS VINICIUS RODRIGUES DE JESUS</t>
  </si>
  <si>
    <t>VITORIA DE SOUSA DOS REIS</t>
  </si>
  <si>
    <t>EMEFM VER. ANTÔNIO SAMPAIO - (TERCEI.)</t>
  </si>
  <si>
    <t>JAMILY REIS DE LIMADE OLIVEIRA</t>
  </si>
  <si>
    <t>JOAO VICTOR DOS SANTOS</t>
  </si>
  <si>
    <t>EMEI 9 DE JULHO - (TERCEI.)</t>
  </si>
  <si>
    <t>ANA CRISTINA DA SILVA SOUSA</t>
  </si>
  <si>
    <t>ARTHUR SILVA NOGUEIRA</t>
  </si>
  <si>
    <t>DANILO DOS SANTOS ANJOS</t>
  </si>
  <si>
    <t>DAVI OLIVEIRA DA SILVA</t>
  </si>
  <si>
    <t>ISAAC COSTA TRAZZINI CHAVEZ</t>
  </si>
  <si>
    <t>LUIS HENRIQUE ANDRADE GUIDINI</t>
  </si>
  <si>
    <t>MARINA CAETANI DA CUNHA</t>
  </si>
  <si>
    <t>PAOLA LUCISANO PEREIRA</t>
  </si>
  <si>
    <t>Diabetes Mellitus; Hipercolesterolemia; Intolerância à Lactose; Alergia a Corantes; Alergia a Aromatizantes</t>
  </si>
  <si>
    <t>SOPHIA BEZERRA DOS SANTOS</t>
  </si>
  <si>
    <t>EMEI ANA NERI - (TERCEI.)</t>
  </si>
  <si>
    <t>ARTHUR DOMINGUES</t>
  </si>
  <si>
    <t>EGLYN MIRELLA DOS SANTOS MELO</t>
  </si>
  <si>
    <t>Leucemia Linfocítica Aguda</t>
  </si>
  <si>
    <t>HELOISA CARDIM RIBEIRO</t>
  </si>
  <si>
    <t>ISAQUE MATHIAS FERNANDEZ GOMES DOS SANTOS</t>
  </si>
  <si>
    <t>EMEI ARTHUR ETZEL - (TERCEI.)</t>
  </si>
  <si>
    <t>HAYSSA VICTORIA SILVA SANTOS</t>
  </si>
  <si>
    <t>Dor Abdominal</t>
  </si>
  <si>
    <t>EMEI AV. EDU CHAVES - (TERCEI.)</t>
  </si>
  <si>
    <t>ALLEXIA CHRISTINY DOS SANTOS SILVA</t>
  </si>
  <si>
    <t>MARIA SOPHIA PESSOA SILVA</t>
  </si>
  <si>
    <t>NATALLY PEREIRA BRAGA</t>
  </si>
  <si>
    <t>YASMIN SANTOS MARREIRA</t>
  </si>
  <si>
    <t>BRYAN SANTANA</t>
  </si>
  <si>
    <t>CAIO GOMES PEREIRA</t>
  </si>
  <si>
    <t>Alergia a Camarão</t>
  </si>
  <si>
    <t>GABRIEL DUARTE DE ALENCAR</t>
  </si>
  <si>
    <t>HEITOR ALVES DE NOVAES</t>
  </si>
  <si>
    <t>Alergia a Fruta - Uva</t>
  </si>
  <si>
    <t>KATHERINE DOS REIS TAVARES MARTINS</t>
  </si>
  <si>
    <t>LEONARDO HENRY DE OLIVEIRA BENEDITO</t>
  </si>
  <si>
    <t>EMEI CEL. WALFRIDO DE CARVALHO - (TERCEI.)</t>
  </si>
  <si>
    <t>BRYAN SAMUEL OLIVEIRA CORREA</t>
  </si>
  <si>
    <t>LORENA LIMA FREIRE</t>
  </si>
  <si>
    <t>EMEI CELSO DE SOUZA OLIVEIRA - (TERCEI.)</t>
  </si>
  <si>
    <t>Alergia a Proteína do Leite de Vaca; Alergia a Corantes; Alergia a Aromatizantes</t>
  </si>
  <si>
    <t>EMANUEL SANTOS FERREIRA</t>
  </si>
  <si>
    <t>FELIPE VIANA SOARES DE LIMA</t>
  </si>
  <si>
    <t>HUGO OLIVEIRA DOS SANTOS LOUZADO</t>
  </si>
  <si>
    <t>Intolerância à Lactose; Alergia a Corantes; Alergia a Conservantes</t>
  </si>
  <si>
    <t>LUCCA SILVA COSTA</t>
  </si>
  <si>
    <t>MIGUEL DA SILVA SANTOS</t>
  </si>
  <si>
    <t>EMEI CIDADE FERNÃO DIAS - (TERCEI.)</t>
  </si>
  <si>
    <t>EMEI DINA KUTNER DE SOUZA - (TERCEI.)</t>
  </si>
  <si>
    <t>MANUELLA GABRIELA SANTANA CARDOSO</t>
  </si>
  <si>
    <t>EMEI DR. JOSÉ AUGUSTO CESAR - (TERCEI.)</t>
  </si>
  <si>
    <t>BIANCA DE MARCHI ZAPFF</t>
  </si>
  <si>
    <t>JULIA FINARDI DE ALMEIDA</t>
  </si>
  <si>
    <t>LEONARDO MIGUEL ALVES DA SILVA</t>
  </si>
  <si>
    <t>PEDRO HENRIQUE MARÇAL MONTEIRO</t>
  </si>
  <si>
    <t>YAGO APARECIDO DA SILVA SIMOES</t>
  </si>
  <si>
    <t>EMEI DRA. GINA DE MARTINO - (TERCEI.)</t>
  </si>
  <si>
    <t>ALYCIA SARAH TORRENTES ANTUNES</t>
  </si>
  <si>
    <t>JOSE MARIA LOPES DOS SANTOS</t>
  </si>
  <si>
    <t>MANUELLA SANTANA MENDES</t>
  </si>
  <si>
    <t>NATHAN GABRYEL SANTOS RODRIGUES</t>
  </si>
  <si>
    <t>YURI ALMEIDA SANTOS SOUSA</t>
  </si>
  <si>
    <t>Alergia a Ovo; Alergia a Corantes; Intolerância Alimentar - Leite e/ou Derivados do Leite</t>
  </si>
  <si>
    <t>EMEI FLÁVIO IMPÉRIO - (TERCEI.)</t>
  </si>
  <si>
    <t>JOAO HENRIQUE DE ALMEIDA SILVA</t>
  </si>
  <si>
    <t>EMEI JOSÉ BONIFÁCIO DE ANDRADA E SILVA - (TERCEI.)</t>
  </si>
  <si>
    <t>CAUA CIRINO GAMERO</t>
  </si>
  <si>
    <t>DAVI BERTO RODRIGUES</t>
  </si>
  <si>
    <t>MATHEUS CIRINO GAMERO</t>
  </si>
  <si>
    <t>EMEI JOSÉ JOAQUIM DA SILVA - (TERCEI.)</t>
  </si>
  <si>
    <t>OTAVIO FONTES BENETTI</t>
  </si>
  <si>
    <t>EMEI LUIS GAMA - (TERCEI.)</t>
  </si>
  <si>
    <t>KEISON JESUS MAURINHO</t>
  </si>
  <si>
    <t>YASMIN PEREIRA SILVA</t>
  </si>
  <si>
    <t>Alergia a Proteína do Leite de Vaca; Alergia ao Trigo; Alergia a Soja; Alergia a Hortifruti - Tomate; Alergia a Oleaginosas - Amendoim; Alergia a Carne Suina; Alergia a Carne Bovina; Alergia a Feijão</t>
  </si>
  <si>
    <t>EMEI MARGARETH DE FÁTIMA MARQUES DE AZEVEDO - (TERCEI.)</t>
  </si>
  <si>
    <t>HENZO MACARIO SANTOS</t>
  </si>
  <si>
    <t>KAMILLY VITORIA ROCHA</t>
  </si>
  <si>
    <t>LAURA MACENA MENDONÇA</t>
  </si>
  <si>
    <t>Alergia a Corantes; Alergia a Conservantes; Alergia a Peixe; Alergia a Chocolate/Cacau; Alergia a Fruta - Coco; Alergia a Fruta - Melão; Alergia a Aveia; Alergia a Hortifruti - Batata; Alergia a Hortifruti - Couve; Alergia a Hortifruti - Espinafre</t>
  </si>
  <si>
    <t>PEDRO HENRIQUE DA SILVA POMBO</t>
  </si>
  <si>
    <t>EMEI MARINA NOGUEIRA DE SOUZA MARTINS - (TERCEI.)</t>
  </si>
  <si>
    <t>ANA JULIA BATISTA CUNHA</t>
  </si>
  <si>
    <t>RAPHAEL GONCALVES FERNANDES DA SILVA</t>
  </si>
  <si>
    <t>YAGO DE JESUS SILVA</t>
  </si>
  <si>
    <t>EMEI PE. ANCHIETA - (TERCEI.)</t>
  </si>
  <si>
    <t>ENZO CHAGAS SCAVASSA</t>
  </si>
  <si>
    <t>ESTHER SILVA DE SOUZA</t>
  </si>
  <si>
    <t>MIGUEL BORLINO BUENO</t>
  </si>
  <si>
    <t>NOAH MOREIRA LIMA</t>
  </si>
  <si>
    <t>EMEI PRES. JÂNIO QUADROS - (TERCEI.)</t>
  </si>
  <si>
    <t>ARTHUR ALEXANDRE ANDRADE DA SILVA</t>
  </si>
  <si>
    <t>CALEB DE OLIVEIRA</t>
  </si>
  <si>
    <t>CATHARINA OLIVEIRA SANTOS</t>
  </si>
  <si>
    <t>Alergia a Ovo; Alergia a Proteína do Leite de Vaca; Alergia a Corantes; Alergia a Peixe</t>
  </si>
  <si>
    <t>EMEI PROF. ENIO CORREIA - (TERCEI.)</t>
  </si>
  <si>
    <t>LORENZO DANIEL PINTO</t>
  </si>
  <si>
    <t>EMEI PROF. FERNANDO CAMARGO SOARES - (TERCEI.)</t>
  </si>
  <si>
    <t>EMEI PROF. ITALO BETTARELLO - (TERCEI.)</t>
  </si>
  <si>
    <t>LUIZA MORAES DE OLIVEIRA</t>
  </si>
  <si>
    <t>SOPHIA VITORIA DA SILVA BENTO</t>
  </si>
  <si>
    <t>EMEI PROF. LOURENÇO FILHO</t>
  </si>
  <si>
    <t>ISADORA MILANI RIBEIRO</t>
  </si>
  <si>
    <t>JOAO PEDRO DE JESUS SANTOS</t>
  </si>
  <si>
    <t>LUIZ GUSTAVO CUNHA SOUZA</t>
  </si>
  <si>
    <t>RUBENS ANTONIO DA SILVEIRA OLIVEIRA</t>
  </si>
  <si>
    <t>VICTORIA CERRONI GONCALVES</t>
  </si>
  <si>
    <t>VINICIUS PEREIRA MACHADO</t>
  </si>
  <si>
    <t>EMEI PROF. PEDRO ALVARES CABRAL MORAES - (TERCEI.)</t>
  </si>
  <si>
    <t>JOSE PIETRO SANTOS RODRIGUES</t>
  </si>
  <si>
    <t>KEYLA AYSHA CORDEIRO BARRERA</t>
  </si>
  <si>
    <t>THEO SILVA</t>
  </si>
  <si>
    <t>EMEI PROF. TAUFIK DAUD KURBAN - (TERCEI.)</t>
  </si>
  <si>
    <t>AQUILES RIBEIRO DE OLIVEIRA</t>
  </si>
  <si>
    <t>Alergia a Ovo; Alergia a Proteína do Leite de Vaca; Alergia a Fruta - Abacaxi; Alergia a Fruta - Melancia; Alergia a Fruta - Goiaba; Alergia a Fruta - Maracujá</t>
  </si>
  <si>
    <t>EMILLY MARIA DA SILVA LUCAS</t>
  </si>
  <si>
    <t>ERICK VINICIUS PEREIRA FERNANDES</t>
  </si>
  <si>
    <t>Intolerância à Lactose; Alergia a Corantes; Alergia a Aromatizantes; Alergia a Embutidos; Alergia a Enlatados</t>
  </si>
  <si>
    <t>MANNUELA D AGOSTINO PIMENTA</t>
  </si>
  <si>
    <t>Alergia a Frutos do Mar</t>
  </si>
  <si>
    <t>EMEI PROF. YUKIO OZAKI - (TERCEI.)</t>
  </si>
  <si>
    <t>LAIS OLIVEIRA MATOS</t>
  </si>
  <si>
    <t>EMEI PROFA. CLEIDE MOREIRA DOS SANTOS - (TERCEI.)</t>
  </si>
  <si>
    <t>KAUA HENRY GOMES GUIMARAES</t>
  </si>
  <si>
    <t>MARIA EDUARDA SILVA SANTOS</t>
  </si>
  <si>
    <t>EMEI PROFA. EDALZIR SAMPAIO LIPORONE - (TERCEI.)</t>
  </si>
  <si>
    <t>EMEI PROFA. EUDÓXIA DE BARROS - (TERCEI.)</t>
  </si>
  <si>
    <t>BERNARDO CUSTODIO DO AMARAL</t>
  </si>
  <si>
    <t>Refluxo Gastroesofágico; Alergia a Oleaginosas - Amendoim; Alergia a Oleaginosas - Castanha do Pará; Alergia a Oleaginosas - Castanha de Caju; Alergia a Oleaginosas - Castanha de Barú; Alergia a Oleaginosas - Avelã; Alergia a Oleaginosas - Amêndoa; Alergia a Oleaginosas - Nozes</t>
  </si>
  <si>
    <t>ERICK DA SILVA GARCEZ</t>
  </si>
  <si>
    <t>FERNANDA VIEIRA ALENCAR</t>
  </si>
  <si>
    <t>SUNAMITA RAMALHO VICENTE GLASER</t>
  </si>
  <si>
    <t>EMEI PROFA. JONISE MÁXIMO DA FONSECA - (TERCEI.)</t>
  </si>
  <si>
    <t>SOPHIA MIRANDA SELIM</t>
  </si>
  <si>
    <t>EMEI PROFA. MARIA ISABEL PACHECO ALMEIDA RIBEIRO - (TERCEI.)</t>
  </si>
  <si>
    <t>GISELI GALANTE DA SILVA</t>
  </si>
  <si>
    <t>LORRAINNY BORGES DE SOUZA</t>
  </si>
  <si>
    <t>EMEI PROFA. OTTILIA DE JESUS PIRES - (TERCEI.)</t>
  </si>
  <si>
    <t>EMILLY GUIMARAES DE JESUS</t>
  </si>
  <si>
    <t>Alergia a Peixe; Alergia a Oleaginosas - Amendoim; Alergia a Carne Suina</t>
  </si>
  <si>
    <t>FELIPE GONZALES PATRICIO ALVES</t>
  </si>
  <si>
    <t>LARISSA MANOELA BANDEIRA CARO</t>
  </si>
  <si>
    <t>LETHYCIA RODRIGUES DE SOUZA</t>
  </si>
  <si>
    <t>SOPHIA CARVALHO GOMES</t>
  </si>
  <si>
    <t>EMEI SAVA POPOVIC - (TERCEI.)</t>
  </si>
  <si>
    <t>CEI CEU ANA LUCIA DE HOLANDA GOMBÔA PROFª (TERC)</t>
  </si>
  <si>
    <t>MP</t>
  </si>
  <si>
    <t>BRYAN SOUZA GARCIA</t>
  </si>
  <si>
    <t>Alergia a Proteína do Leite de Vaca; Alergia a Corantes; Alergia a Conservantes; Alergia a Embutidos; Alergia a Salsicha; Alergia a Enlatados; Alergia a Sucos Artificiais; Alergia a Refrigerante</t>
  </si>
  <si>
    <t>DIOGO MIGUEL FERREIRA GUEDES</t>
  </si>
  <si>
    <t>HELOISA SANTOS TELES</t>
  </si>
  <si>
    <t>CEI MUN. CIDADE PEDRO JOSÉ NUNES - (TERCEI.)</t>
  </si>
  <si>
    <t>ARTHUR ASSIS DOS SANTOS</t>
  </si>
  <si>
    <t>JOAQUIM FERNANDES BELLANTE GUEDES</t>
  </si>
  <si>
    <t>CEI MUN. CONJ. HAB. TEXIMA - (TERCEI.)</t>
  </si>
  <si>
    <t>ALANA LEMOS GOMES</t>
  </si>
  <si>
    <t>ANA BEATRIZ DE ALMEIDA TOLENTINO</t>
  </si>
  <si>
    <t>CEI MUN. CURUÇA II - (TERCEI.)</t>
  </si>
  <si>
    <t>HEITOR LEAL DE SA</t>
  </si>
  <si>
    <t>SAMUEL LISBOA NASCIMENTO</t>
  </si>
  <si>
    <t>CEI MUN. DNA. ODILIA ALVES DE ALMEIDA SANTOS - (TERCEI.)</t>
  </si>
  <si>
    <t>EMANUELLY ANGELICA QUEIROZ SALES</t>
  </si>
  <si>
    <t>JULLIA ALVES DE SOUZA</t>
  </si>
  <si>
    <t>MURILO RICARTE ALVES</t>
  </si>
  <si>
    <t>SARAH MELLO DA SILVA GALVAO</t>
  </si>
  <si>
    <t>VICTOR MOREIRA DE SOUZA</t>
  </si>
  <si>
    <t>CEI MUN. DORALICE PEREIRA DE SOUZA LEONARDO - (TERCEI.)</t>
  </si>
  <si>
    <t>AMMY BELLE ARAUJO PROENCA</t>
  </si>
  <si>
    <t>JULIO MIGUEL PIRES RODRIGUES</t>
  </si>
  <si>
    <t>KALEL HENRIQUE SOUZA PRIMO</t>
  </si>
  <si>
    <t>NICOLAS DANIEL BORGES DE ALENCAR</t>
  </si>
  <si>
    <t>Alergia a Fruta - Melancia</t>
  </si>
  <si>
    <t>RICARDO MARTINS DA SILVA</t>
  </si>
  <si>
    <t>Intolerância à Lactose; Alergia a Hortifruti - Milho
Alergia a Milho; Alergia a Hortifruti - Cenoura</t>
  </si>
  <si>
    <t>CEI MUN. HELENA PEREIRA DE MORAES - (TERCEI.)</t>
  </si>
  <si>
    <t>ELBSON PAULINO LIMA</t>
  </si>
  <si>
    <t>CEI MUN. IRMÃ  ILDEFRANCA - (TERCEI.)</t>
  </si>
  <si>
    <t>ERIC RODRIGUES SANTOS</t>
  </si>
  <si>
    <t>CEI MUN. JD. CAMARGO NOVO (TERC)</t>
  </si>
  <si>
    <t>ANA LIZ RODRIGUES GUIMARAES</t>
  </si>
  <si>
    <t>ANA MARIA ALVES DE LIMA</t>
  </si>
  <si>
    <t>ANTONNY MURYEL SOUSA SILVA</t>
  </si>
  <si>
    <t>ENZO MACEDO NETO</t>
  </si>
  <si>
    <t>Intolerância Alimentar - Café</t>
  </si>
  <si>
    <t>GABRIEL DA SILVA ROSTICHELLI</t>
  </si>
  <si>
    <t>ISAQUE ROBERTO DA SILVA</t>
  </si>
  <si>
    <t>Alergia a Corantes; Alergia a Embutidos; Alergia a Chocolate/Cacau; Alergia a Enlatados</t>
  </si>
  <si>
    <t>JULIA EDUARDA MELAZZOTE DE FREITAS</t>
  </si>
  <si>
    <t>MARIA LUYSA BENTO DA CONCEICAO</t>
  </si>
  <si>
    <t>MIGUEL ANGELO FERREIRA DOS SANTOS</t>
  </si>
  <si>
    <t>PEDRO HENRIQUE MOTA SOUZA</t>
  </si>
  <si>
    <t>RAFAELLA GONCALVES SANTOS</t>
  </si>
  <si>
    <t>CEI MUN. JD. CAMARGO VELHO - (TERCEI.)</t>
  </si>
  <si>
    <t>ALLANA SILVA DOS SANTOS</t>
  </si>
  <si>
    <t>ARTHUR PYETRO SILVA SANTOS</t>
  </si>
  <si>
    <t>CEI MUN. JD. CAMPOS - (TERCEI.)</t>
  </si>
  <si>
    <t>ANA JULIA OLIVEIRA DA SILVA</t>
  </si>
  <si>
    <t>LORENZO BENICIO GOMES VIEIRA</t>
  </si>
  <si>
    <t>CEI MUN. JD. EVA (TERC)</t>
  </si>
  <si>
    <t>MONIKE ANDRADE FURTADO</t>
  </si>
  <si>
    <t>CEI MUN. JD. MAIA - (TERCEI.)</t>
  </si>
  <si>
    <t>JOAO FELIPE ALVES ZAMPOLI</t>
  </si>
  <si>
    <t>CEI MUN. JD. MILIUNAS - (TERCEI.)</t>
  </si>
  <si>
    <t>ENZO GABRIEL DE BESSA SANTANA</t>
  </si>
  <si>
    <t>MARCOS BRYAN SOUSA MALTA</t>
  </si>
  <si>
    <t>CEI MUN. JD. NAZARÉ - (TERCEI.)</t>
  </si>
  <si>
    <t>ROBERTY MACHADO DE OLIVEIRA</t>
  </si>
  <si>
    <t>CEI MUN. JD. RUTH - (TERCEI.)</t>
  </si>
  <si>
    <t>JOAO NICOLAS DOS SANTOS RIBEIRO</t>
  </si>
  <si>
    <t>CEI MUN. JD. SÃO MARTINHO - (TERCEI.)</t>
  </si>
  <si>
    <t>KYARAH ROBERTA ALVES DOS SANTOS</t>
  </si>
  <si>
    <t>Alergia a Embutidos; Alergia a Carne Suina</t>
  </si>
  <si>
    <t>MIGUEL DE JESUS SARMENTO</t>
  </si>
  <si>
    <t>CEI MUN. JD. SÃO VICENTE - (TERCEI.)</t>
  </si>
  <si>
    <t>ANA LUIZA GONÇALVES DA SILVA</t>
  </si>
  <si>
    <t>DENIS EVANGELISTA DA SILVA JUNIOR</t>
  </si>
  <si>
    <t>ENZO CARDOSO TOLENTINO</t>
  </si>
  <si>
    <t>GUSTAVO DE SOUSA SANTOS</t>
  </si>
  <si>
    <t>YASMIN REIS DE OLIVEIRA MOURA</t>
  </si>
  <si>
    <t>CEI MUN. JD. SILVA TELES (TERC.)</t>
  </si>
  <si>
    <t>ISABELLA FERREIRA GOMES</t>
  </si>
  <si>
    <t>LUIZ GUILHERME SANTOS DE SOUZA</t>
  </si>
  <si>
    <t>RAUL DOS SANTOS GERALDI</t>
  </si>
  <si>
    <t>Alergia a Proteína do Leite de Vaca; Alergia a Carne Bovina</t>
  </si>
  <si>
    <t>REBBECA MARTINS</t>
  </si>
  <si>
    <t>CEI MUN. JD. VL. PEDROSO - (TERCEI.)</t>
  </si>
  <si>
    <t>CECILIA GANINI RAMALHO</t>
  </si>
  <si>
    <t>LORENA CARMO SALGADO</t>
  </si>
  <si>
    <t>CEI MUN. MARIA APARECIDA  SANTOS - JD. NÉLIA - (TERCEI.)</t>
  </si>
  <si>
    <t>JOAO PEDRO ALVES DE SANTANA</t>
  </si>
  <si>
    <t>CEI MUN. MTO. ARTURO DE ANGELIS - (TERCEI.)</t>
  </si>
  <si>
    <t>AMANDA SANTOS ARAUJO</t>
  </si>
  <si>
    <t>BRENO RINALDI LIMA</t>
  </si>
  <si>
    <t>CEI MUN. NAZARÉ (TERC)</t>
  </si>
  <si>
    <t>VALENTINA ALVES JUSTINO RODRIGUES</t>
  </si>
  <si>
    <t>Intolerância Alimentar - Biscoito em geral</t>
  </si>
  <si>
    <t>CEI MUN. PAULO CESAR FONTELLES LIMA - (TERCEI.)</t>
  </si>
  <si>
    <t>ANDREAS DOS SANTOS CHIBANTE OLIVEIRA</t>
  </si>
  <si>
    <t>BENJAMIM OLIVEIRA SOARES</t>
  </si>
  <si>
    <t>OTAVIO NASCIMENTO MORAES OLIVEIRA</t>
  </si>
  <si>
    <t>CEI MUN. PQ. STA. RITA - (TERCEI.)</t>
  </si>
  <si>
    <t>ELOA MARIANE ALVES DE FREITAS</t>
  </si>
  <si>
    <t>LUCAS HENRIQUE DE SOUZA</t>
  </si>
  <si>
    <t>PEDRO MIGUEL LIBERATO DE MELLO</t>
  </si>
  <si>
    <t>CEI MUN. PROF. DURVAL MIOLA - (TERCEI.)</t>
  </si>
  <si>
    <t>ADRIELLY VITORIA ALVES DE NOBREGA</t>
  </si>
  <si>
    <t>ARTHUR ALVES COSTA</t>
  </si>
  <si>
    <t>BRENO DOS SANTOS MOURA</t>
  </si>
  <si>
    <t>CEI MUN. ROSA SABAG ADDAS - (TERCEI.)</t>
  </si>
  <si>
    <t>DAVI BARBOSA SANTOS</t>
  </si>
  <si>
    <t>EMILLY NICOLLY DE OLIVEIRA</t>
  </si>
  <si>
    <t>KAUA DE LIMA ROCHA</t>
  </si>
  <si>
    <t>MURILLO GABRIEL CARVALHO SANTOS</t>
  </si>
  <si>
    <t>CEI MUN. VER. JOÃO CARLOS FAIRBANKS - (TERCEI.)</t>
  </si>
  <si>
    <t>ANA CLARA RODRIGUES DE SOUZA</t>
  </si>
  <si>
    <t>ARTHUR FERREIRA DA SILVA</t>
  </si>
  <si>
    <t>PAULO HENRIQUE PEREIRA COSTA</t>
  </si>
  <si>
    <t>PETERSON CANDIDO COELHO</t>
  </si>
  <si>
    <t>CEI MUN. VER. LÍBERO ANCONA LOPES - (TERCEI.)</t>
  </si>
  <si>
    <t>THIAGO FERREIRA GALVAO</t>
  </si>
  <si>
    <t>CEI MUN. VL. AIMORÉ - (TERCEI.)</t>
  </si>
  <si>
    <t>FELIPE FURLAN GIMENIZ</t>
  </si>
  <si>
    <t>Fibrose Cística</t>
  </si>
  <si>
    <t>JOAO GABRIEL SANTOS CARVALHEIRA</t>
  </si>
  <si>
    <t>WESLEY DOS SANTOS TELES</t>
  </si>
  <si>
    <t>CEI MUN. VL. CURUÇA VELHA - (TERCEI.)</t>
  </si>
  <si>
    <t>DAVI SILVESTRE DOS SANTOS</t>
  </si>
  <si>
    <t>CEI MUN. VL. PROGRESSO - (TERCEI.)</t>
  </si>
  <si>
    <t>ALICE MACIEL GARCIA</t>
  </si>
  <si>
    <t>CECILIA SILVA DE ARAUJO</t>
  </si>
  <si>
    <t>DANIEL EMANUEL ALVES PEREIRA</t>
  </si>
  <si>
    <t>GABRIELA CABRAL</t>
  </si>
  <si>
    <t>HEITOR CAVALCANTI MODESTO</t>
  </si>
  <si>
    <t>OTAVIO CAVALCANTI MODESTO</t>
  </si>
  <si>
    <t>TIAGO HENRIQUE SANTOS DE OLIVEIRA</t>
  </si>
  <si>
    <t>CEI MUN. VL. STA. INÊS - (TERCEI.)</t>
  </si>
  <si>
    <t>ANNA LUIZA COSTA DOS SANTOS</t>
  </si>
  <si>
    <t>BRYAN LUCCA DE JESUS CORREIA DA SILVA</t>
  </si>
  <si>
    <t>CEU CEI MUN. PQ. SÃO CARLOS - (TERCEI.)</t>
  </si>
  <si>
    <t>ARTHUR MIGUEL SANTOS DE CASTRO ASSIS</t>
  </si>
  <si>
    <t>ISABELLA MARQUES DOS REIS</t>
  </si>
  <si>
    <t>JOAO LUCAS FAGUNDES VITAL</t>
  </si>
  <si>
    <t>PEDRO HENRIQUE MELO SOUSA</t>
  </si>
  <si>
    <t>CEU CEI MUN. PQ. VEREDAS - (TERCEI.)</t>
  </si>
  <si>
    <t>EMANUELLY SOPHIA RODRIGUES CATENA</t>
  </si>
  <si>
    <t>GABRIELA RODRIGUES CASTRO</t>
  </si>
  <si>
    <t>LORENA ROMANO SILVA</t>
  </si>
  <si>
    <t>Alergia a Peixe; Alergia a Chocolate/Cacau; Alergia a Carne Suina; Alergia a Fruta - Coco</t>
  </si>
  <si>
    <t>MANUELLA BRAZ DA SILVA</t>
  </si>
  <si>
    <t>MARIA CLARA FREIRE DE MENEZES</t>
  </si>
  <si>
    <t>Alergia a Ovo; Alergia a Proteína do Leite de Vaca; Alergia ao Trigo; Alergia a Hortifruti - Tomate; Alergia a Glúten</t>
  </si>
  <si>
    <t>SAMUEL FELIX PORTELA</t>
  </si>
  <si>
    <t>VALENTINA BALBINO FREITAS</t>
  </si>
  <si>
    <t>CEU CEI MUN. TRÊS PONTES - (TERCEI.)</t>
  </si>
  <si>
    <t>ELOA DOS SANTOS ARAUJO</t>
  </si>
  <si>
    <t>GABRIEL BATISTA FREIRE</t>
  </si>
  <si>
    <t>JOAO PEDRO NASCIMENTO GROPO</t>
  </si>
  <si>
    <t>LARYSSA OLIVEIRA FREITAS</t>
  </si>
  <si>
    <t>CEU EMEF MARIA CLARA MACHADO - VEREDAS - (TERCEI.)</t>
  </si>
  <si>
    <t>ABNER MOHAMMED DE OLIVEIRA CRUZ</t>
  </si>
  <si>
    <t>ANGELICA ALVES DOS SANTOS</t>
  </si>
  <si>
    <t>ARTHUR MULLER CORDEIRO DA SILVA</t>
  </si>
  <si>
    <t>CHARLES BONETTI FILHO</t>
  </si>
  <si>
    <t>DANIEL CEZAR DA SILVA</t>
  </si>
  <si>
    <t>GUSTAVO RAFAEL FERREIRA SILVA</t>
  </si>
  <si>
    <t>IASMIN AFONSO LIMA</t>
  </si>
  <si>
    <t>KIMBERLY RAFAELA FERREIRA SILVA</t>
  </si>
  <si>
    <t>LEONARDO DA SILVA FERREIRA</t>
  </si>
  <si>
    <t>CEU EMEF TRÊS PONTES - (TERCEI.)</t>
  </si>
  <si>
    <t>GIOVANNA DA SILVA MARIANO</t>
  </si>
  <si>
    <t>RAFAELLA GABRIELA LOUREANO SOUZA</t>
  </si>
  <si>
    <t>SARA DOS SANTOS DE OLIVEIRA</t>
  </si>
  <si>
    <t>CEU EMEF VL. CURUÇA - (TERCEI.)</t>
  </si>
  <si>
    <t>ADRYAN LUIZ PEREIRA DA COSTA</t>
  </si>
  <si>
    <t>ANA CLARA SOUTO DIONISIO</t>
  </si>
  <si>
    <t>BRENDON MARLEY ALVES SILVA</t>
  </si>
  <si>
    <t>GABRIEL DINIZ SILVA</t>
  </si>
  <si>
    <t>JOAO EMANUEL PEREIRA CASTRO</t>
  </si>
  <si>
    <t>LUCCA SANTOS AMANCIO</t>
  </si>
  <si>
    <t>MARIANA CONCEICAO MELO</t>
  </si>
  <si>
    <t>RAFAELA CAMPELO BARBOSA</t>
  </si>
  <si>
    <t>SABRINA DA PURIFICACAO</t>
  </si>
  <si>
    <t>STEPHANIE SILVA SANTOS</t>
  </si>
  <si>
    <t>CEU EMEI ANTON MAKARENKO - (TERCEI.)</t>
  </si>
  <si>
    <t>ALICY TELES SOUSA</t>
  </si>
  <si>
    <t>ANA CLARA MARCIANO DO NASCIMENTO</t>
  </si>
  <si>
    <t>BENJAMIN BARBOSA LOVISE DOS SANTOS</t>
  </si>
  <si>
    <t>EDUARDO VIEIRA MENDES</t>
  </si>
  <si>
    <t>Intolerância à Lactose; Intolerância Alimentar - Ovo; Alergia a Aveia</t>
  </si>
  <si>
    <t>GABRIEL LUIS DE SOUZA</t>
  </si>
  <si>
    <t>JESUS MIGUEL SEVERIANO DE CARVALHO</t>
  </si>
  <si>
    <t>LARISSA RODRIGUES SILVADE ALMEIDA</t>
  </si>
  <si>
    <t>LARYSSA SAMIRA DE SOUZA PEREIRA</t>
  </si>
  <si>
    <t>LAURA PEREIRA LIMA</t>
  </si>
  <si>
    <t>MARCOS HENRIQUE PEREIRA DA SILVA</t>
  </si>
  <si>
    <t>MAYRA TORRES DE OLIVEIRA</t>
  </si>
  <si>
    <t>CEU EMEI TRÊS PONTES - (TERCEI.)</t>
  </si>
  <si>
    <t>GEOVANA CRISTINY DOS SANTOS</t>
  </si>
  <si>
    <t>SAMYRA VITORIA GOMES SILVA</t>
  </si>
  <si>
    <t>WILLIAN FERREIRA FREITAS</t>
  </si>
  <si>
    <t>DANIEL FERREIRA DOS SANTOS</t>
  </si>
  <si>
    <t>Diabetes Mellitus; Alergia a Corantes; Alergia a Conservantes</t>
  </si>
  <si>
    <t>KAIO DO NASCIMENTO FERREIRA</t>
  </si>
  <si>
    <t>NATASHA KAUANI GONCALVES DE MESQUITA</t>
  </si>
  <si>
    <t>OLAVO LIMA DOS SANTOS</t>
  </si>
  <si>
    <t>EMEF ALM. PEDRO DE FRONTIN (TERC)</t>
  </si>
  <si>
    <t>BEATRIZ SAILY ALMEIDA SANTANA</t>
  </si>
  <si>
    <t>RAUL CESAR OLIVEIRA PINHEIRO</t>
  </si>
  <si>
    <t>EMEF ANTONIA E ARTHUR BEGBIE - (TERCEI.)</t>
  </si>
  <si>
    <t>ALAN DELON DA SILVA ALVES</t>
  </si>
  <si>
    <t>EDUARDO SANTANA SANTOS</t>
  </si>
  <si>
    <t>EMEF ARMANDO CRIDEY RIGHETTI - (TERCEI.)</t>
  </si>
  <si>
    <t>DANIELY BRANDAO VENANCIO</t>
  </si>
  <si>
    <t>LORENA MELO SOUZA</t>
  </si>
  <si>
    <t>Alergia a Ovo; Alergia a Proteína do Leite de Vaca; Alergia ao Trigo; Alergia a Glúten</t>
  </si>
  <si>
    <t>VITOR DIMAS ANDRADE</t>
  </si>
  <si>
    <t>WENDERSON DE OLIVEIRA TAVARES</t>
  </si>
  <si>
    <t>EMEF ARQ. LUIS SAIA - (TERCEI.)</t>
  </si>
  <si>
    <t>ALISON ABRAO OLIVEIRA NASCIMENTO</t>
  </si>
  <si>
    <t>EMEF CAPISTRANO DE ABREU (TERC)</t>
  </si>
  <si>
    <t>PEDRO MIRANDA DE FARIAS</t>
  </si>
  <si>
    <t>EMEF COM. VICENTE AMATO SOBR. - (TERCEI.)</t>
  </si>
  <si>
    <t>JULIANA GOMES DOS SANTOS</t>
  </si>
  <si>
    <t>MARILIA ROBERTA DOS SANTOS FERNANDES GUIMARAES</t>
  </si>
  <si>
    <t>EMEF D. PAULO ROLIM LOUREIRO - (TERCEI.)</t>
  </si>
  <si>
    <t>DANIEL SILVA PEREIRA</t>
  </si>
  <si>
    <t>ITALO ANDRADE DA SILVA</t>
  </si>
  <si>
    <t>JULIA VITORIA RODRIGUES DA SILVA</t>
  </si>
  <si>
    <t>EMEF DAMA ENTRE RIOS VERDES (TERCEI.)</t>
  </si>
  <si>
    <t>ARTHUR MAGALHAES CARDOSO LUZ</t>
  </si>
  <si>
    <t>EVELYN VITORIA DANTAS CLEMENTE</t>
  </si>
  <si>
    <t>HENRI PEREIRA DOS SANTOS</t>
  </si>
  <si>
    <t>WITORIA RODRIGUES LIMA</t>
  </si>
  <si>
    <t>YASMIN VITORIA SILVA DAS CHAGAS</t>
  </si>
  <si>
    <t>EMEF DR. HELLIO TAVARES - (TERCEI.)</t>
  </si>
  <si>
    <t>ANA CAROLINA RAMOS DA SILVA</t>
  </si>
  <si>
    <t>EMILLY VITORIA CARLOS FERNANDES</t>
  </si>
  <si>
    <t>PEDRO HENRIQUE RIBEIRO DA SILVA</t>
  </si>
  <si>
    <t>RICHARD BREDLEY ROMAO GODOY BUENO</t>
  </si>
  <si>
    <t>RYAN SOARES DA SILVA</t>
  </si>
  <si>
    <t>YURE GABRIEL BASTOS DA SILVA</t>
  </si>
  <si>
    <t>EMEF DR. JOÃO AUGUSTO BREVES - (TERCEI.)</t>
  </si>
  <si>
    <t>NICOLAS ALVES DOS SANTOS</t>
  </si>
  <si>
    <t>EMEF DR. JOSÉ PEDRO LEITE CORDEIRO (TERC)</t>
  </si>
  <si>
    <t>AGATHA SUENNY MOREIRA DA SILVA</t>
  </si>
  <si>
    <t>IGOR BATISTA SOUSA</t>
  </si>
  <si>
    <t>Alergia a Proteína do Leite de Vaca; Alergia ao Trigo; Alergia a Camarão</t>
  </si>
  <si>
    <t>MARIANNA SILVA GARCIA</t>
  </si>
  <si>
    <t>MARINA DE JESUS PEREIRA RIBEIRO</t>
  </si>
  <si>
    <t>WALISON DA COSTA RIBEIRO</t>
  </si>
  <si>
    <t>EMEF DR. PEDRO ALEIXO - (TERCEI.)</t>
  </si>
  <si>
    <t>ARTHUR CAIANA LEGRAMANDI</t>
  </si>
  <si>
    <t>Alergia a Ovo; Alergia a Proteína do Leite de Vaca; Hipertrigliceridemia; Intolerância à Lactose</t>
  </si>
  <si>
    <t>LAURA NAOMI DE MELO TERAMOTO</t>
  </si>
  <si>
    <t>Alergia a Corantes; Alergia a Fruta - Caju</t>
  </si>
  <si>
    <t>SAMIRA SILVA LOPES</t>
  </si>
  <si>
    <t>EMEF EUZÉBIO ROCHA FILHO - (TERCEI.)</t>
  </si>
  <si>
    <t>ANA LUIZA MENDONCA SANTOS</t>
  </si>
  <si>
    <t>BEATRIZ MARQUES MALDONADO</t>
  </si>
  <si>
    <t>Gastrite; Dieta Hipogordurosa</t>
  </si>
  <si>
    <t>FELIPE CARVALHO DA SILVA</t>
  </si>
  <si>
    <t>KAUA SOARES FERREIRA DA SILVA</t>
  </si>
  <si>
    <t>Alergia a Salsicha; Alergia a Chocolate/Cacau</t>
  </si>
  <si>
    <t>LAURA GABRIELLY MARQUES DA CRUZ</t>
  </si>
  <si>
    <t>EMEF GAL. NEWTON REIS - (TERCEI.)</t>
  </si>
  <si>
    <t>FRANCYELLI DOS SANTOS GUILHERME DIAS</t>
  </si>
  <si>
    <t>ISABELLY DE SOUSA CALIXTO</t>
  </si>
  <si>
    <t>JOAO FRANCISCO XAVIER NETO</t>
  </si>
  <si>
    <t>JOAO VICTOR MARIANO AMBROSIO DOS SANTOS</t>
  </si>
  <si>
    <t>JOAO VITOR NOGUEIRA NUNES</t>
  </si>
  <si>
    <t>LUIDY DA SILVA SANTIAGO</t>
  </si>
  <si>
    <t>MATHEUS PEREIRA DE FRANCA</t>
  </si>
  <si>
    <t>MILENA PERES DA SILVA FERREIRA</t>
  </si>
  <si>
    <t>PIETRO DE BRITO MIRANDA</t>
  </si>
  <si>
    <t>RHYAN MARQUES CARVALHO</t>
  </si>
  <si>
    <t>EMEF HENRIQUE FELIPE DA COSTA - HENRICÃO (TERC)</t>
  </si>
  <si>
    <t>CLARA RAMONA VIEIRA CAETANO</t>
  </si>
  <si>
    <t>ENRIQUE NOGUEIRA SILVA</t>
  </si>
  <si>
    <t>GABRIEL DA SILVA</t>
  </si>
  <si>
    <t>GUSTAVO OLIVEIRA DE LIMA</t>
  </si>
  <si>
    <t>KAUE MEDEIROS BALDUINO</t>
  </si>
  <si>
    <t>RENAN HENRIQUE EVANGELISTA BRITO</t>
  </si>
  <si>
    <t>VITORIA MOTA VIEIRA</t>
  </si>
  <si>
    <t>YASMIM OLIVEIRA ROCHA</t>
  </si>
  <si>
    <t>EMEF JARDIM BARTIRA (TERC)</t>
  </si>
  <si>
    <t>RONALD SANTANA DA SILVA</t>
  </si>
  <si>
    <t>EMEF JOSÉ HONÓRIO RODRIGUES (TERC)</t>
  </si>
  <si>
    <t>DEBORA FERREIRA PARRA</t>
  </si>
  <si>
    <t>Deficiência de Frutose 1,6 Difosfatase</t>
  </si>
  <si>
    <t>EVILLEN FERREIRA SANTANA</t>
  </si>
  <si>
    <t>GABRIEL GUIMARAES CARVALHO</t>
  </si>
  <si>
    <t>MARIA EDUARDA LIMA FERNANDES</t>
  </si>
  <si>
    <t>PEDRO HENRIQUE DOS SANTOS CAVALCANTE</t>
  </si>
  <si>
    <t>EMEF MD. MARIA IMILDA DO SSMO. SACRAMENTO - (TERCEI.)</t>
  </si>
  <si>
    <t>PEDRO ALVES DE OLIVEIRA NETO</t>
  </si>
  <si>
    <t>PEDRO MIRANDA RABELO</t>
  </si>
  <si>
    <t>STHEFANIE SELENA APARECIDA DOS SANTOS</t>
  </si>
  <si>
    <t>EMEF MURURÉS (TERC)</t>
  </si>
  <si>
    <t>GRAZIELA BARBOSA RAMOS</t>
  </si>
  <si>
    <t>MURILO FERREIRA RIBEIRO</t>
  </si>
  <si>
    <t>EMEF NEUZA AVELINO DA SILVA MELO (TERCEI.)</t>
  </si>
  <si>
    <t>DIOGO HIPOLITO SANTANA DE SOUZA</t>
  </si>
  <si>
    <t>Alergia a Ovo; Alergia a Proteína do Leite de Vaca; Alergia ao Trigo; Alergia a Corantes; Alergia a Frutos do Mar</t>
  </si>
  <si>
    <t>JANINE VITORIA DOS SANTOS FREITAS</t>
  </si>
  <si>
    <t>PEDRO LOPES DOS SANTOS</t>
  </si>
  <si>
    <t>EMEF PE. CHICO FALCONI (TERC)</t>
  </si>
  <si>
    <t>KAUAN CONCEICAO DE SANTANA</t>
  </si>
  <si>
    <t>EMEF PE. JOSÉ DE ANCHIETA (TERC)</t>
  </si>
  <si>
    <t>JULIANA DE SOUZA CALIXTO</t>
  </si>
  <si>
    <t>EMEF PE. NILDO DO AMARAL JR. (TERC)</t>
  </si>
  <si>
    <t>JULIA SILVA SANTOS</t>
  </si>
  <si>
    <t>EMEF PEDRO FUKUYEI YAMAGUCHI FERREIRA - ANTIG. EMEF FAVEIRA DO MATO (TERC).</t>
  </si>
  <si>
    <t>ANA JULIA LIMA SOUZA OLIVEIRA</t>
  </si>
  <si>
    <t>Alergia a Proteína do Leite de Vaca; Alergia a Corantes; Alergia a Conservantes; Alergia a Embutidos; Alergia a Enlatados</t>
  </si>
  <si>
    <t>EMEF PRES. EPITÁCIO PESSOA (TERC)</t>
  </si>
  <si>
    <t>ANDRE ABNER ZANIBONI</t>
  </si>
  <si>
    <t>AYSHA REBECA CAMPOS MACEDO BITENCOURT</t>
  </si>
  <si>
    <t>REBECA MIRELA DE OLIVEIRA PEREIRA</t>
  </si>
  <si>
    <t>YASMIN SANTOS OLIVEIRA</t>
  </si>
  <si>
    <t>Refluxo Gastroesofágico; Alergia a Fruta - Banana</t>
  </si>
  <si>
    <t>EMEF PROF. CARLOS PASQUALE - (TERCEI.)</t>
  </si>
  <si>
    <t>MARIANA CORDEIRO DA SILVA</t>
  </si>
  <si>
    <t>MIHAEL PANDOLFI</t>
  </si>
  <si>
    <t>PAULO HENRIQUE MACHELDEY DA SILVA</t>
  </si>
  <si>
    <t>Alergia a Proteína do Leite de Vaca; Alergia a Fruta - Melancia; Alergia a Fruta - Kiwi; Alergia a Fruta - Banana; Alergia a Fruta - Melão; Alergia a Fruta - Pêssego</t>
  </si>
  <si>
    <t>PIETRO SILVA SANTOS</t>
  </si>
  <si>
    <t>EMEF PROF. FERNANDO DE AZEVEDO (TERC)</t>
  </si>
  <si>
    <t>ALEXSANDER EZEQUIEL DA NOBREGA SALES</t>
  </si>
  <si>
    <t>THOMAS JAMES LOPES COSTA</t>
  </si>
  <si>
    <t>VITORIA GUIRRA PEREIRA</t>
  </si>
  <si>
    <t>EMEF PROF. FLÁVIO AUGUSTO ROSA -  (TERCEI.)</t>
  </si>
  <si>
    <t>OLYVER GOMES DE AZEVEDO SANTOS</t>
  </si>
  <si>
    <t>Alergia a Ovo; Alergia a Proteína do Leite de Vaca; Alergia ao Trigo; Alergia a Soja; Alergia a Hortifruti - Tomate; Alergia a Peixe; Alergia a Oleaginosas - Amendoim</t>
  </si>
  <si>
    <t>EMEF PROF. JOSÉ BENTO DE ASSIS - (TERCEI.)</t>
  </si>
  <si>
    <t>MOHAMMED YUNIS ROSARIO SANTOS</t>
  </si>
  <si>
    <t>Alergia a Corantes; Alergia a Camarão; Alergia a Peixe; Alergia a Carne Suina; Restrição à Guloseimas/Alimentos com Baixo Valor Nutricional</t>
  </si>
  <si>
    <t>EMEF PROF. JURANDI GOMES DE ARAUJO (TERCEI.)</t>
  </si>
  <si>
    <t>DAVI ANTONIO MANCANO DOS SANTOS</t>
  </si>
  <si>
    <t>EDUARDA ALVES RODRIGUES</t>
  </si>
  <si>
    <t>ESMAEL DA SILVA CAVALCANTE</t>
  </si>
  <si>
    <t>GUSTAVO CAPUCHO ORIVES</t>
  </si>
  <si>
    <t>JULIO CESAR DE ASSIS TENORIO</t>
  </si>
  <si>
    <t>MARIA EDUARDA MACEDO DA SILVA</t>
  </si>
  <si>
    <t>VICTORIA LOUISE DO NASCIMENTO FERNANDES</t>
  </si>
  <si>
    <t>EMEF PROFª IZABEL APARECIDA CRISTOVÃO DA LUZ (TERC)</t>
  </si>
  <si>
    <t>ADRIEL CARVALHO SILVA</t>
  </si>
  <si>
    <t>EMILLY FERREIRA LIRA</t>
  </si>
  <si>
    <t>Intolerância à Lactose; Intolerância Alimentar - Salsicha</t>
  </si>
  <si>
    <t>GABRIELY DA SILVA NASCIMENTO LIRA</t>
  </si>
  <si>
    <t>MATEUS DE SOUZA ALMEIDA</t>
  </si>
  <si>
    <t>EMEF PROFª JOSEFA NICACIO ARAUJO - (TERCEI.)</t>
  </si>
  <si>
    <t>ANANDA GABRIELLY SILVA TAVEIRA</t>
  </si>
  <si>
    <t>AUGUSTO DE LIMA ROGERIO SILVA</t>
  </si>
  <si>
    <t>FELIPE SILVA DE OLIVEIRA</t>
  </si>
  <si>
    <t>JULIANO DOS SANTOS BEZERRA DA SILVA</t>
  </si>
  <si>
    <t>LUCAS RODRIGUES DA SILVA</t>
  </si>
  <si>
    <t>MISAEL MARTINS GARCIA</t>
  </si>
  <si>
    <t>RAKELLE AYANE DE LIMA SILVA</t>
  </si>
  <si>
    <t>EMEF PROFA. WANDA OVÍDIO GONÇALVES - (TERCEI.)</t>
  </si>
  <si>
    <t>FELIPE RIBEIRO FEITOZA</t>
  </si>
  <si>
    <t>TANIA ESTEFANI CHOQUE MARTINEZ</t>
  </si>
  <si>
    <t>EMEF PROFº. JOSÉ MARIO PIRES AZANHA (TERC)</t>
  </si>
  <si>
    <t>MARIA GRAZIELLY VELOSO RIBEIRO</t>
  </si>
  <si>
    <t>EMEF RAIMUNDO CORREIA - (TERCEI.)</t>
  </si>
  <si>
    <t>EMANUELLY SOUTO GONCALVES</t>
  </si>
  <si>
    <t>JUAN SOARES TAVARES</t>
  </si>
  <si>
    <t>YASMIN SANTOS BARBOZA</t>
  </si>
  <si>
    <t>EMEF RAUL PILLA (TERC)</t>
  </si>
  <si>
    <t>JOSE RODRIGO PALUMBO BENTO</t>
  </si>
  <si>
    <t>RAPHAELA ALVES DE OLIVEIRA</t>
  </si>
  <si>
    <t>SARAH NOGUEIRA FERMINO SANTOS</t>
  </si>
  <si>
    <t>EMEF SEN. JOSÉ ERMIRIO DE MORAIS - (TERCEI.)</t>
  </si>
  <si>
    <t>ERIK FERREIRA DE OLIVEIRA</t>
  </si>
  <si>
    <t>Litíase Renal; Síndrome Nefrótica</t>
  </si>
  <si>
    <t>IAGO RODRIGUES LEONER</t>
  </si>
  <si>
    <t>ISABELLE EDUARDA DOS SANTOS NERY</t>
  </si>
  <si>
    <t>KAUA PIMENTEL DUARTE</t>
  </si>
  <si>
    <t>RAYNE APARECIDA DUARTE VIEIRA</t>
  </si>
  <si>
    <t>RHUAN FERREIRA CAJUHY</t>
  </si>
  <si>
    <t>SAULO WANDERLEI DOS SANTOS</t>
  </si>
  <si>
    <t>EMEF SEN. LINO DE MATTOS (TERC)</t>
  </si>
  <si>
    <t>DIEGO ALVES DOS SANTOS</t>
  </si>
  <si>
    <t>KAUA HENRIQUE SANTOS LARUSSA</t>
  </si>
  <si>
    <t>MARIA CLARA DUARTE LIMA</t>
  </si>
  <si>
    <t>EMEF SUD MENNUCCI (TERC)</t>
  </si>
  <si>
    <t>KAYKY LOPES LIMA</t>
  </si>
  <si>
    <t>MARIANA APARECIDA DE OLIVEIRA BARBOSA</t>
  </si>
  <si>
    <t>ANNA JULIA DA CRUZ DOS SANTOS</t>
  </si>
  <si>
    <t>ANNA VICTORIA CRUZ DOS SANTOS</t>
  </si>
  <si>
    <t>Dislipidemia; Deficiência de Vitaminas e Minerais</t>
  </si>
  <si>
    <t>JUAN GUILHERME MARTINS COSTA</t>
  </si>
  <si>
    <t>EMEF VIRGILIO DE MELLO FRANCO - (TERCEI.)</t>
  </si>
  <si>
    <t>ANA CLARA TENORIO DA SILVA</t>
  </si>
  <si>
    <t>SABRINA CRISTINA SILVA</t>
  </si>
  <si>
    <t>WANDERSON ALMEIDA DE CAMPOS</t>
  </si>
  <si>
    <t>EMEFM DARCY RIBEIRO (TERC)</t>
  </si>
  <si>
    <t>GABRIELLE DE REZENDE SOUZA</t>
  </si>
  <si>
    <t>GUSTAVO DE REZENDE SOUZA</t>
  </si>
  <si>
    <t>LETICIA LACERDA VELOSO</t>
  </si>
  <si>
    <t>MATHEUS MERLIM COSTA DA SILVA</t>
  </si>
  <si>
    <t>Alergia a Ovo; Alergia a Proteína do Leite de Vaca; Alergia a Peixe; Alergia a Oleaginosas - Amendoim; Alergia a Oleaginosas - Amêndoa; Alergia a Fruta - Coco</t>
  </si>
  <si>
    <t>MATHEUS VIDAL DE JESUS</t>
  </si>
  <si>
    <t>YASMIN VITORIA GOMES DE CARVALHO</t>
  </si>
  <si>
    <t>Hipercolesterolemia; Acidose Metabólica</t>
  </si>
  <si>
    <t>EMEI AFRÂNIO PEIXOTO (TERC)</t>
  </si>
  <si>
    <t>ARTHUR VIEIRA SANTOS</t>
  </si>
  <si>
    <t>Alergia ao Trigo; Alergia a Carne Suina</t>
  </si>
  <si>
    <t>LEONARDO DE AZEVEDO SANTOS ARAUJO</t>
  </si>
  <si>
    <t>EMEI ANTONIO LAPENNA (TERC)</t>
  </si>
  <si>
    <t>EMEI APARECIDA DE LOURDES CARRILHO JD. (TERC)</t>
  </si>
  <si>
    <t>ANA LUIZA LIMA DE JESUS</t>
  </si>
  <si>
    <t>Alergia a Ovo; Alergia a Camarão; Alergia a Peixe; Alergia a Frutos do Mar</t>
  </si>
  <si>
    <t>DOUGLAS BOCCHI FERREIRA</t>
  </si>
  <si>
    <t>FERNANDA SANTOS MOURA</t>
  </si>
  <si>
    <t>LUCAS FELIPE CASTRO BADIM</t>
  </si>
  <si>
    <t>RAFAELLA SILVA LEITE</t>
  </si>
  <si>
    <t>EMEI CAP. ALBERTO MENDES JR. (TERC)</t>
  </si>
  <si>
    <t>ANA JULIA SANTANA DOS SANTOS</t>
  </si>
  <si>
    <t>DIEGO SOUZA MARINHO</t>
  </si>
  <si>
    <t>HYAGO GABRIEL DA CUNHA ANDRADE</t>
  </si>
  <si>
    <t>EMEI CLEMÊNCIA FERREIRA DA SILVA (TERC)</t>
  </si>
  <si>
    <t>DERIC CARDOSO DE JESUS</t>
  </si>
  <si>
    <t>Intolerância Alimentar - Ovo; Intolerância Alimentar - Leite e/ou Derivados do Leite</t>
  </si>
  <si>
    <t>PEDRO HENRIQUE JESUS DOS SANTOS</t>
  </si>
  <si>
    <t>EMEI DILSON FUNARO - (TERCEI.)</t>
  </si>
  <si>
    <t>EMEI DR. ANTONIO ROBERTO ALVES BRAGA - (TERCEI.)</t>
  </si>
  <si>
    <t>FELYPE ALMEIDA MACEDO</t>
  </si>
  <si>
    <t>Alergia a Ovo; Alergia a Proteína do Leite de Vaca; Alergia ao Trigo; Alergia a Soja; Alergia a Oleaginosas - Amendoim; Alergia a Glúten</t>
  </si>
  <si>
    <t>MARIA ELOISA ALVES GARBUGLO</t>
  </si>
  <si>
    <t>EMEI DR. FAUSTO RIBEIRO DA SILVA (TERC)</t>
  </si>
  <si>
    <t>ARTHUR BARROS DE FREITAS</t>
  </si>
  <si>
    <t>BRUNO HENRIQUE TENORIO SILVA</t>
  </si>
  <si>
    <t>GABRIEL DOS SANTOS JACINTO</t>
  </si>
  <si>
    <t>SOFIA LORRAYNE FRANCA DE CARVALHO</t>
  </si>
  <si>
    <t>EMEI ENG. ALDO GIANINI (TERC)</t>
  </si>
  <si>
    <t>ALERRANDRO COSTA SOUZA</t>
  </si>
  <si>
    <t>ELIZABETH SILVA SANTOS</t>
  </si>
  <si>
    <t>Alergia a Ovo; Alergia a Proteína do Leite de Vaca; Alergia a Soja; Alergia a Oleaginosas - Amendoim; Alergia a Glúten</t>
  </si>
  <si>
    <t>JONAS RAFAEL BARBOSA ARAUJO</t>
  </si>
  <si>
    <t>Alergia a Ovo; Alergia a Proteína do Leite de Vaca; Alergia a Fruta - Laranja pera; Alergia a Fruta - Limão; Alergia a Glúten</t>
  </si>
  <si>
    <t>JULIA CORREIA TEIXEIRA</t>
  </si>
  <si>
    <t>EMEI EPITÁCIO PESSOA - (TERCEI.)</t>
  </si>
  <si>
    <t>EMILY APARECIDA DA ROCHA</t>
  </si>
  <si>
    <t>MELYSSA DA SILVA DE ALMEIDA</t>
  </si>
  <si>
    <t>EMEI GLOBO DO SOL - (TERCEI.)</t>
  </si>
  <si>
    <t>MIGUEL HENRIQUE SILVEIRA TEOFILO</t>
  </si>
  <si>
    <t>EMEI GRACILIANO RAMOS - (TERCEI.)</t>
  </si>
  <si>
    <t>YASMIM DIAS SABINO</t>
  </si>
  <si>
    <t>EMEI J.G. DE ARAÚJO JORGE - (TERCEI.)</t>
  </si>
  <si>
    <t>ABNER DANTON DANTAS GARGE</t>
  </si>
  <si>
    <t>EDUARDO SANTANA FERNANDES</t>
  </si>
  <si>
    <t>Alergia a Proteína do Leite de Vaca; Hipertrigliceridemia</t>
  </si>
  <si>
    <t>HELENA ANDRADE DA SILVA</t>
  </si>
  <si>
    <t>MATEUS MATOS DE JESUS</t>
  </si>
  <si>
    <t>EMEI JD. PEDRO JOSÉ NUNES - (TERCEI.)</t>
  </si>
  <si>
    <t>ENZO FRANCISCO BODNARIUC</t>
  </si>
  <si>
    <t>LUCAS GABRIEL FERREIRA GOMES</t>
  </si>
  <si>
    <t>MIGUEL DOS REIS GASPARINO</t>
  </si>
  <si>
    <t>RAFAELA NUNES COSTA</t>
  </si>
  <si>
    <t>Alergia a Ovo; Alergia a Proteína do Leite de Vaca; Alergia a Soja; Alergia a Oleaginosas - Amendoim; Alergia a Hortifruti - Milho
Alergia a Milho</t>
  </si>
  <si>
    <t>REBECA REIS MARQUES</t>
  </si>
  <si>
    <t>SAMUEL FRADE PARENTE</t>
  </si>
  <si>
    <t>EMEI JOSÉ DE ALENCAR - (TERCEI.)</t>
  </si>
  <si>
    <t>DORIAN RALF ROHDEN DE SENA</t>
  </si>
  <si>
    <t>Intolerância Alimentar a Fruta - Uva</t>
  </si>
  <si>
    <t>GIOVANNA DA SILVA OLIVEIRA</t>
  </si>
  <si>
    <t>EMEI LEILA DINIZ (TERC)</t>
  </si>
  <si>
    <t>ENZO HENRIQUE MEDEIROS</t>
  </si>
  <si>
    <t>EMEI LOURO ROSA (TERC)</t>
  </si>
  <si>
    <t>ISAQUE TEIXEIRA ELIAS</t>
  </si>
  <si>
    <t>EMEI LUIZA HELENA DE BARROS - (TERCEI.)</t>
  </si>
  <si>
    <t>JOAO PEDRO ALEXANDRE DA SILVA</t>
  </si>
  <si>
    <t>LEONAM GONCALVES FRANCA</t>
  </si>
  <si>
    <t>Anemia Falciforme; Desnutrição</t>
  </si>
  <si>
    <t>PEDRO HENRIQUE SANTOS NASCIMENTO</t>
  </si>
  <si>
    <t>SAMUEL SILVA BARBOZA DOS SANTOS</t>
  </si>
  <si>
    <t>EMEI MARIA QUITÉRIA (TERC.)</t>
  </si>
  <si>
    <t>Intolerância ao Glúten</t>
  </si>
  <si>
    <t>SARA SILVA SAMPAIO</t>
  </si>
  <si>
    <t>EMEI MARISA LOPES PINHEIRO, PROFº (TERC) (ANTIGA EMEI CDHU ITAIM -A)</t>
  </si>
  <si>
    <t>Intolerância à Lactose; Alergia a Chocolate/Cacau</t>
  </si>
  <si>
    <t>MARIA EDUARDA RODRIGUES DA SILVA</t>
  </si>
  <si>
    <t>EMEI MIN. ALIOMAR BALEEIRO - (TERCEI.)</t>
  </si>
  <si>
    <t>MAYARA FIGUEIREDO SANTOS</t>
  </si>
  <si>
    <t>PIETRO ARAUJO RIBEIRO</t>
  </si>
  <si>
    <t>SALOMAO ASAFE SOARES ALMEIDA</t>
  </si>
  <si>
    <t>EMEI OVIDIO DECROLY(TERC.)</t>
  </si>
  <si>
    <t>ANA JULIA SOARES DE ANDRADE BATISTA</t>
  </si>
  <si>
    <t>CELSO EDUARDO RAMOS LUIS</t>
  </si>
  <si>
    <t>ESTHER DAMARES DE GODOY BARA</t>
  </si>
  <si>
    <t>PEDRO LUCCA DE PAULA CARDOSO DOS SANTOS</t>
  </si>
  <si>
    <t>EMEI PARQUE SANTA RITA I (TERC.)</t>
  </si>
  <si>
    <t>ANA CLARA DA SILVA SANTOS</t>
  </si>
  <si>
    <t>GUILHERME OLIVEIRA DOS SANTOS</t>
  </si>
  <si>
    <t>EMEI PRES. TANCREDO NEVES - (TERCEI.)</t>
  </si>
  <si>
    <t>EMEI PROF. DALMO AMARAL MACHADO - ITAIM PAULISTA - (TERCEI.)</t>
  </si>
  <si>
    <t>FILIPE HENRIQUE DA SILVA RIBEIRO</t>
  </si>
  <si>
    <t>EMEI PROFA. CÉLIA RIBEIRO LANDIM (TERC)</t>
  </si>
  <si>
    <t>AMANDA DE LIMA REIS</t>
  </si>
  <si>
    <t>FÁBIO GABRIEL SILVA SANTANA DA CRUZ</t>
  </si>
  <si>
    <t>JOAO PEDRO DOS SANTOS VASCONCELOS</t>
  </si>
  <si>
    <t>Alergia a Ovo; Alergia a Proteína do Leite de Vaca; Alergia ao Trigo; Alergia a Soja; Alergia a Hortifruti - Tomate; Alergia a Oleaginosas - Amendoim; Alergia a Glúten</t>
  </si>
  <si>
    <t>EMEI PROFA. DORACIL DINA BENÍCIO (TERC)</t>
  </si>
  <si>
    <t>ANA BEATRIZ SANTOS DE SANTANA</t>
  </si>
  <si>
    <t>JHULLY EMILLY ALVES LIMA PAIVA</t>
  </si>
  <si>
    <t>Alergia a Ovo; Alergia a Proteína do Leite de Vaca; Alergia a Corantes; Alergia a Carne Suina; Alergia a Glúten</t>
  </si>
  <si>
    <t>EMEI PROFA. EDI GREENFIELD - (TERCEI.)</t>
  </si>
  <si>
    <t>DAVI VIEIRA BARBOSA</t>
  </si>
  <si>
    <t>FABRICIO PEREIRA DE CARVALHO</t>
  </si>
  <si>
    <t>EMEI PROFA. HELENA DE PAULA MARIN - (TERCEI.)</t>
  </si>
  <si>
    <t>RYCHARD FLORENCIO ALVARENGA</t>
  </si>
  <si>
    <t>EMEI PROFA. LAURA DA CONCEIÇÃO PEREIRA QUINTAES - (TERCEI.)</t>
  </si>
  <si>
    <t>LIVIA MENDES DA SILVA</t>
  </si>
  <si>
    <t>RENE FABIANO NASCIMENTO RIBEIRO DOS SANTOS</t>
  </si>
  <si>
    <t>Alergia a Fruta - Abacate; Alergia a Hortifruti - Tomate; Alergia a Peixe; Alergia a Fruta - Kiwi; Alergia a Fruta - Banana; Alergia a Fruta - Pêssego</t>
  </si>
  <si>
    <t>EMEI PROFA. MARIA DA CONCEIÇÃO VIEIRA PEREIRA (TERC.)</t>
  </si>
  <si>
    <t>MAYCON LUCAS DA SILVA</t>
  </si>
  <si>
    <t>EMEI PROFA. MARIA DA LUZ SILVA DE OLIVEIRA - (TERCEI.)</t>
  </si>
  <si>
    <t>CARLOS EDUARDO MARCELINO</t>
  </si>
  <si>
    <t>EMEI PROFA. SEBASTIANA DE ARRUDA CRUZ OLIVEIRA (TERCEI.)</t>
  </si>
  <si>
    <t>EMEI PROFA. VALENTINA ANTONINI DA SILVA - (TERCEI.)</t>
  </si>
  <si>
    <t>LUDMYLA CHRISTINA RODRIGUES MACHADO</t>
  </si>
  <si>
    <t>EMEI PROFA. YOLANDA BASSI - (TERCEI.)</t>
  </si>
  <si>
    <t>ANA JULIA DA SILVA FELIX</t>
  </si>
  <si>
    <t>EMEI UNIÃO DE VL. NOVA I (TERCEI.)</t>
  </si>
  <si>
    <t>CAIO KENNEDY RODRIGUES VIEIRA</t>
  </si>
  <si>
    <t>LUANA VITORIA DOS SANTOS CAMPO</t>
  </si>
  <si>
    <t>CCI SECRETARIA DE SERVIÇOS E OBRAS (TERC.)</t>
  </si>
  <si>
    <t>PE</t>
  </si>
  <si>
    <t>LAVINIA DA SILVA BATISTA</t>
  </si>
  <si>
    <t>Flatulência</t>
  </si>
  <si>
    <t>VALENTINA BELO FREITAS</t>
  </si>
  <si>
    <t>CEI MUN. AMÉRICO DE SOUZA - (TERCEI.)</t>
  </si>
  <si>
    <t>ANA LIVIA ALVES ARAUJO</t>
  </si>
  <si>
    <t>GABRIEL FELIPE ALVES</t>
  </si>
  <si>
    <t>MIRELLA LIMA SANTOS</t>
  </si>
  <si>
    <t>CEI MUN. ANA FLORÊNCIO ROMÃO</t>
  </si>
  <si>
    <t>HENRIQUE NOGUEIRA MENDES TEIXEIRA GONCALVES</t>
  </si>
  <si>
    <t>CEI MUN. ANTONIA MARIA TORRES DA SILVA</t>
  </si>
  <si>
    <t>ARTHUR ROSA DO AMARAL</t>
  </si>
  <si>
    <t>HEITOR ANTUNES TEIXEIRA</t>
  </si>
  <si>
    <t>CEI MUN. DA PENHA (TERC)</t>
  </si>
  <si>
    <t>CEI MUN. DRA. ZILDA ARNS NEUMANN</t>
  </si>
  <si>
    <t>ARTHUR CAMPANELLI VICENTE PILOTO</t>
  </si>
  <si>
    <t>LARISSA DE SOUZA SIQUEIRA</t>
  </si>
  <si>
    <t>LUDIMILLA SOUZA DE JESUS</t>
  </si>
  <si>
    <t>CEI MUN. EDNA ROSELI ALVES - (TERCEI.)</t>
  </si>
  <si>
    <t>FERNANDA ATANAZIO MANENTI</t>
  </si>
  <si>
    <t>ISABELLY CRISTINE VIEIRA FERREIRA</t>
  </si>
  <si>
    <t>LUARA SOTTO ALVES</t>
  </si>
  <si>
    <t>Intolerância à Lactose; Alergia a Fruta - Variadas; Alergia a Fruta - Laranja pera; Alergia a Fruta - Morango</t>
  </si>
  <si>
    <t>MANUELLA CAMPOS DA SILVA</t>
  </si>
  <si>
    <t>VALENTINA MACEDO BERNARDO</t>
  </si>
  <si>
    <t>CEI MUN. JD. COTINHA (TERC)</t>
  </si>
  <si>
    <t>ANGELINA NASCIMENTO MAGALHAES BORGES</t>
  </si>
  <si>
    <t>CHRISTOPHER RIQUELME MATOS BRAZ</t>
  </si>
  <si>
    <t>LAVINIA JULIA SANTOS RIBEIRO</t>
  </si>
  <si>
    <t>CEI MUN. JD. HERCÍLIA</t>
  </si>
  <si>
    <t>PABLO ANDREOLI NUNES</t>
  </si>
  <si>
    <t>CEI MUN. JD. MATARAZZO - (TERCEI.)</t>
  </si>
  <si>
    <t>CEI MUN. JD. POPULAR - (TERCEI.)</t>
  </si>
  <si>
    <t>GABRIELLE FACINA SOUZA E SILVA</t>
  </si>
  <si>
    <t>TEO SILVA LEAL</t>
  </si>
  <si>
    <t>CEI MUN. JD. TRÊS MARIAS</t>
  </si>
  <si>
    <t>HELENA ROSA GAYA DO NASCIMENTO</t>
  </si>
  <si>
    <t>MANUELLA DOS SANTOS DANTAS</t>
  </si>
  <si>
    <t>SAMUEL WATH DANTAS DE JESUS SILVA</t>
  </si>
  <si>
    <t>VITOR FERNANDO NUNES LIMA SIGLIANI</t>
  </si>
  <si>
    <t>VITORIA GOMES PEREIRA DA SILVA</t>
  </si>
  <si>
    <t>CEI MUN. MARIA DA GLÓRIA FREIRE LEMOS</t>
  </si>
  <si>
    <t>ELISA ARCANJO DE BRITO</t>
  </si>
  <si>
    <t>LORENA FERREIRA BATISTA</t>
  </si>
  <si>
    <t>MURILLO MEDEIROS DE ARAUJO REIS</t>
  </si>
  <si>
    <t>YAGO DANIEL SOUZA SANCHEZ</t>
  </si>
  <si>
    <t>CEI MUN. MARIO CALDANA - (TERCEI.)</t>
  </si>
  <si>
    <t>LETICIA SANTANA DOS SANTOS</t>
  </si>
  <si>
    <t>CEI MUN. PE. MANOEL DE NOBREGA (TERC)</t>
  </si>
  <si>
    <t>GABRIEL COSTA MAIA</t>
  </si>
  <si>
    <t>MIRELLA APARECIDA LOYOLA SAMPAIO</t>
  </si>
  <si>
    <t>THEO MOURA RIBEIRO</t>
  </si>
  <si>
    <t>VALENTINA VITORIA LOYOLA SAMPAIO</t>
  </si>
  <si>
    <t>YAN LUCCA ROCHA DO NASCIMENTO</t>
  </si>
  <si>
    <t>Alergia a Ovo; Alergia a Proteína do Leite de Vaca; Alergia ao Trigo; Alergia a Soja; Alergia a Peixe; Alergia a Oleaginosas - Amendoim</t>
  </si>
  <si>
    <t>CEI MUN. PE. MATHIAS B. GONZALEZ - JD. BANDEIRANTES - (TERCEI.)</t>
  </si>
  <si>
    <t>GUSTAVO GVISDALA MESSICI</t>
  </si>
  <si>
    <t>ISABELLY SOARES ALMEIDA BARBOSA</t>
  </si>
  <si>
    <t>JAYLLY FRANCISCA CARVALHO RODRIGUES</t>
  </si>
  <si>
    <t>MURILO RODRIGUES RIBEIRO</t>
  </si>
  <si>
    <t>CEI MUN. PQ. BOTURUSSU - (TERCEI.)</t>
  </si>
  <si>
    <t>HEITOR AUGUSTO SALINA LUZ</t>
  </si>
  <si>
    <t>Alergia a Carne Suina; Alergia a Carne Bovina</t>
  </si>
  <si>
    <t>PEDRO DUARTE DA COSTA SOUSA</t>
  </si>
  <si>
    <t>CEI MUN. PQ. DAS PAINEIRAS (TERC)</t>
  </si>
  <si>
    <t>ALLYCE LAWRENNCY DA SILVA COSTA</t>
  </si>
  <si>
    <t>DAVI OLIVEIRA KAIDA MENDES</t>
  </si>
  <si>
    <t>CEI MUN. PROFA. ABGAIL DA ROCHA MORENO - ARTUR ALVIM</t>
  </si>
  <si>
    <t>ELOISA BRASIL DA SILVA</t>
  </si>
  <si>
    <t>LAURA GOMES DO ROSARIO</t>
  </si>
  <si>
    <t>CEI MUN. SAMIR RACHID SALIBA</t>
  </si>
  <si>
    <t>GABRIEL BASILIO DE PAULA</t>
  </si>
  <si>
    <t>PEDRO CABALIN ALMADA</t>
  </si>
  <si>
    <t>CEI MUN. SÃO LUIZ (TERC)</t>
  </si>
  <si>
    <t>ARTHUR CANDIDO DE OLIVEIRA</t>
  </si>
  <si>
    <t>LAURA FERREIRA BARION</t>
  </si>
  <si>
    <t>NICOLAS HENRIQUE NASCIMENTO DA SILVA</t>
  </si>
  <si>
    <t>CEI MUN. VER. NAZIR MIGUEL (TERC)</t>
  </si>
  <si>
    <t>BRUNO BARROS DA SILVA</t>
  </si>
  <si>
    <t>GUSTAVO DE LUCAS RIBEIRO LIMA</t>
  </si>
  <si>
    <t>CEI MUN. VL. CONSTÂNCIA - (TERCEI.)</t>
  </si>
  <si>
    <t>YURI FURUKAWA PRATA</t>
  </si>
  <si>
    <t>CEI MUN. VL. LIBANESA (TERC)</t>
  </si>
  <si>
    <t>MARIANA ALVES FRANCELINO</t>
  </si>
  <si>
    <t>CEI MUN. VL. SALETE - (TERCEI.)</t>
  </si>
  <si>
    <t>CEI MUN. VL. SÃO FRANCISCO</t>
  </si>
  <si>
    <t>LUCAS GABRIEL ROQUE RUIZ</t>
  </si>
  <si>
    <t>PIETRA VITORIA SILVA BUENO</t>
  </si>
  <si>
    <t>CEI PROF. WALTER DE ANDRADE - (TERCEI.)</t>
  </si>
  <si>
    <t>HENRIQUE DA COSTA DATOVO ARANDAS</t>
  </si>
  <si>
    <t>CEU CEI MUN. QUINTA DO SOL - (TERCEI.)</t>
  </si>
  <si>
    <t>EDUARDO MACEDO CRUPI</t>
  </si>
  <si>
    <t>CEU EMEF PROF. ANTONIO CARLOS ROCHA - (TERCEI.)</t>
  </si>
  <si>
    <t>EDUARDO LUSTOSA ALBUQUERQUE</t>
  </si>
  <si>
    <t>RAFAEL FRANCISCO RAMOS</t>
  </si>
  <si>
    <t>CEU EMEF PROFA. ROSANGELA RODRIGUES VIEIRA - (TERCEI.)</t>
  </si>
  <si>
    <t>GUILHERME AUGUSTO DA SILVA ALVES</t>
  </si>
  <si>
    <t>LEONARDO HIDEKY UCHINO MARQUES PEREIRA</t>
  </si>
  <si>
    <t>CEU EMEI BRAZ JAIME ROMANO - (TERCEI.)</t>
  </si>
  <si>
    <t>ANTONIELLI DIOGO VIANA</t>
  </si>
  <si>
    <t>BEATRIZ FERREIRA DE GUSMAO</t>
  </si>
  <si>
    <t>CLARICE OHNMACHT DE SOUZA</t>
  </si>
  <si>
    <t>CLEITON GABRIEL RODRIGUES LEITE MONTEIRO</t>
  </si>
  <si>
    <t>ENZO MIGUEL DA SILVA QUEROZ</t>
  </si>
  <si>
    <t>GUILHERME AMORIM BERNARDO</t>
  </si>
  <si>
    <t>JOSE OTAVIO RIBAS DE SOUZA</t>
  </si>
  <si>
    <t>JULIA DOS SANTOS FREIRE</t>
  </si>
  <si>
    <t>MARIA EDUARDA MOREIRA BRITO</t>
  </si>
  <si>
    <t>RAFAEL FUMIO BARROS KANAZAVA</t>
  </si>
  <si>
    <t>EMEBS PROFA. NEUSA BASSETTO - (TERCEI.)</t>
  </si>
  <si>
    <t>ERICK DOS SANTOS MUSSOLINI</t>
  </si>
  <si>
    <t>ESTEVAO DE SA PEREIRA</t>
  </si>
  <si>
    <t>GUSTHAVO WILLIAM PEREIRA DA SILVA</t>
  </si>
  <si>
    <t>INGRID APARECIDA BATISTA PEREIRA</t>
  </si>
  <si>
    <t>Síndrome de Bartter</t>
  </si>
  <si>
    <t>MURILO PAULO CORREA</t>
  </si>
  <si>
    <t>EMEF 19 DE NOVEMBRO (TERC)</t>
  </si>
  <si>
    <t>AMANDA FERNANDES CONCEICAO</t>
  </si>
  <si>
    <t>KAUE DAVID TEOFILO</t>
  </si>
  <si>
    <t>EMEF AMADEU AMARAL (TERC)</t>
  </si>
  <si>
    <t>RACHEL SANTIAGO GOMES DE OLIVEIRA</t>
  </si>
  <si>
    <t>EMEF ANÁLIA FRANCO BASTOS - (TERCEI.)</t>
  </si>
  <si>
    <t>JOAO PEDRO BARROS RODRIGUES</t>
  </si>
  <si>
    <t>EMEF ARTHUR ALVIM (TERC)</t>
  </si>
  <si>
    <t>ISAAC WALLACE ASSIS DOS SANTOS</t>
  </si>
  <si>
    <t>PAOLA SOUZA CUNHA</t>
  </si>
  <si>
    <t>SOPHIA CRISTINA ALVES DE BRITO</t>
  </si>
  <si>
    <t>EMEF ASSAD ABDALA - (TERCEI.)</t>
  </si>
  <si>
    <t>ARTHUR CAMARGO MARQUES DA SILVA</t>
  </si>
  <si>
    <t>JULIANA SOUZA NOVAIS</t>
  </si>
  <si>
    <t>PEDRO LIMA CALLEGARI PRADO</t>
  </si>
  <si>
    <t>Intolerância à Lactose; Alergia a Frango; Intolerância Alimentar - Embutidos; Intolerância Alimentar - Corantes</t>
  </si>
  <si>
    <t>VINICIUS RODRIGUES DOS SANTOS</t>
  </si>
  <si>
    <t>EMEF CECÍLIA MEIRELES - (TERCEI.)</t>
  </si>
  <si>
    <t>HADONAY ANTONIO RODRIGUES DAMIAO</t>
  </si>
  <si>
    <t>JULIA PEREIRA DOS SANTOS ROSA</t>
  </si>
  <si>
    <t>KAUA NOGUEIRA MARTINS</t>
  </si>
  <si>
    <t>MURILO WILSON BARBOSA FONSECA</t>
  </si>
  <si>
    <t>PEDRO HENRIQUE DOS SANTOS</t>
  </si>
  <si>
    <t>TALITA INAE FIASCO LOFFREDA</t>
  </si>
  <si>
    <t>Hipercolesterolemia; Síndrome de Pradder Willi</t>
  </si>
  <si>
    <t>VINICIUS DIAS CEZAR DE OLIVEIRA</t>
  </si>
  <si>
    <t>EMEF DEP. JANUÁRIO MANTELLI NETO - (TERCEI.)</t>
  </si>
  <si>
    <t>ALINE CAROLINE PEREIRA LIMA</t>
  </si>
  <si>
    <t>DAVID HAVID CHAVES PEREIRA</t>
  </si>
  <si>
    <t>EDUARDO BEZERRA DA SILVA</t>
  </si>
  <si>
    <t>ISABELLY MARQUES RODRIGUES</t>
  </si>
  <si>
    <t>LEONARDO NUNES IZIDIO</t>
  </si>
  <si>
    <t>NICOLE SANTOS DE MOURA</t>
  </si>
  <si>
    <t>PEDRO PAZ DE ALBUQUERQUE</t>
  </si>
  <si>
    <t>EMEF DNA. JENNY GOMES (TERC)</t>
  </si>
  <si>
    <t>MIGUEL ANTONIO COUTINHO NASCIMENTO</t>
  </si>
  <si>
    <t>EMEF DR. FÁBIO DA SILVA PRADO - (TERCEI.)</t>
  </si>
  <si>
    <t>LUAN VICTOR FERREIRA DOS REIS SANTOS</t>
  </si>
  <si>
    <t>EMEF EDGARD CAVALHEIRO (TERC.)</t>
  </si>
  <si>
    <t>HELENA DE JESUS SANTOS</t>
  </si>
  <si>
    <t>EMEF FIRMINO TIBURCIO DA COSTA (TERC)</t>
  </si>
  <si>
    <t>ANA CLARA BRITO DA SILVA</t>
  </si>
  <si>
    <t>ANTONIO CARLOS RIBEIRO DA SILVA SANTOS</t>
  </si>
  <si>
    <t>Hiperglicemia; Sobrepeso e Obesidade</t>
  </si>
  <si>
    <t>CAUA BERLLINI DELLA LATTA</t>
  </si>
  <si>
    <t>GABRIELLE SANTOS SANCHES</t>
  </si>
  <si>
    <t>STEPHANY MONTEIRO RAYMUNDO</t>
  </si>
  <si>
    <t>EMEF FR. FRANCISCO DE MONT'ALVERNE - (TERCEI.)</t>
  </si>
  <si>
    <t>Intolerância à Frutose</t>
  </si>
  <si>
    <t>RAFAEL HONORATO DE SOUZA</t>
  </si>
  <si>
    <t>EMEF GAL. OTHELO FRANCO (TERC)</t>
  </si>
  <si>
    <t>NATA ALVES LINS RIVOIRO</t>
  </si>
  <si>
    <t>EMEF GUILHERME DE ALMEIDA (TERC)</t>
  </si>
  <si>
    <t>DAVI LOBO DE CARVALHO</t>
  </si>
  <si>
    <t>THIAGO MENEZES VIANA</t>
  </si>
  <si>
    <t>EMEF HUMBERTO DE CAMPOS - (TERCEI.)</t>
  </si>
  <si>
    <t>AGATHA MELO SANTOS</t>
  </si>
  <si>
    <t>NATHALY CAVALCANTE DA SILVA FERMINO</t>
  </si>
  <si>
    <t>RUAN RODRIGUES</t>
  </si>
  <si>
    <t>EMEF INFANTE D. HENRIQUE - (TERCEI.)</t>
  </si>
  <si>
    <t>ALEX COSTA DE ALMEIDA</t>
  </si>
  <si>
    <t>ANTONIELLY COSTA DE ALMEIDA</t>
  </si>
  <si>
    <t>BRUNA BARBOSA DE SOUSA</t>
  </si>
  <si>
    <t>HENZO LUCIANO FERREIRA SANTOS</t>
  </si>
  <si>
    <t>EMEF JACKSON DE FIGUEIREDO - (TERCEI.)</t>
  </si>
  <si>
    <t>GUSTAVO CAMPOS VILA</t>
  </si>
  <si>
    <t>Intolerância Alimentar - Corantes</t>
  </si>
  <si>
    <t>JULYA DE SOUSA SILVA</t>
  </si>
  <si>
    <t>LOUISE VITORIA DE SALES BARBOSA RODRIGUES</t>
  </si>
  <si>
    <t>EMEF JOSÉ BONIFÁCIO (TERC)</t>
  </si>
  <si>
    <t>CAUE CHAMLET LIMA</t>
  </si>
  <si>
    <t>PIETRO GOMES ZINETTI</t>
  </si>
  <si>
    <t>EMEF LEONOR MENDES DE BARROS - (TERCEI.)</t>
  </si>
  <si>
    <t>LUCAS PARENTE RIBEIRO</t>
  </si>
  <si>
    <t>Diabetes Mellitus; Sindrome de Wolcott</t>
  </si>
  <si>
    <t>MARIA EDUARDA ALVES RODRIGUES</t>
  </si>
  <si>
    <t>Alergia a Ovo; Intolerância à Lactose; Intolerância ao Glúten; Alergia a Corantes</t>
  </si>
  <si>
    <t>VINICIUS DOS SANTOS SILVA</t>
  </si>
  <si>
    <t>EMEF MAJ. SILVIO FLEMING - (TERCEI.)</t>
  </si>
  <si>
    <t>GIULIANA DOS SANTOS ORTIZ</t>
  </si>
  <si>
    <t>JOAO VITOR CRUSCO FERRAZ DA SILVA</t>
  </si>
  <si>
    <t>EMEF PE. ANTONIO VIEIRA - (TERCEI.)</t>
  </si>
  <si>
    <t>ENZO CARVALHO DE LIRA</t>
  </si>
  <si>
    <t>PEDRO AUGUSTO ROMAO SANTOS</t>
  </si>
  <si>
    <t>VINICIUS MARTINS DE ARAUJO PINTO</t>
  </si>
  <si>
    <t>EMEF PE. SERAFIM MARTINEZ GUTIERREZ - (TERCEI.)</t>
  </si>
  <si>
    <t>REBECA MOURA RODRIGUES</t>
  </si>
  <si>
    <t>EMEF PRES. JOÃO PINHEIRO (TERC)</t>
  </si>
  <si>
    <t>CAROL AGOSTINELLO</t>
  </si>
  <si>
    <t>EMEF PROF. HENRIQUE PEGADO (TERC)</t>
  </si>
  <si>
    <t>HENRIQUE ALBERTO DA SILVA</t>
  </si>
  <si>
    <t>MARIA CLARA CORREIA SANTANA</t>
  </si>
  <si>
    <t>EMEF PROF. JOÃO FRANZOLIN NETO (TERC)</t>
  </si>
  <si>
    <t>MATHEUS KNUST DO NASCIMENTO</t>
  </si>
  <si>
    <t>EMEF PROF. MAESTRO ALEX MARTINS COSTA - (TERCEI.)</t>
  </si>
  <si>
    <t>ARTHUR HIROYUKI FONSECA OSHIRO</t>
  </si>
  <si>
    <t>GUILHERME DE OLIVEIRA CARVALHO</t>
  </si>
  <si>
    <t>KEVIN KAWANN FERREIRA DA SILVA</t>
  </si>
  <si>
    <t>URIEL DA SILVEIRA MARQUES</t>
  </si>
  <si>
    <t>YRAN CHRISTYAN ALVES DO NASCIMENTO</t>
  </si>
  <si>
    <t>EMEF PROFA. WANNY SALGADO ROCHA (TERC)</t>
  </si>
  <si>
    <t>BRUNO OTAVIO DOS SANTOS SILVA</t>
  </si>
  <si>
    <t>GIOVANNA PEREIRA DO NASCIMENTO</t>
  </si>
  <si>
    <t>ISABELLA DOS SANTOS SILVA</t>
  </si>
  <si>
    <t>JOSE CLEITON GOES DA SILVA</t>
  </si>
  <si>
    <t>MARCOS VINICIUS RODRIGUES SENA</t>
  </si>
  <si>
    <t>EMEF VISC. DE CAIRU - (TERCEI.)</t>
  </si>
  <si>
    <t>GABRIEL FERREIRA DOS SANTOS</t>
  </si>
  <si>
    <t>LETICIA DA COSTA GOUVEIA</t>
  </si>
  <si>
    <t>LUCAS ALVES DOS SANTOS</t>
  </si>
  <si>
    <t>CAMILLY SOPHIA MARTINS GALDINO</t>
  </si>
  <si>
    <t>JOAO LUCAS BATISTA SILVA DE SANTANA</t>
  </si>
  <si>
    <t>JULIA LOPES CARDOZO</t>
  </si>
  <si>
    <t>MIGUEL AVELAR DE BARROS</t>
  </si>
  <si>
    <t>EMEI ALFREDO ROCHA VIANA FILHO (TERC)</t>
  </si>
  <si>
    <t>ENZO GABRIEL ESTEVAM ALEXANDRE</t>
  </si>
  <si>
    <t>SOPHIA DA SILVA SANTOS</t>
  </si>
  <si>
    <t>EMEI ALM. TAMANDARÉ (TERC)</t>
  </si>
  <si>
    <t>LETICIA TRINDADE LIMA</t>
  </si>
  <si>
    <t>PIETRO BORGES PAFUME</t>
  </si>
  <si>
    <t>EMEI ALUISIO DE AZEVEDO</t>
  </si>
  <si>
    <t>DOUGLAS FERNANDES DE ALCANTARA</t>
  </si>
  <si>
    <t>EMEI AUGUSTO FROEBEL (TERC)</t>
  </si>
  <si>
    <t>MARIA ISABELLE DOMINGOS DE SOUSA</t>
  </si>
  <si>
    <t>MILENA VICTORIA TELES MORAES</t>
  </si>
  <si>
    <t>THEODORA HELOISA NEIVA FERREIRA</t>
  </si>
  <si>
    <t>EMEI BRIG. RAFAEL TOBIAS DE AGUIAR - (TERCEI.)</t>
  </si>
  <si>
    <t>EMEI CORNÉLIO PIRES - (TERCEI.)</t>
  </si>
  <si>
    <t>MARIA GABRIELLA MARTINS DE ALMEIDA</t>
  </si>
  <si>
    <t>Alergia a Fruta - Coco; Alergia a Canela</t>
  </si>
  <si>
    <t>VINICIUS MANTOVANI DESTRO DE OLIVEIRA</t>
  </si>
  <si>
    <t>EMEI EVARISTO DA VEIGA (TERC)</t>
  </si>
  <si>
    <t>RUAN KENNEDY DOS SANTOS LUNA</t>
  </si>
  <si>
    <t>EMEI FERNANDO SABINO (TERC)</t>
  </si>
  <si>
    <t>ESTER SILVA DE SOUZA</t>
  </si>
  <si>
    <t>EMEI GAL. MIGUEL COSTA - (TERCEI.)</t>
  </si>
  <si>
    <t>HENRY JUNIOR DE OLIVEIRA LIMA</t>
  </si>
  <si>
    <t>MARIA EDUARDA MORAES</t>
  </si>
  <si>
    <t>MARIANA VITORIA DA COSTA SANTOS</t>
  </si>
  <si>
    <t>EMEI GUILHERME RUDGE (TERC)</t>
  </si>
  <si>
    <t>KYARA STEFANY DUTRA BARBOSA</t>
  </si>
  <si>
    <t>EMEI ISA SILVEIRA LEAL - (TERCEI.)</t>
  </si>
  <si>
    <t>LARA SOPHIA MITTER ESTEVAN</t>
  </si>
  <si>
    <t>YASMIN KEIKO MIYATA FERREIRA</t>
  </si>
  <si>
    <t>BRENDO GABRIEL FERREIRA DA SILVA</t>
  </si>
  <si>
    <t>EMEI LAR SIRIO</t>
  </si>
  <si>
    <t>ISABELLE GOMES RODRIGUES DO VALE</t>
  </si>
  <si>
    <t>MARCOS VINICIUS SOARES ALVES</t>
  </si>
  <si>
    <t>EMEI MARCÍLIO DIAS (TERC)</t>
  </si>
  <si>
    <t>EMEI MARIA LACERDA DE MOURA - (TERCEI.)</t>
  </si>
  <si>
    <t>LETICIA LINARES GAMA</t>
  </si>
  <si>
    <t>MATHEUS GIACOMO VIEIRA</t>
  </si>
  <si>
    <t>VITOR NERI DE SOUZA</t>
  </si>
  <si>
    <t>EMEI MARY BUARQUE (TERC)</t>
  </si>
  <si>
    <t>MIGUEL OLIVA TRINDADE</t>
  </si>
  <si>
    <t>EMEI NENÊ DO AMANHÃ (TERC)</t>
  </si>
  <si>
    <t>ANA SOPHIA SOUSA FERREIRA</t>
  </si>
  <si>
    <t>GABRIELLA ASSOLINI SANTOS</t>
  </si>
  <si>
    <t>GUSTAVO SANTOS DE MENEZES</t>
  </si>
  <si>
    <t>RAFAEL CUNHA DOS SANTOS</t>
  </si>
  <si>
    <t>EMEI PEDRO BRASIL BANDECCHI - (TERCEI.)</t>
  </si>
  <si>
    <t>JULIANA MILSONE ZENI</t>
  </si>
  <si>
    <t>EMEI PRES. DUTRA (TERC)</t>
  </si>
  <si>
    <t>PEDRO HENRIQUE REGIO DE SANTANA</t>
  </si>
  <si>
    <t>PEDRO LUCCA SOARES FEITOSA</t>
  </si>
  <si>
    <t>Alergia a Corantes; Alergia a Extrato/Molho de Tomate</t>
  </si>
  <si>
    <t>EMEI PROF. CEZAR ROGÉRIO OLIVEIRA PERAMEZZA</t>
  </si>
  <si>
    <t>GUSTAVO FELIPE RIBEIRO DA SILVA</t>
  </si>
  <si>
    <t>Alergia a Ovo; Alergia a Fruta - Banana</t>
  </si>
  <si>
    <t>ISABELLA DE SOUZA JANUARIO</t>
  </si>
  <si>
    <t>Alergia a Ovo; Alergia a Proteína do Leite de Vaca; Alergia ao Trigo; Alergia a Soja; Alergia a Corantes; Alergia a Oleaginosas - Amendoim</t>
  </si>
  <si>
    <t>MANUELLA MIRANDA ARAUJO</t>
  </si>
  <si>
    <t>EMEI PROF. JOSÉ ALOYSIO RODRIGUES CORREA (TERC)</t>
  </si>
  <si>
    <t>GABRIEL VEIGA ROCHA</t>
  </si>
  <si>
    <t>EMEI PROF. JOSÉ RUBENS PERES FERNANDES - (TERCEI.)</t>
  </si>
  <si>
    <t>KEVIN RIBEIRO DE CARVALHO ARAUJO</t>
  </si>
  <si>
    <t>MANUELA GARCES DE CASTRO</t>
  </si>
  <si>
    <t>MARIA EDUARDA OLIVEIRA DE LIMA</t>
  </si>
  <si>
    <t>MONIQUE APARECIDA SCHREIER VIEIRA</t>
  </si>
  <si>
    <t>EMEI PROF. PAULO FREIRE - (TERCEI.)</t>
  </si>
  <si>
    <t>LUCAS HENRIQUE RIBEIRO</t>
  </si>
  <si>
    <t>EMEI PROFA. ANA MARCHIONE SALLES</t>
  </si>
  <si>
    <t>ARTHUR ONOFRE PACHECO</t>
  </si>
  <si>
    <t>ENZO MOLES CARVALHO</t>
  </si>
  <si>
    <t>MIGUEL DAVI DIAS DE SIQUEIRA</t>
  </si>
  <si>
    <t>PEDRO PORTO FEITOSA</t>
  </si>
  <si>
    <t>EMEI PROFA. DINAH GALVÃO - (TERCEI.)</t>
  </si>
  <si>
    <t>CRYSTOPHER FONSECA DOS SANTOS</t>
  </si>
  <si>
    <t>LUCAS ADRIANO DE JESUS MERIS</t>
  </si>
  <si>
    <t>MINERVA CRISTINE FERNANDES DOS SANTOS</t>
  </si>
  <si>
    <t>EMEI PROFA. ELDY POLI BIFONE - (TERCEI.)</t>
  </si>
  <si>
    <t>LEONARDO LIMA DA ROCHA</t>
  </si>
  <si>
    <t>LUCAS GABRIEL MENDONCA DE SOUSA</t>
  </si>
  <si>
    <t>MARCO ANTONIO LEITE CUSTODIO</t>
  </si>
  <si>
    <t>Sobrepeso e Obesidade; Alergia a Fruta - Uva</t>
  </si>
  <si>
    <t>EMEI PROFA. NEUSA CONCEIÇÃO STINCHI (TERC)</t>
  </si>
  <si>
    <t>ANNA CAROLINA VIEIRA NUNES</t>
  </si>
  <si>
    <t>LORENNA CERQUEIRA DOS SANTOS</t>
  </si>
  <si>
    <t>EMEI PROFA. RUTH GONÇALVES C. DE SIQUEIRA - (TERCEI.)</t>
  </si>
  <si>
    <t>DEREK SANTOS LIMA</t>
  </si>
  <si>
    <t>ISMAEL FERNANDES LIMA</t>
  </si>
  <si>
    <t>MIGUEL DOS SANTOS</t>
  </si>
  <si>
    <t>EMEI QUINTINO BOCAIUVA (TERC)</t>
  </si>
  <si>
    <t>EMEI ROBERTO VICTOR CORDEIRO (TERC)</t>
  </si>
  <si>
    <t>ISABELLY ALVES SANTOS</t>
  </si>
  <si>
    <t>EMEI RODRIGO SOARES JR. - (TERCEI.)</t>
  </si>
  <si>
    <t>ALLEXYA PALACIOS JUNQUEIRA</t>
  </si>
  <si>
    <t>EMEI SGT. MAX WOLF FILHO (TERC)</t>
  </si>
  <si>
    <t>RAFAEL ALVES DA SILVA JUNIOR</t>
  </si>
  <si>
    <t>EMEI SILVIO ROMERO</t>
  </si>
  <si>
    <t>GABRIEL KEVEN DA SILVA</t>
  </si>
  <si>
    <t>Alergia a Corantes; Alergia a Conservas</t>
  </si>
  <si>
    <t>EMEI TOMÁS ANTONIO GONZAGA - (TERCEI.)</t>
  </si>
  <si>
    <t>CEI MUN. ANITA GARIBALDI - (TERCEI.)</t>
  </si>
  <si>
    <t>SM</t>
  </si>
  <si>
    <t>LAURA ABRAO RODRIGUES</t>
  </si>
  <si>
    <t>CEI MUN. ASSMA CURIATI (TERC)</t>
  </si>
  <si>
    <t>BARBARA KAUANY RIBEIRO RAZUK</t>
  </si>
  <si>
    <t>VINICIUS DE OLIVEIRA LIMA</t>
  </si>
  <si>
    <t>CEI MUN. CÉLIA PERES SUNHIGA - (TERCEI.)</t>
  </si>
  <si>
    <t>BERNARDO DOS SANTOS ALMEIDA</t>
  </si>
  <si>
    <t>DANTHY KAUAM LEITE DA SILVA</t>
  </si>
  <si>
    <t>CEI MUN. ELIZABETH SOUZA LOBO GARCIA - (TERCEI.)</t>
  </si>
  <si>
    <t>YASMIN DA SILVA OLIVEIRA</t>
  </si>
  <si>
    <t>CEI MUN. INEZITA BARROSO (TERC)</t>
  </si>
  <si>
    <t>BERNARDO AZEVEDO LUCIO</t>
  </si>
  <si>
    <t>HEITOR LORENZO RODRIGUES CAMPOS</t>
  </si>
  <si>
    <t>HIAGO DUARTE NASCIMENTO</t>
  </si>
  <si>
    <t>LUCAS LUIS RODRIGUES DOS SANTOS</t>
  </si>
  <si>
    <t>NICKOLLAS SILVA GOMES</t>
  </si>
  <si>
    <t>CEI MUN. JD. ADUTORA (TERC)</t>
  </si>
  <si>
    <t>DAVI DOS SANTOS SAMPAIO</t>
  </si>
  <si>
    <t>LAURA OLIVEIRA SILVA</t>
  </si>
  <si>
    <t>CEI MUN. JD. COLONIAL (TERC)</t>
  </si>
  <si>
    <t>HELENA MARTINS MORAIS</t>
  </si>
  <si>
    <t>VINICIUS CUNHA SANTOS</t>
  </si>
  <si>
    <t>Alergia a Embutidos; Alergia a Café</t>
  </si>
  <si>
    <t>CEI MUN. JD. COLORADO - (TERCEI.)</t>
  </si>
  <si>
    <t>ISADORA LOPES COELHO PEREIRA</t>
  </si>
  <si>
    <t>CEI MUN. JD. HELENA (TERC)</t>
  </si>
  <si>
    <t>KAIO AMARO GONCALVES</t>
  </si>
  <si>
    <t>CEI MUN. JD. NOVE DE JULHO - (TERCEI.)</t>
  </si>
  <si>
    <t>CAROLINE LEANDRO SILVA</t>
  </si>
  <si>
    <t>Alergia a Ovo; Alergia a Fruta - Laranja pera</t>
  </si>
  <si>
    <t>SOPHIA FERREIRA DE OLIVEIRA</t>
  </si>
  <si>
    <t>CEI MUN. JD. RODOLFO PIRANI - (TERCEI.)</t>
  </si>
  <si>
    <t>GUILHERME PEREIRA MATTOS</t>
  </si>
  <si>
    <t>ANA JULIA DE SOUZA NUNES</t>
  </si>
  <si>
    <t>CEI MUN. JD. STO. ANDRÉ (TERC)</t>
  </si>
  <si>
    <t>BRAYAN LUCAS FERREIRA</t>
  </si>
  <si>
    <t>VITOR GABRIEL GOMES BARRETO</t>
  </si>
  <si>
    <t>CEI MUN. JD. VERA CRUZ - (TERCEI.)</t>
  </si>
  <si>
    <t>ANA CLARA GUIMARAES DOS SANTOS</t>
  </si>
  <si>
    <t>Alergia a Ovo; Dislipidemia; Alergia a Corantes; Alergia a Oleaginosas - Amendoim; Alergia a Chocolate/Cacau; Alergia a Carne Suina</t>
  </si>
  <si>
    <t>DAVI SALES COSTA</t>
  </si>
  <si>
    <t>CEI MUN. JOÃO UBALDO RIBEIRO - (TERCEI.)</t>
  </si>
  <si>
    <t>AMELIE OLIVEIRA DOS SANTOS</t>
  </si>
  <si>
    <t>PIETTRO ALVES FREIRE</t>
  </si>
  <si>
    <t>CEI MUN. MARIA  APARECIDA NASCIMENTO (TERC)</t>
  </si>
  <si>
    <t>CEI MUN. PE. ANTONIO MERLOTH (TERC)</t>
  </si>
  <si>
    <t>DEBORA FERREIRA LOURENCO</t>
  </si>
  <si>
    <t>DIOGO SANTOS ALMEIDA</t>
  </si>
  <si>
    <t>EMANUELY GAMAS FERREIRA</t>
  </si>
  <si>
    <t>EVELLYN VICTORIA MORAIS DOS NASCIMENTO</t>
  </si>
  <si>
    <t>Alergia a Embutidos; Alergia a Salsicha</t>
  </si>
  <si>
    <t>GABRIEL GOMES RUIZ</t>
  </si>
  <si>
    <t>MANOELLA SANTIAGO</t>
  </si>
  <si>
    <t>MANUELA ALVES MARQUES</t>
  </si>
  <si>
    <t>VALLENTYNA DE ALMEIDA RAMOS</t>
  </si>
  <si>
    <t>Intolerância Alimentar - Peixe</t>
  </si>
  <si>
    <t>VINICIUS DE JESUS SILVA</t>
  </si>
  <si>
    <t>CEI MUN. PQ. SÃO RAFAEL II - (TERCEI.)</t>
  </si>
  <si>
    <t>LUCAS CABOCLO DE LIMA</t>
  </si>
  <si>
    <t>CEI MUN. PQ. STA. MADALENA (TERC)</t>
  </si>
  <si>
    <t>JHONNY BRYAN SANTOS KOLWASKI</t>
  </si>
  <si>
    <t>CEI MUN. TEOTÔNIO VILELA (TERC)</t>
  </si>
  <si>
    <t>ARTHUR ALVES DE FREITAS</t>
  </si>
  <si>
    <t>ERICK RIBEIRO DA CRUZ</t>
  </si>
  <si>
    <t>CEI MUN. VER. JOÃO FRANCISCO DE HARO - (TERCEI.)</t>
  </si>
  <si>
    <t>HELOISA VIEIRA BEZERRA</t>
  </si>
  <si>
    <t>CEI MUN. VER. MARCOS MÉLEGA (TERC)</t>
  </si>
  <si>
    <t>BRUNO HENRIQUE BARBOSA DE SANTI</t>
  </si>
  <si>
    <t>CEI MUN. VER. ROBERTO GOMES PEDROSA (TERC)</t>
  </si>
  <si>
    <t>GABRIEL BEZERRA GOMES</t>
  </si>
  <si>
    <t>MANOELA NUNES DE SOUZA</t>
  </si>
  <si>
    <t>CEU CEI MUN. ALTO ALEGRE - (TERCEI.)</t>
  </si>
  <si>
    <t>FELIPE FIGUEIREDO</t>
  </si>
  <si>
    <t>CEU CEI MUN. ROSA DA CHINA - (TERCEI.)</t>
  </si>
  <si>
    <t>ARTHUR DOS SANTOS LIMA</t>
  </si>
  <si>
    <t>KALLEB HENRIQUE DE SOUSA SANTOS</t>
  </si>
  <si>
    <t>Intolerância Alimentar - Alimentos Cítricos</t>
  </si>
  <si>
    <t>LIVIA MONTEIRO DE LIMA</t>
  </si>
  <si>
    <t>SAMUEL HENRIQUE DA SILVA</t>
  </si>
  <si>
    <t>CEU CEI MUN. RUBEM ALVES (ANTIGO CEU CEI MUN.SAPOPEMBA)</t>
  </si>
  <si>
    <t>ARTHUR JOSE COSTA SILVA</t>
  </si>
  <si>
    <t>ARTHUR RUBIO PERES</t>
  </si>
  <si>
    <t>CAILLAINY DE SOUZA ZAMONER</t>
  </si>
  <si>
    <t>Baixo Peso; Intolerância Alimentar - Fórmula Láctea Infantil</t>
  </si>
  <si>
    <t>GUSTAVO ALMEIDA DIAS</t>
  </si>
  <si>
    <t>JOAO MIGUEL GOMES</t>
  </si>
  <si>
    <t>LORENZZO OLIVEIRA DE HOLANDA</t>
  </si>
  <si>
    <t>PIETRO DE CARVALHO FEITOZA</t>
  </si>
  <si>
    <t>VITOR ALMEIDA DIAS</t>
  </si>
  <si>
    <t>CEU CEI MUN. SÃO MATEUS - (TERCEI.)</t>
  </si>
  <si>
    <t>ALINE SOARES DE LIRA SANTOS</t>
  </si>
  <si>
    <t>ANA BEATRIZ DIAS CILENTO</t>
  </si>
  <si>
    <t>DAVI CORDEIRO MATOS</t>
  </si>
  <si>
    <t>DAVI MIGUEL PAIVA PAULINO</t>
  </si>
  <si>
    <t>DERIK GABRIEL NUNES DA SILVA</t>
  </si>
  <si>
    <t>FILIPE VIEIRA VITAL</t>
  </si>
  <si>
    <t>ITALO MIGUEL SIMOES LOPES</t>
  </si>
  <si>
    <t>IZABELE FLORI OLIVEIRA</t>
  </si>
  <si>
    <t>MANUELLA ALMEIDA SPASSATEMPO</t>
  </si>
  <si>
    <t>CEU CEI MUN. SÃO RAFAEL - (TERCEI.)</t>
  </si>
  <si>
    <t>ANA ALICE CUSTODIO RIBEIRO</t>
  </si>
  <si>
    <t>ESTHER ALVES DE SOBRAL</t>
  </si>
  <si>
    <t>JEAN MIGUEL COELHO DA SILVA</t>
  </si>
  <si>
    <t>LORENA PEREIRA DE LIMA</t>
  </si>
  <si>
    <t>Alergia a Ovo; Alergia a Oleaginosas - Amendoim; Alergia a Oleaginosas - Castanha do Pará; Alergia a Oleaginosas - Castanha de Caju; Alergia a Oleaginosas - Castanha de Barú; Alergia a Oleaginosas - Amêndoa; Alergia a Fruta - Coco</t>
  </si>
  <si>
    <t>YASMIM CRUZ BUENO</t>
  </si>
  <si>
    <t>YGOR BEZERRA CARDOZO</t>
  </si>
  <si>
    <t>Anemia Ferropriva; Diabetes Mellitus</t>
  </si>
  <si>
    <t>CEU EMEF ALTO ALEGRE - (TERCEI.)</t>
  </si>
  <si>
    <t>ARIANE DA SILVA</t>
  </si>
  <si>
    <t>BRAYAN DA SILVA</t>
  </si>
  <si>
    <t>DAVI MICHEL FLAUSINO DA SILVA</t>
  </si>
  <si>
    <t>LUANNA GOMES DE ABREU</t>
  </si>
  <si>
    <t>MARIA EDUARDA DE BARROS TEODORO</t>
  </si>
  <si>
    <t>MIGUEL LOURENCO PEREZ</t>
  </si>
  <si>
    <t>MYKAELLY CRYSTYNNA APARECIDA DE OLIVEIRA</t>
  </si>
  <si>
    <t>CEU EMEF PROF. DOMINGOS RUBINO - ROSA DA CHINA - (TERCEI.)</t>
  </si>
  <si>
    <t>CRISTIANY VITORIA DA SILVA DOS SANTOS</t>
  </si>
  <si>
    <t>HENRIQUE MEIRELES DE MORAIS</t>
  </si>
  <si>
    <t>ISABELLA VITORIA GONCALVES PALMA</t>
  </si>
  <si>
    <t>MARIA EDUARDA LINS VARGAS</t>
  </si>
  <si>
    <t>CEU EMEF PROFA. CANDIDA DORA PRETINI - (TERCEI.)</t>
  </si>
  <si>
    <t>CARLA TAMIRES DA CONCEICAO AGUIAR</t>
  </si>
  <si>
    <t>JULIA SOARES DE SOUZA</t>
  </si>
  <si>
    <t>KAROLLYNE VICTORIA LEMOS PEREIRA</t>
  </si>
  <si>
    <t>WILLIAN DOS SANTOS RUIZ</t>
  </si>
  <si>
    <t>CEU EMEF TATIANA BELINKY (TERCEI.)</t>
  </si>
  <si>
    <t>ANA BEATRIZ ALVES PEREIRA</t>
  </si>
  <si>
    <t>GABRIELA CABRAL PINTO</t>
  </si>
  <si>
    <t>ISABELLA CRISTINA VIEIRA XAVIER LEITE</t>
  </si>
  <si>
    <t>LORHAN ALENCAR SILVA</t>
  </si>
  <si>
    <t>MARIANA APARECIDA AMARAL GUIMARAES</t>
  </si>
  <si>
    <t>CEU EMEI ALTO ALEGRE - (TERCEI.)</t>
  </si>
  <si>
    <t>EMANUELLY DOS SANTOS SILVA</t>
  </si>
  <si>
    <t>GUSTAVO MORAIS DA SILVA</t>
  </si>
  <si>
    <t>MARIA EDUARDA BRITO DA SILVA</t>
  </si>
  <si>
    <t>MARIA EDUARDA SILVA DE OLIVEIRA</t>
  </si>
  <si>
    <t>STEPHANIE VALASQUES COSTA</t>
  </si>
  <si>
    <t>CEU EMEI PROFA. ERIKA DE SOUZA BRITO MATOS  - (TERCEI.) (ANTIGO CEU EMEI SAPOPEMBA)</t>
  </si>
  <si>
    <t>DAVI LUCCA SOUZA GOMES</t>
  </si>
  <si>
    <t>DAVI RODRIGUES LIRA</t>
  </si>
  <si>
    <t>EMANUEL RODRIGUES BARBOZA</t>
  </si>
  <si>
    <t>LUCAS DA SILVA SOARES</t>
  </si>
  <si>
    <t>SOPHIA XIMENES OLIVEIRA</t>
  </si>
  <si>
    <t>STEFANI RAMOS DA SILVA</t>
  </si>
  <si>
    <t>YASMIM PEREIRA SILVA</t>
  </si>
  <si>
    <t>CEU EMEI ROSA DA CHINA - (TERCEI.)</t>
  </si>
  <si>
    <t>AGHATA DE LIMA SOUSA</t>
  </si>
  <si>
    <t>MIKAELLY PEREIRA CHAGAS</t>
  </si>
  <si>
    <t>CEU EMEI SÃO MATEUS - (TERCEI.)</t>
  </si>
  <si>
    <t>ELOISA SOUZA SILVA</t>
  </si>
  <si>
    <t>MARCOS WEENDERSON PEREIRA</t>
  </si>
  <si>
    <t>RUAN MATIAS DOS SANTOS</t>
  </si>
  <si>
    <t>EMEF ACLAMADO (TERC)</t>
  </si>
  <si>
    <t>EDUARDO ALVES DE ARAUJO SILVA</t>
  </si>
  <si>
    <t>LETICIA LOURENCO ALVES</t>
  </si>
  <si>
    <t>Esteatose Hepática</t>
  </si>
  <si>
    <t>THAINA VITORIA SANTOS NUNES DA SILVA</t>
  </si>
  <si>
    <t>EMEF ALCEU AMOROSO LIMA - (TERCEI.)</t>
  </si>
  <si>
    <t>BIANCA VITORIA BARBOSA PERCILIANO</t>
  </si>
  <si>
    <t>KARINA DA SILVA FIRMO</t>
  </si>
  <si>
    <t>SOFIA DE MAGALHAES</t>
  </si>
  <si>
    <t>EMEF ARMANDO DE SALLES OLIVEIRA - (TERCEI.)</t>
  </si>
  <si>
    <t>HIAN DA SILVA MALAQUIAS</t>
  </si>
  <si>
    <t>MARCELO CARVALHO DE OLIVEIRA</t>
  </si>
  <si>
    <t>EMEF ARQ. VILANOVA ARTIGAS - (TERCEI.)</t>
  </si>
  <si>
    <t>IZABELLY NASCIMENTO DE MELLO</t>
  </si>
  <si>
    <t>EMEF BARTOLOMEU CAMPOS DE QUEIRÓS (TERCEI.)</t>
  </si>
  <si>
    <t>BRYAN LUIZ SILVA TRINDADE</t>
  </si>
  <si>
    <t>PAULA VITORIA PEREIRA LINS</t>
  </si>
  <si>
    <t>YASMIN DE SOUZA MUNIZ</t>
  </si>
  <si>
    <t>EMEF BENEDITO JESUS B. LAURINDO - PE. BATISTA - (TERCEI.)</t>
  </si>
  <si>
    <t>MURILLO OLIVEIRA DA SILVA</t>
  </si>
  <si>
    <t>EMEF BRASILIO MACHADO NETO - (TERCEI.)</t>
  </si>
  <si>
    <t>LUANA COUTINHO BISPO LUIZ</t>
  </si>
  <si>
    <t>EMEF CIDADE DE OSAKA - (TERCEI.)</t>
  </si>
  <si>
    <t>GABRIEL MARIANO KUDO</t>
  </si>
  <si>
    <t>KETELLY TAILA DA SILVA CARVALHO</t>
  </si>
  <si>
    <t>LEANDRO MOREIRA ALVES</t>
  </si>
  <si>
    <t>Constipação/Obstipação Intestinal; Dislipidemia</t>
  </si>
  <si>
    <t>LUCAS DANIEL PEREIRA</t>
  </si>
  <si>
    <t>NICOLAS SAID CAVALCANTE ARAUJO</t>
  </si>
  <si>
    <t>EMEF COELHO NETO - (TERCEI.)</t>
  </si>
  <si>
    <t>KAUE SANTOS BERNARDO</t>
  </si>
  <si>
    <t>LUIZ HENRIQUE SANTOS SILVA</t>
  </si>
  <si>
    <t>MARIA EDUARDA DE LIMA LOPES</t>
  </si>
  <si>
    <t>NATHAN GABRIEL SILVA SOUZA</t>
  </si>
  <si>
    <t>EMEF DEP. FLORES DA CUNHA - (TERCEI.)</t>
  </si>
  <si>
    <t>FLAVIA MARCELINO PRATES</t>
  </si>
  <si>
    <t>RHAISSA BARBOSA DE ALMEIDA</t>
  </si>
  <si>
    <t>Síndrome Nefrótica; Sobrepeso e Obesidade</t>
  </si>
  <si>
    <t>EMEF DEP. IVETE VARGAS - (TERCEI.)</t>
  </si>
  <si>
    <t>JOAO VICTOR SANTOS DE ANDRADE</t>
  </si>
  <si>
    <t>KEMILLY VICTORIA SANTOS FAQUIM</t>
  </si>
  <si>
    <t>EMEF EMÍLIO RIBAS - (TERCEI.)</t>
  </si>
  <si>
    <t>MAYARA BARBOSA DO CARMO</t>
  </si>
  <si>
    <t>EMEF FAZENDA DA JUTA - (TERCEI.)</t>
  </si>
  <si>
    <t>DANILLO ROQUE DE OLIVEIRA</t>
  </si>
  <si>
    <t>Hipertrigliceridemia; Intolerância à Lactose</t>
  </si>
  <si>
    <t>GABRIEL HENRIQUE DOMINGOS</t>
  </si>
  <si>
    <t>ISABELLE VITORIA CORREIA DE BARROS</t>
  </si>
  <si>
    <t>KEZIA SANTOS DA ROCHA</t>
  </si>
  <si>
    <t>MATHEUS MENDES SILVA</t>
  </si>
  <si>
    <t>RAFAEL TORRES ARAUJO</t>
  </si>
  <si>
    <t>SAMARA SANTOS DA ROCHA</t>
  </si>
  <si>
    <t>EMEF FORTE DOS REIS MAGOS</t>
  </si>
  <si>
    <t>ADERALDO HENRIQUE MACEDO DE OLIVEIRA</t>
  </si>
  <si>
    <t>ANA LUIZA DOS SANTOS DIAS</t>
  </si>
  <si>
    <t>ANDRESSA INACIO ALVES LIMA</t>
  </si>
  <si>
    <t>GABRIEL DE ALMEIDA SILVA</t>
  </si>
  <si>
    <t>GUILHERME BRITO SILVA</t>
  </si>
  <si>
    <t>GUSTAVO CORDEIRO DA SILVA</t>
  </si>
  <si>
    <t>HYO WON ALEX DA SILVA</t>
  </si>
  <si>
    <t>IASMIM SALVINO FERREIRA DA SILVA</t>
  </si>
  <si>
    <t>INGRIDDY REGINA CRUZ</t>
  </si>
  <si>
    <t>JOYCE MARTINS DOS SANTOS</t>
  </si>
  <si>
    <t>KELVIN DOS SANTOS DE JESUS</t>
  </si>
  <si>
    <t>LUANA CANDIDO DA SILVA</t>
  </si>
  <si>
    <t>MARIANA LOPES DE SOUZA</t>
  </si>
  <si>
    <t>MIGUEL LYNCOM ARAUJO SANTOS</t>
  </si>
  <si>
    <t>RAISSA MARTINS DOS SANTOS</t>
  </si>
  <si>
    <t>THABATA RAMOS NASCIMENTO</t>
  </si>
  <si>
    <t>WENDEL MARCIEL SOUZA VIEIRA</t>
  </si>
  <si>
    <t>EMEF HENRIQUE SOUZA FILHO - HENFIL - (TERCEI.)</t>
  </si>
  <si>
    <t>INGRID VITAL GARCIA</t>
  </si>
  <si>
    <t>KAIO RODRIGO SILVA DE SOUZA</t>
  </si>
  <si>
    <t>LUCAS BATISTA CORDEIRO DE LMA</t>
  </si>
  <si>
    <t>MARIA JULIA DA SILVA ARAUJO</t>
  </si>
  <si>
    <t>NICOLLY ROCHA DE SALLES</t>
  </si>
  <si>
    <t>NYCOLLAS RICARDO DA SILVA</t>
  </si>
  <si>
    <t>RAQUEL DA SILVA MARIANO ANDRADE</t>
  </si>
  <si>
    <t>RHUAN DA SILVA</t>
  </si>
  <si>
    <t>Dislipidemia; Hipertensão; Sobrepeso e Obesidade</t>
  </si>
  <si>
    <t>EMEF HERALDO BARBUY - (TERCEI.)</t>
  </si>
  <si>
    <t>EDUARDO MANOEL SILVA</t>
  </si>
  <si>
    <t>GABRIELA MAIARA BATISTA RODRIGUES</t>
  </si>
  <si>
    <t>JOAO VICTOR ALBUQUERQUE</t>
  </si>
  <si>
    <t>Hipertensão; Sobrepeso e Obesidade</t>
  </si>
  <si>
    <t>NICOLE FERREIRA LIMA</t>
  </si>
  <si>
    <t>EMEF IMP. DNA. AMÉLIA - (TERCEI.)</t>
  </si>
  <si>
    <t>EMILLY LAURYN ROSA DE LUNA</t>
  </si>
  <si>
    <t>JULIANA DA SILVA VARGAS</t>
  </si>
  <si>
    <t>MARCOS PEREIRA DA SILVA JUNIOR</t>
  </si>
  <si>
    <t>EMEF JD. DAS LARANJEIRAS - (TERCEI.)</t>
  </si>
  <si>
    <t>ADRIANO PARRA MOREIRA</t>
  </si>
  <si>
    <t>ALAN DA SILVA OLIVEIRA</t>
  </si>
  <si>
    <t>DAVID AUGUSTO ALVES DE LIMA</t>
  </si>
  <si>
    <t>JEAN IGOR CIRILO DA SILVA</t>
  </si>
  <si>
    <t>JOAO VITOR BITENCOURT ROMAO</t>
  </si>
  <si>
    <t>JONATHAN SOARES DE LIMA</t>
  </si>
  <si>
    <t>KAUE MARCELO SILVA SANTOS</t>
  </si>
  <si>
    <t>MARIA CRISTINA ANJOS DA SILVA</t>
  </si>
  <si>
    <t>MATEUS FERNANDES PORTUGAL</t>
  </si>
  <si>
    <t>RENAN GABRIEL PAZ DA SILVA</t>
  </si>
  <si>
    <t>WILLY PAIXAO DE ARAUJO</t>
  </si>
  <si>
    <t>EMEF JOAQUIM OSÓRIO DQ. ESTRADA - (TERCEI.)</t>
  </si>
  <si>
    <t>CAUA EMILIO BALESTRA</t>
  </si>
  <si>
    <t>DAVI ALMEIDA FERREIRA</t>
  </si>
  <si>
    <t>EMEF JOSÉ LINS DO REGO - (TERCEI.)</t>
  </si>
  <si>
    <t>DILTON ALVES DOS SANTOS JUNIOR</t>
  </si>
  <si>
    <t>HIAGO DA SILVA SANTOS</t>
  </si>
  <si>
    <t>JULIA DE SOUZA BARCELOS</t>
  </si>
  <si>
    <t>Alergia a Corantes; Alergia a Conservantes; Alergia a Embutidos; Alergia a Chocolate/Cacau</t>
  </si>
  <si>
    <t>MARCELO AUGUSTO DE LIMA FILHO</t>
  </si>
  <si>
    <t>EMEF JOSE MARIA WHITAKER - (TERCEI.)</t>
  </si>
  <si>
    <t>ALEXSANDER SANTOS TEODORO GOMES</t>
  </si>
  <si>
    <t>LAURA FERNANDA VIEIRA DE SOUZA</t>
  </si>
  <si>
    <t>PEDRO HENRIQUE SANTOS DEODATO</t>
  </si>
  <si>
    <t>RONALDO OLIVEIRA SANTIAGO</t>
  </si>
  <si>
    <t>Esteatose Hepática; Sobrepeso e Obesidade</t>
  </si>
  <si>
    <t>EMEF JÚLIO DE GRAMMONT - (TERCEI.)</t>
  </si>
  <si>
    <t>BIANCA SANTOS DA SILVA</t>
  </si>
  <si>
    <t>MARIANE ALVES CELESTINO</t>
  </si>
  <si>
    <t>EMEF MARTIN LUTHER KING JR. - (TERCEI.)</t>
  </si>
  <si>
    <t>ALLAN ANDREY CORREIA SILVA</t>
  </si>
  <si>
    <t>ANA CLARA DA ROCHA</t>
  </si>
  <si>
    <t>GUSTAVO HENRIQUE CIRILO DA SILVA</t>
  </si>
  <si>
    <t>JESSICA DE SOUZA JESUS</t>
  </si>
  <si>
    <t>JULIA DE JESUS FERREIRA</t>
  </si>
  <si>
    <t>LEONARDO DOS SANTOS BERTULINO</t>
  </si>
  <si>
    <t>NATA EVARISTO PINTO</t>
  </si>
  <si>
    <t>NATHAN WILIAN GIANETTI</t>
  </si>
  <si>
    <t>EMEF OLIVAL COSTA - (TERCEI.)</t>
  </si>
  <si>
    <t>CARLOS HENRIQUE LOPES DE JESUS</t>
  </si>
  <si>
    <t>GRAZIELLE ESTRELA DOS SANTOS</t>
  </si>
  <si>
    <t>HELEN GALDINO DA SILVA</t>
  </si>
  <si>
    <t>LUCAS PEREIRA SALES CORREA DE SOUZA</t>
  </si>
  <si>
    <t>MARIANA DE CARVALHO GOMES DA SILVA</t>
  </si>
  <si>
    <t>MATHEUS HENRIQUE CERQUEIRA SANTANA</t>
  </si>
  <si>
    <t>MURILO ROCHA DOS SANTOS</t>
  </si>
  <si>
    <t>SOPHIA LOREN SILVA MOREIRA</t>
  </si>
  <si>
    <t>VITOR GABRIEL DOS SANTOS BEZERRA</t>
  </si>
  <si>
    <t>YASMIN VITORIA SANTANA DOS REIS</t>
  </si>
  <si>
    <t>EMEF PAULO DUARTE - (TERCEI.)</t>
  </si>
  <si>
    <t>CARLOS YAGO BUENO DA SILVA</t>
  </si>
  <si>
    <t>ERICK TELES SILVA</t>
  </si>
  <si>
    <t>JOAO VITOR AZEVEDO DA SILVA</t>
  </si>
  <si>
    <t>LORRANY CHAGAS NAZARETTI</t>
  </si>
  <si>
    <t>LUAN PEREIRA ALVES</t>
  </si>
  <si>
    <t>Alergia a Peixe; Alergia a Oleaginosas - Amendoim</t>
  </si>
  <si>
    <t>VICTOR CASTRO DE SOUZA ARRUDA</t>
  </si>
  <si>
    <t>EMEF PE. GREGÓRIO WESTRUPP - (TERCEI.)</t>
  </si>
  <si>
    <t>ERISNANDA ALMEIDA NERI</t>
  </si>
  <si>
    <t>HELLOYSA ALVES SPADONI</t>
  </si>
  <si>
    <t>PEDRO HENRIQUE DE MELO DA SILVA</t>
  </si>
  <si>
    <t>EMEF PLÍNIO DE QUEIROZ - (TERCEI.)</t>
  </si>
  <si>
    <t>ANA JULIA DE OLIVEIRA SILVA</t>
  </si>
  <si>
    <t>EMEF PQ. BOA ESPERANÇA II - (TERCEI.)</t>
  </si>
  <si>
    <t>ARTHUR FERREIRA SILVA</t>
  </si>
  <si>
    <t>JOAO VICTOR DE QUEIROZ PACHICO</t>
  </si>
  <si>
    <t>JULIANA PEREIRA FERNANDES</t>
  </si>
  <si>
    <t>KATHLEEN KAUANY NUNES DOS SANTOS</t>
  </si>
  <si>
    <t>EMEF PREF. WLADIMIR DE TOLEDO PIZA - (TERCEI.)</t>
  </si>
  <si>
    <t>FABIANA DE SOUZA BRITO</t>
  </si>
  <si>
    <t>GYOVANNA DE SOUZA LUSTOSA</t>
  </si>
  <si>
    <t>JOAO VITOR OLIVEIRA ALVES DE SOUZA</t>
  </si>
  <si>
    <t>EMEF PROF. ARLINDO CAETANO FILHO - (TERCEI.)</t>
  </si>
  <si>
    <t>GUILHERME BARROS LIMA</t>
  </si>
  <si>
    <t>EMEF PROF. CARLOS CORREIA MASCARO - (TERCEI.)</t>
  </si>
  <si>
    <t>VINICIUS SOARES DE SOUSA</t>
  </si>
  <si>
    <t>EMEF PROF. FELÍCIO PAGLIUSO - (TERCEI.)</t>
  </si>
  <si>
    <t>DANIEL FAUSTINO DA SILVA</t>
  </si>
  <si>
    <t>ERIKA RODRIGUES DA SILVA</t>
  </si>
  <si>
    <t>GEOVANA OLIVEIRA DOS SANTOS</t>
  </si>
  <si>
    <t>JULIA MENEZES SANTOS SILVA</t>
  </si>
  <si>
    <t>EMEF PROF. GIUSEPPE TAVOLARO - (TERCEI.)</t>
  </si>
  <si>
    <t>CARLOS DANIEL DE OLIVEIRA</t>
  </si>
  <si>
    <t>LAURA MARIA ALMEIDA DE ANDRADE</t>
  </si>
  <si>
    <t>MARIA EDUARDA CUNHA DOS SANTOS</t>
  </si>
  <si>
    <t>STEPHANY LOPES FARIA</t>
  </si>
  <si>
    <t>EMEF PROF. HENRIQUE MÉLEGA - (TERCEI.)</t>
  </si>
  <si>
    <t>BEATRIZ QUEIROZ GALHIERO</t>
  </si>
  <si>
    <t>DAVI DE MATOS FERREIRA BARBOSA</t>
  </si>
  <si>
    <t>JONAS AUGUSTO RODRIGUES BATISTA</t>
  </si>
  <si>
    <t>EMEF PROF. JOSÉ CARLOS NICOLETO-ZITO (TERCEI.)</t>
  </si>
  <si>
    <t>CRISHELLEN DE JESUS SILVA</t>
  </si>
  <si>
    <t>ERIC DA SILVA CASSIANO</t>
  </si>
  <si>
    <t>FLAVIO DE JESUS ALVES DOS SANTOS</t>
  </si>
  <si>
    <t>LETICIA CAROLLIN PRIETO DA SILVA</t>
  </si>
  <si>
    <t>EMEF PROF. RIVADAVIA MARQUES JR. - (TERCEI.)</t>
  </si>
  <si>
    <t>EMILY NICOLE APARECIDA DE SOUZA</t>
  </si>
  <si>
    <t>PEDRO HENRIQUE PEREIRA DE JESUS</t>
  </si>
  <si>
    <t>EMEF PROFA VIRGÍNIA LORISA ZEITOUNIAN CAMARGO - (TERCEI.)</t>
  </si>
  <si>
    <t>ANDERSON RIAN DA SILVA FERREIRA</t>
  </si>
  <si>
    <t>CAUA FERREIRA GARCIA</t>
  </si>
  <si>
    <t>HEITOR ANDREASSI MELHADO</t>
  </si>
  <si>
    <t>IGOR GOMES</t>
  </si>
  <si>
    <t>JOAO VICTOR DOMINGOS GOMES DA SILVA</t>
  </si>
  <si>
    <t>KAMILLY FERNANDA BRITO DO NASCIMENTO</t>
  </si>
  <si>
    <t>RAFAEL CAVALCANTE DE JESUS SANTOS</t>
  </si>
  <si>
    <t>EMEF PROFA. DIRCE G. DOS SANTOS - (TERCEI.)</t>
  </si>
  <si>
    <t>ALISSON KENNED BARBOSA DA SILVA</t>
  </si>
  <si>
    <t>CARLOS EDUARDO SILVA DOMINGUES</t>
  </si>
  <si>
    <t>GRAZIELA TAVARES PAZ</t>
  </si>
  <si>
    <t>JOSE HENRIQUE JANUARIO</t>
  </si>
  <si>
    <t>Alergia a Corantes; Alergia a Frutas Cítricas</t>
  </si>
  <si>
    <t>MARIA LIVIA MARCAL DA SILVA</t>
  </si>
  <si>
    <t>MARIANA BARROS DE MOURA SANTOS</t>
  </si>
  <si>
    <t>Dislipidemia; Litíase Renal</t>
  </si>
  <si>
    <t>VINICIUS JOSE RIBEIRO RODRIGUES</t>
  </si>
  <si>
    <t>VITORIA CAMILLY SOUSA NETO</t>
  </si>
  <si>
    <t>EMEF PROFA. MARIA APARECIDA VILASBOAS (TERCEI.)</t>
  </si>
  <si>
    <t>ESTER DA SILVA RODRIGUES</t>
  </si>
  <si>
    <t>LUCAS MATOS DA SILVA DE SOUSA</t>
  </si>
  <si>
    <t>MARIA NICOLLY ALMEIDA DE OLIVEIRA</t>
  </si>
  <si>
    <t>Alergia a Conservantes; Alergia a Frutas Ácidas</t>
  </si>
  <si>
    <t>THAYNA MARTINS DOS SANTOS BISPO</t>
  </si>
  <si>
    <t>VANESSA SANTOS DA VITORIA SILVA</t>
  </si>
  <si>
    <t>EMEF PROFA.THEREZA MACIEL DE PAULA - (TERCEI.)</t>
  </si>
  <si>
    <t>ALISSON TEIXEIRA VIEIRA</t>
  </si>
  <si>
    <t>ARTUR PINTO DA SILVA</t>
  </si>
  <si>
    <t>FLAVIO JUNIOR GABRIEL DE ALMEIDA</t>
  </si>
  <si>
    <t>Síndrome de Alagille</t>
  </si>
  <si>
    <t>JOAO VITOR BARBOSA DA SILVA</t>
  </si>
  <si>
    <t>KAUA CARDOSO DE OLIVEIRA BARBOSA</t>
  </si>
  <si>
    <t>Alergia a Ovo; Alergia a Camarão; Alergia a Peixe; Alergia a Fruta - Coco; Alergia a Aveia</t>
  </si>
  <si>
    <t>LAIS SILVA SENA</t>
  </si>
  <si>
    <t>LIVIA NAYARA BATISTA SANTOS</t>
  </si>
  <si>
    <t>VITORIA GABRIELLY VASCONCELOS BRAGA</t>
  </si>
  <si>
    <t>EMEF RODRIGO MELLO FRANCO DE ANDRADE - (TERCEI.)</t>
  </si>
  <si>
    <t>ANA BEATRIZ RODRIGUES PEREIRA</t>
  </si>
  <si>
    <t>Dieta Branda</t>
  </si>
  <si>
    <t>IAGO RIBEIRO DA CONCEICAO</t>
  </si>
  <si>
    <t>MARYA CLARA DA SILVA</t>
  </si>
  <si>
    <t>SARAH VIANA DE FREITAS CAMPOS</t>
  </si>
  <si>
    <t>VICTORIA GABRIELLE LEITE PEREIRA</t>
  </si>
  <si>
    <t>EMEF RODRIGUES DE CARVALHO - (TERCEI.)</t>
  </si>
  <si>
    <t>GABRIEL DA SILVA MARQUES</t>
  </si>
  <si>
    <t>IGOR DA SILVA ALBINO</t>
  </si>
  <si>
    <t>MAYSA MONIKE SAMPAIO DA SILVA</t>
  </si>
  <si>
    <t>NATALIA DA SILVA LARANJEIRA</t>
  </si>
  <si>
    <t>Sindrome Metabólica</t>
  </si>
  <si>
    <t>EMEF VINÍCIUS DE MORAES - (TERCEI.)</t>
  </si>
  <si>
    <t>BRAYON VINICIUS FERREIRA SILVA</t>
  </si>
  <si>
    <t>DIOGO QUEIROZ DOS SANTOS</t>
  </si>
  <si>
    <t>LUCAS NEVES DE BARROS</t>
  </si>
  <si>
    <t>VITOR KAUA JOAQUIM FERREIRA SILVA</t>
  </si>
  <si>
    <t>EMEF VISC. DE TAUNAY - (TERCEI.)</t>
  </si>
  <si>
    <t>ASAPH AUGUSTO MORAES CANDIDO</t>
  </si>
  <si>
    <t>JOICE RAPADO DE OLIVEIRA</t>
  </si>
  <si>
    <t>MAYARA PIRES DOS SANTOS</t>
  </si>
  <si>
    <t>REBECA DE ALMEIDA COSTA SOARES</t>
  </si>
  <si>
    <t>EMEI ADEVALDO DE MORAES - (TERCEI.)</t>
  </si>
  <si>
    <t>ELIZA AMANCIO NUNES</t>
  </si>
  <si>
    <t>EMEI APARECIDA CANDIDA DOS SANTOS DE JESUS - DNA. CIDICA (TERC)</t>
  </si>
  <si>
    <t>CAYO HENRIQUE RODRIGUES MARTINS</t>
  </si>
  <si>
    <t>EMANUEL RESENDE ALVES</t>
  </si>
  <si>
    <t>Alergia a Ovo; Alergia a Proteína do Leite de Vaca; Alergia a Corantes; Alergia a Oleaginosas - Amendoim; Alergia a Oleaginosas - Castanha do Pará; Alergia a Oleaginosas - Castanha de Caju; Alergia a Oleaginosas - Castanha de Barú</t>
  </si>
  <si>
    <t>JULIA FERNANDES SANTANA</t>
  </si>
  <si>
    <t>MIGUEL LEITE DE ALMEIDA</t>
  </si>
  <si>
    <t>SOPHIA CARVALHO DE SOUZA</t>
  </si>
  <si>
    <t>YASMIM FERNANDA DOS ANJOS DE SOUSA</t>
  </si>
  <si>
    <t>EMEI ATAULFO ALVES (TERC)</t>
  </si>
  <si>
    <t>GUSTAVO HENRIQUE DE SOUZA RESENDE</t>
  </si>
  <si>
    <t>EMEI BENJAMIN CONSTANT (TERC)</t>
  </si>
  <si>
    <t>EDNA CLARICE DOMINGOS ROCHA</t>
  </si>
  <si>
    <t>EVELLYN VITORIA SANTOS GONCALVES DA SILVA</t>
  </si>
  <si>
    <t>GIOVANNA LIMA DA SILVA</t>
  </si>
  <si>
    <t>Alergia a Corantes; Alergia a Frutos do Mar</t>
  </si>
  <si>
    <t>ISABELLA FERNANDES CAVALCANTE</t>
  </si>
  <si>
    <t>ISABELLY SOUSA NEGREIROS</t>
  </si>
  <si>
    <t>IZADORA ROSA DOS SANTOS</t>
  </si>
  <si>
    <t>LUCAS TAVARES DOS SANTOS</t>
  </si>
  <si>
    <t>LUIZ FELIPE ALVES DA SILVA</t>
  </si>
  <si>
    <t>LUIZ FELIPE SILVEIRA ARAUJO</t>
  </si>
  <si>
    <t>VITORIA ALVES RODRIGUES</t>
  </si>
  <si>
    <t>EMEI CARMEM MIRANDA - (TERCEI.)</t>
  </si>
  <si>
    <t>DAVI ALIPIO SILVA</t>
  </si>
  <si>
    <t>JOANA SOFHIA PEREIRA DE SOUZA</t>
  </si>
  <si>
    <t>EMEI CECÍLIA MEIRELLES (TERC)</t>
  </si>
  <si>
    <t>CHRISTIAN LIMA DE ASSIS</t>
  </si>
  <si>
    <t>EMEI CHARLES CHAPLIN - (TERCEI.)</t>
  </si>
  <si>
    <t>CARLOS EDUARDO NUNES MATIAS</t>
  </si>
  <si>
    <t>RAMON MIGUEL OLIVEIRA ALEXANDRE</t>
  </si>
  <si>
    <t>Alergia ao Trigo; Intolerância Alimentar - Peixe; Intolerância Alimentar - Ovo; Alergia a Oleaginosas - Amendoim; Intolerância Alimentar - Soja</t>
  </si>
  <si>
    <t>EMEI CHIQUINHA GONZAGA - (TERCEI.)</t>
  </si>
  <si>
    <t>JULIA TRINDADE DA SILVA</t>
  </si>
  <si>
    <t>LARISSA SANTOS GOMES</t>
  </si>
  <si>
    <t>PEDRO HENRIQUE DANTAS DE SOUZA</t>
  </si>
  <si>
    <t>EMEI CLOVIS BEVILACQUA - (TERCEI.)</t>
  </si>
  <si>
    <t>ANA CLARA MARQUES TRINDADE</t>
  </si>
  <si>
    <t>Intolerância Alimentar - Salsicha</t>
  </si>
  <si>
    <t>ENZO LUCCA TORRES BARBOZA</t>
  </si>
  <si>
    <t>FELLIPE MARTINS VIEIRA</t>
  </si>
  <si>
    <t>PEDRO MARQUES BLANCO DIAS</t>
  </si>
  <si>
    <t>EMEI CONJ. HAB. SÃO FRANCISCO - (TERCEI.)</t>
  </si>
  <si>
    <t>ANA BEATRIZ LEITE DE LIMA</t>
  </si>
  <si>
    <t>CAMILY ALVES DO SANTOS</t>
  </si>
  <si>
    <t>RAQUEL CORREIA DE LOPES</t>
  </si>
  <si>
    <t>EMEI DANTON CASTILHO CABRAL (TERC)</t>
  </si>
  <si>
    <t>EMEI DNA. MARIA DE LOURDES COUTINHO TORRES - (TERCEI.)</t>
  </si>
  <si>
    <t>ANA LUIZA NOVAIS DE SOUSA</t>
  </si>
  <si>
    <t>EMEI DR. ADALBERTO PANZAN (TERC)</t>
  </si>
  <si>
    <t>PIETRO JOSE BEZERRA DA SILVA</t>
  </si>
  <si>
    <t>EMEI DR. VITAL BRASIL  - (TERCEI.)</t>
  </si>
  <si>
    <t>GUILHERME BORGES ALVES</t>
  </si>
  <si>
    <t>Intestino Curto</t>
  </si>
  <si>
    <t>ISABELLA PAIVA FERREIRA</t>
  </si>
  <si>
    <t>LAEL CARVALHO DOS SANTOS</t>
  </si>
  <si>
    <t>LIVIA DA SILVA SANTIAGO</t>
  </si>
  <si>
    <t>MARVYN BRITO GONCALVES</t>
  </si>
  <si>
    <t>Alergia a Proteína do Leite de Vaca; Alergia a Soja; Alergia a Corantes</t>
  </si>
  <si>
    <t>EMEI ELIS REGINA - (TERCEI.)</t>
  </si>
  <si>
    <t>NICOLAS DE QUEIROZ NUNES DA SILVA</t>
  </si>
  <si>
    <t>VITORIA BRITO BROCAL</t>
  </si>
  <si>
    <t>EMEI FELIPE DE OLIVEIRA - (TERCEI.)</t>
  </si>
  <si>
    <t>ARTHUR BATISTA GOMES</t>
  </si>
  <si>
    <t>Alergia a Fruta - Abacaxi; Alergia a Fruta - Morango</t>
  </si>
  <si>
    <t>ARTHUR DAMASCENO SILVA</t>
  </si>
  <si>
    <t>CARLOS GABRIEL DE SOUZA LOPES</t>
  </si>
  <si>
    <t>GIOVANNA PESTANA DE OLIVEIRA</t>
  </si>
  <si>
    <t>JOAO VITOR DE SOUSA PEREIRA</t>
  </si>
  <si>
    <t>KEISSON SILVA DE MOURA</t>
  </si>
  <si>
    <t>LUCAS SOUZA LIMA</t>
  </si>
  <si>
    <t>PEDRO HENRIQUE GONCALVES DA SILVA</t>
  </si>
  <si>
    <t>SAMUEL SOUZA VIEIRA</t>
  </si>
  <si>
    <t>VITORIA MARIA FREIRE FIGUEIREDO</t>
  </si>
  <si>
    <t>YASMIM FERREIRA CAVALCANTE</t>
  </si>
  <si>
    <t>EMEI FRANCISCO ADAUTO RODRIGUES (TERC)</t>
  </si>
  <si>
    <t>BEATRIZ VIANA DE CARVALHO</t>
  </si>
  <si>
    <t>HYGOR MIGUEL SALES DOS SANTOS</t>
  </si>
  <si>
    <t>MICKAELLY DOS SANTOS CARVALHO DE JESUS</t>
  </si>
  <si>
    <t>EMEI IGUATEMI (TERC)</t>
  </si>
  <si>
    <t>LUCAS FERNANDES PORTUGAL</t>
  </si>
  <si>
    <t>THAYLA LAVINIA RODRIGUES ZANELLA</t>
  </si>
  <si>
    <t>EMEI JARDIM PREMIANO - (TERCEI.)</t>
  </si>
  <si>
    <t>LUCAS BERNARDO SANTOS DE OLIVEIRA</t>
  </si>
  <si>
    <t>EMEI JD. DA CONQUISTA II - (TERCEI.)</t>
  </si>
  <si>
    <t>HENRIQUE ADAO COUTINHO</t>
  </si>
  <si>
    <t>ISRAEL FERREIRA DE SOUZA</t>
  </si>
  <si>
    <t>LEVI ALVES DE SANTANA SANTOS</t>
  </si>
  <si>
    <t>SOPHYA NASCIMENTO DOS SANTOS</t>
  </si>
  <si>
    <t>VIKTOR KAUA NASCIMENTO SANTOS</t>
  </si>
  <si>
    <t>EMEI JD. IMPERADOR - (TERCEI.)</t>
  </si>
  <si>
    <t>MIGUEL EVARISTO SENA</t>
  </si>
  <si>
    <t>EMEI JESUINA NUNES BARBOSA (TERC)</t>
  </si>
  <si>
    <t>ARTHUR RODRIGUES</t>
  </si>
  <si>
    <t>JULIA VITORIA DAVID BARROS</t>
  </si>
  <si>
    <t>YAN DAVI BORGES AVELAR</t>
  </si>
  <si>
    <t>EMEI JOSÉ CLEMENTE PEREIRA (TERC)</t>
  </si>
  <si>
    <t>JHONATAN ALVES TENORIO</t>
  </si>
  <si>
    <t>EMEI JOSÉ MAURO DE VASCONCELOS (TERC)</t>
  </si>
  <si>
    <t>VICTORIA APARECIDA SOUZA</t>
  </si>
  <si>
    <t>EMEI MANOEL FIEL FILHO (TERC)</t>
  </si>
  <si>
    <t>ANNA KLARA ARQUILINO DE SOUZA</t>
  </si>
  <si>
    <t>BRAYAN SANTOS SIMOES</t>
  </si>
  <si>
    <t>MURILLO RAPHAEL SILVA AGUIAR</t>
  </si>
  <si>
    <t>EMEI MÁRIO DE ANDRADE (TERC)</t>
  </si>
  <si>
    <t>ALIX SAMUEL ALMEIDA MATOS</t>
  </si>
  <si>
    <t>EMEI ORIGENES LESSA (TERC)</t>
  </si>
  <si>
    <t>BEATRIZ FERNANDES DUARTE</t>
  </si>
  <si>
    <t>EMANUELLE APARECIDA CARVALHO SOUSA</t>
  </si>
  <si>
    <t>ENZO CACULA DOS SANTOS</t>
  </si>
  <si>
    <t>SARAH DE ARAUJO PEREIRA COUVO</t>
  </si>
  <si>
    <t>EMEI PESTALOZZI (TERC)</t>
  </si>
  <si>
    <t>ANDERSON JUNIOR CARDOSO DE SOUZA</t>
  </si>
  <si>
    <t>DAVI SOUTO TRINDADE</t>
  </si>
  <si>
    <t>GABRIEL AUGUSTO SOARES FLORINDO</t>
  </si>
  <si>
    <t>GUILHERME ARAUJO MOREIRA FERMINIO</t>
  </si>
  <si>
    <t>JOSE RICARDO CORREIA DA SILVA</t>
  </si>
  <si>
    <t>SHAFFIRA NASCIMENTO QUEIROZ</t>
  </si>
  <si>
    <t>EMEI PROF. CARLOS HUMBERTO VOLPON - (TERCEI.)</t>
  </si>
  <si>
    <t>ISABELLA GOMES DA SILVA</t>
  </si>
  <si>
    <t>LUIS FELIPE MIRANDA SILVA</t>
  </si>
  <si>
    <t>EMEI PROF. HENRIQUE RICCHETTI - (TERCEI.)</t>
  </si>
  <si>
    <t>ARTHUR JACOBUCCI MAZIERO</t>
  </si>
  <si>
    <t>EMEI PROF. JOSÉ VICENTE DA CUNHA (TERC)</t>
  </si>
  <si>
    <t>EDUARDO FARIAS BORGES</t>
  </si>
  <si>
    <t>JOAO MURILO SILVA MATHIAS</t>
  </si>
  <si>
    <t>LARA ANJOS MARQUES</t>
  </si>
  <si>
    <t>MATHEUS HENRIQUE RODRIGUES TEODORO</t>
  </si>
  <si>
    <t>EMEI PROF. MANUEL DE ALVARENGA FREIRE JR. - (TERCEI.)</t>
  </si>
  <si>
    <t>GEOVANNA SANTANA ALVES AGOSTINHO</t>
  </si>
  <si>
    <t>KEMYLLY SILVA MOREIRA</t>
  </si>
  <si>
    <t>LUANA SANTOS DA SILVA</t>
  </si>
  <si>
    <t>RALISON FERNANDO PEREIRA DA CRUZ</t>
  </si>
  <si>
    <t>EMEI PROF. ROQUE S. M. BARROS - CEU SÃO RAFAEL - (TERCEI.)</t>
  </si>
  <si>
    <t>PETERSON FERREIRA RIBEIRO</t>
  </si>
  <si>
    <t>EMEI PROFª PAULA CRISTINA RODRIGUES(TERCEI.)</t>
  </si>
  <si>
    <t>Dislipidemia; Intolerância à Lactose</t>
  </si>
  <si>
    <t>EMEI PROFA. ANTONIA DE O. M. DE ARAÚJO - (TERCEI.)</t>
  </si>
  <si>
    <t>ANA LUIZA SILVINO IZIDORO</t>
  </si>
  <si>
    <t>Intolerância à Lactose; Alergia a Embutidos</t>
  </si>
  <si>
    <t>EMEI PROFA. RUMI OIKAWA - (TERCEI.)</t>
  </si>
  <si>
    <t>CESAR RODRIGUES SANCHES OLIVEIRA</t>
  </si>
  <si>
    <t>GUILHERME CARDOSO SANTOS</t>
  </si>
  <si>
    <t>MIGUEL DA CRUZ SOUZA</t>
  </si>
  <si>
    <t>EMEI RACHEL MESQUITA DE SALLES OLIVEIRA - (TERCEI.)</t>
  </si>
  <si>
    <t>NATHALY VITORIA PEREIRA DOS SANTOS</t>
  </si>
  <si>
    <t>EMEI TOM JOBIM (TERC)</t>
  </si>
  <si>
    <t>ANA CLARA NASCIMENTO GUEDES</t>
  </si>
  <si>
    <t>DAVI PEREIRA DE OLIVEIRA</t>
  </si>
  <si>
    <t>MIGUEL JUAN SILVA PEDROSO</t>
  </si>
  <si>
    <t>Alergia a Corantes; Alergia a Embutidos; Alergia a Oleaginosas - Amendoim; Alergia a Chocolate/Cacau; Alergia a Carne Suina; Alergia a Enlatados</t>
  </si>
  <si>
    <t>NICOLLY MAIA ALENCAR DE CASTRO</t>
  </si>
  <si>
    <t>3) Esta planilha contém TRÊS abas. O modo de preenchimento está descrito abaixo. Esta planilha deve ser enviada por e-mail para DRE e ser impressa - 2 vias para a DRE. IMPRIMIR AS ABAS EM VERDE (EMEI).</t>
  </si>
  <si>
    <t>Selecione o Código EOL da sua Unidade (Os dados da unidade serão preenchidos automaticamente)</t>
  </si>
  <si>
    <r>
      <t xml:space="preserve">No PERÍODO INTEGRAL (8h): </t>
    </r>
    <r>
      <rPr>
        <sz val="10"/>
        <color theme="1"/>
        <rFont val="Calibri"/>
        <family val="2"/>
        <scheme val="minor"/>
      </rPr>
      <t xml:space="preserve">Preencher o número de matriculados no período.  </t>
    </r>
  </si>
  <si>
    <r>
      <t xml:space="preserve">1, 2 e 3º PERÍODO: </t>
    </r>
    <r>
      <rPr>
        <sz val="10"/>
        <color theme="1"/>
        <rFont val="Calibri"/>
        <family val="2"/>
        <scheme val="minor"/>
      </rPr>
      <t>Preencher o número de matriculados em cada  período. Atentar-se ao número de horas de cada período, podendo modificar o número de horas, tendo as seguintes opções: 4h e 4 a 6h.</t>
    </r>
  </si>
  <si>
    <t>Dos totais de matriculados, registrar o número de crianças matriculadas com dieta especial tipo A e tipo B de cada período.</t>
  </si>
  <si>
    <t>Caso haja crianças com dieta enteral apontar o número de crianças na dieta tipo A e no campo "dieta enteral"</t>
  </si>
  <si>
    <t>Informar a frequência dos alunos em cada período.</t>
  </si>
  <si>
    <r>
      <t xml:space="preserve"> Informar a quantidade de Lanche 4h e/ou Lanche 6h dos alunos </t>
    </r>
    <r>
      <rPr>
        <b/>
        <i/>
        <sz val="10"/>
        <color rgb="FF000000"/>
        <rFont val="Calibri"/>
        <family val="2"/>
        <scheme val="minor"/>
      </rPr>
      <t>SEM dieta especial tipo A e B</t>
    </r>
    <r>
      <rPr>
        <sz val="10"/>
        <color rgb="FF000000"/>
        <rFont val="Calibri"/>
        <family val="2"/>
        <scheme val="minor"/>
      </rPr>
      <t>, de acordo com o horário de atendimento de cada período mencionado na parte superior da planilha  (células J16 a J19)</t>
    </r>
  </si>
  <si>
    <t>Informar a quantidade de refeição e sobremesa (separadas por 1ª oferta e repetição) para todos alunos frequentes, independente de ter dieta especial ou não.</t>
  </si>
  <si>
    <t>EXCEÇÃO: Refeições de alunos com dieta enteral NÃO devem ser apontadas junto com os demais alunos e sim no na parte de dieta especial.</t>
  </si>
  <si>
    <t>A quantidade de repetições das refeições e sobremesas devem ser apontadas em colunas específicas. Quando a sobremesa do dia for doce, não pode ser oferecida repetição e a planilha bloqueia a repetição.</t>
  </si>
  <si>
    <t>Informar a frequência dos alunos com dieta especial A e dieta especial B a partir da linha 75.</t>
  </si>
  <si>
    <t xml:space="preserve">Se necessário, informar o número de kit lanche e merenda seca servidos. Anexar as autorizações para que o pagamento possa ser efetivado. </t>
  </si>
  <si>
    <t>Caso haja baixa frequência ou baixo consumo (menos que 50%) a célula ficará vermelha e deverá ser acrescentada uma justificativa (ex: Reunião Pedagógica, dia chuvoso, etc) no campo "observações" referente ao dia entre as linhas 75 e 105.</t>
  </si>
  <si>
    <r>
      <t>O responsável pela conferência na DRE deverá assinar,</t>
    </r>
    <r>
      <rPr>
        <b/>
        <sz val="10"/>
        <color theme="1"/>
        <rFont val="Calibri"/>
        <family val="2"/>
        <scheme val="minor"/>
      </rPr>
      <t xml:space="preserve"> carimbar e datar</t>
    </r>
    <r>
      <rPr>
        <sz val="10"/>
        <color theme="1"/>
        <rFont val="Calibri"/>
        <family val="2"/>
        <scheme val="minor"/>
      </rPr>
      <t xml:space="preserve"> do relatório de medição inicial. </t>
    </r>
  </si>
  <si>
    <r>
      <t xml:space="preserve">Relatório de fiscalização do diretor </t>
    </r>
    <r>
      <rPr>
        <b/>
        <sz val="10"/>
        <color rgb="FFFF0000"/>
        <rFont val="Calibri"/>
        <family val="2"/>
        <scheme val="minor"/>
      </rPr>
      <t>(deverá ser preenchido em arquivo específico)</t>
    </r>
  </si>
  <si>
    <t>Aba Notificação de utensílios de mesa/cozinha será habilitada se tiver apontamento nos itens 30 e 31 do Relatório do diretor</t>
  </si>
  <si>
    <t>Aba Notificação de equipamentos/mobiliários será habilitada se tiver apontamento nos itens 32 e 33 do Relatório do diretor</t>
  </si>
  <si>
    <t>Aba Doc Manutenção de equipamentos / Reparo e adaptação será habilitada se tiver apontamento nos itens 34, 35, 36 do Relatório do diretor</t>
  </si>
  <si>
    <t>Aba "IMPRESSÃO_RELATORIO" é apenas para impressão do RELATÓRIO DE FISCALIZAÇÃO DO DIRETOR. Para tal, clique no botão: "organizar para imprimir", leia o relatório, confira se todas as ocorrências e datas estão corretas e imprima. NÃO ESQUEÇA de imprimir TODAS AS ABAS VERDES (IMPRESSÃO_RELATORIO e TAC (quando houver)).</t>
  </si>
  <si>
    <t>O relatório de medição deverá ser impresso para ser enviada no 2º dia útil de cada mês para DRE que enviará a CODAE, conforme Cronograma estabelecido. O arquivo em excel (salvo com o código eol da Unidade) também deverá ser enviado por e-mail para a DRE.</t>
  </si>
  <si>
    <t>Comercial Milano Brasil LTDA</t>
  </si>
  <si>
    <t>1º PERÍODO MATUTINO</t>
  </si>
  <si>
    <t>INTEGRAL (8 horas)</t>
  </si>
  <si>
    <t>1) Esta é a medição do serviço, na qual o diretor é responsável por informar a quantidade de alimentação servida por dia, por tipo, por período e eventuais ocorrências, mensalmente.</t>
  </si>
  <si>
    <t>dre</t>
  </si>
  <si>
    <t>email</t>
  </si>
  <si>
    <t>Guainazes</t>
  </si>
  <si>
    <t>alimentacaoescolar.dreg@gmail.com</t>
  </si>
  <si>
    <t>Itaquera</t>
  </si>
  <si>
    <t>alimentacaoiq@gmail.com</t>
  </si>
  <si>
    <t>Freguesia do Ó</t>
  </si>
  <si>
    <t>alimentcaoescolardrefb@gmail.com</t>
  </si>
  <si>
    <t>São Mateus</t>
  </si>
  <si>
    <t>apenasplanilha@gmail.com</t>
  </si>
  <si>
    <t>Ipiranga</t>
  </si>
  <si>
    <t>merendaipiranga@gmail.com</t>
  </si>
  <si>
    <t>São Miguel Paulista</t>
  </si>
  <si>
    <t>drempmerenda@gmail.com</t>
  </si>
  <si>
    <t>Capela do Socorro</t>
  </si>
  <si>
    <t>alimentacaoescolar.cs@gmail.com</t>
  </si>
  <si>
    <t>Penha</t>
  </si>
  <si>
    <t xml:space="preserve">aterceirizadadrepenha@gmail.com    </t>
  </si>
  <si>
    <t>CEI MUN. CONJ. HAB. BRIG. FARIA LIMA (TERC)</t>
  </si>
  <si>
    <t>EMEI PROFA. DENISE MERCIER RODRIGUES AGUIAR (TERC.)</t>
  </si>
  <si>
    <t>EMEI DR. BUENO DE AZEVEDO (TERC.)</t>
  </si>
  <si>
    <t>EMEI PE. MANOEL DA NÓBREGA (TERC.)</t>
  </si>
  <si>
    <t>EMEI PROFA. MARIA HELENA BARBOSA MARTINS (TERC.)</t>
  </si>
  <si>
    <t>EMEI RONALD DE CARVALHO (TERC.)</t>
  </si>
  <si>
    <t>EMEI SEN. CARLOS JEREISSAT (TERC.)</t>
  </si>
  <si>
    <t>EMEI PROFA. THEREZA THÉ DE CARVALHO (TERC.)</t>
  </si>
  <si>
    <t>EMEI JOÃO RUBENS MARCELO (TERC.)</t>
  </si>
  <si>
    <t>EMEI PROFA. CECÍLIA SANT'ANNA DE SOUZA (TERC.)</t>
  </si>
  <si>
    <t>EMEI CARLOS GOMES (TERC.)</t>
  </si>
  <si>
    <t>CEI MUN. VER. JOÃO TONIOLO (TERC)</t>
  </si>
  <si>
    <t>EMEF MILTON PEREIRA COSTA - ANTIG. EMEF VILA JACUI (TERC)</t>
  </si>
  <si>
    <t>GABRIEL KENZO ALMEIDA MATSUOKA</t>
  </si>
  <si>
    <t>ANA LUISA SANTOS VIEIRA</t>
  </si>
  <si>
    <t>ARTHUR CEZAR RAMOS DE SOUZA</t>
  </si>
  <si>
    <t>ISABELLA DE OLIVEIRA</t>
  </si>
  <si>
    <t>JAMES RIBEIRO GOULART DA SILVA</t>
  </si>
  <si>
    <t>HELENA SOUZA DOS SANTOS</t>
  </si>
  <si>
    <t>SARA ESTER MENDES FONSECA</t>
  </si>
  <si>
    <t>MIKAELLY ALVES SAMPAIO</t>
  </si>
  <si>
    <t>DAVI MOREIRA NASCIMENTO COELHO</t>
  </si>
  <si>
    <t>IGOR ZILLIG DA SILVA</t>
  </si>
  <si>
    <t>LUCAS FRANCO ROSSINI</t>
  </si>
  <si>
    <t>LUCAS DE PAULO CAVALCANTE FARIAS</t>
  </si>
  <si>
    <t>LUCAS SANTANA DE JESUS</t>
  </si>
  <si>
    <t>RAISSA ALVES PEREIRA</t>
  </si>
  <si>
    <t>MURILO SOUZA SANTANA</t>
  </si>
  <si>
    <t>MARCELINO ANTONIO DA SILVA ABREU</t>
  </si>
  <si>
    <t>GABRIEL NOVAIS ANUNCIACAO</t>
  </si>
  <si>
    <t>ENZO GABRIEL SAMPAIO PEREIRA DOS SANTOS</t>
  </si>
  <si>
    <t>GABRIELA PEREIRA ANDRADE</t>
  </si>
  <si>
    <t>JOSE VITOR MOURA LUIZ</t>
  </si>
  <si>
    <t>KAIO NATANIEL DA SILVA ARAUJO</t>
  </si>
  <si>
    <t>KAUA NATANAEL DA SILVA ARAUJO</t>
  </si>
  <si>
    <t>MARIA CLARA FONSECA DE OLIVEIRA</t>
  </si>
  <si>
    <t>DAVID GUILGER ARAUJO</t>
  </si>
  <si>
    <t>ANA BEATRIZ ARAUJO FERREIRA</t>
  </si>
  <si>
    <t>SOPHIA ROSA DA SILVA</t>
  </si>
  <si>
    <t>YURI MARINHO DOS SANTOS</t>
  </si>
  <si>
    <t>ISABELA DO CARMO BATISTA</t>
  </si>
  <si>
    <t>HUDSON ROCHA DOS SANTOS</t>
  </si>
  <si>
    <t>MARIA EDUARDA LEITE ALVES</t>
  </si>
  <si>
    <t>SARAH MARIA MATOS PALMEIRA</t>
  </si>
  <si>
    <t>RAFAEL WILLIAN DIONISIO DE CARVALHO</t>
  </si>
  <si>
    <t>NICOLLY DA SILVA MARTINS</t>
  </si>
  <si>
    <t>CARLOS EDUARDO NOVAIS SOUZA DE OLIVEIRA</t>
  </si>
  <si>
    <t>JOAO GABRIEL ANDRADE ARAUJO</t>
  </si>
  <si>
    <t>ISABELLA NASCIMENTO DOS SANTOS</t>
  </si>
  <si>
    <t>HEBERT ENZO CARVALHO MENDES</t>
  </si>
  <si>
    <t>GUSTAVO DE LIRA VITAL</t>
  </si>
  <si>
    <t>VALENTINA COSTA DE MELO</t>
  </si>
  <si>
    <t>JUAN MATHEUS DOS SANTOS OLIVEIRA</t>
  </si>
  <si>
    <t>ANA CLARA RODRIGUES</t>
  </si>
  <si>
    <t>LIAM TAYLER DA SILVA FARIAS</t>
  </si>
  <si>
    <t>JHONNATHAN DAVID DE LIRA DANTAS DA SILVA</t>
  </si>
  <si>
    <t>VINICIUS MICHILES BERNARDO</t>
  </si>
  <si>
    <t>LUIS FERNANDO SANTOS SOUZA</t>
  </si>
  <si>
    <t>MATEUS MATOS DA CRUZ</t>
  </si>
  <si>
    <t>ERICK DE SOUZA ARAUJO</t>
  </si>
  <si>
    <t>HUGO MARTINS MENDES</t>
  </si>
  <si>
    <t>BRENDA NICOLE DA SILVA TELES</t>
  </si>
  <si>
    <t>ARTHUR NODARI CHAVES</t>
  </si>
  <si>
    <t>JOAO PAULO DE OLIVEIRA SILVA</t>
  </si>
  <si>
    <t>MARIANA GARIBALDI LIMA</t>
  </si>
  <si>
    <t>DAWYD SOUSA TORQUATO</t>
  </si>
  <si>
    <t>ARTHUR MARIANO SOUSA BARBOSA</t>
  </si>
  <si>
    <t>LAIS SODRE NOGUEIRA FERREIRA SANTOS</t>
  </si>
  <si>
    <t>GABRIEL DE MORAES GARCIA</t>
  </si>
  <si>
    <t>SOPHIA ALVES CLIMACO</t>
  </si>
  <si>
    <t>PIETRO DE OLIVEIRA</t>
  </si>
  <si>
    <t>ENZO GABRIEL TEIXEIRA DA SILVA</t>
  </si>
  <si>
    <t>MATHEUS AUGUSTO ALMEIDA QUINTINO SOARES</t>
  </si>
  <si>
    <t>MARIA EDUARDA DA SILVA MARQUES</t>
  </si>
  <si>
    <t>KAUAN SILVA DO CARMO</t>
  </si>
  <si>
    <t>MATHEUS CESAR CARNEIRO GONCALVES</t>
  </si>
  <si>
    <t>RAPHAEL HENRIQUE OLIVEIRA LIMA</t>
  </si>
  <si>
    <t>ARTHUR LUIZ SANTOS COSTA</t>
  </si>
  <si>
    <t>DANILO GUSTAVO DE OLIVEIRA AFONSO</t>
  </si>
  <si>
    <t>PEDRO BALBINO TANAKA</t>
  </si>
  <si>
    <t>DAVI JOSE DOS SANTOS DE LIMA</t>
  </si>
  <si>
    <t>ANDREY BRIDE DE OLIVEIRA</t>
  </si>
  <si>
    <t>GUSTAVO GABRIEL MIRANDA DE SOUZA</t>
  </si>
  <si>
    <t>GABRIELLY SANTOS SILVA</t>
  </si>
  <si>
    <t>BRYAN SILVA RODRIGUES</t>
  </si>
  <si>
    <t>VITOR LUIZ SOARES DA SILVA</t>
  </si>
  <si>
    <t>LUCAS GLEISON NASCIMENTO</t>
  </si>
  <si>
    <t>MARIA LUIZA CASSOLA VIEIRA</t>
  </si>
  <si>
    <t>GUSTAVO DOS SANTOS GOMES</t>
  </si>
  <si>
    <t>EMANUELE CARDOSO</t>
  </si>
  <si>
    <t>PEDRO HENRIQUE JUVENTINO</t>
  </si>
  <si>
    <t>THALYTA EMANUELLY DE SOUZA</t>
  </si>
  <si>
    <t>VINICIUS GABRIEL REIS SILVA</t>
  </si>
  <si>
    <t>MANUELLA FABRI SILVA</t>
  </si>
  <si>
    <t>LUCCA DA SILVA ROCHA</t>
  </si>
  <si>
    <t>BENTO DE SOUZA SANTOS</t>
  </si>
  <si>
    <t>MANUELLY CASTANHOLA AMBROSIO</t>
  </si>
  <si>
    <t>EDUARDA BISPO PASCOAL NASCIMENTO</t>
  </si>
  <si>
    <t>ALICE VITORIA PRADO OLIVEIRA</t>
  </si>
  <si>
    <t>ANA CAROLINE SILVEIRA FRANCISQUINI</t>
  </si>
  <si>
    <t>SANTIAGO LEITE CAMILO</t>
  </si>
  <si>
    <t>EDERSON HUANCA ARBIRI</t>
  </si>
  <si>
    <t>DANILO GOMES BIAZIN</t>
  </si>
  <si>
    <t>CARLA MENDES DO NASCIMENTO</t>
  </si>
  <si>
    <t>REBECA PADILLA MACEDO</t>
  </si>
  <si>
    <t>DIMITRI FERREIRA SALES</t>
  </si>
  <si>
    <t>GABRIELA OLIVEIRA DA COSTA</t>
  </si>
  <si>
    <t>ANA CLARA COIMBRA PEREIRA</t>
  </si>
  <si>
    <t>VITOR NYUAN DE ARAUJO DANTAS</t>
  </si>
  <si>
    <t>ISADORA ZANONI SANTOS</t>
  </si>
  <si>
    <t>ANA LUIZA ANSELONI SERRA</t>
  </si>
  <si>
    <t>PEDRO SILVA DE SOUZA</t>
  </si>
  <si>
    <t>DAVI LUCCA MAZINE DOS SANTOS</t>
  </si>
  <si>
    <t>SOPHIA MARQUES DE OLIVEIRA DA SILVA</t>
  </si>
  <si>
    <t>RAISSA VIEIRA DA MATA</t>
  </si>
  <si>
    <t>KENAY GABRIEL DE MELO UMBELINO</t>
  </si>
  <si>
    <t>BARBARA VICTORIA DA SILVA MOURA</t>
  </si>
  <si>
    <t>PATRICK GOMES DA SILVA FERREIRA</t>
  </si>
  <si>
    <t>ALLANA DOMINGUES DE OLIVEIRA</t>
  </si>
  <si>
    <t>ERICK WILLIAM CONDORI ROJAS</t>
  </si>
  <si>
    <t>LUCAS GABRIEL SANTOS SILVA</t>
  </si>
  <si>
    <t>GIOVANNA EDUARDA SILVA DE ALMEIDA</t>
  </si>
  <si>
    <t>AKYLLA VICTORIA SIMOES SANTOS</t>
  </si>
  <si>
    <t>ARTHUR DE SENA PIMENTEL</t>
  </si>
  <si>
    <t>BRUNA BETATRIZ MELQUIADES ASSUNÇÃO</t>
  </si>
  <si>
    <t>RYAN MULLER NASCIMENTO DOS SANTOS</t>
  </si>
  <si>
    <t>KAUA SABINO ANSELMO DA SILVA</t>
  </si>
  <si>
    <t>HELOISA ZANONO FRUTUOSO</t>
  </si>
  <si>
    <t>ISAC DOS SANTOS SOARES</t>
  </si>
  <si>
    <t>EDUARDO ELIABE LOPES GONDIN</t>
  </si>
  <si>
    <t>BEATRIZ DIAS DE OLIVEIRA E SILVA</t>
  </si>
  <si>
    <t>MATHEUS HENRIQUE CAMARGO FRANCISCO DA SILVA</t>
  </si>
  <si>
    <t>SOFIA COSTA RODRIGUES</t>
  </si>
  <si>
    <t>LARA SANTOS DO AMARAL</t>
  </si>
  <si>
    <t>REBECA SILVA SANTOS</t>
  </si>
  <si>
    <t>ARTHUR HENRIQUE DA SILVA</t>
  </si>
  <si>
    <t>VALLENTINA LIZ DA SILVA</t>
  </si>
  <si>
    <t>ANNA BEATRIS CORREA DE SOUZA</t>
  </si>
  <si>
    <t>JUAN NASCIMENTO SILVA</t>
  </si>
  <si>
    <t>JADY SANTOS OLIVEIRA SILVA</t>
  </si>
  <si>
    <t>BEATRIZ MOREIRA DE MORAES</t>
  </si>
  <si>
    <t>GUILHERME SANTOS DE SOUZA MATOS</t>
  </si>
  <si>
    <t>RODRIGO DE LIMA SIILVA</t>
  </si>
  <si>
    <t>PEDRO HENRIQUE AZEVEDO DA SILVA</t>
  </si>
  <si>
    <t>YASMIN FRANCA SILVA</t>
  </si>
  <si>
    <t>THALES SENA DE OLIVEIRA</t>
  </si>
  <si>
    <t>NYCOLAS JESUS ROMERA</t>
  </si>
  <si>
    <t>JOAO VICTOR FERREIRA SANTOS</t>
  </si>
  <si>
    <t>JOAO VICTOR TEIXEIRA NASCIMENTO</t>
  </si>
  <si>
    <t>CAMILLY CRISTINA BEZERRA DE FREITAS</t>
  </si>
  <si>
    <t>RAIANE MARQUES DA SILVA</t>
  </si>
  <si>
    <t>RUAN PABLO GARCIA RODRIGUES</t>
  </si>
  <si>
    <t>MARIA LUIZA GUELFI SILVA</t>
  </si>
  <si>
    <t>JUAN ANDREASSA DE SOUSA</t>
  </si>
  <si>
    <t>THOMAS RODOLFO MORAES DE SAL PEREIRA</t>
  </si>
  <si>
    <t>PIETRO BALDOINO MACHADO</t>
  </si>
  <si>
    <t>THAMIRES DAMAZIO COUTO</t>
  </si>
  <si>
    <t>LUCAS RODRIGO VENTURA FERREIRA</t>
  </si>
  <si>
    <t>ANDRE DOS SANTOS BEZERRA</t>
  </si>
  <si>
    <t>ALICE VITORIA FERNANDES MAESTRELLO</t>
  </si>
  <si>
    <t>NATHAN FERREIRA DA SILVA</t>
  </si>
  <si>
    <t>ANA LAURA SOUZA VIEIRA</t>
  </si>
  <si>
    <t>DAVI MIGUEL POLTRONIERI FIRMINO DA SILVA</t>
  </si>
  <si>
    <t>ISABELA DA SILVA FRANCHI</t>
  </si>
  <si>
    <t>BRENO CARDOSO DOS SANTOS</t>
  </si>
  <si>
    <t>JULIA SANTOS DOS REIS</t>
  </si>
  <si>
    <t>AGATHA ROBERTA SEVERIO DA SILVA</t>
  </si>
  <si>
    <t>TAINA LIMA XAVIER</t>
  </si>
  <si>
    <t>MARCOS DANYEL APOLINARIO PORTES</t>
  </si>
  <si>
    <t>LETICIA BORGES GOMES</t>
  </si>
  <si>
    <t>MURILLO WINICIUS ALVES DE OLIVEIRA</t>
  </si>
  <si>
    <t>BRUNO FELIPE PEPE DO NASCIMENTO</t>
  </si>
  <si>
    <t>LEONARDO NOGUEIRA SILVA FEITOSA</t>
  </si>
  <si>
    <t>LUCIANO TETSUO HAYAFUZI</t>
  </si>
  <si>
    <t>DAVI XAVIER RAMBA</t>
  </si>
  <si>
    <t>SAMUEL CUSTODIO DE MORAES</t>
  </si>
  <si>
    <t>GABRIEL SOUZA ARAUJO DAS NEVES</t>
  </si>
  <si>
    <t>RAFAELA CARVALHO SILVA</t>
  </si>
  <si>
    <t>VINICIUS LUIZ ANDRADE</t>
  </si>
  <si>
    <t>ERICK FAGUNDES LIMA</t>
  </si>
  <si>
    <t>TONNY HENRIQUE SOUZA DOS ANJOS</t>
  </si>
  <si>
    <t>MARCOS VINICIUS DO NASCIMENTO CAVALCANTE</t>
  </si>
  <si>
    <t>MAURICIO RIBEIRO DA SILVA</t>
  </si>
  <si>
    <t>HIORHANNA COUTO SANTANA</t>
  </si>
  <si>
    <t>GUILHERME BIEHL GAVIOLI</t>
  </si>
  <si>
    <t>NICOLAS SANDINI DUQUE</t>
  </si>
  <si>
    <t>LARISSA MARIA BASSI GODOY</t>
  </si>
  <si>
    <t>ARTUR ALVES NOBRE RIOS</t>
  </si>
  <si>
    <t>CLARICE DOS SANTOS SILVA</t>
  </si>
  <si>
    <t>VITOR HUGO SOARES SANTOS DE MELO</t>
  </si>
  <si>
    <t>JEAN PABLO DE LUCENA LIMA</t>
  </si>
  <si>
    <t>DAVI BERNARDO DA SILVA ASSINATO</t>
  </si>
  <si>
    <t>LUCAS TENORIO DA SILVA</t>
  </si>
  <si>
    <t>ARNALDO FERNANDES SALVIONI</t>
  </si>
  <si>
    <t>RENATO COSTA DIAS</t>
  </si>
  <si>
    <t>GUSTAVO SOARES DE MELO</t>
  </si>
  <si>
    <t>FELIPE FERNANDES DOS SANTOS LINO</t>
  </si>
  <si>
    <t>THIAGO WANDERSON MORAES DE LIMA</t>
  </si>
  <si>
    <t>ISABELLY DA SILVA TOMAS</t>
  </si>
  <si>
    <t>YASMIN CAVLAC DE SOUZA GOMES</t>
  </si>
  <si>
    <t>LUDMILA SILVA RODRIGUES ALVES</t>
  </si>
  <si>
    <t>MARIA EDUARDA MAGALHAES DE PAULO</t>
  </si>
  <si>
    <t>BRYAN MACHADO PRADO</t>
  </si>
  <si>
    <t>ESTER NICOLE MENDES DE NEDREIROS</t>
  </si>
  <si>
    <t>ISABELLE FERREIRA SARDINHA</t>
  </si>
  <si>
    <t>YURI JOSE DE ALCANTARA SILVA</t>
  </si>
  <si>
    <t>JOAO VITOR NOGUEIRA DE SOUZA</t>
  </si>
  <si>
    <t>Alergia a Proteína do Leite de Vaca; Alergia a Corantes; Alergia a Carne Suina; Alergia a Enlatados</t>
  </si>
  <si>
    <t>Alergia a Corantes; Alergia a Conservantes; Alergia a Embutidos; Alergia a Enlatados; Alergia a Sucos Artificiais</t>
  </si>
  <si>
    <t>Alergia a Ovo; Alergia a Proteína do Leite de Vaca; Alergia a Soja; Alergia a Corantes</t>
  </si>
  <si>
    <t>Alergia a Corantes; Alergia a Peixe; Alergia a Oleaginosas - Amendoim; Alergia a Chocolate/Cacau</t>
  </si>
  <si>
    <t>Dieta Pastosa; Acidúria Glutárica</t>
  </si>
  <si>
    <t>Intolerância Alimentar a Fruta - Maçã</t>
  </si>
  <si>
    <t>Alergia a Corantes; Alergia a Chocolate/Cacau; Alergia a Frutas Cítricas</t>
  </si>
  <si>
    <t>Abetalipoproteinemia</t>
  </si>
  <si>
    <t>Alergia a Proteína do Leite de Vaca; Alergia a Soja; Alergia a Corantes; Alergia a Oleaginosas - Amendoim</t>
  </si>
  <si>
    <t>Alergia a Camarão; Alergia a Peixe; Alergia a Frutos do Mar</t>
  </si>
  <si>
    <t>Alergia a Ovo; Alergia a Peixe; Alergia a Chocolate/Cacau</t>
  </si>
  <si>
    <t>Alergia a Corantes; Alergia a Fruta - Abacaxi; Alergia a Chocolate/Cacau; Alergia a Carne Suina; Alergia a Fruta - Kiwi; Alergia a Fruta - Morango; Alergia a Molho de Tomate; Alergia a Fruta - Açaí</t>
  </si>
  <si>
    <t>Alergia a Chocolate/Cacau; Alergia a Carne Suina</t>
  </si>
  <si>
    <t>Alergia a Proteína do Leite de Vaca; Alergia a Corantes; Alergia a Conservantes; Alergia a Embutidos; Alergia a Enlatados; Alergia a Sucos Artificiais</t>
  </si>
  <si>
    <t>Alergia a Lentilha; Alergia a Hortifruti - Ervilha</t>
  </si>
  <si>
    <t>Alergia a Corantes; Alergia a Peixe; Alergia a Frutos do Mar</t>
  </si>
  <si>
    <t>Purpura Henoch Schonlein</t>
  </si>
  <si>
    <t>Intolerância à Lactose; Alergia a Oleaginosas - Amendoim</t>
  </si>
  <si>
    <t>Dislipidemia; Gastrite; Refluxo Gastroesofágico</t>
  </si>
  <si>
    <t>CARLOS HENRIQUE SILVA LIMA</t>
  </si>
  <si>
    <t>LARISSA KAUANE AMARAL DA SILVA</t>
  </si>
  <si>
    <t>DAVI FRANCISCO NUNES DA SILVA</t>
  </si>
  <si>
    <t>NATHALLY BRITO SILVA</t>
  </si>
  <si>
    <t>GABRIEL SOUSA AMARAL</t>
  </si>
  <si>
    <t>Alergia a Fruta - Morango</t>
  </si>
  <si>
    <t>ARTHUR LUIZ PICININ PAIVA</t>
  </si>
  <si>
    <t>DAVI LUIZ ROCHA ROCCO</t>
  </si>
  <si>
    <t>Alergia a Proteína do Leite de Vaca; Alergia ao Trigo; Alergia a Peixe; Alergia a Carne Suina; Alergia a Carne Bovina; Alergia a Glúten</t>
  </si>
  <si>
    <t>BRENDA DE SOUZA</t>
  </si>
  <si>
    <t>NOAH CORREIA GOMES</t>
  </si>
  <si>
    <t>RENAN SANTANA DA SILVA</t>
  </si>
  <si>
    <t>Intolerância Alimentar a Fruta - Mamão</t>
  </si>
  <si>
    <t>HENRIQUE VIEIRA DE SOUZA</t>
  </si>
  <si>
    <t>Alergia a Feijão; Alergia a Hortifruti - Repolho</t>
  </si>
  <si>
    <t>BRENO ARAUJO DA SILVA</t>
  </si>
  <si>
    <t>Doença Diverticular</t>
  </si>
  <si>
    <t>JULIANA DE FREITAS DA SILVA</t>
  </si>
  <si>
    <t>EMEF PE. JOSÉ PEGORARO - (TERCEI.)</t>
  </si>
  <si>
    <t>PABLO HENRIQUE OLIVEIRA LIMA</t>
  </si>
  <si>
    <t>Intolerância Alimentar - Flocos de Milho</t>
  </si>
  <si>
    <t>MAYUMI MAXIMO SILVA</t>
  </si>
  <si>
    <t>SARAH OLIVEIRA AMORIM</t>
  </si>
  <si>
    <t>PIETRO LUCAS FREITAS AURICHI</t>
  </si>
  <si>
    <t>Alergia a Ovo; Alergia a Corantes; Alergia a Conservantes; Alergia a Oleaginosas - Amendoim; Alergia a Oleaginosas - Castanha do Pará; Alergia a Oleaginosas - Castanha de Caju; Alergia a Oleaginosas - Castanha de Barú; Alergia a Oleaginosas - Avelã; Alergia a Oleaginosas - Amêndoa; Alergia a Oleaginosas - Nozes</t>
  </si>
  <si>
    <t>BEATRIZ GOMES DE SOUZA</t>
  </si>
  <si>
    <t>EMEF DR. ELIAS SIQUEIRA CAVALCANTE - (TERCEI.)</t>
  </si>
  <si>
    <t>EVELLYN FERREIRA DA SILVA</t>
  </si>
  <si>
    <t>MARINA MINZIO SATO</t>
  </si>
  <si>
    <t>DAVI LUCCA DESPESSEL</t>
  </si>
  <si>
    <t>REBECA DA SILVA OLIVEIRA</t>
  </si>
  <si>
    <t>RAFAEL NOVAES SILVA</t>
  </si>
  <si>
    <t>KAUANE GUIMARAES SILVA</t>
  </si>
  <si>
    <t>ANNA JULIA CORREIA DA SILVA</t>
  </si>
  <si>
    <t>GUILHERME NUNES DA SILVA</t>
  </si>
  <si>
    <t>GEOVANNA SANTOS BARBOSA</t>
  </si>
  <si>
    <t>Dermatite</t>
  </si>
  <si>
    <t>SOPHIA GONCALVES DA SILVA</t>
  </si>
  <si>
    <t>WALLAS DE CARVALHO GONCALVES</t>
  </si>
  <si>
    <t>Acidose Metabólica</t>
  </si>
  <si>
    <t>GABRIEL DE FREITAS MOURA</t>
  </si>
  <si>
    <t>GIULIA SOBRINHO OLIVEIRA</t>
  </si>
  <si>
    <t>KETHELYN CRISTINA DOS SANTOS</t>
  </si>
  <si>
    <t>Intolerância Alimentar - Salsicha; Intolerância Alimentar a Fruta - Abacaxi; Intolerância Alimentar - Leite Fermentado</t>
  </si>
  <si>
    <t>GABRIELA SANTOS DE LUNA</t>
  </si>
  <si>
    <t>NICOLAS GOMES SILVA</t>
  </si>
  <si>
    <t>JOAO PEDRO SILVA SANTOS</t>
  </si>
  <si>
    <t>GIOVANNA DE ARAUJO BRAGA</t>
  </si>
  <si>
    <t>CLARICE BRITO PEREIRA SILVA</t>
  </si>
  <si>
    <t>LUCAS SILVA AMARAL</t>
  </si>
  <si>
    <t>LUCAS CRUZ BANDINI</t>
  </si>
  <si>
    <t>JULIA MARIANA NASCIMENTO</t>
  </si>
  <si>
    <t>MARIA FERNANDA OLIVEIRA DA PAZ</t>
  </si>
  <si>
    <t>Vômito</t>
  </si>
  <si>
    <t>ISABELLY ESPONQUIADO CAMARGO</t>
  </si>
  <si>
    <t>ARTUR CARNEIRO PINTO</t>
  </si>
  <si>
    <t>ANA CLARA OLIVEIRA SANTANA</t>
  </si>
  <si>
    <t>LEONARDO GOMES DOS SANTOS CALDEIRA</t>
  </si>
  <si>
    <t>HELOISA SANT ANA DE OLIVEIRA</t>
  </si>
  <si>
    <t>Alergia a Ovo; Alergia ao Trigo; Alergia a Corantes</t>
  </si>
  <si>
    <t>OLIVIA SANT ANA DE OLIVEIRA</t>
  </si>
  <si>
    <t>Alergia a Ovo; Alergia ao Trigo; Alergia a Soja; Alergia a Corantes</t>
  </si>
  <si>
    <t>LORENZO MIGUEL DE LIMA SOUZA</t>
  </si>
  <si>
    <t>Intolerância Alimentar a Hortifruti - Cenoura</t>
  </si>
  <si>
    <t>REBECA LOREN RIBEIRO AGUIAR</t>
  </si>
  <si>
    <t>TAYNA QUEIROZ DOS SANTOS</t>
  </si>
  <si>
    <t>Cefaléia</t>
  </si>
  <si>
    <t>KAYKE PEREIRA DA CONCEICAO</t>
  </si>
  <si>
    <t>MARCUS VINICIUS ARAUJO MENDES</t>
  </si>
  <si>
    <t>MAIRA BEATRIZ ARAUJO MENDES</t>
  </si>
  <si>
    <t>NICOLY SILVA SINHORELLI</t>
  </si>
  <si>
    <t>MARIA EDUARDA SILVA FARIAS</t>
  </si>
  <si>
    <t>Intolerância Alimentar - Leite com Achocolatado; Intolerância Alimentar a Fruta - Mamão</t>
  </si>
  <si>
    <t>Colecistectomia</t>
  </si>
  <si>
    <t>ENZO RAFAEL TARASCA DO NASCIMENTO</t>
  </si>
  <si>
    <t>DANIEL LEVI LOPES DE CARVALHO</t>
  </si>
  <si>
    <t>CEU CEI MUN. PROFª ADELAIDE TERESA LOPESCIMONARI - ANTIG. CEU CEI FORMOSA (TERCEI.)</t>
  </si>
  <si>
    <t>JOAO FERNANDO GONCALVES SILVA</t>
  </si>
  <si>
    <t>RIANNI YALODE VITORINO</t>
  </si>
  <si>
    <t>BRUNO SANTOS GOMES</t>
  </si>
  <si>
    <t>NICOLLAS RODRIGUES DE MORAIS</t>
  </si>
  <si>
    <t>GIOVANNA SANTOS DE LIMA</t>
  </si>
  <si>
    <t>MARIANA DE JESUS SILVA</t>
  </si>
  <si>
    <t>JOAO VITOR PEREIRA DA SILVA</t>
  </si>
  <si>
    <t>GUSTAVO CLARINDO KAISER CRUZ</t>
  </si>
  <si>
    <t>ENZO GABRIEL FREITAS SAMPAIO</t>
  </si>
  <si>
    <t>MANUELA ALEXANDRE DOS SANTOS</t>
  </si>
  <si>
    <t>TIFANNY PEREIRA SANTOS</t>
  </si>
  <si>
    <t>ANA JULIA CAMPOS OLIVEIRA</t>
  </si>
  <si>
    <t>Alergia a Salsicha; Alergia a Peixe; Alergia a Carne Suina</t>
  </si>
  <si>
    <t>MARIA CLARA VIEIRA ALENCAR</t>
  </si>
  <si>
    <t>BELLA HAHN VIEIRA</t>
  </si>
  <si>
    <t>RAYSSA OLIVEIRA DOS SANTOS</t>
  </si>
  <si>
    <t>NICOLLAS LUIZ OLIVEIRA DA SILVA</t>
  </si>
  <si>
    <t>SOPHIA NUNES DE MOURA</t>
  </si>
  <si>
    <t>LAURA SENA DA SILVA</t>
  </si>
  <si>
    <t>Alergia a Proteína do Leite de Vaca; Alergia ao Trigo; Alergia a Glúten</t>
  </si>
  <si>
    <t>ARTHUR JONATAN DOS SANTOS CABRAL</t>
  </si>
  <si>
    <t>Alergia a Ovo; Alergia a Proteína do Leite de Vaca; Alergia a Carne Bovina</t>
  </si>
  <si>
    <t>RHAMON BERNARDO VIANA</t>
  </si>
  <si>
    <t>ANNE BEATRIZ SANQUETTA NOGUEIRA DE SOUZA</t>
  </si>
  <si>
    <t>Alergia a Ovo; Alergia a Proteína do Leite de Vaca; Alergia a Soja; Alergia a Hortifruti - Tomate</t>
  </si>
  <si>
    <t>THAISSA VITORIA GUIMARAES ANDRADE</t>
  </si>
  <si>
    <t>LIVIA OLIVEIRA MIRANDA</t>
  </si>
  <si>
    <t>LAURA LIMA BONFIM</t>
  </si>
  <si>
    <t>NINNA EDUARDA LIMA DA SILVA</t>
  </si>
  <si>
    <t>ARTHUR DE SOUZA SANTOS</t>
  </si>
  <si>
    <t>Aftas</t>
  </si>
  <si>
    <t>DAVI DAMASIO RAIMUNDO</t>
  </si>
  <si>
    <t>NATHAN OLIVEIRA SENA</t>
  </si>
  <si>
    <t>LUIS HENRIQUE ALBUQUERQUE DE ALMEIDA</t>
  </si>
  <si>
    <t>ISAAC SILVA NEGRAO AKAMINE</t>
  </si>
  <si>
    <t>LUAN VIEIRA DE SOUZA</t>
  </si>
  <si>
    <t>OTAVIO CRISSOSTOMO DOS SANTOS</t>
  </si>
  <si>
    <t>ENZO KERCHER GIAMPAULO</t>
  </si>
  <si>
    <t>LAURA ALVES DE SOUSA ABREU</t>
  </si>
  <si>
    <t>IGOR TOLENTINO BADU</t>
  </si>
  <si>
    <t>YASMIN DA SILVA QUEIROZ</t>
  </si>
  <si>
    <t>JOAO VITOR DOS SANTOS RODRIGUES</t>
  </si>
  <si>
    <t>KAUAN GUSTAVO GATO DANTAS</t>
  </si>
  <si>
    <t>Intolerância Alimentar - Limão; Intolerância Alimentar a Fruta - Laranja; Intolerância Alimentar a Fruta - Abacaxi</t>
  </si>
  <si>
    <t>GABRIEL RIBEIRO DA SILVA</t>
  </si>
  <si>
    <t>GABRIEL IBRAHIM JESUS MOREIRA DOS SANTOS</t>
  </si>
  <si>
    <t>RAPHAEL ZANON SILVA</t>
  </si>
  <si>
    <t>ARTHUR DE FRANCA LIMA</t>
  </si>
  <si>
    <t>KEVIN NICOLAS RODRIGUES JURADO</t>
  </si>
  <si>
    <t>BRUNA IERVOLINO PASCHOAL VINHA</t>
  </si>
  <si>
    <t>SARAH EMANUELLY SANDRINI BERNARDES</t>
  </si>
  <si>
    <t>LETICIA IACOVINO MARQUES CARVALHO</t>
  </si>
  <si>
    <t>EWERTON DE SOUSA FERREIRA DA SILVA</t>
  </si>
  <si>
    <t>MAURICIO ZARUR DUARTE LUIZ MILE</t>
  </si>
  <si>
    <t>MARIA CLARA GOMES PEREIRA DA SILVA</t>
  </si>
  <si>
    <t>NICOLAS POHSNER MISAEL SERAFIN</t>
  </si>
  <si>
    <t>NICOLAS CORSINI DE FREITAS</t>
  </si>
  <si>
    <t>Alergia a Ovo; Alergia a Proteína do Leite de Vaca; Alergia a Fruta - Mamão; Alergia a Chocolate/Cacau; Alergia a Fruta - Laranja pera; Alergia a Frango; Alergia a Fruta - Pêra; Alergia a Fruta - Ameixa</t>
  </si>
  <si>
    <t>VINICIUS DOS SANTOS CARVALHO</t>
  </si>
  <si>
    <t>Alergia a Ovo; Alergia a Proteína do Leite de Vaca; Alergia a Peixe; Alergia a Frutos do Mar</t>
  </si>
  <si>
    <t>CARLOS WILLIAM OLIVEIRA SANTOS</t>
  </si>
  <si>
    <t>NOEMI CRISTINA MOREIRA LOPES</t>
  </si>
  <si>
    <t>THIAGO LAMEIRO DE ANDRADE</t>
  </si>
  <si>
    <t>ALEXSANDRO ROCHA</t>
  </si>
  <si>
    <t>Alergia a Hortifruti - Tomate; Alergia a Peixe; Alergia a Carne Suina; Alergia a Feijão; Alergia a Lentilha; Alergia a Frutas Cítricas</t>
  </si>
  <si>
    <t>LIVIA BEZERRA MENDES</t>
  </si>
  <si>
    <t>ANA LUIZA GOMES LOURENCO</t>
  </si>
  <si>
    <t>LEVY MENDES DA SILVA</t>
  </si>
  <si>
    <t>Alergia a Ovo; Alergia a Corantes; Alergia a Conservantes; Alergia a Embutidos; Alergia a Enlatados; Alergia a Sucos Artificiais</t>
  </si>
  <si>
    <t>MALVINO XAVIER MACIEL</t>
  </si>
  <si>
    <t>LEONARDO DE OLIVEIRA NEVES SANTOS</t>
  </si>
  <si>
    <t>EMEF PLÍNIO AYROSA - (TERCEI.)</t>
  </si>
  <si>
    <t>LETICIA MALAQUIAS DE LIMA</t>
  </si>
  <si>
    <t>NICOLLAS BURGOS VIEIRA</t>
  </si>
  <si>
    <t>JULIO CESAR FRAGA SANTANA</t>
  </si>
  <si>
    <t>EMEF JOÃO RIBEIRO DE BARROS - (TERCEI.)</t>
  </si>
  <si>
    <t>YAGO HENRIQUE PORTELA MARCONDES</t>
  </si>
  <si>
    <t>LORENA FELIX DA SILVA</t>
  </si>
  <si>
    <t>MARIANA RODRIGUES DA SILVA</t>
  </si>
  <si>
    <t>CARLOS EDUARDO MEIRELES LODGERO</t>
  </si>
  <si>
    <t>JOAO PEDRO ALVES DE CARVALHO</t>
  </si>
  <si>
    <t>DAVI RODRIGUES CRUZ</t>
  </si>
  <si>
    <t>VITORIA CONCEICAO SANTOS</t>
  </si>
  <si>
    <t>KEVIN LENY ALMANZA SINANI</t>
  </si>
  <si>
    <t>Alergia a Ovo; Diarreia; Intolerância à Lactose</t>
  </si>
  <si>
    <t>BENTO RODRIGUES MARINHO BANFI</t>
  </si>
  <si>
    <t>JULIA RECHE BENEVIDES CAVALCANTE</t>
  </si>
  <si>
    <t>LAYLA VITORIA VIEIRA</t>
  </si>
  <si>
    <t>PHEDRO HENRIQUE DOS SANTOS BASTOS</t>
  </si>
  <si>
    <t>ANA JULIA MOREIRA DE ALMEIDA</t>
  </si>
  <si>
    <t>HELOYSA BITTENCOURT DE ARAUJO</t>
  </si>
  <si>
    <t>EMILLY DA CRUZ SOUSA</t>
  </si>
  <si>
    <t>FELIPE LEOPOLDINO DA SIVA</t>
  </si>
  <si>
    <t>GUILHERME CABRAL FEDEL</t>
  </si>
  <si>
    <t>ESTHER DUARTE DE ALBUQUERQUE ARAUJO</t>
  </si>
  <si>
    <t>JEFERSON PINHEIRO</t>
  </si>
  <si>
    <t>LUCAS DOS SANTOS GUIMARAES</t>
  </si>
  <si>
    <t>GUSTAVO RODRIGUES DOS SANTOS</t>
  </si>
  <si>
    <t>MIGUEL MARINIELLO</t>
  </si>
  <si>
    <t>KAUAN YGOR FUMEIRO DA SILVA</t>
  </si>
  <si>
    <t>HAZZIEL ALEXANDRE CONCEICAO RUIZ</t>
  </si>
  <si>
    <t>EMEF PROF. ABRAÃO DE MORAES - (TERCEI.)</t>
  </si>
  <si>
    <t>JULIA ROSA DA SILVA</t>
  </si>
  <si>
    <t>LUCCAS RIBEIRO FARIAS</t>
  </si>
  <si>
    <t>HEITOR TEODORO GOMES DA COSTA</t>
  </si>
  <si>
    <t>GABRIELA CRISTINA CIRINO DA SILVA</t>
  </si>
  <si>
    <t>DANIEL ALVES FERNANDES CASTANHO</t>
  </si>
  <si>
    <t>PABLO HENRIQUE NASCIMENTO DOS SANTOS</t>
  </si>
  <si>
    <t>RAFAEL FERNANDO SILVA DE OLIVEIRA</t>
  </si>
  <si>
    <t>ISABELLA VIEIRA PINA</t>
  </si>
  <si>
    <t>Síncope</t>
  </si>
  <si>
    <t>EVELLYN VICTORIA ALVES GARDAO</t>
  </si>
  <si>
    <t>JOAO VICTOR MENDES PAMPONET</t>
  </si>
  <si>
    <t>CAROLINA GABRIEL INANGA</t>
  </si>
  <si>
    <t>VICTHOR DANTAS GONCALVES</t>
  </si>
  <si>
    <t>JOAO PAULO GARCIA SOARES</t>
  </si>
  <si>
    <t>MIGUEL VIEIRA MENDES</t>
  </si>
  <si>
    <t>JOAO VICTOR LIMA GARCEZ</t>
  </si>
  <si>
    <t>TICIANE SANTANA DUARTE</t>
  </si>
  <si>
    <t>Intolerância à Lactose; Intolerância Alimentar - Peixe; Intolerância Alimentar - Corantes</t>
  </si>
  <si>
    <t>THIAGO SANTANA SOUZA SILVA</t>
  </si>
  <si>
    <t>BRENNO TAVARES SANTANA</t>
  </si>
  <si>
    <t>NICOLE VITORIA RODRIGUES DA SILVA</t>
  </si>
  <si>
    <t>ALEXANDRE DE OLIVEIRA ALCANTARA</t>
  </si>
  <si>
    <t>EMILY GUIMARAES LIMA</t>
  </si>
  <si>
    <t>MARCELLA ISIS RODRIGUES ERNESTO</t>
  </si>
  <si>
    <t>ASHELEY DE FREITAS SILVA</t>
  </si>
  <si>
    <t>MIGUEL FARIAS BERNARDO</t>
  </si>
  <si>
    <t>GUSTAVO CAMERA DOS SANTOS</t>
  </si>
  <si>
    <t>MELISSA VICTORIA MATOS GUIMARAES</t>
  </si>
  <si>
    <t>KAIO MANOEL DE PAULA SOUZA</t>
  </si>
  <si>
    <t>ERICK FERREIRA CAMPOS</t>
  </si>
  <si>
    <t>HELENA MARTINS MARQUES</t>
  </si>
  <si>
    <t>JULIA GONCALVES FERREIRA</t>
  </si>
  <si>
    <t>Alergia a Fruta - Abacaxi; Alergia a Fruta - Uva</t>
  </si>
  <si>
    <t>ISABELLY DE JESUS REIS</t>
  </si>
  <si>
    <t>THEO ANIZIO LIMA</t>
  </si>
  <si>
    <t>EMEF PRES. PRUDENTE DE MORAIS - (TERCEI.)</t>
  </si>
  <si>
    <t>MILENA CORREIA DE ARAUJO</t>
  </si>
  <si>
    <t>RYAN VICTOR SANTANA DOS SANTOS</t>
  </si>
  <si>
    <t>EDUARDO AUGUSTO DE LIMA NASCIMENTO</t>
  </si>
  <si>
    <t>GUSTAVO DE JESUS SILVA</t>
  </si>
  <si>
    <t>ISIS BARBOSA ROSA</t>
  </si>
  <si>
    <t>Alergia a Proteína do Leite de Vaca; Refluxo Gastroesofágico</t>
  </si>
  <si>
    <t>DAVI RAFAEL ARANTES</t>
  </si>
  <si>
    <t>JULYO SIMOES GUIMARAES DA GAMA</t>
  </si>
  <si>
    <t>JOAO LUCAS TOMAS HIDALGO</t>
  </si>
  <si>
    <t>BRYAN LUCCA MARTINIANO OLIVEIRA</t>
  </si>
  <si>
    <t>ISABELA VASCONCELOS BERTOLDO</t>
  </si>
  <si>
    <t>VITOR SANTOS ROSA</t>
  </si>
  <si>
    <t>RADJA TEIXEIRA DOS SANTOS</t>
  </si>
  <si>
    <t>ALICE MEDEIROS CABRAL</t>
  </si>
  <si>
    <t>MURILO PEREIRA ALVES DE CAMPOS</t>
  </si>
  <si>
    <t>YASMIM LIMA DOS SANTOS</t>
  </si>
  <si>
    <t>ISABELLA DOS SANTOS OLIVEIRA</t>
  </si>
  <si>
    <t>ISABELLY SANTANA DE OLIVEIRA</t>
  </si>
  <si>
    <t>ISABELLA GOMES RAMOS</t>
  </si>
  <si>
    <t>MELISSA NASCIMENTO DE OLIVEIRA</t>
  </si>
  <si>
    <t>Alergia a Proteína do Leite de Vaca; Alergia a Carne Suina; Alergia a Carne Bovina</t>
  </si>
  <si>
    <t>ENZO RAFAEL DA SILVA</t>
  </si>
  <si>
    <t>RAIMUNDO LEVY MELO DA SILVA</t>
  </si>
  <si>
    <t>VINICIUS PEREIRA DOS SANTOS</t>
  </si>
  <si>
    <t>LAURA RIBEIRO LOPES DE MATOS</t>
  </si>
  <si>
    <t>DEYMAR MAMANI MOLLIRICONA</t>
  </si>
  <si>
    <t>SOPHYA SANTOS OLIVEIRA</t>
  </si>
  <si>
    <t>BRUNO HENRIQUE VASCONCELOS BRAGATO</t>
  </si>
  <si>
    <t>JENEVIEVE MOBEMBO ENEMALI</t>
  </si>
  <si>
    <t>MARIANA APARECIDA DS SILVA</t>
  </si>
  <si>
    <t>GEOVANNA SILVA DE LIMA</t>
  </si>
  <si>
    <t>RAFAELA BELIZARIO ARAUJO</t>
  </si>
  <si>
    <t>PEDRO HENRIQUE LOPES DOS SANTOS</t>
  </si>
  <si>
    <t>FRANCISCO CARLOS ANTUNES DA FRANCA JUNIOR</t>
  </si>
  <si>
    <t>MAISA SOUZA MUNHOZ</t>
  </si>
  <si>
    <t>CAROLINE LEAL DOS SANTOS</t>
  </si>
  <si>
    <t>Hipercolesterolemia; Intolerância Alimentar - Carne Suína</t>
  </si>
  <si>
    <t>THIAGO APARECIDO DE OLIVEIRA</t>
  </si>
  <si>
    <t>Alergia a Proteína do Leite de Vaca; Alergia a Corantes; Alergia a Carne Bovina</t>
  </si>
  <si>
    <t>MARCELLO BELLOMO PEREIRA</t>
  </si>
  <si>
    <t>ISABELA MOREIRA DA SILVA</t>
  </si>
  <si>
    <t>Doença Cardíaca</t>
  </si>
  <si>
    <t>MATEUS CARVALHO DOS SANTOS</t>
  </si>
  <si>
    <t>DAVI DA SILVA</t>
  </si>
  <si>
    <t>RIKELME DE SOUZA GOIS</t>
  </si>
  <si>
    <t>LORENZA BELMONT DE ARAUJO</t>
  </si>
  <si>
    <t>DAVID MARQUES VALADAO AMORIM</t>
  </si>
  <si>
    <t>Alergia a Ovo; Alergia a Proteína do Leite de Vaca; Alergia a Peixe; Alergia a Oleaginosas - Amendoim</t>
  </si>
  <si>
    <t>FERNANDA NAMIE NAGAFCHI</t>
  </si>
  <si>
    <t>DECLAN GUILHERMO FLORENCIO</t>
  </si>
  <si>
    <t>Alergia a Fruta - Abacaxi; Alergia a Camarão</t>
  </si>
  <si>
    <t>ISAQUE ALVES DE CASTRO SANTOS</t>
  </si>
  <si>
    <t>Alergia a Proteína do Leite de Vaca; Alergia a Soja; Alergia a Hortifruti - Tomate</t>
  </si>
  <si>
    <t>ANA BEATRIZ RODRIGUES UCHOA</t>
  </si>
  <si>
    <t>JOAO MIGUEL SILVA SANTOS</t>
  </si>
  <si>
    <t>EMILLY VITORIA SILVA DOS SANTOS</t>
  </si>
  <si>
    <t>Intolerância à Lactose; Alergia a Conservantes; Intolerância Alimentar - Corantes; Intolerância Alimentar - Soja</t>
  </si>
  <si>
    <t>ALICIA DO NASCIMENTO TEIXEIRA</t>
  </si>
  <si>
    <t>LUIZ ANDRADE SOUSA</t>
  </si>
  <si>
    <t>Alergia a Ovo; Alergia a Proteína do Leite de Vaca; Intolerância à Lactose</t>
  </si>
  <si>
    <t>ANA VICTORYA FERREIRA DE MOURA</t>
  </si>
  <si>
    <t>Hipercolesterolemia; Intolerância Alimentar - Chocolate</t>
  </si>
  <si>
    <t>NICOLY BRITO DOS SANTOS</t>
  </si>
  <si>
    <t>IVAN VICTOR PINHO DE ARAUJO</t>
  </si>
  <si>
    <t>GABRIEL LUGLIO CABRERA ARAUJO</t>
  </si>
  <si>
    <t>JULIA SANTOS MEIRELES</t>
  </si>
  <si>
    <t>DAVI MARQUES BARROS BRITO</t>
  </si>
  <si>
    <t>SOPHIA VIEIRA RIBEIRO</t>
  </si>
  <si>
    <t>SARAH VITORIA DE SOUZA AZEVEDO</t>
  </si>
  <si>
    <t>ARTHUR RIBEIRO SALLES</t>
  </si>
  <si>
    <t>ISABELLA APARECIDA DA SILVA RODRIGUES</t>
  </si>
  <si>
    <t>PALOMA FESTINO BARQUILHA</t>
  </si>
  <si>
    <t>BRENNO DENEGRI GRAUTH OLIMPIO</t>
  </si>
  <si>
    <t>JULIA VICTORIA MORENO DOS REIS</t>
  </si>
  <si>
    <t>RENAN MIRANDA DOS REIS</t>
  </si>
  <si>
    <t>LAURA BEATRIZ DE JESUS ORA</t>
  </si>
  <si>
    <t>ENZO LOPES VIEIRA</t>
  </si>
  <si>
    <t>ESTHER MANUELLA VIEIRA DE CASTRO</t>
  </si>
  <si>
    <t>MARYANA BORGES FERREIRA</t>
  </si>
  <si>
    <t>MARIA ESTER DA SILVA ALVES</t>
  </si>
  <si>
    <t>JULIA ROCHA FERNANDES</t>
  </si>
  <si>
    <t>THEO TOMAZ BESSA</t>
  </si>
  <si>
    <t>JULIANA FAUSTINO NUNES</t>
  </si>
  <si>
    <t>RYAN BLASCO DIAS</t>
  </si>
  <si>
    <t>DELMIRA NSINGUI MANUEL MALOSENGA</t>
  </si>
  <si>
    <t>KAUANE RAFAELLY DA SILVA BUENO</t>
  </si>
  <si>
    <t>MAXIMUS SERAFIM MEDOLA</t>
  </si>
  <si>
    <t>MARCOS ARAUJO BELLINI</t>
  </si>
  <si>
    <t>MICAELLA BERNARDO DOS SANTOS</t>
  </si>
  <si>
    <t>EMEI IBIAPABA MARTINS - (TERCEI.)</t>
  </si>
  <si>
    <t>ANNA LUIZA LIMA DE OLIVEIRA</t>
  </si>
  <si>
    <t>Alergia a Ovo; Alergia a Oleaginosas - Amendoim; Alergia a Glúten</t>
  </si>
  <si>
    <t>ELOIZA REHEM GAMA</t>
  </si>
  <si>
    <t>ANNY CLARA SILVEIRA LIMA</t>
  </si>
  <si>
    <t>GUSTAVO ALVES CAVALCANTE</t>
  </si>
  <si>
    <t>JOAO VITOR NUNES TADIOTTO MARTIMIANO</t>
  </si>
  <si>
    <t>SAMUEL DAVI BALDOINO BUONO</t>
  </si>
  <si>
    <t>ALICE ALVES COLEONE</t>
  </si>
  <si>
    <t>MIRELLA CARVALHO DOS SANTOS</t>
  </si>
  <si>
    <t>BRYAN DE FRANCA FELISBERTO</t>
  </si>
  <si>
    <t>ANNA RAPHAELA TOLEDO DANTAS AMORIM</t>
  </si>
  <si>
    <t>KAUE MELARI ANDRADE DINIZ</t>
  </si>
  <si>
    <t>EMEI EDUARDO CARLOS PEREIRA - (TERCEI.)</t>
  </si>
  <si>
    <t>GUSTAVO ANDRADE CAMPOS</t>
  </si>
  <si>
    <t>ANTONIO MONTEIRO GUIZELINI</t>
  </si>
  <si>
    <t>Alergia a Proteína do Leite de Vaca; Alergia a Corantes; Alergia a Hortifruti - Beterraba; Alergia a Molho de Tomate</t>
  </si>
  <si>
    <t>EDUARDO PEREIRA DE ALMEIDA</t>
  </si>
  <si>
    <t>VITOR MONTEIRO GUIZELINI</t>
  </si>
  <si>
    <t>Alergia a Corantes; Alergia a Peixe; Alergia a Carne Suina; Alergia a Fruta - Morango; Alergia a Achocolatado; Alergia a Mexilhão; Alergia a Molho de Tomate</t>
  </si>
  <si>
    <t>GABRIEL ISCHIAVOLINI FERREIRA</t>
  </si>
  <si>
    <t>MARCELLO LUIZ PEREIRA SIMAO</t>
  </si>
  <si>
    <t>ANA BEATRIZ MATOS DE SANTANA</t>
  </si>
  <si>
    <t>VALENTINA FERNANDES SILVA ROCHA</t>
  </si>
  <si>
    <t>Alergia a Proteína do Leite de Vaca; Dislipidemia; Alergia a Conservantes; Alergia a Conservas</t>
  </si>
  <si>
    <t>WILSON CARMINATI ORTIZ MACEDO</t>
  </si>
  <si>
    <t>PAULO ANDRE NASCIMENTO DA SILVA</t>
  </si>
  <si>
    <t>RYAN FIGUEREIDO BRAZ</t>
  </si>
  <si>
    <t>ARTHUR MARQUES RODRIGUES</t>
  </si>
  <si>
    <t>HENRIQUE GABRIEL SANTOS AZEVEDO</t>
  </si>
  <si>
    <t>EMILLY GOMES DA SILVA</t>
  </si>
  <si>
    <t>ELIAS JACKSON VIEIRA XAVIER</t>
  </si>
  <si>
    <t>LAURA SILVA CARVALHO</t>
  </si>
  <si>
    <t>LUCAS CAMACHO DE MORAES</t>
  </si>
  <si>
    <t>ARTHUR SOUZA CAMILO DO CARMO</t>
  </si>
  <si>
    <t>MARIA EDUARDA BARBOZA SANTOS</t>
  </si>
  <si>
    <t>MARIA LUIZA BATISTA GONCALVES</t>
  </si>
  <si>
    <t>MARIA CLARA LOPES DA SILVA</t>
  </si>
  <si>
    <t>CAROLINY SIMOES DA SILVA</t>
  </si>
  <si>
    <t>ANNA CAROLINA TOBIAS DOS SANTOS</t>
  </si>
  <si>
    <t>YURI MARTINS BUENO BATISTA</t>
  </si>
  <si>
    <t>BIANCA PROTASIO SANTOS DA SILVA</t>
  </si>
  <si>
    <t>LARA VIANA CAVALCANTE</t>
  </si>
  <si>
    <t>MIGUEL GOMES LACERDA</t>
  </si>
  <si>
    <t>SAMUEL MESQUITA BRAGA</t>
  </si>
  <si>
    <t>NICOLY CAVALCANTE DIAS</t>
  </si>
  <si>
    <t>JULIA VITORIA REIS PAZ</t>
  </si>
  <si>
    <t>MELYSSA ESTEVAM BURGS AMARAL</t>
  </si>
  <si>
    <t>JULIA SANTOS LAGO</t>
  </si>
  <si>
    <t>MATHEUS ESTEVAM SPERCAZECHI</t>
  </si>
  <si>
    <t>NOLAN HENRIQUE DE OLIVEIRA</t>
  </si>
  <si>
    <t>GUSTAVO GERMANO DE LIMA</t>
  </si>
  <si>
    <t>GABRIELLA GRACIANO DE SOUZA</t>
  </si>
  <si>
    <t>ANA BEATRIZ SIQUEIRA GUIMARAES</t>
  </si>
  <si>
    <t>AYLA HELOISA LIMA SANTANA</t>
  </si>
  <si>
    <t>DAVI EDUARDO GOMES MOURA</t>
  </si>
  <si>
    <t>ANA KAROLYNY SILVA FELIX</t>
  </si>
  <si>
    <t>Alergia a Corantes; Alergia a Carne Suina</t>
  </si>
  <si>
    <t>GIOVANNA VIEIRA DE SOUZA</t>
  </si>
  <si>
    <t>DAVI SANTANA DA SILVA</t>
  </si>
  <si>
    <t>Alergia a Ovo; Intolerância à Lactose; Alergia a Fruta - Abacaxi; Alergia a Oleaginosas - Amendoim</t>
  </si>
  <si>
    <t>MIGUEL MARTINEZ TAVARES</t>
  </si>
  <si>
    <t>VALENTINA FREIRE DE OLIVEIRA</t>
  </si>
  <si>
    <t>ANGEL SANTOS DE MELO</t>
  </si>
  <si>
    <t>NICOLLAS JOSE DA SILVA FERNANDES</t>
  </si>
  <si>
    <t>LIVIA VITORIA ALMEIDA ARAUJO</t>
  </si>
  <si>
    <t>CEI PADRE ANTON MERLOTH</t>
  </si>
  <si>
    <t>MIGUEL DOS SANTOS GOMES</t>
  </si>
  <si>
    <t>KAUAN ISMAEL DOS SANTOS SILVA</t>
  </si>
  <si>
    <t>GUILHERME LUIZ DA SILVA</t>
  </si>
  <si>
    <t>JULIA FLORES</t>
  </si>
  <si>
    <t>HENZO LAVIERI ALEXANDRE</t>
  </si>
  <si>
    <t>Alergia a Proteína do Leite de Vaca; Intolerância à Lactose; Intolerância Alimentar a Fruta - Frutas Ácidas</t>
  </si>
  <si>
    <t>MARIA LUIZA BRUCOLI SANTOS</t>
  </si>
  <si>
    <t>ANTONELLA BRUCOLI ABREU</t>
  </si>
  <si>
    <t>SANTIAGO MOURA CALLIL</t>
  </si>
  <si>
    <t>ENZO DE LIMA MENDES VIEIRA</t>
  </si>
  <si>
    <t>MARIA CECILIA SILVA DOS ANJOS</t>
  </si>
  <si>
    <t>ISADORA LAVANDOSKI GERVASIO</t>
  </si>
  <si>
    <t>AYSHA PEREIRA DA SILVA</t>
  </si>
  <si>
    <t>MANUELA DE SOUZA LEITE</t>
  </si>
  <si>
    <t>ANTONELLA DAVID AMARAL</t>
  </si>
  <si>
    <t>VINICIUS HENRIQUE BASTOS MARTINS</t>
  </si>
  <si>
    <t>HEITOR ASSIS GUIMARAES</t>
  </si>
  <si>
    <t>DAVI FIGUEIREDO</t>
  </si>
  <si>
    <t>HELENA ARAGAO CANUTO NUNES</t>
  </si>
  <si>
    <t>Síndrome de Down</t>
  </si>
  <si>
    <t>NATALLY DOS SANTOS BANICOLA</t>
  </si>
  <si>
    <t>Telarca Precoce</t>
  </si>
  <si>
    <t>CEU EMEI VL. CURUÇA -  APPARECIDO DOMINGUES -(TERCEI.)</t>
  </si>
  <si>
    <t>EDUARDO DE MOURA LOURENCO</t>
  </si>
  <si>
    <t>DAVI PEREIRA DA SILVA</t>
  </si>
  <si>
    <t>Intolerância à Lactose; Alergia a Fruta - Banana; Alergia a Hortifruti - Cenoura</t>
  </si>
  <si>
    <t>BERNARDO RIBEIRO DE LIMA</t>
  </si>
  <si>
    <t>LEONARDO DO NASCIMENTO CAPELLE</t>
  </si>
  <si>
    <t>BEATRIZ RODRIGUES DE ALMEIDA</t>
  </si>
  <si>
    <t>emeipscity@sme.prefeitura.sp.gov.br</t>
  </si>
  <si>
    <t>RUA JACINTO FERREIRA</t>
  </si>
  <si>
    <t>DISTRITO CIDADE LIDER</t>
  </si>
  <si>
    <t>RUA JACINTO FERREIRA, 250 - DISTRITO CIDADE LIDER</t>
  </si>
  <si>
    <t>CEMEI</t>
  </si>
  <si>
    <t>JARDIM KIOTO</t>
  </si>
  <si>
    <t>HELOISA NURIELLY COSME ALMEIDA BERNARDO</t>
  </si>
  <si>
    <t>ALICY MARQUES SANTANA</t>
  </si>
  <si>
    <t>LORRAYNE DA SILVA SANTOS</t>
  </si>
  <si>
    <t>JOSE ROBERTO OLIVEIRA ARANHA</t>
  </si>
  <si>
    <t>FELIPE ISALTINO LOPES ROSA</t>
  </si>
  <si>
    <t>LUCAS FREDERICO LOPES ROSA</t>
  </si>
  <si>
    <t>Deficiência de G6PD; Alergia a Carne Suina</t>
  </si>
  <si>
    <t>MARIA EDUARDA LIMA DE ALMEIDA</t>
  </si>
  <si>
    <t>PEDRO HENRIQUE SANTOS MIRANDA</t>
  </si>
  <si>
    <t>YAGO HENRIQUE FEITOSA OLIVEIRA</t>
  </si>
  <si>
    <t>MIGUEL VINICIUS SANTOS RUBIN</t>
  </si>
  <si>
    <t>Alergia a Chocolate/Cacau; Alergia a Fruta - Laranja pera</t>
  </si>
  <si>
    <t>LUCAS SANTANA SANTIAGO</t>
  </si>
  <si>
    <t>MARIA EDUARDA DOS SANTOS LIMA</t>
  </si>
  <si>
    <t>MARLON SOUZA PASCOTO</t>
  </si>
  <si>
    <t>LUCAS BELLUCHI CALAZANS ROCHA</t>
  </si>
  <si>
    <t>ANA CAROLINA ALMEIDA DE SOUSA</t>
  </si>
  <si>
    <t>GEOVANNA ROCHA</t>
  </si>
  <si>
    <t>MELISSA CANDIDA PAIVA LISBOA</t>
  </si>
  <si>
    <t>THEODORO DA SILVA FERREIRA</t>
  </si>
  <si>
    <t>Dieta Cetogênica</t>
  </si>
  <si>
    <t>KAMILLY NOGUEIRA DOS SANTOS</t>
  </si>
  <si>
    <t>DYANNA MARIA EMELIANO DE SOUZA</t>
  </si>
  <si>
    <t>ALINE SANTOS SANA MOREIRA</t>
  </si>
  <si>
    <t>EMILLY LIRA DA SILVA OLIVEIRA</t>
  </si>
  <si>
    <t>BRENDA DE OLIVEIRA TAVARES</t>
  </si>
  <si>
    <t>LUCAS LEMOS BEZERRA</t>
  </si>
  <si>
    <t>LARA BORGES DA SILVA</t>
  </si>
  <si>
    <t>MIGUEL TEMISTOCLES BASTOS COSTA</t>
  </si>
  <si>
    <t>DAVI DE AQUINO DA SILVA</t>
  </si>
  <si>
    <t>LARISSA DO ESPIRITO SANTOS PINHEIRO</t>
  </si>
  <si>
    <t>ISABELLY VIEIRA ALVES</t>
  </si>
  <si>
    <t>MARIA LUIZA AZEVEDO DA SILVA</t>
  </si>
  <si>
    <t>MARIA JULIA VIANA SANTOS</t>
  </si>
  <si>
    <t>LARA BEATRIZ DE ALMEIDA SILVA</t>
  </si>
  <si>
    <t>MARIA RAFAELLA DE JESUS SANTOS</t>
  </si>
  <si>
    <t>CEMEI JARDIM KIOTO (TERC)</t>
  </si>
  <si>
    <t>ALEXIA GRAVENA DE SOUZA</t>
  </si>
  <si>
    <t>LEONARDO SILVA GALDINO</t>
  </si>
  <si>
    <t>ARTHUR PEREIRA VARJAO</t>
  </si>
  <si>
    <t>NICOLLY LIMA SANTOS</t>
  </si>
  <si>
    <t>ENZO GABRIEL DA SILVA SANTOS</t>
  </si>
  <si>
    <t>VALENTINA LUZIA BARBOSA DA SILVA</t>
  </si>
  <si>
    <t>LUIS MIGUEL SANTANA SANTOS</t>
  </si>
  <si>
    <t>JULIA SANTOS PAULISTA</t>
  </si>
  <si>
    <t>LUCCAS MACEDO FERREIRA DE SOUZA</t>
  </si>
  <si>
    <t>Transtorno de Alimentação na Infância</t>
  </si>
  <si>
    <t>JIMMY ENZO BIZERRA GONZALEZ</t>
  </si>
  <si>
    <t>GISELLY BARBOSA DOS SANTOS</t>
  </si>
  <si>
    <t>LUCAS SAMPAIO BUENO</t>
  </si>
  <si>
    <t>MARIA EDUARDA SILVA CALVETE</t>
  </si>
  <si>
    <t>FILIPE SANTANA SANTOS</t>
  </si>
  <si>
    <t>SAMIRA YARA RODRIGUES</t>
  </si>
  <si>
    <t>KAUE SABINO SOARES</t>
  </si>
  <si>
    <t>Alergia a Ovo; Alergia a Molho de Tomate</t>
  </si>
  <si>
    <t>SOPHIA ZAFFANI OZYBKO</t>
  </si>
  <si>
    <t>Alergia a Ovo; Alergia a Proteína do Leite de Vaca; Alergia a Carne Suina; Alergia a Carne Bovina; Alergia a carne de carneiro; Alergia a carne de cabrito</t>
  </si>
  <si>
    <t>FELIPE HIROSHI FURUTANI</t>
  </si>
  <si>
    <t>PEDRO ALVES TEIXEIRA</t>
  </si>
  <si>
    <t>LARA LOHANY SOUZA CALASANS</t>
  </si>
  <si>
    <t>DAVI LA MENA GONALVES PEREIRA</t>
  </si>
  <si>
    <t>PEDRO HENRIQUE ALMEIDA DA SILVA</t>
  </si>
  <si>
    <t>EMEI ABELARDO GALDINO PINTO PIOLIN - (TERCEI.)</t>
  </si>
  <si>
    <t>ENZO CABALLERO ZOBRA</t>
  </si>
  <si>
    <t>MARIANI SILVA CAVALCANTE</t>
  </si>
  <si>
    <t>MIGUEL RODRIGUES SILVA</t>
  </si>
  <si>
    <t>EMANNUEL DE OLIVEIRA PAULINO SILVA</t>
  </si>
  <si>
    <t>MARIA EDUARDA SOUZA SANTOS</t>
  </si>
  <si>
    <t>YASMIM ARRUDA DE JESUS</t>
  </si>
  <si>
    <t>SOPHIA SIMOES DA CRUZ</t>
  </si>
  <si>
    <t>SOPHIA LOIOLA PEREIRA</t>
  </si>
  <si>
    <t>YASMIM OLIVEIRA DA COSTA</t>
  </si>
  <si>
    <t>CAIO HENRIQUE CORREA MEDINA</t>
  </si>
  <si>
    <t>ANTONIA RAMOS KARAGULIAN</t>
  </si>
  <si>
    <t>MIGUEL ANGELLO SILVA PENHA</t>
  </si>
  <si>
    <t>DAVI DE OLIVEIRA ALMEIDA</t>
  </si>
  <si>
    <t>MARIANA VIEIRA DA SILVA</t>
  </si>
  <si>
    <t>DAVI SANTOS DA SILVA</t>
  </si>
  <si>
    <t>SARAH SILVA DE OLIVEIRA</t>
  </si>
  <si>
    <t>Alergia a Proteína do Leite de Vaca; Alergia a Fruta - Banana</t>
  </si>
  <si>
    <t>PIETRO EDUARDO DE PAULA MELO</t>
  </si>
  <si>
    <t>MIGUEL SOARES DE ALCANTARA</t>
  </si>
  <si>
    <t>LUCAS RODRIGUES BRANDYS</t>
  </si>
  <si>
    <t>MARIA JULIA MOLINA CANEVARI</t>
  </si>
  <si>
    <t>SABRINA DUARTE DE SOUZA</t>
  </si>
  <si>
    <t>JULIA DIAS DE ALMEIDA</t>
  </si>
  <si>
    <t>ISAQUE BRAIN TORTORELLI DE SA</t>
  </si>
  <si>
    <t>ANA CAROLINA SILVA TORRES</t>
  </si>
  <si>
    <t>Alergia a Corantes; Alergia a Conservantes; Alergia a Embutidos; Alergia a Enlatados; Alergia a Sucos Artificiais; Intolerância Alimentar - Temperos Artificiais</t>
  </si>
  <si>
    <t>JULIA CAROLINE GUEDES DOS SANTOS</t>
  </si>
  <si>
    <t>HELOA VITORIA LIMA COSTA</t>
  </si>
  <si>
    <t>VINICIUS SANTOS DE SOUZA MATOS</t>
  </si>
  <si>
    <t>GABRIELA FISTER COELHO</t>
  </si>
  <si>
    <t>RUAN LUCA SANCHES BARBOSA</t>
  </si>
  <si>
    <t>LAISY MONIELLY SOUZA DOS SANTOS</t>
  </si>
  <si>
    <t>LORENA GARRIDO BATISTA</t>
  </si>
  <si>
    <t>SAMUEL ALEXANDRE SANTOS DALLACQUA</t>
  </si>
  <si>
    <t>YRIS DE SOUSA SILVA</t>
  </si>
  <si>
    <t>DIEGO NATANAEL ZARATINI QUEIROZ</t>
  </si>
  <si>
    <t>VITORIA SILVA DE CARVALHO</t>
  </si>
  <si>
    <t>GUILHERME CONCEICAO DE FRANCA</t>
  </si>
  <si>
    <t>KYAN CLEBER SANTOS DA SILVA</t>
  </si>
  <si>
    <t>SAMUEL BEZERRA SANTANA ALENCAR</t>
  </si>
  <si>
    <t>ANGELINA VITORIA GOMES TRAJANO</t>
  </si>
  <si>
    <t>PETERSON WENDY ARAUJO DA SILVA</t>
  </si>
  <si>
    <t>CHRISTIAN SILVA ELOY</t>
  </si>
  <si>
    <t>LARISSA TORRES PATRICIO</t>
  </si>
  <si>
    <t>LOARA MACEDO DE MORAIS FERREIRA</t>
  </si>
  <si>
    <t>MURILO SILVA BRANDAO</t>
  </si>
  <si>
    <t>RAFAELLA BELLINI MANOEL</t>
  </si>
  <si>
    <t>NICOLLY ARAUJO OLIVEIRA</t>
  </si>
  <si>
    <t>ISADORA PEREIRA SILVA</t>
  </si>
  <si>
    <t>ANA CAROLLINE ALVES DE JESUS</t>
  </si>
  <si>
    <t>Intolerância Alimentar - Café; Intolerância Alimentar - Chocolate</t>
  </si>
  <si>
    <t>SAMUEL MIGUEL GARCIA MEDEIROS DA SILVA</t>
  </si>
  <si>
    <t>MARIA CECILIA GOMES BARBOSA</t>
  </si>
  <si>
    <t>STHER SOPHIA SANTOS</t>
  </si>
  <si>
    <t>Alergia a Carne Suina; Alergia a Carne Bovina; Alergia a carne de carneiro; Alergia a carne de cabrito</t>
  </si>
  <si>
    <t>ALICE SANCHEZ OLIVEIRA DOS SANTOS</t>
  </si>
  <si>
    <t>LARA GABRIELLA AGUIAR DE ALMEIDA</t>
  </si>
  <si>
    <t>LAURA AMORIM RODRIGUES</t>
  </si>
  <si>
    <t>DEBORA QUEZIA SANTOS SOUSA</t>
  </si>
  <si>
    <t>LAURA VASTO MADUREIRA</t>
  </si>
  <si>
    <t>JULIA TAVARES NOBREGA</t>
  </si>
  <si>
    <t>HADASSA GABRIELLI LOURENCO PACHECO</t>
  </si>
  <si>
    <t>Alergia a Salsicha; Alergia a Chocolate/Cacau; Alergia a Carne Suina; Alergia a Fruta - Maçã; Alergia a Extrato/Molho de Tomate</t>
  </si>
  <si>
    <t>GABRIEL ALVES DE BARROS</t>
  </si>
  <si>
    <t>GUILHERME HENRIQUE MONTEIRO LEMOS</t>
  </si>
  <si>
    <t>MARIA EDUARDA PARREIRA ZAIDAN</t>
  </si>
  <si>
    <t>THIAGO MEIRELES CAVALCANTI</t>
  </si>
  <si>
    <t>MIGUEL MEIRELES CAVALCANTI</t>
  </si>
  <si>
    <t>JOAO VITOR GARCIA BRAGA</t>
  </si>
  <si>
    <t>MIGUEL ALMEIDA</t>
  </si>
  <si>
    <t>ANDERSON SILVA FERNANDES FILHO</t>
  </si>
  <si>
    <t>EMEI DNA. ANITA COSTA - (TERCEI.)</t>
  </si>
  <si>
    <t>MARCOS VINICIUS BRAGA DE LIMA</t>
  </si>
  <si>
    <t>Alergia a Ovo; Alergia a Proteína do Leite de Vaca; Alergia a Soja; Alergia a Chocolate/Cacau</t>
  </si>
  <si>
    <t>GAEL GOMES KROGER</t>
  </si>
  <si>
    <t>MARCOS RODRIGUES MAROTTE</t>
  </si>
  <si>
    <t>LEVY ARRAES TALLMANN</t>
  </si>
  <si>
    <t>ARTHUR CORREA DE OLIVEIRA</t>
  </si>
  <si>
    <t>DAVI LUCCA DELMIRO DE SOUZA</t>
  </si>
  <si>
    <t>EMEI HEITOR VILLA LOBOS (TERC)</t>
  </si>
  <si>
    <t>EVELYN ARAUJO SANTOS</t>
  </si>
  <si>
    <t>MARIA APARECIDA PANTA LEAO</t>
  </si>
  <si>
    <t>GEOVANNA XAVIER SIMOES ARAUJO</t>
  </si>
  <si>
    <t>Alergia a Ovo; Alergia a Corantes; Alergia a Carne Suina; Alergia a Maionese</t>
  </si>
  <si>
    <t>EDUARDO FELIPE DE FRANCA MANTOVANI</t>
  </si>
  <si>
    <t>GABRIELLY DE SANTANA SOARES</t>
  </si>
  <si>
    <t>MIGUEL AMATO MASTROBUONO</t>
  </si>
  <si>
    <t>Alergia a Oleaginosas - Castanha do Pará; Alergia a Oleaginosas - Castanha de Caju; Alergia a Oleaginosas - Castanha de Barú</t>
  </si>
  <si>
    <t>LUANA LOPES BOTELHO</t>
  </si>
  <si>
    <t>ARTHUR MELO DOS REIS</t>
  </si>
  <si>
    <t>KAUANE DE AGUIAR MAIA TRINDADE</t>
  </si>
  <si>
    <t>FRANCISCA LUNNA RODRIGUES VIDAL</t>
  </si>
  <si>
    <t>MARIANA CANDIDO DA SILVA</t>
  </si>
  <si>
    <t>ANA BEATRIZ DE OLIVEIRA SOUSA</t>
  </si>
  <si>
    <t>VICTORIA GABRILI FERES FREITAS</t>
  </si>
  <si>
    <t>MURILLO THIEGO LOPES SANTOS</t>
  </si>
  <si>
    <t>MARIA CLARA FERREIRA DA SILVA</t>
  </si>
  <si>
    <t>ANA LUIZA ARAUJO PINHEIRO</t>
  </si>
  <si>
    <t>ANA LUISA SOUSA BEZERRA DA SILVA</t>
  </si>
  <si>
    <t>Alergia a Peixe; Alergia a Frutos do Mar; Alergia a Oleaginosas - Amendoim</t>
  </si>
  <si>
    <t>BRYAN DIEGO ZAPATER DE SOUZA</t>
  </si>
  <si>
    <t>LUCAS BARBOSA DE PAULA</t>
  </si>
  <si>
    <t>DAVI GOMES DO NASCIMENTO</t>
  </si>
  <si>
    <t>HELENA RAFAELA GONCALVES DA SILVA</t>
  </si>
  <si>
    <t>EDUARDO LIMA FEIJO</t>
  </si>
  <si>
    <t>YASMIM GOMES DOS SANTOS</t>
  </si>
  <si>
    <t>Alergia a Chocolate/Cacau; Alergia a Fruta - Banana</t>
  </si>
  <si>
    <t>CECILIA ABDON FELTRIN</t>
  </si>
  <si>
    <t>TEODORO COSTA GONCALVES</t>
  </si>
  <si>
    <t>GUSTAVO HIROKI ITA</t>
  </si>
  <si>
    <t>JULIA MEDEIROS ANDRADE</t>
  </si>
  <si>
    <t>BENJAMIM DE LIMA MATSUDA</t>
  </si>
  <si>
    <t>EMEI PROF. SEBASTIÃO SANCHES MARTINES (TERC)</t>
  </si>
  <si>
    <t>LORENA GOMES DA SILVA</t>
  </si>
  <si>
    <t>Alergia a Peixe; Alergia a Chocolate/Cacau</t>
  </si>
  <si>
    <t>LUCAS ARAUJO HONORIO</t>
  </si>
  <si>
    <t>MARCO MENDONCA ESPINDOLA</t>
  </si>
  <si>
    <t>Alergia a Embutidos; Alergia a Frango</t>
  </si>
  <si>
    <t>ANDREW PATRICIO DA SILVA</t>
  </si>
  <si>
    <t>Alergia a Oleaginosas - Amendoim; Alergia a Oleaginosas - Castanha do Pará; Alergia a Oleaginosas - Castanha de Caju; Alergia a Oleaginosas - Castanha de Barú; Alergia a Oleaginosas - Avelã; Alergia a Oleaginosas - Amêndoa; Alergia a Oleaginosas - Nozes; Alergia a Fruta - Coco</t>
  </si>
  <si>
    <t>ARTHUR MIGUEL MARTINS SILVA</t>
  </si>
  <si>
    <t>Alergia a Ovo; Alergia a Proteína do Leite de Vaca; Alergia ao Trigo; Alergia a Oleaginosas - Amendoim; Alergia a Carne Suina</t>
  </si>
  <si>
    <t>REBECA NUNES TRIGUEIRO</t>
  </si>
  <si>
    <t>MELISSA BEATRIZ DE OLIVEIRA SILVA</t>
  </si>
  <si>
    <t>VERENA PAOLA SIQUEIRA RIBEIRO</t>
  </si>
  <si>
    <t>Alergia a Corantes; Alergia a Fruta - Abacaxi</t>
  </si>
  <si>
    <t>RAMON OLIVEIRA DOS SANTOS</t>
  </si>
  <si>
    <t>JOAO PEDRO VASCONCELOS DA SILVA</t>
  </si>
  <si>
    <t>LUCAS MAIKY DE NOVAES RODRIGUES</t>
  </si>
  <si>
    <t>SAMILY ARAUJO MARQUES</t>
  </si>
  <si>
    <t>Intolerância à Lactose; Intolerância Alimentar - Molho de tomate</t>
  </si>
  <si>
    <t>MARCO ANTONIO DE ALEXANDRE SANTOS</t>
  </si>
  <si>
    <t>ESTELA PINHEIRO CAMILO</t>
  </si>
  <si>
    <t>RUAN THAYLOR NOIA SILVA</t>
  </si>
  <si>
    <t>ARTHUR FERNANDO LAZARO KANDA DA SILVA</t>
  </si>
  <si>
    <t>MARIA LUIZA SANTOS DIAS</t>
  </si>
  <si>
    <t>VITOR CORDEIRO SILVEIRA</t>
  </si>
  <si>
    <t>EMEF GOV. MÁRIO COVAS - (TERCEI.)</t>
  </si>
  <si>
    <t>NATHAN DA SILVA NEVES</t>
  </si>
  <si>
    <t>Dislipidemia; Alergia a Corantes; Alergia a Conservantes</t>
  </si>
  <si>
    <t>ULYSSES SENHORINI DOS SANTOS</t>
  </si>
  <si>
    <t>LIVIA ANTONIA DOS SANTOS DIAS</t>
  </si>
  <si>
    <t>NATANHIELI ARPASI CANAZA</t>
  </si>
  <si>
    <t>GUILHERME MODESTO ALVES SILVA</t>
  </si>
  <si>
    <t>ARTHUR GALDINO DE CAMARGO</t>
  </si>
  <si>
    <t>HELOISA FLORIANO DA SILVA RIBEIRO</t>
  </si>
  <si>
    <t>ISABELLA DE OLIVEIRA SOUZA</t>
  </si>
  <si>
    <t>JOSE LORENZZO MARCONDES DE LIMA</t>
  </si>
  <si>
    <t>ARTHUR EDUARDO ANTUNES DA SILVA</t>
  </si>
  <si>
    <t>ANNA CAROLINE DA SILVA NASCIMENTO</t>
  </si>
  <si>
    <t>GUILHERME DONATO SANTOS</t>
  </si>
  <si>
    <t>Intolerância à Lactose; Alergia a Conservantes; Alergia a Enlatados; Intolerância Alimentar - Embutidos; Intolerância Alimentar - Corantes; Alergia a Sucos Artificiais; Intolerância Alimentar - Temperos Artificiais</t>
  </si>
  <si>
    <t>LUCAS VIEIRA AMBROSIO</t>
  </si>
  <si>
    <t>MICAELA DE SOUZA GABRIEL</t>
  </si>
  <si>
    <t>Alergia ao Trigo; Alergia a Soja; Alergia a Oleaginosas - Amendoim; Alergia a Fruta - Banana; Alergia a Hortifruti - Milho
Alergia a Milho</t>
  </si>
  <si>
    <t>BERNARDO HENRIQUE DOS SANTOS DIAS</t>
  </si>
  <si>
    <t>THIAGO OLIVEIRA NEVES DA SILVA</t>
  </si>
  <si>
    <t>BRENDA BORGES DA PAIXAO</t>
  </si>
  <si>
    <t>BENICIO SILVERIO NOGUEIRA</t>
  </si>
  <si>
    <t>DAVI LUAN LACORTE DA SILVA</t>
  </si>
  <si>
    <t>ARTHUR GABRIEL DE SOUSA</t>
  </si>
  <si>
    <t>EMEI ERNANI SILVA BRUNO - (TERCEI.)</t>
  </si>
  <si>
    <t>LUIZA HELENA FERREIRA</t>
  </si>
  <si>
    <t>VALENTINA CAETANO</t>
  </si>
  <si>
    <t>YURI AGUSTINHO SATIL DA SILVA</t>
  </si>
  <si>
    <t>NICOLLY PENTEADO TOBIAS</t>
  </si>
  <si>
    <t>FELIPE GUEDES HAMADA</t>
  </si>
  <si>
    <t>SAMUEL NOAH DOS SANTOS</t>
  </si>
  <si>
    <t>MARIA CLARA PEREIRA CAETANO</t>
  </si>
  <si>
    <t>MURILO BATISTA CAMPANHOLO</t>
  </si>
  <si>
    <t>MATHEUS ARAUJO DA SILVA</t>
  </si>
  <si>
    <t>DIOGO ELIAS FIORI</t>
  </si>
  <si>
    <t>GABRIEL DE CARVALHO NOGUEIRA</t>
  </si>
  <si>
    <t>GABRIEL GONZAGA SCHIVARDI DA PAIXAO</t>
  </si>
  <si>
    <t>BEATRIZ PELLEGRINO LIMA</t>
  </si>
  <si>
    <t>MANUELA APARECIDA BARBOSA</t>
  </si>
  <si>
    <t>BRENDA CRISTINA NASCIMENTO DE SOUZA</t>
  </si>
  <si>
    <t>BRYAN COSTA DA SILVA FERREIRA</t>
  </si>
  <si>
    <t>VITORIA NIZ CORDEIRO</t>
  </si>
  <si>
    <t>HENRIE JOSE MANOEL DE FARIAS</t>
  </si>
  <si>
    <t>MIGUEL MOTA DE SOUZA</t>
  </si>
  <si>
    <t>LUCAS SALES SENA</t>
  </si>
  <si>
    <t>Intolerância à Lactose; Alergia a Corantes; Alergia a Chocolate/Cacau; Alergia a Carne Bovina</t>
  </si>
  <si>
    <t>ARTHUR HENRIQUE GONCALVES PEREIRA DE ALMEIDA</t>
  </si>
  <si>
    <t>BERNARDO NASCIMENTO CARDOSO</t>
  </si>
  <si>
    <t>JENIFFER LARA SOUSA DO NASCIMENTO</t>
  </si>
  <si>
    <t>CAIO DE SOUSA SILVA</t>
  </si>
  <si>
    <t>PEDRO LUCAS GOMES MAIA</t>
  </si>
  <si>
    <t>VALENTINA TOZETTO LOPES</t>
  </si>
  <si>
    <t>DIEGO OLIVEIRA RODRIGUES</t>
  </si>
  <si>
    <t>YURI CARDOSO DOS SANTOS</t>
  </si>
  <si>
    <t>ANNE KAROLINE ROZAURO COSTA</t>
  </si>
  <si>
    <t>RAFAEL GOMES LACERDA</t>
  </si>
  <si>
    <t>VITORIA VENANCIO MENEZES</t>
  </si>
  <si>
    <t>NICOLAS MARQUES RODOLPHO NASCIMENTO</t>
  </si>
  <si>
    <t>Alergia a Ovo; Alergia a Proteína do Leite de Vaca; Alergia a Glúten</t>
  </si>
  <si>
    <t>HENRY GABRIEL OLIVEIRA DOS SANTOS</t>
  </si>
  <si>
    <t>ANA JULIA BERNARDES MIRANDA</t>
  </si>
  <si>
    <t>EDSON RIBEIRO DE SOUSA JUNIOR</t>
  </si>
  <si>
    <t>DAVI LUCCA ZANONI NOVAES</t>
  </si>
  <si>
    <t>FERNANDO CARVALHO JACINTO</t>
  </si>
  <si>
    <t>NATALLY LEMES RODRIGUES</t>
  </si>
  <si>
    <t>ALINE ALVES DE ALMEIDA</t>
  </si>
  <si>
    <t>HENRIQUE MOREIRA DE OLIVEIRA SOUZA</t>
  </si>
  <si>
    <t>DANIEL HENRIQUE SANTOS MESSA</t>
  </si>
  <si>
    <t>ALEXANDRE OLIVEIRA QUEIROZ</t>
  </si>
  <si>
    <t>JHESSYCA BALERO NASCIMENTO</t>
  </si>
  <si>
    <t>DANILO DE OLIVEIRA MACHADO</t>
  </si>
  <si>
    <t>BRENDA SILVA SOARES</t>
  </si>
  <si>
    <t>EMILLY LOPO SILVA</t>
  </si>
  <si>
    <t>MARIA EDUARDA FARIA SILVA</t>
  </si>
  <si>
    <t>ANA PAULA FARIA SILVA</t>
  </si>
  <si>
    <t>EMANUEL FIRMINO PAULINO</t>
  </si>
  <si>
    <t>DERICK SILVA GONCALVES</t>
  </si>
  <si>
    <t>RAPHAELLA SILVEIRA ANTUNES</t>
  </si>
  <si>
    <t>MURILO DAS MERCE DE ANDRADE</t>
  </si>
  <si>
    <t>MATEUS PEREIRA CHAGAS</t>
  </si>
  <si>
    <t>GUSTAVO DE SOUSA LIMA</t>
  </si>
  <si>
    <t>FERNANDA CAMPOS SILVA</t>
  </si>
  <si>
    <t>VICTORIA BARRETO SOARES</t>
  </si>
  <si>
    <t>HELOISA DA SILVA RIBEIRO</t>
  </si>
  <si>
    <t>RODRIGO EDSON SANTOS</t>
  </si>
  <si>
    <t>JUAN MIGUEL LIRA DA SILVA</t>
  </si>
  <si>
    <t>FERNANDA LUIZ SANTOS</t>
  </si>
  <si>
    <t>LETICIA MANUELLA FIGARO CAVALCANTE</t>
  </si>
  <si>
    <t>Alergia a Fruta - Melancia; Alergia a Peixe; Alergia a Frutos do Mar</t>
  </si>
  <si>
    <t>ENZO MARCOS ALVES DE OLIVEIRA</t>
  </si>
  <si>
    <t>YNARA YUKINA KIYAMA RAO</t>
  </si>
  <si>
    <t>BEATRIZ AGUIAR VAZQUEZ</t>
  </si>
  <si>
    <t>ANA CLARA LIMA SANTOS</t>
  </si>
  <si>
    <t>LUCAS GABRIEL OLIVEIRA DA SILVA</t>
  </si>
  <si>
    <t>RIAN BRENO BARBOSA DE LIMA</t>
  </si>
  <si>
    <t>SOFIA SANTOS AZEVEDO</t>
  </si>
  <si>
    <t>Alergia a Proteína do Leite de Vaca; Alergia a Fruta - Mamão; Alergia a Fruta - Banana; Alergia a Fruta - Coco; Alergia a Hortifruti - Abóbora; Alergia a Fruta - Maracujá</t>
  </si>
  <si>
    <t>Alergia a Ovo; Alergia a Proteína do Leite de Vaca; Alergia a Soja; Alergia a Peixe; Alergia a Carne Suina; Alergia a Glúten</t>
  </si>
  <si>
    <t>SARAH DE ALMEIDA LIMA</t>
  </si>
  <si>
    <t>MIGUEL SOARES DE LIMA</t>
  </si>
  <si>
    <t>LARA ALMEIDA PIRES</t>
  </si>
  <si>
    <t>RAUL AMARAL DOS SANTOS</t>
  </si>
  <si>
    <t>MANOELLA SILVA GUEDES DE SOUSA</t>
  </si>
  <si>
    <t>ARTHUR GABRIEL SILVA TEIXEIRA</t>
  </si>
  <si>
    <t>MIGUEL PEREIRA DA SILVA MATOS</t>
  </si>
  <si>
    <t>Alergia a Ovo; Alergia a Proteína do Leite de Vaca; Alergia ao Trigo; Alergia a Soja</t>
  </si>
  <si>
    <t>BARBARA CABELO PEREIRA DE OLIVEIRA</t>
  </si>
  <si>
    <t>LUCAS GABRIEL DE SOUZA DIAS</t>
  </si>
  <si>
    <t>EDUARDO FERREIRA SILVA</t>
  </si>
  <si>
    <t>BEATRIZ RINALDI LIMA</t>
  </si>
  <si>
    <t>MARIANA LOPES SILVEIRA</t>
  </si>
  <si>
    <t>Alergia a Ovo; Alergia a Glúten</t>
  </si>
  <si>
    <t>HENRY GABRIEL ALMEIDA DO NASCIMENTO</t>
  </si>
  <si>
    <t>NICKOLAS VICTOR DE OLIVEIRA ARARUNA</t>
  </si>
  <si>
    <t>MURILO MARIN ZANON</t>
  </si>
  <si>
    <t>JULIA VITORIA DA SILVA</t>
  </si>
  <si>
    <t>NICOLLY SANTOS REIS DE GODOY</t>
  </si>
  <si>
    <t>MATHEUS KAZUO YAMAMOTO GOIS</t>
  </si>
  <si>
    <t>EMANUELLY GOMES BARBOSA</t>
  </si>
  <si>
    <t>PEDRO HENRIQUE BERNI ARAUJO</t>
  </si>
  <si>
    <t>LEVI CORREIA XAVIER</t>
  </si>
  <si>
    <t>ITALO LIMA APOLINARIO</t>
  </si>
  <si>
    <t>Alergia a Ovo; Alergia a Proteína do Leite de Vaca; Alergia ao Trigo; Alergia a Soja; Alergia a Oleaginosas - Amendoim</t>
  </si>
  <si>
    <t>ESTHER ALVES DOS SANTOS</t>
  </si>
  <si>
    <t>LORRANY VITORIA MATIOLI DE FREITAS</t>
  </si>
  <si>
    <t>ENZO BRITO FERNANDES</t>
  </si>
  <si>
    <t>MARCOS BATISTA DE OLIVEIRA JUNIOR</t>
  </si>
  <si>
    <t>GABRIELLY HELENA GOMES XAVIER</t>
  </si>
  <si>
    <t>Alergia a Chocolate/Cacau; Alergia a Sardinha</t>
  </si>
  <si>
    <t>MURILO VASCONCELOS SANTOS</t>
  </si>
  <si>
    <t>CEI MUN. NINHO ALEGRE - (TERCEI.)</t>
  </si>
  <si>
    <t>THEO DA SILVA MAGALHAES</t>
  </si>
  <si>
    <t>LAURA GOMES SILVA DOS SANTOS</t>
  </si>
  <si>
    <t>GABRIELA VITORIA MONTEIRO DA SILVA</t>
  </si>
  <si>
    <t>MARIA EDUARDA SILVA COSTA</t>
  </si>
  <si>
    <t>ISABELA NOGUEIRA SAMPAIO</t>
  </si>
  <si>
    <t>VINICIUS DA SILVA SOBRAL</t>
  </si>
  <si>
    <t>HITOR RYAN PEREIRA NEGREIROS</t>
  </si>
  <si>
    <t>PAULO CALEB GREGORIO OLIVEIRA</t>
  </si>
  <si>
    <t>HENRIQUE SERAFIM DA SILVA SANTANA</t>
  </si>
  <si>
    <t>ANA CLARA HOMEN DE MELLO ESTEVAM</t>
  </si>
  <si>
    <t>NATHAN DOS ANJOS MICHELINI</t>
  </si>
  <si>
    <t>Alergia a Proteína do Leite de Vaca; Alergia a Peixe; Alergia a Oleaginosas - Amendoim; Alergia a Fruta - Kiwi; Alergia a Fruta - Morango</t>
  </si>
  <si>
    <t>ALICE DOS PASSOS SANTOS</t>
  </si>
  <si>
    <t>BRUNO DOS SANTOS</t>
  </si>
  <si>
    <t>GABRIELLY RAMOS DE SIQUEIRA</t>
  </si>
  <si>
    <t>ELBER RODRIGUES DE SOUZA</t>
  </si>
  <si>
    <t>FABRICIO GABRIEL PEREIRA RODRIGUES</t>
  </si>
  <si>
    <t>ALICE DOS SANTOS BRASILEIRO</t>
  </si>
  <si>
    <t>ALEXANDRE GARCIA DA SILVA DOS SANTOS</t>
  </si>
  <si>
    <t>NICOLLY DOS SANTOS SILVA</t>
  </si>
  <si>
    <t>MIRELLA SALES</t>
  </si>
  <si>
    <t>EMEI PROFª LEILA MARIA FONTELES FARIAS - ANTIG. EMEI JD. KERALUX - (TERCEI.)</t>
  </si>
  <si>
    <t>EMEI MARCIANO VASQUES PEREIRA - ANTIG. EMEI ALFAZEMAS (TERC)</t>
  </si>
  <si>
    <t>SABRINA MENDES VILLA REAL</t>
  </si>
  <si>
    <t>RAFAEL SATORU AOYAGUI GAZOLA</t>
  </si>
  <si>
    <t>MANUELLA ALONSO CAIRES</t>
  </si>
  <si>
    <t>JOAO GABRIEL RAMOS PEREIRA</t>
  </si>
  <si>
    <t>ISABELA LOURENCO DE MEDEIROS</t>
  </si>
  <si>
    <t>GUILHERME DE OLIVEIRA DUTRA</t>
  </si>
  <si>
    <t>ARTHUR SOUZA PEREIRA</t>
  </si>
  <si>
    <t>ELOA MENDES ESTEVES</t>
  </si>
  <si>
    <t>PIETRO MACIEL MIGUEL</t>
  </si>
  <si>
    <t>MIGUEL BRANCO DE OLIVEIRA BATISTA</t>
  </si>
  <si>
    <t>SOFIA ALCANTARA FABIANO</t>
  </si>
  <si>
    <t>EMEI PROFA. MARIA VITÓRIA DA CUNHA (TERC)</t>
  </si>
  <si>
    <t>JULIA FELIX MARQUES</t>
  </si>
  <si>
    <t>Alergia a Proteína do Leite de Vaca; Alergia a Carne Suina</t>
  </si>
  <si>
    <t>EMEI PROF. LUCIANO ROBERTO (TERC)</t>
  </si>
  <si>
    <t>EMEI PROFA. IRENE FAVRET LOPES (TERC.)</t>
  </si>
  <si>
    <t>BRUNA RODRIGUES SILVA</t>
  </si>
  <si>
    <t>DAVI VALVERDE DOS SANTOS</t>
  </si>
  <si>
    <t>FABRICIO ANDRADE ALVES DI CATERINA</t>
  </si>
  <si>
    <t>ISABELLA FERNANDES DE SOUSA</t>
  </si>
  <si>
    <t>LAIS FEREIRA PERRONI</t>
  </si>
  <si>
    <t>MARIA EDUARDA FRANCO SILVEIRA</t>
  </si>
  <si>
    <t>GABRIEL DAVI DE FIGUEIREDO PAULA</t>
  </si>
  <si>
    <t>SAMUEL RODRIGUES SOARES DA SILVA</t>
  </si>
  <si>
    <t>DAVI NUNES MACEDO</t>
  </si>
  <si>
    <t>YOLANDA ELLEN VIEIRA CARDOSO</t>
  </si>
  <si>
    <t>GULHERME GOMES GONCALVES</t>
  </si>
  <si>
    <t>PEDRO DOS SANTOS ALVES</t>
  </si>
  <si>
    <t>MARIANA BELAS DE JESUS</t>
  </si>
  <si>
    <t>ISAAC GABRIEL LIMA RIBEIRO</t>
  </si>
  <si>
    <t>VINICIUS DA SILVA CARDOSO</t>
  </si>
  <si>
    <t>MURILO RODRIGUES GAGLIOTTO</t>
  </si>
  <si>
    <t>HELENA RIBEIRO DANTAS DE OLIVEIRA</t>
  </si>
  <si>
    <t>ALLAN PEREIRA DA SILVA</t>
  </si>
  <si>
    <t>DAVI ROMAO SANTOS</t>
  </si>
  <si>
    <t>CLARA CALVO DA SILVA</t>
  </si>
  <si>
    <t>PIETRO SCAGNOLATO ROMERA</t>
  </si>
  <si>
    <t>JOAO VICTOR DE ARAUJO BENEDITO</t>
  </si>
  <si>
    <t>LIVIA GALVAO NASCIMENTO</t>
  </si>
  <si>
    <t>MATHEUS DOS SANTOS SILVA</t>
  </si>
  <si>
    <t>GABRIELLY VITORIA FREITAS DA SILVA</t>
  </si>
  <si>
    <t>SOFIA DO PRADO</t>
  </si>
  <si>
    <t>CEI MUN. DELSON DOMINGUES - (TERCEI.)</t>
  </si>
  <si>
    <t>GUSTAVO DA SILVA SANTOS</t>
  </si>
  <si>
    <t>MIGUEL DIAS DE SOUZA</t>
  </si>
  <si>
    <t>LIVIA ROSA DE SANTANA</t>
  </si>
  <si>
    <t>ISABELA GAMES DOS SANTOS</t>
  </si>
  <si>
    <t>BENJAMIM MALTA DE GUSMAO</t>
  </si>
  <si>
    <t>EMEF OCTÁVIO MANGABEIRA - (TERCEI.)</t>
  </si>
  <si>
    <t>ANA CLARA MESSIAS DE SENA</t>
  </si>
  <si>
    <t>KARLA BEATRIZ OLIVEIRA ALVES TEIXEIRA</t>
  </si>
  <si>
    <t>HENRY GABRIEL DE SOUZA ANDRE</t>
  </si>
  <si>
    <t>GIULIA ANTONELA CAVALIERI FIUZA</t>
  </si>
  <si>
    <t>EMEI ENG. GOULART (TERC)</t>
  </si>
  <si>
    <t>GUSTAVO EMANUEL MATIAS DOS SANTOS</t>
  </si>
  <si>
    <t>GABRIEL DE ALBUQUERQUE PINTO</t>
  </si>
  <si>
    <t>ESTHER RUANA ORTIM RODRIGUES</t>
  </si>
  <si>
    <t>JONAS HENRIQUE DA COSTA</t>
  </si>
  <si>
    <t>ALEXANDRO MIGUEL RIBEIRO DA SILVA</t>
  </si>
  <si>
    <t>ANA LIVIA SOUZA FELIPE NONATO</t>
  </si>
  <si>
    <t>LEONARDO GABRIEL NASSIBEM GOMES</t>
  </si>
  <si>
    <t>Intolerância à Lactose; Alergia a Fruta - Morango; Intolerância Alimentar - Soja</t>
  </si>
  <si>
    <t>JOSE HERNANDO FIGUEIREDO DA SILVA JUNIOR</t>
  </si>
  <si>
    <t>ISADORA CRISTINA BATISTA DOS SANTOS</t>
  </si>
  <si>
    <t>MIGUEL LOURENCO DA SILVA</t>
  </si>
  <si>
    <t>LUCAS ALBUQUERQUE GUIMARAES</t>
  </si>
  <si>
    <t>RYAN BENICIOLOPES</t>
  </si>
  <si>
    <t>LEONARDO DE MORAES WILLISH MARTOS</t>
  </si>
  <si>
    <t>BIANCA ERONICA ASTURIZAGA ARUATA</t>
  </si>
  <si>
    <t>ALICE CORDEIRO ELIAS DA SILVA</t>
  </si>
  <si>
    <t>MARCELO PINHEIRO SILVA GOMES</t>
  </si>
  <si>
    <t>ISABELLY CAVALCANTI GONCALVES</t>
  </si>
  <si>
    <t>ENRICO CIGLER DIAS AMORIM</t>
  </si>
  <si>
    <t>HELOISA DELLA MURA WANDERLEY CRISCUOLO</t>
  </si>
  <si>
    <t>ARTHUR SOARES DOURADO SILVA</t>
  </si>
  <si>
    <t>MIGUEL LIMA BARBOSA</t>
  </si>
  <si>
    <t>ENZO RAPHAEL ALMEIDA DE BARROS</t>
  </si>
  <si>
    <t>GUSTAVO HELENO RODRIGUES DA SILVA OLIVEIRA</t>
  </si>
  <si>
    <t>RAYSSA IZIDORO SANTOS</t>
  </si>
  <si>
    <t>KETELLYN ESTER LIMA DA SILVA</t>
  </si>
  <si>
    <t>MARIA EDUARDA CAMPOS DE SOUZA</t>
  </si>
  <si>
    <t>GABBRIEL SANTOS FERREIRA</t>
  </si>
  <si>
    <t>HELOISA DA SILVA TROMBINE</t>
  </si>
  <si>
    <t>OTAVIO VIEIRA UESSO</t>
  </si>
  <si>
    <t>MANUELA VIEIRA DE SOUSA</t>
  </si>
  <si>
    <t>RAFAELA GOBETTI</t>
  </si>
  <si>
    <t>GABRIEL ALVES BARRIOS</t>
  </si>
  <si>
    <t>CEI MUN. DOMINGUINHOS - (TERCEI.)</t>
  </si>
  <si>
    <t>PEDRO VICTOR DOS SANTOS</t>
  </si>
  <si>
    <t>BERNARDO DO CARMO VITORINO</t>
  </si>
  <si>
    <t>MIGUEL PATERLE SANCHEZ</t>
  </si>
  <si>
    <t>ARTHUR HENRIQUE OLIVEIRA FIGUEIREDO</t>
  </si>
  <si>
    <t>LIVIA MARIA BORGES PEREIRA</t>
  </si>
  <si>
    <t>BERNANDO DOURADO PAZ ARAUJO</t>
  </si>
  <si>
    <t>LAURA HOLANDA MIRANDA</t>
  </si>
  <si>
    <t>Alergia a Proteína do Leite de Vaca; Dislipidemia</t>
  </si>
  <si>
    <t>JULIA TENORIO LIMA</t>
  </si>
  <si>
    <t>Alergia a Ovo; Alergia a Proteína do Leite de Vaca; Alergia a Peixe; Alergia a Hortifruti - Milho
Alergia a Milho</t>
  </si>
  <si>
    <t>JOAO LUCAS RIBEIRO DE SOUZA</t>
  </si>
  <si>
    <t>KAUAN CRESCENZO DOS SANTOS MOURA</t>
  </si>
  <si>
    <t>EMEI NINI DUARTE - (TERCEI.)</t>
  </si>
  <si>
    <t>LUIZA SILVA HONORIO</t>
  </si>
  <si>
    <t>ANDERSON RODRIGUES DA SILVA FILHO</t>
  </si>
  <si>
    <t>YORANNA YANNIS DAMACENO DE OLIVEIRA</t>
  </si>
  <si>
    <t>MARIANNE SOUZA NASCIMENTO</t>
  </si>
  <si>
    <t>Alergia a Proteína do Leite de Vaca; Alergia a Soja; Alergia a Corantes; Alergia a Fruta - Kiwi; Alergia a Fruta - Banana</t>
  </si>
  <si>
    <t>MIGUEL SAHEB LUCENA</t>
  </si>
  <si>
    <t>ARTHUR MIRANDA OLIVEIRA</t>
  </si>
  <si>
    <t>LEONARDO ROCHA SILVA</t>
  </si>
  <si>
    <t>Alergia a Ovo; Alergia ao Trigo; Alergia a Hortifruti - Tomate; Alergia a Oleaginosas - Amendoim; Alergia a Fruta - Laranja pera</t>
  </si>
  <si>
    <t>SOPHIA LOPES RODRIGUES</t>
  </si>
  <si>
    <t>Alergia a Ovo; Alergia a Corantes; Alergia a Fruta - Abacaxi; Alergia a Fruta - Melancia; Alergia a Peixe; Alergia a Oleaginosas - Amendoim; Alergia a Carne Suina; Alergia a Fruta - Limão; Alergia a Oleaginosas - Castanha do Pará; Alergia a Oleaginosas - Castanha de Caju; Alergia a Oleaginosas - Castanha de Barú; Alergia a Fruta - Morango; Alergia a Fruta - Banana; Alergia a Canela; Alergia a Glúten; Alergia a Hortifruti - Pimentão; Alergia a Leites (de origem aninal)</t>
  </si>
  <si>
    <t>LORENZZO ALVES DE SENA</t>
  </si>
  <si>
    <t>ISABELLA PUTINI MILICIC</t>
  </si>
  <si>
    <t>LEONARDO LIMA DOS SANTOS</t>
  </si>
  <si>
    <t>MIGUEL BERNARDO DA SILVA</t>
  </si>
  <si>
    <t>Intolerância Alimentar - Fórmula Láctea Infantil; Intolerância Alimentar - Carne Suína</t>
  </si>
  <si>
    <t>BRAIAN JUNIOR OLIVEIRA CAMPOS</t>
  </si>
  <si>
    <t>LUCAS GUILHERME SANTOS VERISSIMO</t>
  </si>
  <si>
    <t>KAIQUE CRUZ DOS ANJOS</t>
  </si>
  <si>
    <t>ALYCE DA SILVA NOGUEIRA</t>
  </si>
  <si>
    <t>JARDIM LUCÉLIA</t>
  </si>
  <si>
    <t>MELISSA LEITE FERREIRA</t>
  </si>
  <si>
    <t>LUIZ GUSTAVO LOPES OLIVEIRA</t>
  </si>
  <si>
    <t>PEDRO HENRIQUE HORIKOSHI OKADA</t>
  </si>
  <si>
    <t>EVELLYN MACEDO BATISTA MENDES</t>
  </si>
  <si>
    <t>JULLYA KAROLLYNE BORGES DA TRINDADE</t>
  </si>
  <si>
    <t>EMEF LOURIVAL BRANDÃO DOS SANTOS - (TERCEI.)</t>
  </si>
  <si>
    <t>MATEUS PRATA PEREIRA</t>
  </si>
  <si>
    <t>NICOLAS GABRIEL DE ANDRADE FARIAS</t>
  </si>
  <si>
    <t>NICOLAS SILVA FERNANDES</t>
  </si>
  <si>
    <t>JULIO CESAR GUIMARAES QUEIROZ</t>
  </si>
  <si>
    <t>HEITOR DA SILVA CIMATTI</t>
  </si>
  <si>
    <t>GERALDO MORATO BARBOSA NETO</t>
  </si>
  <si>
    <t>EMEI CANAL DO COCAIA (TERC)</t>
  </si>
  <si>
    <t>WALTER NASCIMENTO ARRUDA</t>
  </si>
  <si>
    <t>MARIA MORENA RODRIGUES ANDRADE</t>
  </si>
  <si>
    <t>ENZO GABRIEL FERREIRA SANTOS</t>
  </si>
  <si>
    <t>TIFFANY GUEDES MARTINS</t>
  </si>
  <si>
    <t>GABRIEL HENRIQUE CLOOS SILVA</t>
  </si>
  <si>
    <t>ANA BEATRIZ MENDES MOREIRA</t>
  </si>
  <si>
    <t>EVILLYN CAROLINE PEREIRA DE SOUZA</t>
  </si>
  <si>
    <t>DAVI LUCAS LOPES DE OLIVEIRA</t>
  </si>
  <si>
    <t>JOSE FRANCISCO PEREIRA DE SOUZA</t>
  </si>
  <si>
    <t>Alergia a Chocolate/Cacau; Alergia a Carne Suina; Alergia a Frutas Ácidas</t>
  </si>
  <si>
    <t>MANUELA ANTUNES NASCIMENTO</t>
  </si>
  <si>
    <t>DAVI LUCCA LAURENTINO DA SILVA</t>
  </si>
  <si>
    <t>Alergia a Chocolate/Cacau; Alergia a Alimentos Ácidos</t>
  </si>
  <si>
    <t>VINICIUS ALVES DE OLIVEIRA</t>
  </si>
  <si>
    <t>MARIA EDUARDA DA SILVA RIBEIRO</t>
  </si>
  <si>
    <t>LARA MARCELA SILVA BRITO</t>
  </si>
  <si>
    <t>KALEBE BARBOSA PACHECO</t>
  </si>
  <si>
    <t>SAMUEL INACIO DE OLIVEIRA</t>
  </si>
  <si>
    <t>MATEUS DE SOUZA GAMA</t>
  </si>
  <si>
    <t>LUCAS GABRIEL DOS SANTOS DA SILVA</t>
  </si>
  <si>
    <t>LAURA ALMEIDA DANTAS</t>
  </si>
  <si>
    <t>PEDRO HENRIQUE MOREIRA DE OLIVEIRA</t>
  </si>
  <si>
    <t>GIOVANNA FERREIRA DOS SANTOS</t>
  </si>
  <si>
    <t>PEDRO HENRIQUE LIMA BERTON</t>
  </si>
  <si>
    <t>SUELLEN CRISTINA FONTINELE DE ABREU</t>
  </si>
  <si>
    <t>ARTHUR MOREIRA DA SILVA SANTOS</t>
  </si>
  <si>
    <t>Alergia a Conservantes; Alergia a Chocolate/Cacau; Alergia a Molho de Tomate</t>
  </si>
  <si>
    <t>ENZO CAMARGO DA SILVA BARROS</t>
  </si>
  <si>
    <t>BEATRIZ OLIVEIRA</t>
  </si>
  <si>
    <t>NICOLE SATELIS AMADIO</t>
  </si>
  <si>
    <t>ALICE MIQUELAN DA SILVA</t>
  </si>
  <si>
    <t>MARIA HELENA SANTOS LEITE</t>
  </si>
  <si>
    <t>NIKOLAS FERREIRA DE SOUZA</t>
  </si>
  <si>
    <t>CEI MUN. VER. JOSÉ FERREIRA KEFFER (TERC)</t>
  </si>
  <si>
    <t>RENAN JUSTINIANO CAVALCANTE</t>
  </si>
  <si>
    <t>LUANA VIEIRA DE SOUZA</t>
  </si>
  <si>
    <t>GABRIELLY SEVERO DA SILVA</t>
  </si>
  <si>
    <t>LIVIA BATISTA DE OLIVEIRA</t>
  </si>
  <si>
    <t>ERICK WILLIAM SILVA DOS SANTOS</t>
  </si>
  <si>
    <t>MIGUEL VIDAL SANTOS</t>
  </si>
  <si>
    <t>ERIKA RODRIGUES VELARDE</t>
  </si>
  <si>
    <t>ARTHUR MIGUEL SILVA SANTOS</t>
  </si>
  <si>
    <t>Alergia a Ovo; Refluxo Gastroesofágico</t>
  </si>
  <si>
    <t>EYTOR GOMES BOMFIM</t>
  </si>
  <si>
    <t>HELENA ARAUJO DOS SANTOS</t>
  </si>
  <si>
    <t>DAVI BONFIM DE SOUZA</t>
  </si>
  <si>
    <t>DAVID FERNANDES BOAVENTURA</t>
  </si>
  <si>
    <t>VALENTINA DA SILVA PAULINO</t>
  </si>
  <si>
    <t>EVELLYN DAYANE DE LIMA PINTO DO NASCIMENTO</t>
  </si>
  <si>
    <t>JAKELINE CARDEAL BARBOSA</t>
  </si>
  <si>
    <t>LUCAS DONIZETE MARQUES DA SILVA</t>
  </si>
  <si>
    <t>SOPHIA LORENA ALMEIDA SANTOS</t>
  </si>
  <si>
    <t>JORGE DIMITRY OLIVEIRA DE ARAUJO</t>
  </si>
  <si>
    <t>JOAO MIGUEL FERREIRA SANTOS</t>
  </si>
  <si>
    <t>Alergia a Conservantes; Alergia a Embutidos; Alergia a Enlatados; Alergia a Conservas; Alergia a Sucos Artificiais; Intolerância Alimentar - Temperos Artificiais</t>
  </si>
  <si>
    <t>JULLIA CARVALHO DA SILVA</t>
  </si>
  <si>
    <t>Alergia a Proteína do Leite de Vaca; Alergia a Peixe; Alergia a Frutos do Mar</t>
  </si>
  <si>
    <t>CHRISTOPHER GONCALVES DA SILVA</t>
  </si>
  <si>
    <t>VALENTINA DANTAS FARIAS SILVA</t>
  </si>
  <si>
    <t>MARIA EDUARDA SILVA FRANCA</t>
  </si>
  <si>
    <t>GEOVANNA DA COSTA FONSECA</t>
  </si>
  <si>
    <t>HENZO GABRIEL DA SILVA SOUSA</t>
  </si>
  <si>
    <t>MARIA LUISA CARVALHO ARAUJO</t>
  </si>
  <si>
    <t>Intolerância à Lactose; Intolerância Alimentar a Fruta - Abacaxi</t>
  </si>
  <si>
    <t>MARIA VITORIA MASCARENHAS DOS SANTOS</t>
  </si>
  <si>
    <t>VINICIUS APARECIDO LOPES DA SILVA</t>
  </si>
  <si>
    <t>JOAO HENRICK MARTINS DE OLIVEIRA</t>
  </si>
  <si>
    <t>RODRIGO ADRIANO PEREIRA DA SILVA</t>
  </si>
  <si>
    <t>Alergia a Ovo; Alergia a Fruta - Abacaxi; Alergia a Fruta - Melancia; Alergia a Fruta - Limão; Alergia a Fruta - Maçã; Alergia a Fruta - Melão; Alergia a Fruta - Pêra; Alergia a Hortifruti - Ervilha; Alergia a Azeitona/Azeite; Alergia a Pipoca; Alergia a Fruta - Caqui; Alergia a Fruta - Mexerica/Tangerina</t>
  </si>
  <si>
    <t>ALEXSANDRO ROBERTO SILVA CARVALHO</t>
  </si>
  <si>
    <t>MARIA EDUARDA DA SILVA OLIVEIRA</t>
  </si>
  <si>
    <t>GEOVANA VICTORIA GOMES PEREIRA</t>
  </si>
  <si>
    <t>THALLES FRANCISCO OLIVEIRA SOUSA</t>
  </si>
  <si>
    <t>RAFAELLA DE SOUZA COELHO</t>
  </si>
  <si>
    <t>Alergia a Ovo; Alergia a Proteína do Leite de Vaca; Hipercolesterolemia</t>
  </si>
  <si>
    <t>ESTHER ROSA DE SOUZA</t>
  </si>
  <si>
    <t>SAMILLY REGINA DE SOUZA</t>
  </si>
  <si>
    <t>MIGUEL GONCALVES SABALIAUSKAS TOME</t>
  </si>
  <si>
    <t>FERNANDA PEREIRA MACHADO</t>
  </si>
  <si>
    <t>JULIO CEZAR COTRIM DE OLIVEIRA NETO</t>
  </si>
  <si>
    <t>KAMILLY LORRAYNE ARIMATEIA DAMACENO</t>
  </si>
  <si>
    <t>ELOIZE HELENA DOS SANTOS</t>
  </si>
  <si>
    <t>JOAO MIGUEL MENDES DE LIMA</t>
  </si>
  <si>
    <t>FERNANDO SOBRAL SOUSA</t>
  </si>
  <si>
    <t>FABIEL BONFIM DE SOUSA ROCHA</t>
  </si>
  <si>
    <t>HELLEN LIMA DOS SANTOS</t>
  </si>
  <si>
    <t>PIETRO BORGES DE ALMEIDA</t>
  </si>
  <si>
    <t>VALENTINA MARIA FERRARI LEITE</t>
  </si>
  <si>
    <t>CARLOS DANIEL ALVES PEIXINHO</t>
  </si>
  <si>
    <t>Alergia a Ovo; Alergia a Proteína do Leite de Vaca; Alergia a Soja; Alergia a Peixe</t>
  </si>
  <si>
    <t>GIOVANA RODRIGUES DOS SANTOS</t>
  </si>
  <si>
    <t>MARIA EDUARDA SOARES DE LIMA</t>
  </si>
  <si>
    <t>FERNANDO COSMO BATISTA</t>
  </si>
  <si>
    <t>MATEUS HENRIQUE SOARES DO SANTO</t>
  </si>
  <si>
    <t>LAVINIA VITORIA NEVES DE OLIVEIRA</t>
  </si>
  <si>
    <t>BRYAN SILVA LUCENA</t>
  </si>
  <si>
    <t>Neofobia</t>
  </si>
  <si>
    <t>DANIEL DE SOUZA CORDEIRO</t>
  </si>
  <si>
    <t>Intolerância à Lactose; Alergia a Carne Suina</t>
  </si>
  <si>
    <t>Intolerância à Lactose; Alergia a Corantes; Alergia a Conservantes; Alergia a Frutas Cítricas</t>
  </si>
  <si>
    <t>GIOVANNA MARQUES RODRIGUES</t>
  </si>
  <si>
    <t>PEDRO HENRIQUE SANTOS DA SILVA</t>
  </si>
  <si>
    <t>JOHNNY DAVI BRITO REIS</t>
  </si>
  <si>
    <t>HELOISA FERNANDES DE ALMEIDA</t>
  </si>
  <si>
    <t>WASHINGTON FERNANDES PINHEIRO</t>
  </si>
  <si>
    <t>Alergia a Corantes; Alergia a Peixe; Alergia a Chocolate/Cacau; Alergia a Carne Suina</t>
  </si>
  <si>
    <t>GUILHERME FELIX MOURA</t>
  </si>
  <si>
    <t>MIGUEL GUEDES DE JESUS</t>
  </si>
  <si>
    <t>FRANCIANE OLIVEIRA SANTOS</t>
  </si>
  <si>
    <t>KHALEL MOHANDAS WIERMANN PEREIRA</t>
  </si>
  <si>
    <t>Autismo; Dislipidemia</t>
  </si>
  <si>
    <t>MARIA LUIZA ALEXANDRE SILVA</t>
  </si>
  <si>
    <t>JOAO FELIX DA SILVA</t>
  </si>
  <si>
    <t>LUIS FELIPE MACEDO FEITOZA</t>
  </si>
  <si>
    <t>KAIO HENRIQUE SILVA BATISTA</t>
  </si>
  <si>
    <t>DAVI TENORIO DA SILVA</t>
  </si>
  <si>
    <t>Alergia a Proteína do Leite de Vaca; Alergia a Corantes; Alergia a Conservantes; Alergia a Enlatados</t>
  </si>
  <si>
    <t>ALEJANDRO CARDOSO BISPO</t>
  </si>
  <si>
    <t>JOAO VITOR SOUZA DA SILVA</t>
  </si>
  <si>
    <t>Intolerância Alimentar - Café; Intolerância Alimentar - Carne Suína</t>
  </si>
  <si>
    <t>BERNARDO SARAIVA BONINI</t>
  </si>
  <si>
    <t>KAUAN GUEDES MENDES DA SILVA</t>
  </si>
  <si>
    <t>WANNY MIRELLY SOUZA SANTOS</t>
  </si>
  <si>
    <t>SAMUEL AUGUSTO CASSIANO</t>
  </si>
  <si>
    <t>PEDRO KAUA MARTOWLOS CALHEIROS</t>
  </si>
  <si>
    <t>ARTHUR OLIVEIRA</t>
  </si>
  <si>
    <t>LARA BEATRIZ PEREIRA DE CARVALHO</t>
  </si>
  <si>
    <t>LAURA DE SOUZA BEZERRA</t>
  </si>
  <si>
    <t>HEITOR RAMOS VIEIRA</t>
  </si>
  <si>
    <t>PEDRO HENRIQUE DE SOUSA BRITO</t>
  </si>
  <si>
    <t>PALLOMA PEREIRA DOS SANTOS</t>
  </si>
  <si>
    <t>AMANDA MANGUEIRA EUGENIO</t>
  </si>
  <si>
    <t>EMEF PROF. OSVALDO QUIRINO SIMÕES - (TERCEI.)</t>
  </si>
  <si>
    <t>JULIA GOMES DE AQUINO</t>
  </si>
  <si>
    <t>JOAO VITOR BATISTA FRANCA</t>
  </si>
  <si>
    <t>ARTHUR BARZON PASSOS</t>
  </si>
  <si>
    <t>ANA CLARA FELIX OLIVEIRA DIONISIO</t>
  </si>
  <si>
    <t>CAMILA MONTORO DE MELO</t>
  </si>
  <si>
    <t>ANA BEATRIZ DE ALMEIDA SILVA</t>
  </si>
  <si>
    <t>MIGUEL VENANCIO</t>
  </si>
  <si>
    <t>VINICIUS VENANCIO</t>
  </si>
  <si>
    <t>VALENTINA CARDOSO DA SILVA</t>
  </si>
  <si>
    <t>MIRELLA ELLEN DOS SANTOS BARROS</t>
  </si>
  <si>
    <t>Alergia a Ovo; Alergia a Proteína do Leite de Vaca; Alergia a Soja; Alergia a Fruta - Abacaxi; Alergia a Oleaginosas - Amendoim; Alergia a Oleaginosas - Castanha do Pará; Alergia a Fruta - Kiwi; Alergia a Fruta - Morango</t>
  </si>
  <si>
    <t>EMEI DULCE HAUCK - (TERCEI.)</t>
  </si>
  <si>
    <t>RUAN BARBOZA CAETANO SANTOS</t>
  </si>
  <si>
    <t>GUSTAVO APOLINARIO DA SILVA PINHEIRO</t>
  </si>
  <si>
    <t>BRENO GUSMAO GURGEL ARAUJO</t>
  </si>
  <si>
    <t>JOAO VICTOR BUENO RAMOS DE AZEVEDO</t>
  </si>
  <si>
    <t>KEVIN SOARES DE CARVALHO</t>
  </si>
  <si>
    <t>LORENA ROSA MOLINA</t>
  </si>
  <si>
    <t>ISABELLY MORAIS DA SILVA</t>
  </si>
  <si>
    <t>HEITOR OLIVEIRA DO NASCIMENTO</t>
  </si>
  <si>
    <t>RICARDO RIBEIRO DA COSTA</t>
  </si>
  <si>
    <t>LORENA CARVALHO DOS SANTOS</t>
  </si>
  <si>
    <t>Alergia a Ovo; Alergia a Frutos do Mar; Alergia a Oleaginosas - Amendoim; Alergia a Oleaginosas - Castanha do Pará; Alergia a Oleaginosas - Castanha de Caju; Alergia a Oleaginosas - Castanha de Barú</t>
  </si>
  <si>
    <t>ANA ALBERTIN DE AMORIM</t>
  </si>
  <si>
    <t>LORENZO RODRIGUES GRZADZIEL</t>
  </si>
  <si>
    <t>SILAS PATRICK ANDRE ALVES DIAS DE OLIVEIRA</t>
  </si>
  <si>
    <t>YASMIN MARQUES ARRUDA</t>
  </si>
  <si>
    <t>LAURA PEREIRA MARTINS</t>
  </si>
  <si>
    <t>ISABELLY STEFANO FERREIRA</t>
  </si>
  <si>
    <t>Intolerância à Lactose; Intolerância Alimentar - Coco</t>
  </si>
  <si>
    <t>YASMIM MARTINS SANTOS</t>
  </si>
  <si>
    <t>MARIA EDUARDA COSTA SANTOS</t>
  </si>
  <si>
    <t>Alergia a Ovo; Alergia a Fruta - Mamão; Alergia a Oleaginosas - Castanha do Pará; Alergia a Fruta - Kiwi; Alergia a Fruta - Banana; Alergia a Fruta - Pêssego; Alergia a Fruta - Damasco; Alergia a Fruta - Castanha Portuguesa</t>
  </si>
  <si>
    <t>BIANCA FIORE DA SILVA</t>
  </si>
  <si>
    <t>ISABELLA SANTOS KINO DO PRADO</t>
  </si>
  <si>
    <t>ESTHER VICTORIA DOS SANTOS</t>
  </si>
  <si>
    <t>YASMIN SENA RUFINO</t>
  </si>
  <si>
    <t>Intolerância à Lactose; Alergia a Latex</t>
  </si>
  <si>
    <t>LAURA MARIA DA SILVA</t>
  </si>
  <si>
    <t>KEYSE NIDYA ARAUJO</t>
  </si>
  <si>
    <t>NICKOLAS GOMES DE LIMA DOS SANTOS</t>
  </si>
  <si>
    <t>RAFAEL NOGUEIRA MULLI BUJAN</t>
  </si>
  <si>
    <t>FERNANDA NASCIMENTO DOS SANTOS</t>
  </si>
  <si>
    <t>ZURI MALIK CUNHA SANTOS</t>
  </si>
  <si>
    <t>SOFIA DE ALMEIDA NIPOMOCENO</t>
  </si>
  <si>
    <t>LETICIA GOMES DA SILVA</t>
  </si>
  <si>
    <t>BARBARA KNOPP DE LIMA</t>
  </si>
  <si>
    <t>DAVI DOMINGOS GONCALVES</t>
  </si>
  <si>
    <t>ESTELLA PORTO DE ARAUJO CARDOSO</t>
  </si>
  <si>
    <t>LORENZO GABRIEL VIANA LIMA</t>
  </si>
  <si>
    <t>ANA CLARA MORAES VALE</t>
  </si>
  <si>
    <t>ISABELLA DE SOUZA CAIRES</t>
  </si>
  <si>
    <t>ISABELY VIEIRA DE ANDRADE</t>
  </si>
  <si>
    <t>MATHEUS MOURA MAIZZE MACIEL</t>
  </si>
  <si>
    <t>MARIA SOPHIA SILVA SOUZA</t>
  </si>
  <si>
    <t>BRYAN DO CARMO ANDRIOLI LEITE</t>
  </si>
  <si>
    <t>GABRIEL NASCIMENTO JANUARIO DOS SANTOS</t>
  </si>
  <si>
    <t>HEITOR AUGUSTO ALVES DA CONCEICAO</t>
  </si>
  <si>
    <t>Alergia a Proteína do Leite de Vaca; Alergia ao Trigo; Alergia a Soja</t>
  </si>
  <si>
    <t>ESTER NUNES ANANIAS</t>
  </si>
  <si>
    <t>THAMYRES NAYARA DOS SANTOS</t>
  </si>
  <si>
    <t>Alergia a Corantes; Alergia a Frutas Ácidas</t>
  </si>
  <si>
    <t>ANNA CLARA SANTOS NASCIMENTO</t>
  </si>
  <si>
    <t>STHER VERISSIMA DOS SANTOS</t>
  </si>
  <si>
    <t>Intolerância Alimentar - Achocolatado</t>
  </si>
  <si>
    <t>EMEI PROFª FÚLVIA ROSEMBERG (TERC.) (ANTIGA EMEI CIDADE TIRADENTES )</t>
  </si>
  <si>
    <t>ALLEF CLAUDINO MONTEIRO</t>
  </si>
  <si>
    <t>MELINDA BARROS SANTOS</t>
  </si>
  <si>
    <t>NICOLLY DOS REIS CAMPOI</t>
  </si>
  <si>
    <t>PEDRO FERMAM MORAES</t>
  </si>
  <si>
    <t>Alergia a Proteína do Leite de Vaca; Alergia a Soja; Alergia a Hortifruti - Tomate; Alergia a Oleaginosas - Amendoim</t>
  </si>
  <si>
    <t>Alergia a Ovo; Alergia a Proteína do Leite de Vaca; Alergia a Oleaginosas - Amendoim; Alergia a Glúten</t>
  </si>
  <si>
    <t>LUIZ CLAUDIO FERNANDES DA SILVA</t>
  </si>
  <si>
    <t>BEATRIZ MARIA DA SILVA AZEVEDO</t>
  </si>
  <si>
    <t>DAVI BRITO ROCHA</t>
  </si>
  <si>
    <t>Alergia a Proteína do Leite de Vaca; Alergia a Soja; Alergia a Oleaginosas - Amendoim; Alergia a Oleaginosas - Castanha do Pará; Alergia a Oleaginosas - Castanha de Caju; Alergia a Oleaginosas - Castanha de Barú; Alergia a Oleaginosas - Avelã; Alergia a Oleaginosas - Amêndoa; Alergia a Oleaginosas - Nozes</t>
  </si>
  <si>
    <t>VITORIA RODRIGUES GUEDES</t>
  </si>
  <si>
    <t>ALICE ELINE FERREIRA LUIZ</t>
  </si>
  <si>
    <t>MIRELA CORREA LAUS</t>
  </si>
  <si>
    <t>KETELYN VITORIA DA SILVA SANTOS</t>
  </si>
  <si>
    <t>ISABELLY RODRIGUES LENZ</t>
  </si>
  <si>
    <t>MIGUEL DE ASSIS THEODORO</t>
  </si>
  <si>
    <t>HEITOR RAMOS ELIAS</t>
  </si>
  <si>
    <t>YASMIM DE ALMEIDA FELICIO</t>
  </si>
  <si>
    <t>DAVI NETO MONTEIRO</t>
  </si>
  <si>
    <t>ANA BEATRIZ FERNANDES RODRIGUES</t>
  </si>
  <si>
    <t>LORENA GIOVANINI DOS SANTOS</t>
  </si>
  <si>
    <t>ISIS CATHERINE SANTOS SILVA</t>
  </si>
  <si>
    <t>Alergia a Corantes; Alergia a Chocolate/Cacau; Alergia a Molho de Tomate</t>
  </si>
  <si>
    <t>LORENA VERISSIMO FERREIRA DE LIMA</t>
  </si>
  <si>
    <t>LUAN ALVES SANTOS</t>
  </si>
  <si>
    <t>JULIO CESAR ALVES TENORIO</t>
  </si>
  <si>
    <t>GUILHERME LINO DO NASCIMENTO SANCHES</t>
  </si>
  <si>
    <t>ANITA BARRETO ROSA</t>
  </si>
  <si>
    <t>Alergia a Ovo; Alergia a Proteína do Leite de Vaca; Alergia a Frutos do Mar; Alergia a Glúten</t>
  </si>
  <si>
    <t>RAFAELLA FLORENCIO LIMA SANTOS</t>
  </si>
  <si>
    <t>Alergia a Hortifruti - Cenoura; Alergia a Hortifruti - Ervilha</t>
  </si>
  <si>
    <t>MARIA EDUARDA VALENCA SILVESTRE</t>
  </si>
  <si>
    <t>MARIA LUIZA MUNIZ COELHO</t>
  </si>
  <si>
    <t>LEONARDO BUENO PINHEIRO</t>
  </si>
  <si>
    <t>ARIANY SOUZA CRUZ</t>
  </si>
  <si>
    <t>JOAO MIGUEL SOUZA PEREIRA</t>
  </si>
  <si>
    <t>OTAVIO GUATURA PISSOLATO</t>
  </si>
  <si>
    <t>BERNARDO GUATURA PISSOLATO</t>
  </si>
  <si>
    <t>JHULIA NERI TEODOZIO</t>
  </si>
  <si>
    <t>JENIFER DE SOUZA GOIS</t>
  </si>
  <si>
    <t>Alergia a Soja; Alergia a Corantes; Alergia a Peixe; Alergia a Carne Bovina</t>
  </si>
  <si>
    <t>PIETRO LORENZO DE MOURA PEREIRA</t>
  </si>
  <si>
    <t>NATHALIE DE OLIVEIRA NASCIMENTO</t>
  </si>
  <si>
    <t>LUCAS VIEIRA DOS SANTOS</t>
  </si>
  <si>
    <t>MARYA EDUARDA SANTOS FERREIRA</t>
  </si>
  <si>
    <t>ENZO GABRIEL CAMPOS GAMA</t>
  </si>
  <si>
    <t>MARIANA MEIRELES SANTOS</t>
  </si>
  <si>
    <t>CAROLAINE BARBOSA DA SILVA</t>
  </si>
  <si>
    <t>KLALVEN THAYLOR SANTOS SILVA</t>
  </si>
  <si>
    <t>CEI PROFESSORA ALICE APARECIDA DE SOUZA (TERC)</t>
  </si>
  <si>
    <t>LORENZO RAMIREZ GUILHERMINO</t>
  </si>
  <si>
    <t>MELISSA DOS SANTOS PRIMO</t>
  </si>
  <si>
    <t>JULIA MARINA SOARES TEIXEIRA</t>
  </si>
  <si>
    <t>Alergia a Ovo; Alergia a Proteína do Leite de Vaca; Alergia a Corantes; Alergia a Peixe; Alergia a Carne Suina; Alergia a Frutas Ácidas; Alergia a Vinagre</t>
  </si>
  <si>
    <t>LILIAN MENDES DE AGUIAR</t>
  </si>
  <si>
    <t>IAGO MIGUEL MEDEIROS CARDOSO</t>
  </si>
  <si>
    <t>MIRELLA CORDEIRO ALVES</t>
  </si>
  <si>
    <t>KAUA ALMEIDA MONTEIRO</t>
  </si>
  <si>
    <t>MATHEUS DE CARVALHO ABREU</t>
  </si>
  <si>
    <t>MARIA EDUARDA LOPES CAMPOS</t>
  </si>
  <si>
    <t>MIKAEL OLIVEIRA QUIRINO ANTUNES</t>
  </si>
  <si>
    <t>GUSTAVO GABRIEL SILVA BISPO</t>
  </si>
  <si>
    <t>LUIZ OTAVIO SERAFIM DA SILVA</t>
  </si>
  <si>
    <t>ELOA EMMANUELY FELICIO ROSA</t>
  </si>
  <si>
    <t>ENZO ALMEIDA ANDRADE</t>
  </si>
  <si>
    <t>ANA CLARA DE QUEIROZ BENTO</t>
  </si>
  <si>
    <t>NICOLLY FERNANDES DOS SANTOS</t>
  </si>
  <si>
    <t>MIQUEIAS RAMOS MUNHOS</t>
  </si>
  <si>
    <t>ELOISA DO NASCIMENTO FERREIRA</t>
  </si>
  <si>
    <t>SARA MENDONCA SANTANA</t>
  </si>
  <si>
    <t>YASMIN FERNANDES DA SILVA</t>
  </si>
  <si>
    <t>GABRIELLY MOREIRA DA SILVA</t>
  </si>
  <si>
    <t>NICOLLY MARIA MONTEIRO RIBEIRO</t>
  </si>
  <si>
    <t>MYLLENE SILVA GONZAGA</t>
  </si>
  <si>
    <t>BRAYAN SOUSA SOARES CHARLES</t>
  </si>
  <si>
    <t>CEI MUN. INCONFIDENTES - (TERCEI.)</t>
  </si>
  <si>
    <t>SUCESS UZOMA NWAOGAR</t>
  </si>
  <si>
    <t>EMANUELLE BIANCA AUGUSTO BUENO</t>
  </si>
  <si>
    <t>ANNY VITORIA GOMES DE OLIVEIRA</t>
  </si>
  <si>
    <t>RENATA CORDEIRO DE SOUSA</t>
  </si>
  <si>
    <t>NATALY BESERRA DE LIMA</t>
  </si>
  <si>
    <t>ANA GABRIELA SAYURI HONMA</t>
  </si>
  <si>
    <t>KAIQUE FERREIRA DOS SANTOS</t>
  </si>
  <si>
    <t>FELIPE OLIVEIRA DE ALMEIDA</t>
  </si>
  <si>
    <t>MARCELO SANTOS LIRA</t>
  </si>
  <si>
    <t>PEDRO DIAS OLIVEIRA</t>
  </si>
  <si>
    <t>ANNE KAROLYNE DE BRITO COSTA SILVA</t>
  </si>
  <si>
    <t>KAIC LUCAS GUIMARAES</t>
  </si>
  <si>
    <t>VINICIUS DOS SANTOS NASCIMENTO</t>
  </si>
  <si>
    <t>GUSTAVO CRUZ DE FREITAS</t>
  </si>
  <si>
    <t>DAVI LUIZ SOUZA MANOEL</t>
  </si>
  <si>
    <t>MARIA EDUARDA DE JESUS BASTOS</t>
  </si>
  <si>
    <t>CAMILLY VICTORIA MERUCCI SILVA</t>
  </si>
  <si>
    <t>JOHN RICHARD SILVA SANTOS</t>
  </si>
  <si>
    <t>SOPHIA DA COSTA NEVES</t>
  </si>
  <si>
    <t>PEDRO HENRIQUE PEREIRA MILHOMEM</t>
  </si>
  <si>
    <t>ANTHONY SILVA SALVAGNANI CARRARA</t>
  </si>
  <si>
    <t>DAVI VALENTIM MARTINS BONFIM</t>
  </si>
  <si>
    <t>ALLEX MEDEIROS SANTOS</t>
  </si>
  <si>
    <t>MANUELA MIRANDA DA SILVA</t>
  </si>
  <si>
    <t>Leucinose</t>
  </si>
  <si>
    <t>EMEF JOAQUIM NABUCO - (TERCEI.)</t>
  </si>
  <si>
    <t>EMEI REG. FEIJÓ - (TERCEI.)</t>
  </si>
  <si>
    <t>EMILLY RODRIGUES LEMOS</t>
  </si>
  <si>
    <t>LEONARDO TONIATO CARUSO</t>
  </si>
  <si>
    <t>Alergia a Ovo; Alergia a Proteína do Leite de Vaca; Alergia a Soja; Alergia a Peixe; Alergia a Chocolate/Cacau</t>
  </si>
  <si>
    <t>BRUNO DE LIMA OLIVEIRA</t>
  </si>
  <si>
    <t>PIERO CAETANO DIAZ ROSSI</t>
  </si>
  <si>
    <t>KAUE VIEIRA DE LIRA</t>
  </si>
  <si>
    <t>MANUELA MASSARENTI FERNANDES DOS SANTOS</t>
  </si>
  <si>
    <t>EMEI QUINTA DAS PAINEIRAS (TERC)</t>
  </si>
  <si>
    <t>NICOLE MORAES ROCHA</t>
  </si>
  <si>
    <t>GUSTAVO ANSELMO SILVA</t>
  </si>
  <si>
    <t>PEDRO MAGALHAES VERISSIMO</t>
  </si>
  <si>
    <t>STHEFANY VITORIA SANTANA DE ANDRADE</t>
  </si>
  <si>
    <t>EZEQUIEL DE JESUS SILVA</t>
  </si>
  <si>
    <t>DAFNE CANUTO DE SOUZA</t>
  </si>
  <si>
    <t>ARTHUR RIBEIRO OLIVEIRA</t>
  </si>
  <si>
    <t>JUAN OLIVEIRA DE ARAUJO</t>
  </si>
  <si>
    <t>Intolerância à Lactose; Alergia a Corantes; Alergia a Alimentos Ácidos; Alergia a Enlatados</t>
  </si>
  <si>
    <t>LARA HELENA FRANCA FERINI</t>
  </si>
  <si>
    <t>JOAO PEDRO LOPES LINO</t>
  </si>
  <si>
    <t>ANA LUIZA MIRANDA MEGGIATO</t>
  </si>
  <si>
    <t>HENRI VITOR LAERCIO DE NOVAIS</t>
  </si>
  <si>
    <t>KAUAN ACCIARITO PERES</t>
  </si>
  <si>
    <t>SOPHIA MORAIS RIBEIRO</t>
  </si>
  <si>
    <t>Proteinúria</t>
  </si>
  <si>
    <t>JOAO LUCAS SILVA DOS SANTOS</t>
  </si>
  <si>
    <t>Intolerância ao Glúten; Intolerância Alimentar - Leite e/ou Derivados do Leite</t>
  </si>
  <si>
    <t>LUIZ LUCAS DOS SANTOS SOUSA</t>
  </si>
  <si>
    <t>Alergia a Proteína do Leite de Vaca; Alergia a Oleaginosas - Amendoim</t>
  </si>
  <si>
    <t>EMILLY LARISSA NEVES DOS SANTOS</t>
  </si>
  <si>
    <t>Alergia a Corantes; Alergia a Conservantes; Alergia a Aromatizantes; Alergia a Chocolate/Cacau</t>
  </si>
  <si>
    <t>MATHEUS PHELIPPI REIS SENA</t>
  </si>
  <si>
    <t>MATHEUS FERNANDES SILVA DE OLIVEIRA</t>
  </si>
  <si>
    <t>JORGE ANTONIO FERREIRA DE SOUZA</t>
  </si>
  <si>
    <t>FABRICIO CIPRIANO DA SILVA</t>
  </si>
  <si>
    <t>YASMIN DA SILVA RIBEIRO</t>
  </si>
  <si>
    <t>ANTARES RAZYEL BURGUESA</t>
  </si>
  <si>
    <t>Alergia a Proteína do Leite de Vaca; Alergia a Corantes; Alergia a Salsicha; Alergia a Carne Suina</t>
  </si>
  <si>
    <t>EMEI PROF. IGNÁCIO HENRIQUE ROMEIRO (TERC)</t>
  </si>
  <si>
    <t>DAVI ASSIS DE SOUZA</t>
  </si>
  <si>
    <t>MATHEUS DA PAIXAO BISPO</t>
  </si>
  <si>
    <t>DAVI RIBEIRO DOMINGOS</t>
  </si>
  <si>
    <t>MARIA CECILIA AMARAL DE SOUZA</t>
  </si>
  <si>
    <t>CAMILLA SANTOS DE SOUZA</t>
  </si>
  <si>
    <t>EDUARDA DA CONCEICAO</t>
  </si>
  <si>
    <t>RAFAEL RIBEIRO DE ASSIS</t>
  </si>
  <si>
    <t>EVY LOUISE DE SOUSA GOES</t>
  </si>
  <si>
    <t>Bebê Chiador</t>
  </si>
  <si>
    <t>GABRIEL SUZANO AUGUSTO</t>
  </si>
  <si>
    <t>HADASSA VITORIA LIMA SANTOS</t>
  </si>
  <si>
    <t>MAX PERALTA SPANDAU</t>
  </si>
  <si>
    <t>LUIZ HENRIQUE SILVA RODRIGUES</t>
  </si>
  <si>
    <t>DEBORAH ALENCAR CARDOSO</t>
  </si>
  <si>
    <t>KETHELYN LIMA DA SILVA</t>
  </si>
  <si>
    <t>ARTHUR CARVALHO BEZERRA</t>
  </si>
  <si>
    <t>FERNANDO DE MOURA SOUZA</t>
  </si>
  <si>
    <t>MICHAEL PLATINIR OLIVEIRA GOMES</t>
  </si>
  <si>
    <t>GABRIEL HENRIQUE ZANCHI CIRINO</t>
  </si>
  <si>
    <t>LUCAS DAS NEVES SANTOS</t>
  </si>
  <si>
    <t>HENZO GABRIEL PEREIRA DE CARVALHO</t>
  </si>
  <si>
    <t>YAGO DA SILVA DORI</t>
  </si>
  <si>
    <t>MIGUEL VITORINO NASCIMENTO</t>
  </si>
  <si>
    <t>KAIKE GONCALVES DOS SANTOS</t>
  </si>
  <si>
    <t>MIGUEL MACIEL GUGIEL</t>
  </si>
  <si>
    <t>ARIANNY LUIZA NASCIMENTO DA SILVA</t>
  </si>
  <si>
    <t>ANA LETICIA FRANCO ANI</t>
  </si>
  <si>
    <t>MARIA CLARA SOUSA SANTOS</t>
  </si>
  <si>
    <t>MARIA LAURA PITOL DELGADO</t>
  </si>
  <si>
    <t>LEONARDO MARTINS DA SILVA</t>
  </si>
  <si>
    <t>EMILLY SANTOS CAVALCANTE PROTAZIO</t>
  </si>
  <si>
    <t>ENZO BRAGA DO NASCIMENTO</t>
  </si>
  <si>
    <t>DERYCK RIBEIRO OLIVEIRA DOS SANTOS</t>
  </si>
  <si>
    <t>SOPHYA LIMA BRITO SANTOS</t>
  </si>
  <si>
    <t>ANA LETICIA BORGES SANTANA</t>
  </si>
  <si>
    <t>Alergia a Ovo; Alergia a Proteína do Leite de Vaca; Alergia a Soja; Alergia a Carne Suina; Alergia a Carne Bovina; Alergia a Glúten; Alergia a carne de carneiro; Alergia a carne de cabrito</t>
  </si>
  <si>
    <t>LIONEL MORAIS PEREIRA</t>
  </si>
  <si>
    <t>Alergia a Ovo; Hipercolesterolemia</t>
  </si>
  <si>
    <t>ANA LUIZA SOUZA COSTA</t>
  </si>
  <si>
    <t>GUILHERME AMORIM</t>
  </si>
  <si>
    <t>ALICIA MARIA DA SILVA</t>
  </si>
  <si>
    <t>MIGUEL EMERSON DE GOUVEIA</t>
  </si>
  <si>
    <t>JOAO VITOR GRISOLIA PALACIO</t>
  </si>
  <si>
    <t>DAVI LUCCA SANTOS MARTINS</t>
  </si>
  <si>
    <t>GABRIEL SOLAI DE LIMA</t>
  </si>
  <si>
    <t>GUSTAVO NASCIMENTO DE OLIVEIRA</t>
  </si>
  <si>
    <t>Alergia a Ovo; Alergia a Fruta - Abacaxi; Alergia a Hortifruti - Tomate; Alergia a Peixe; Alergia a Frutos do Mar; Alergia a Oleaginosas - Amendoim; Alergia a Fruta - Laranja pera; Alergia a Fruta - Morango; Alergia a Fruta - Banana; Alergia a Hortifruti - Mandioquinha; Alergia a Hortifruti - Abóbora; Alergia a Fruta - Manga; Alergia a Fruta - Maracujá</t>
  </si>
  <si>
    <t>ARTHUR MOREIRA MONTEIRO</t>
  </si>
  <si>
    <t>JORDAN DE PAULA TEOFILO</t>
  </si>
  <si>
    <t>VITOR MIGUEL LEAL CERQUEIRA</t>
  </si>
  <si>
    <t>FILIPPO SOARES EVANGELISTA</t>
  </si>
  <si>
    <t>EMANUELY SOUSA SANTOS DA SILVA</t>
  </si>
  <si>
    <t>Alergia a Ovo; Alergia ao Trigo; Alergia a Soja; Alergia a Oleaginosas - Amendoim; Alergia a Fruta - Banana; Alergia a Hortifruti - Milho
Alergia a Milho</t>
  </si>
  <si>
    <t>JOAO GUILHERME PADOVAN SILVA</t>
  </si>
  <si>
    <t>BEATRIZ ERMELINDO CONCEICAO</t>
  </si>
  <si>
    <t>JEAN PIERRIE LIMA MARTINS PRESSATTO</t>
  </si>
  <si>
    <t>ANNA SOFIA DE SOUZA</t>
  </si>
  <si>
    <t>MANUELLA GAMA DOS SANTOS</t>
  </si>
  <si>
    <t>BRUNNA LETICIA FERREIRA DOS SANTOS</t>
  </si>
  <si>
    <t>DAVI LUIZ MOLINI DO CAMINHO</t>
  </si>
  <si>
    <t>CEI MUN. JACARANDÁ - (TERCEI.)</t>
  </si>
  <si>
    <t>BENICIO FARIAS MACHADO DA SILVA</t>
  </si>
  <si>
    <t>BRYAN POMPEU QUIRINO ALVES</t>
  </si>
  <si>
    <t>LAURA PAGLIUCA MESSIAS LOPES</t>
  </si>
  <si>
    <t>BRENNO CARVALHO PEDRO</t>
  </si>
  <si>
    <t>ANA CLARA SOARES DE LIMA</t>
  </si>
  <si>
    <t>RAFAEL AILTON DE SOUZA MARQUES</t>
  </si>
  <si>
    <t>ISABELLA CARVALHO BESSA</t>
  </si>
  <si>
    <t>ICARO CARVALHO DE SANTANA</t>
  </si>
  <si>
    <t>BIANCA DOS SANTOS COSTA</t>
  </si>
  <si>
    <t>JOSE RONALDO MORAES DE FRANCA</t>
  </si>
  <si>
    <t>EMEI PROF. LEONARDO VAN ACKER (TERC.)</t>
  </si>
  <si>
    <t>ANA CLARA VITORIA DE JESUS LELIS</t>
  </si>
  <si>
    <t>GUSTAVO BUGIGA RODRIGUES</t>
  </si>
  <si>
    <t>DAVI LUIZ NASCIMENTO ANGELO</t>
  </si>
  <si>
    <t>EDUARDA DO PRADO EUGENIO OLIVEIRA</t>
  </si>
  <si>
    <t>Alergia a Oleaginosas - Amêndoa; Alergia a Oleaginosas - Nozes</t>
  </si>
  <si>
    <t>REBEKA VITORIA TEIXEIRA SOARES</t>
  </si>
  <si>
    <t>FELIPE ALENCAR ZONTA</t>
  </si>
  <si>
    <t>PYETRO JORGE DE MOURA</t>
  </si>
  <si>
    <t>PEDRO MIGUEL SANTOS SOARES</t>
  </si>
  <si>
    <t>ISRAEL SANTOS SOARES</t>
  </si>
  <si>
    <t>MELYSSA DOS SANTOS NASCIMENTO</t>
  </si>
  <si>
    <t>RAUL JUAN MANDELA SANTOS DA COSTA</t>
  </si>
  <si>
    <t>RAFAELLA GENOVA DE OLIVEIRA</t>
  </si>
  <si>
    <t>JULIO CESAR FERNANDES SILVA</t>
  </si>
  <si>
    <t>ALEXIA APARECIDA BISPO DA SILVA</t>
  </si>
  <si>
    <t>THOMAS ALVES SILVEIRA DOS SANTOS</t>
  </si>
  <si>
    <t>LUCAS RIBEIRO DE FREITAS</t>
  </si>
  <si>
    <t>ALICE FREITAS DE CASTRO</t>
  </si>
  <si>
    <t>HEITOR MARQUES MACHADO</t>
  </si>
  <si>
    <t>DANTH DI LOURENZZO DE MELO FERREIRA DE MORAIS</t>
  </si>
  <si>
    <t>ANA CLARA CONCEICAO CASTRO</t>
  </si>
  <si>
    <t>GUSTAVO SOARES CAMILO CHINALI</t>
  </si>
  <si>
    <t>MELISSA PEREIRA MARTINS</t>
  </si>
  <si>
    <t>EMILY VITORIA ALVES DE SOUZA</t>
  </si>
  <si>
    <t>LAIS MENDES ALMEIDA</t>
  </si>
  <si>
    <t>DANIEL DE SOUZA MODESTO</t>
  </si>
  <si>
    <t>Alergia a Proteína do Leite de Vaca; Alergia ao Trigo; Alergia a Hortifruti - Tomate</t>
  </si>
  <si>
    <t>VINICIUS ARAUJO FERREIRA DOS SANTOS</t>
  </si>
  <si>
    <t>EMANUELLY COSTA DA SILVA FERREIRA</t>
  </si>
  <si>
    <t>GIOVANNA AMARO FERREIRA</t>
  </si>
  <si>
    <t>VICTOR HUGO SILVA CARVALHO</t>
  </si>
  <si>
    <t>ALEX RIBEIRO ALVES</t>
  </si>
  <si>
    <t>GIOVANNA MONTICELLI DE PAIVA</t>
  </si>
  <si>
    <t>ENDREW RAFAEL SANTOS DE MORAIS</t>
  </si>
  <si>
    <t>ISABELLY TEIXEIRA SOUZA</t>
  </si>
  <si>
    <t>ISABELLA FUZARO DA SILVA RODRIGUES</t>
  </si>
  <si>
    <t>Retardo Mental</t>
  </si>
  <si>
    <t>DAVI LUIZ DELFINO DOS SANTOS</t>
  </si>
  <si>
    <t>JUAN VICTOR ASSIS DA FONSECA</t>
  </si>
  <si>
    <t>JONAS AGUIAR PAIVA DOS SANTOS</t>
  </si>
  <si>
    <t>ANA CLARA CASAGRANDE FERRAZ FREZARINI</t>
  </si>
  <si>
    <t>LEONARDO VICENTE DE BARROS</t>
  </si>
  <si>
    <t>ARTUR MONTEIRO DAMIAO</t>
  </si>
  <si>
    <t>Intolerância à Lactose; Intolerância Alimentar - Chocolate; Intolerância Alimentar - Alimentos Cítricos; Intolerância Alimentar - Molho de tomate</t>
  </si>
  <si>
    <t>DAVI GOMES CHICO</t>
  </si>
  <si>
    <t>ALICE CLOE TOMADOCE BACELAR</t>
  </si>
  <si>
    <t>LORENNA FERREIRA DE SOUZA</t>
  </si>
  <si>
    <t>SAMUEL NOBREGA ITALIANO</t>
  </si>
  <si>
    <t>SAMYRA GUIMARAES DE AVELLAR</t>
  </si>
  <si>
    <t>VICTORIA TEIXEIRA MODOLO</t>
  </si>
  <si>
    <t>PIETRO HENRIQUE DA SILVA</t>
  </si>
  <si>
    <t>MARIANA DUARTE HONORIO</t>
  </si>
  <si>
    <t>ISAAC CARVALHO</t>
  </si>
  <si>
    <t>NICOLY CARDOSO SALUN</t>
  </si>
  <si>
    <t>FERNANDO DIAS</t>
  </si>
  <si>
    <t>EMILE DE OLIVEIRA BENIAMINO</t>
  </si>
  <si>
    <t>MICAELLY LORRAINE PEREIRA DOS SANTOS</t>
  </si>
  <si>
    <t>MURILO LOURENCO FERREIRA</t>
  </si>
  <si>
    <t>EYTHOR GABRIEL LIMA FRANCA</t>
  </si>
  <si>
    <t>NOAH MACHADO ROSA</t>
  </si>
  <si>
    <t>MIGUEL ARAUJO DOS SANTOS</t>
  </si>
  <si>
    <t>VITORIA POLVORA</t>
  </si>
  <si>
    <t>MARIA EDUARDA ALEXANDRE DA CONCEICAO</t>
  </si>
  <si>
    <t>LORENA BONFIM VASCONCELOS</t>
  </si>
  <si>
    <t>Intolerância à Lactose; Alergia a Fruta - Abacaxi; Intolerância Alimentar - Coco</t>
  </si>
  <si>
    <t>LAYLA GABRIELLY BRANDAO NOGUEIRA</t>
  </si>
  <si>
    <t>Alergia a Alimentos Integrais</t>
  </si>
  <si>
    <t>SADRAQUE DE JESUS SILVA</t>
  </si>
  <si>
    <t>MILENA VITORIA DE SOUZA SANTOS</t>
  </si>
  <si>
    <t>YASMIN ANJO DA SILVA</t>
  </si>
  <si>
    <t>MANUELA MORGADO CARVALHO CARDOSO</t>
  </si>
  <si>
    <t>EDUARDA ANTONIA DOS SANTOS SERGINA</t>
  </si>
  <si>
    <t>Alergia a Ovo; Alergia ao Trigo; Alergia a Corantes; Alergia a Conservantes; Alergia a Embutidos; Alergia a Enlatados; Alergia a Sucos Artificiais</t>
  </si>
  <si>
    <t>KEILA AIRES SILVA</t>
  </si>
  <si>
    <t>GIOVANA BRUNO DE ALMEIDA</t>
  </si>
  <si>
    <t>YURI SILVA HENRIQUE</t>
  </si>
  <si>
    <t>EMEF GAL. PAULO CARNEIRO THOMAZ ALVES - (TERCEI.)</t>
  </si>
  <si>
    <t>LUCAS PONTES DE OLIVEIRA</t>
  </si>
  <si>
    <t>NICOLLY MENDONCA GRANDI</t>
  </si>
  <si>
    <t>VITORIA APARECIDA SOUZA MELO</t>
  </si>
  <si>
    <t>GIOVANNA DE OLIVEIRA SANTOS</t>
  </si>
  <si>
    <t>Intolerância Alimentar - Trigo</t>
  </si>
  <si>
    <t>PEDRO VINICIUS NASCIMENTO DOS SANTOS</t>
  </si>
  <si>
    <t>DAVI SILVA SANTOS</t>
  </si>
  <si>
    <t>ANA JULIA BARBIZAN</t>
  </si>
  <si>
    <t>ANA CLARA DOS SANTOS SILVA</t>
  </si>
  <si>
    <t>ADRYELE JESUS DOS SANTOS</t>
  </si>
  <si>
    <t>SAMUEL FERREIRA DE OLIVEIRA</t>
  </si>
  <si>
    <t>GEOVANNA FREIRES OLIVEIRA</t>
  </si>
  <si>
    <t>ALICIA DIAS NASCIMENTO</t>
  </si>
  <si>
    <t>GABRIELLY SANTOS DA COSTA</t>
  </si>
  <si>
    <t>ARTHUR DOURADO DA SILVA</t>
  </si>
  <si>
    <t>Alergia a Proteína do Leite de Vaca; Alergia a Fruta - Morango</t>
  </si>
  <si>
    <t>BRENO FRANCA SILVA</t>
  </si>
  <si>
    <t>ISABELLA FONTES CANDIDO</t>
  </si>
  <si>
    <t>PEDRO HENRY DOS SANTOS</t>
  </si>
  <si>
    <t>VITORIA DOMINGUES OLIVEIRA</t>
  </si>
  <si>
    <t>SAYURI ARAUJO SUZUKI</t>
  </si>
  <si>
    <t>BENJAMIN MIGUEL DA SILVA MORELIS</t>
  </si>
  <si>
    <t>ENZO DO NASCIMENTO FREITAS</t>
  </si>
  <si>
    <t>MARIA CLARA DOS SANTOS CASTRO</t>
  </si>
  <si>
    <t>Alergia a Proteína do Leite de Vaca; Alergia a Soja; Alergia a Glúten</t>
  </si>
  <si>
    <t>LIVIA DA SILVA PASSOS</t>
  </si>
  <si>
    <t>Alergia a Hortifruti - Tomate; Alergia a Oleaginosas - Amendoim; Alergia a Oleaginosas - Castanha do Pará; Alergia a Oleaginosas - Castanha de Caju; Alergia a Oleaginosas - Castanha de Barú; Alergia a Oleaginosas - Nozes; Alergia a Fruta - Banana; Alergia a Fruta - Caju; Alergia a Fruta - Manga</t>
  </si>
  <si>
    <t>PEDRO HENRIQUE DE SOUSA NERI</t>
  </si>
  <si>
    <t>LUCAS HENRIQUE FERNANDES DA SILVA</t>
  </si>
  <si>
    <t>JOAO PEDRO GONCALVES DOS SANTOS SOUZA</t>
  </si>
  <si>
    <t>PATRICK CARREIRO DA CUNHA DE SOUZA</t>
  </si>
  <si>
    <t>NICOLLAS GABRIEL NUNES DA SILVA</t>
  </si>
  <si>
    <t>HELOISA DAMASCENO TEIXEIRA</t>
  </si>
  <si>
    <t>GABRIEL FOGACA SANCHEZ CERVANTES</t>
  </si>
  <si>
    <t>MARIA CLARA AMORIM ANDRADE</t>
  </si>
  <si>
    <t>LUCAS LEITE DO NASCIMENTO</t>
  </si>
  <si>
    <t>VITOR LEITE DO NASCIMENTO</t>
  </si>
  <si>
    <t>FELIPE MATHEUS LIRA PEREIRA</t>
  </si>
  <si>
    <t>FRANCISCO ARTHUR MENDES DE ALENCAR</t>
  </si>
  <si>
    <t>FERNANDA ANDRADE DOS SANTOS</t>
  </si>
  <si>
    <t>DAVI SILVA CAVALCANTE</t>
  </si>
  <si>
    <t>CLARA GEICIANE CARLOS DUARTE</t>
  </si>
  <si>
    <t>SAMUEL BARBOSA DOS SANTOS</t>
  </si>
  <si>
    <t>EMEI PROFA. LAURA FUNFAS DE SUER - (TERCEI.)</t>
  </si>
  <si>
    <t>GUILHERME FIGUEIREDO DE CAMPOS</t>
  </si>
  <si>
    <t>BERNARDO FELIX RIBEIRO</t>
  </si>
  <si>
    <t>ERICK ZOBINATO EGAS</t>
  </si>
  <si>
    <t>CLARA VICTORYA SILVA SANTOS</t>
  </si>
  <si>
    <t>EDUARDO HENRIQUE CAMPOLINA DE LIMA</t>
  </si>
  <si>
    <t>LEONARDO LIMA DE ASSIS</t>
  </si>
  <si>
    <t>MARIA ELOISA RODRIGUES GOMES</t>
  </si>
  <si>
    <t>CAIO FERNANDO DE SOUZA CAMPOS</t>
  </si>
  <si>
    <t>Acidúria Glutárica</t>
  </si>
  <si>
    <t>ANAH CLARA SANTOS SILVA</t>
  </si>
  <si>
    <t>ENZO GABRIEL LOPES DA SILVA</t>
  </si>
  <si>
    <t>MELISSA SANTOS LIMA</t>
  </si>
  <si>
    <t>Alergia a Ovo; Alergia a Proteína do Leite de Vaca; Alergia a Camarão</t>
  </si>
  <si>
    <t>MARIA GUADALUPE SANABRIA FERREIRA</t>
  </si>
  <si>
    <t>ARTHUR LEONARDO FERREIRA VITORIA</t>
  </si>
  <si>
    <t>ROGERIO DE LIMA CARVALHO JUNIOR</t>
  </si>
  <si>
    <t>EMEI DNA. MARIA YOLANDA S. PINTO HAHNE - (TERCEI.)</t>
  </si>
  <si>
    <t>SAYURI GUADALUPE OLIVEIRA NINA</t>
  </si>
  <si>
    <t>MARIO JUNIOR LIMA DE OLIVEIRA</t>
  </si>
  <si>
    <t>LARISSA REIS LIMA</t>
  </si>
  <si>
    <t>Alergia a Embutidos; Alergia a Carne Suina; Alergia a Enlatados</t>
  </si>
  <si>
    <t>THEO PROLETTI ROCHA</t>
  </si>
  <si>
    <t>KAILAN VIEIRA GUEDES SILVA</t>
  </si>
  <si>
    <t>YASMIN MOREIRA CAETANO</t>
  </si>
  <si>
    <t>ALAN OLIVEIRA TOMÉ</t>
  </si>
  <si>
    <t>THALITA DOS SANTOS GOMES</t>
  </si>
  <si>
    <t>GUILHERME LIBION DONATO FACCHINI</t>
  </si>
  <si>
    <t>NATHIELLY RODRIGUES DOS SANTOS</t>
  </si>
  <si>
    <t>JACK IVAN NINA MENCHACA</t>
  </si>
  <si>
    <t>ARTHUR BENICIO MOURA</t>
  </si>
  <si>
    <t>HELOISA ALVES LUCIZANO</t>
  </si>
  <si>
    <t>ARTHUR TORRENTES ANTUNES</t>
  </si>
  <si>
    <t>NICOLAS PHELIPE AURELIO DE MELO</t>
  </si>
  <si>
    <t>HUGO ALENCAR ERMINIO DA SILVA</t>
  </si>
  <si>
    <t>LUIZ FELIPHE ALBUQUERQUE DOS SANTOS</t>
  </si>
  <si>
    <t>ISABELLA SILVA MENDES</t>
  </si>
  <si>
    <t>MIGUEL SANTOS DE SOUZA DE SIQUEIRA</t>
  </si>
  <si>
    <t>GUSTAVO CEDA DOS SANTOS</t>
  </si>
  <si>
    <t>Alergia a Proteína do Leite de Vaca; Alergia a Hortifruti - Tomate</t>
  </si>
  <si>
    <t>MIGUEL JORDO CAFE LUIZ</t>
  </si>
  <si>
    <t>VINICIUS OLIVEIRA BAICZAR</t>
  </si>
  <si>
    <t>DANIEL ARAUJO DOS SANTOS</t>
  </si>
  <si>
    <t>JULIA TORRES DUARTE</t>
  </si>
  <si>
    <t>MIGUEL CEZAR DA SILVA FRANCA</t>
  </si>
  <si>
    <t>JOAO GABRIEL FERREIRA DE SOUZA</t>
  </si>
  <si>
    <t>LAISLA VITORIA PACATONIO DA SILVA</t>
  </si>
  <si>
    <t>ELOA COSTA OLIVEIRA</t>
  </si>
  <si>
    <t>ENZO MIGUEL PLACIDO DA SILVA</t>
  </si>
  <si>
    <t>Alergia a Ovo; Alergia a Proteína do Leite de Vaca; Alergia ao Trigo; Alergia a Soja; Alergia a Hortifruti - Tomate; Alergia a Oleaginosas - Amendoim</t>
  </si>
  <si>
    <t>MIGUEL OLIVEIRA GOMES DA SILVA</t>
  </si>
  <si>
    <t>MATHEUS SANTOS DE SOUSA</t>
  </si>
  <si>
    <t>KAMILLY VITORIA ALEIXO BADO DA SILVA</t>
  </si>
  <si>
    <t>CEI MUN. CHÁC. DNA. OLIVIA (TERC)</t>
  </si>
  <si>
    <t>MIGUEL MORALES ALVES</t>
  </si>
  <si>
    <t>GEAN DE SOUZA SANTOS</t>
  </si>
  <si>
    <t>EMEI SEVERINO DO RAMO (TERC)</t>
  </si>
  <si>
    <t>ALANA MARTINS RODRIGUES</t>
  </si>
  <si>
    <t>PEDRO HENRIQUE GONCALVES DE ANDRADE</t>
  </si>
  <si>
    <t>PEDRO HENRIQUE FERREIRA DOS SANTOS</t>
  </si>
  <si>
    <t>MARIA HELENA OLIVEIRA HAYASHI</t>
  </si>
  <si>
    <t>YASMIM FRANCA SOARES</t>
  </si>
  <si>
    <t>BRYAN HENRYCK DO NASCIMENTO ELIAS</t>
  </si>
  <si>
    <t>Doença Hepática</t>
  </si>
  <si>
    <t>NAYRA NAIURY OLIVEIRA TANAKA</t>
  </si>
  <si>
    <t>NATALIA HIRANO FUJIMOTO</t>
  </si>
  <si>
    <t>LORENA GONCALVES DE SOUZA</t>
  </si>
  <si>
    <t>LUCAS GABRIEL SOUZA SILVA</t>
  </si>
  <si>
    <t>GUSTAVO FERREIRA CABRAL</t>
  </si>
  <si>
    <t>HEYTOR GUILHERME TENORIO DOS SANTOS</t>
  </si>
  <si>
    <t>VALENTINA ARAUJO SALES</t>
  </si>
  <si>
    <t>Alergia a Ovo; Alergia a Proteína do Leite de Vaca; Alergia a Oleaginosas - Amendoim; Alergia a Carne Bovina; Alergia a Glúten</t>
  </si>
  <si>
    <t>ESTHER DOS SANTOS LINS</t>
  </si>
  <si>
    <t>VILENBACK ANDREW MARIANO DA SILVA</t>
  </si>
  <si>
    <t>AUGUSTO ALVES DOMINGUES</t>
  </si>
  <si>
    <t>RODRIGO PIMENTA MUCKE</t>
  </si>
  <si>
    <t>ANA VITORIA AMORIM SANTANA</t>
  </si>
  <si>
    <t>Alergia a Ovo; Alergia ao Trigo; Alergia a Corantes; Alergia a Fruta - Banana</t>
  </si>
  <si>
    <t>ALICE DOS SANTOS</t>
  </si>
  <si>
    <t>ISABELLE SABEL PINHEIRO</t>
  </si>
  <si>
    <t>MARIA ALICIA OLIVEIRA PEDRO</t>
  </si>
  <si>
    <t>ANNE VITORIA RODRIGUES DOS SANTOS</t>
  </si>
  <si>
    <t>Alergia a Fruta - Mamão; Alergia a Fruta - Pêra</t>
  </si>
  <si>
    <t>ARTHUR SANTANA MORAIS</t>
  </si>
  <si>
    <t>MARIANA DOMINGOS DE CASTRO</t>
  </si>
  <si>
    <t>ESTEFANY MOURA DE MIRANDA SILVA</t>
  </si>
  <si>
    <t>DAVI LUIS SOUZA FREIRES</t>
  </si>
  <si>
    <t>FELIPE ALVES FERREIRA</t>
  </si>
  <si>
    <t>ARTHUR DE SANTANA MATTOS</t>
  </si>
  <si>
    <t>EMEI D. PEDRO II - (TERCEI.)</t>
  </si>
  <si>
    <t>MANUELLA KARINA DE ALMEIDA SANTANA</t>
  </si>
  <si>
    <t>JOAO LUCAS DA SILVA GONCALVES</t>
  </si>
  <si>
    <t>LUCIELLY CAMILA DOS SANTOS SILVA</t>
  </si>
  <si>
    <t>MAYARA SANTANA SILVA</t>
  </si>
  <si>
    <t>ISABELY VITORIA DOS SANTOS POLICARPO</t>
  </si>
  <si>
    <t>MARCELA DUARTE DOS ANJOS</t>
  </si>
  <si>
    <t>DAVI PEREIRA DE SOUZA NASCIMENTO</t>
  </si>
  <si>
    <t>MIGUEL DA SILVA MARTINS</t>
  </si>
  <si>
    <t>PEDRO HENRIQUE DA SILVA RIBEIRO</t>
  </si>
  <si>
    <t>RENATO GUERREIRO FREITAS JUNIOR</t>
  </si>
  <si>
    <t>PIETRA VICTORIA NUNES SILVA</t>
  </si>
  <si>
    <t>CEU EMEI DR.CARLOS OLIVALDO DE SOUZA LOPES MUNIZ - (TERCEI.)</t>
  </si>
  <si>
    <t>ANA HELENA MAGALHAES FERREIRA</t>
  </si>
  <si>
    <t>SARA BORGES MARTINS</t>
  </si>
  <si>
    <t>DAYO FEITOSA DE SOUSA</t>
  </si>
  <si>
    <t>Alergia a Ovo; Alergia a Proteína do Leite de Vaca; Alergia a Hortifruti - Tomate</t>
  </si>
  <si>
    <t>JOSE CARLOS PEREIRA DE OLIVEIRA</t>
  </si>
  <si>
    <t>RUAN HENRYQUE RODRIGUES DOS SANTOS</t>
  </si>
  <si>
    <t>BRAYAN MATHEUS SANTOS BRAGA</t>
  </si>
  <si>
    <t>YAN LUCCA DA SILVA NASCIMENTO</t>
  </si>
  <si>
    <t>MURILLO ARAUJO PIRES</t>
  </si>
  <si>
    <t>DANIEL REZENDE DE OLIVEIRA PARRA</t>
  </si>
  <si>
    <t>Alergia a Fórmula Láctea Infantil</t>
  </si>
  <si>
    <t>ANA CLARA DE OLIVEIRA ARAUJO</t>
  </si>
  <si>
    <t>Alergia a Ovo; Intolerância à Lactose; Alergia a Corantes</t>
  </si>
  <si>
    <t>ARTHUR PEREIRA VIEIRA DA SILVA</t>
  </si>
  <si>
    <t>MARIA MARCELLI FERREIRA FERRO</t>
  </si>
  <si>
    <t>LEONARDO MAGALHAES GONCALVES DE SOUZA</t>
  </si>
  <si>
    <t>NATHALLY ALEKSSANDRA RODRIGUES DA SILVA</t>
  </si>
  <si>
    <t>MIRELLA CATHERINE NUNES PINHEIRO</t>
  </si>
  <si>
    <t>VINICIUS OLIVEIRA AMORIM</t>
  </si>
  <si>
    <t>ERIC SOUZA DO NASCIMENTO</t>
  </si>
  <si>
    <t>EMEF EZEQUIEL RAMOS JR. - (TERCEI.)</t>
  </si>
  <si>
    <t>JEAN MIRANDA PORTO</t>
  </si>
  <si>
    <t>FERNANDO DE OLIVEIRA SILVA</t>
  </si>
  <si>
    <t>ANA LUIZA GONCALVES SANTOS</t>
  </si>
  <si>
    <t>VINICIUS EDUARDO DE SOUZA</t>
  </si>
  <si>
    <t>SAMUEL MIRANDA DA SILVA BAZILICE</t>
  </si>
  <si>
    <t>SOPHIA ARAUJO COSTA</t>
  </si>
  <si>
    <t>Alergia a Chocolate/Cacau; Alergia a Fruta - Caju</t>
  </si>
  <si>
    <t>MELISSA GARCIA RODRIGUES DE LIMA</t>
  </si>
  <si>
    <t>FERNANDA ALICE SALES NASCIMENTO</t>
  </si>
  <si>
    <t>JONATHAN WENDEL DE OLIVEIRA AVELAR JUNIOR</t>
  </si>
  <si>
    <t>EMEF JARDIM SILVA TELES (TERC)</t>
  </si>
  <si>
    <t>BRENO CARDOSO BRAGA LEITE</t>
  </si>
  <si>
    <t>ENZO GABRIEL MOREIRA GOMES</t>
  </si>
  <si>
    <t>SALOMAO HEITOR ALVES GOMES DE LIMA</t>
  </si>
  <si>
    <t>LORENZO GABRIEL SANTA CRUZ MARTINS</t>
  </si>
  <si>
    <t>LAVINIA SILVA LEAL</t>
  </si>
  <si>
    <t>TALITA EDUARDA RODRIGUES FERREIRA</t>
  </si>
  <si>
    <t>MYLLENA DE OLIVEIRA SILVA</t>
  </si>
  <si>
    <t>Alergia a Ovo; Alergia a Proteína do Leite de Vaca; Alergia ao Trigo; Alergia a Carne Suina; Alergia a Glúten</t>
  </si>
  <si>
    <t>KAYNA KYORE SCHERER MARTINS</t>
  </si>
  <si>
    <t>EMANUELLY DE MELO PILAR</t>
  </si>
  <si>
    <t>LORENZO MACLAUD SOUZA CARVALHO</t>
  </si>
  <si>
    <t>CEI MUN. JD. SÃO CARLOS - (TERCEI.)</t>
  </si>
  <si>
    <t>MARIA CLARA LOPES SILVA</t>
  </si>
  <si>
    <t>PEDRO HENRIQUE ARAUJO DE LIMA</t>
  </si>
  <si>
    <t>RUAN VALTER BASTOS SODRE</t>
  </si>
  <si>
    <t>CEU EMEF PQ. SÃO CARLOS - (TERCEI.)</t>
  </si>
  <si>
    <t>EDUARDO GABRIEL ALVARO LUIZ DOS SANTOS</t>
  </si>
  <si>
    <t>GABRIEL CEZAR ALMEIDA DOS ANJOS</t>
  </si>
  <si>
    <t>BEATRIZ MARIS PEREIRA</t>
  </si>
  <si>
    <t>BEATRIZ VICTORIA SANTOS SILVA</t>
  </si>
  <si>
    <t>HILLARY NICOLAU SILVA SANTOS</t>
  </si>
  <si>
    <t>ANA GABRIELE SILVA MARTINS</t>
  </si>
  <si>
    <t>Alergia a Ovo; Alergia a Proteína do Leite de Vaca; Alergia a Soja; Alergia a Hortifruti - Tomate; Alergia a Oleaginosas - Amendoim; Alergia a Carne Suina; Alergia a Carne Bovina; Alergia a Glúten</t>
  </si>
  <si>
    <t>ARTHUR ISAAC PEREIRA DE SOUZA</t>
  </si>
  <si>
    <t>RAPHAEL RODRIGUES MOREIRA</t>
  </si>
  <si>
    <t>HELOISA GABRIELA HORA DA SILVA</t>
  </si>
  <si>
    <t>JADI RAPHAELA NUNES SANTOS</t>
  </si>
  <si>
    <t>CEI MUN. VER. HIGINO PELLEGRINI - (TERCEI.)</t>
  </si>
  <si>
    <t>NICOLY OLIVEIRA DE SOUSA</t>
  </si>
  <si>
    <t>KAUANY LINHARES DE OLIVEIRA</t>
  </si>
  <si>
    <t>Alergia a Proteína do Leite de Vaca; Dieta Pastosa; Alergia a Soja</t>
  </si>
  <si>
    <t>ISADORA DOS SANTOS COSTA</t>
  </si>
  <si>
    <t>Alergia a Ovo; Alergia a Proteína do Leite de Vaca; Alergia a Corantes; Alergia a Carne Suina; Alergia a Molho de Tomate</t>
  </si>
  <si>
    <t>ROMULO JUNIOR ALMEIDA SANTANA</t>
  </si>
  <si>
    <t>SOPHIA SILVA DE OLIVEIRA</t>
  </si>
  <si>
    <t>LEONARDO HENRIQUE FERREIRA DE SOUZA</t>
  </si>
  <si>
    <t>GIOVANNA MELO MATIAS</t>
  </si>
  <si>
    <t>ALLICE SANTANA AMARAL</t>
  </si>
  <si>
    <t>LORENNA OLIVEIRA DELAGAMBA</t>
  </si>
  <si>
    <t>RICHARD GABRIEL DE JESUS RAMOS ROCHA</t>
  </si>
  <si>
    <t>ANTHONY SANTOS CARVALHO</t>
  </si>
  <si>
    <t>HENDRIK JOHANNES CRUIJFF CASTRO SILVA</t>
  </si>
  <si>
    <t>DAVI LUCAS BATISTA DE ARAUJO</t>
  </si>
  <si>
    <t>Alergia a Ovo; Alergia a Proteína do Leite de Vaca; Alergia ao Trigo; Alergia a Oleaginosas - Amendoim; Alergia a Carne Bovina</t>
  </si>
  <si>
    <t>JULIA SILVA FREITAS</t>
  </si>
  <si>
    <t>ROBERTO FERREIRA ARAUJO</t>
  </si>
  <si>
    <t>Diarreia; Intolerância Alimentar - Café; Intolerância Alimentar - Carne Suína</t>
  </si>
  <si>
    <t>MARIA VITORIA JANAINA FRANCA RODRIGUES</t>
  </si>
  <si>
    <t>MARIA EDUARDA VANDERLEI DOS SANTOS</t>
  </si>
  <si>
    <t>NICOLY REIS PEREIRA AUGUSTO</t>
  </si>
  <si>
    <t>MIGUEL LUCCA DE SOUZA HERRERA</t>
  </si>
  <si>
    <t>EMEI DR. MARIO ALVES DE CARVALHO (TERC)</t>
  </si>
  <si>
    <t>JESSICA DA SILVA DUCATTI</t>
  </si>
  <si>
    <t>Dieta Pastosa; Dieta Enteral</t>
  </si>
  <si>
    <t>EMEF ARTHUR AZEVEDO - (TERCEI.)</t>
  </si>
  <si>
    <t>YASMIN VITORIA MEIRELES SENO SANTOS</t>
  </si>
  <si>
    <t>VICTOR GABRIEL MOURA DA SILVA</t>
  </si>
  <si>
    <t>KAUAN BRUNO MAIA CARVALHO</t>
  </si>
  <si>
    <t>MANUELLA VICTORIA BOSAK</t>
  </si>
  <si>
    <t>ELISA ZOLDAN GONCALVES</t>
  </si>
  <si>
    <t>JOAO LUCAS DOS SANTOS</t>
  </si>
  <si>
    <t>GABRIEL BRUNELLI GOMES</t>
  </si>
  <si>
    <t>RAFAEL DE OLIVEIRA SILVA</t>
  </si>
  <si>
    <t>MARIA EDUARDA CIQUEIRA ROCHA</t>
  </si>
  <si>
    <t>RAISSA MELO GARCIA</t>
  </si>
  <si>
    <t>GABRIELLY FRANCA FERNANDES</t>
  </si>
  <si>
    <t>MARIA CLARA DA SILVA SANTOS</t>
  </si>
  <si>
    <t>Alergia a Proteína do Leite de Vaca; Alergia a Hortifruti - Tomate; Alergia a Geleia</t>
  </si>
  <si>
    <t>DIOGO VIEIRA COSTA</t>
  </si>
  <si>
    <t>PAWEL PRESTES BARTNICKI VAIROLETTO</t>
  </si>
  <si>
    <t>SAFIRA NERES DA COSTA</t>
  </si>
  <si>
    <t>ALLYCE SOUZA ROCHA</t>
  </si>
  <si>
    <t>LAURA DOS SANTOS NUNES AIRES FREITAS</t>
  </si>
  <si>
    <t>PEDRO DE FREITAS NUNES PASTOR</t>
  </si>
  <si>
    <t>ANDRE LUIS HONORIO HUANCA</t>
  </si>
  <si>
    <t>LUIZ FELIPE MEDEIROS DE SIQUEIRA</t>
  </si>
  <si>
    <t>Alergia a Ovo; Alergia a Proteína do Leite de Vaca; Alergia a Chocolate/Cacau; Alergia a Fruta - Coco; Alergia a Hortifruti - Milho
Alergia a Milho</t>
  </si>
  <si>
    <t>ALEXANDRE RODRIGUES DE LIMA</t>
  </si>
  <si>
    <t>Alergia a Ovo; Alergia a Proteína do Leite de Vaca; Alergia a Corantes; Alergia a Conservantes</t>
  </si>
  <si>
    <t>LEONARDO SILVA SANTOS</t>
  </si>
  <si>
    <t>LAURA MARIA GENOVEZ DINIZ</t>
  </si>
  <si>
    <t>ERICK GABRIEL OLIVEIRA DE ALMEIDA</t>
  </si>
  <si>
    <t>SANDILLA OLIVEIRA SENA</t>
  </si>
  <si>
    <t>Alergia a Iogurte</t>
  </si>
  <si>
    <t>BRUNO KIYOSHI KUROKI</t>
  </si>
  <si>
    <t>PAULO HENRIQUE DA SILVA CRUZ</t>
  </si>
  <si>
    <t>MARIA HELENA SILVA DAS NEVES</t>
  </si>
  <si>
    <t>ELOA CRISPIM AWOKI</t>
  </si>
  <si>
    <t>ELIAS SAMUEL MEDEIROS PINHEIRO</t>
  </si>
  <si>
    <t>VICTOR ALMEIDA DE LIRA</t>
  </si>
  <si>
    <t>BRUNO FERNANDO DE MELO</t>
  </si>
  <si>
    <t>PEDRO HENRIQUE CECIO DE JESUS</t>
  </si>
  <si>
    <t>Alergia a Corantes; Alergia a Embutidos; Alergia a Chocolate/Cacau; Alergia a Alimentos Ácidos</t>
  </si>
  <si>
    <t>BEATRIZ PIERONI DE SOUZA</t>
  </si>
  <si>
    <t>DAVI LORENZO MOURA BEZERRA</t>
  </si>
  <si>
    <t>MARIA APARECIDA DA SILVA ROSSI</t>
  </si>
  <si>
    <t>Diabetes Mellitus; Hipertensão</t>
  </si>
  <si>
    <t>JULIA REQUERME DE LIMA</t>
  </si>
  <si>
    <t>DAVI HENRIQUE MARQUES DOS SANTOS</t>
  </si>
  <si>
    <t>LORENZO MARTORANO COSTA</t>
  </si>
  <si>
    <t>RYAN MARCELO GUEDES SALVADOR</t>
  </si>
  <si>
    <t>Síndrome de Sturge Weber</t>
  </si>
  <si>
    <t>SOPHIA MOURA MENESES DA CRUZ</t>
  </si>
  <si>
    <t>EDUARDA SANCHES DEMOVICH</t>
  </si>
  <si>
    <t>SOFIA SENNE BERTOLOTTI</t>
  </si>
  <si>
    <t>ISAAC FABRI</t>
  </si>
  <si>
    <t>ANA GLORIA BATISTA DOS SANTOS PASSOS</t>
  </si>
  <si>
    <t>NICOLAS CATANHO DE MENEZES PINTO</t>
  </si>
  <si>
    <t>EDUARDA MATOS DE OLIVEIRA</t>
  </si>
  <si>
    <t>ETHELLY BRENDA HENRIQUES DA SILVA</t>
  </si>
  <si>
    <t>EMEI PROFA. DINAH FERNANDES COSTA (TERC)</t>
  </si>
  <si>
    <t>ANA LUIZA DA SILVA RODRIGUES</t>
  </si>
  <si>
    <t>KAYREH PIETRO LOPES DA SILVA</t>
  </si>
  <si>
    <t>Hipercolesterolemia; Alergia a Corantes; Alergia a Conservantes; Alergia a Café; Intolerância Alimentar - Leite e/ou Derivados do Leite; Intolerância Alimentar - Molho de tomate</t>
  </si>
  <si>
    <t>Alergia a Proteína do Leite de Vaca; Alergia a Hortifruti - Tomate; Alergia a Oleaginosas - Amendoim; Alergia a Glúten</t>
  </si>
  <si>
    <t>YASMIN SANTANA CORREIA</t>
  </si>
  <si>
    <t>MYGUEL RODRIGUES DA COSTA</t>
  </si>
  <si>
    <t>GABRIEL LUCCA DE PAULA DA SILVA</t>
  </si>
  <si>
    <t>LIVIA MARIA DIAS MONTEIRO</t>
  </si>
  <si>
    <t>ARTHUR DINIZ MATSUDA</t>
  </si>
  <si>
    <t>LUCAS DINIZ MATSUDA</t>
  </si>
  <si>
    <t>MANUELA LOBATO TALON</t>
  </si>
  <si>
    <t>FELIPE DE CASTRO GERES</t>
  </si>
  <si>
    <t>ISABELLA MAYUMI LEITE SAITO</t>
  </si>
  <si>
    <t>ROGER GARCIA DE ARANTES</t>
  </si>
  <si>
    <t>OLIVER ROCHA SEMMLER</t>
  </si>
  <si>
    <t>LARA AIKO SHIRAISHI</t>
  </si>
  <si>
    <t>DANIEL ALBUQUERQUE</t>
  </si>
  <si>
    <t>ANDERSON WILDER FLORES QUENTA</t>
  </si>
  <si>
    <t>SOPHIA MACHADO MAZZUCATO</t>
  </si>
  <si>
    <t>GABRIELLY DE AZEVEDO GOMES</t>
  </si>
  <si>
    <t>Alergia a Corantes; Alergia a Fruta - Melancia; Alergia a Fruta - Melão</t>
  </si>
  <si>
    <t>BEATRIZ SILVA RETAMERO PEDROSO</t>
  </si>
  <si>
    <t>Alergia a Queijo; Alergia a Molho de Tomate</t>
  </si>
  <si>
    <t>ALANA ISADORA RODRIGUES DE OLIVEIRA</t>
  </si>
  <si>
    <t>EMEF MAL. JUAREZ TÁVORA (TERC)</t>
  </si>
  <si>
    <t>YASMIM AUGUSTO PEREIRA RIBEIRO</t>
  </si>
  <si>
    <t>VICTOR RIBAS SANTANA</t>
  </si>
  <si>
    <t>KATHARINA DA FONSECA FERNANDES</t>
  </si>
  <si>
    <t>MIGUEL MOTA BARROS</t>
  </si>
  <si>
    <t>CEI MUN. ANTONIA MUOTRI LAMBERGA (TERC)</t>
  </si>
  <si>
    <t>VICTOR FARIAS FREITAS</t>
  </si>
  <si>
    <t>MILENA GOMES SANTOS AOYAMA</t>
  </si>
  <si>
    <t>LIVIA BAPTISTA ZACCARO</t>
  </si>
  <si>
    <t>STHEPHANIE DA SILVA CAVALCANTI</t>
  </si>
  <si>
    <t>PEDRO MANOEL ORTIZ MENDES</t>
  </si>
  <si>
    <t>LORENA MARQUES DOS SANTOS</t>
  </si>
  <si>
    <t>MATEUS FRANCISCO DA SILVA SANTOS</t>
  </si>
  <si>
    <t>JOAO PEDRO BELO DE MESQUITA MARTINS</t>
  </si>
  <si>
    <t>LORENA CHIOVETTO DE OLIVEIRA</t>
  </si>
  <si>
    <t>GUSTAVO HENRIQUE DO NASCIMENTO SANTOS</t>
  </si>
  <si>
    <t>LUANA OLIVEIRA SANTOS</t>
  </si>
  <si>
    <t>BEATRIZ LAPETINA TERUEL</t>
  </si>
  <si>
    <t>HELOISA ODARAH FLORENTINO BRAGA</t>
  </si>
  <si>
    <t>ROMULO BONILHA GOMES MOREIRA</t>
  </si>
  <si>
    <t>ANA JULIA ROSARIO MARQUES</t>
  </si>
  <si>
    <t>VILMA ARAUJO</t>
  </si>
  <si>
    <t>Alergia a Ovo; Alergia a Proteína do Leite de Vaca; Alergia a Oleaginosas - Amendoim; Alergia a Feijão; Alergia a Hortifruti - Alho; Alergia a Bacalhau</t>
  </si>
  <si>
    <t>SAMUEL JUNIOR FELIX DE OLIVEIRA</t>
  </si>
  <si>
    <t>PIETRO OLIVEIRA TEIXEIRA</t>
  </si>
  <si>
    <t>JOEL CUNHA FRANCO DE OLIVEIRA</t>
  </si>
  <si>
    <t>KENNEDY LUCAS GOMES DE SOUZA</t>
  </si>
  <si>
    <t>ARTHUR SANTANA DE SOUZA</t>
  </si>
  <si>
    <t>RAFAELA OLIVEIRA DO NASCIMENTO</t>
  </si>
  <si>
    <t>LUIS ANTONIO CASTRO BACELAR</t>
  </si>
  <si>
    <t>JOAO VICTOR DE JESUS</t>
  </si>
  <si>
    <t>EVELLYN DOS SANTOS CARDOSO</t>
  </si>
  <si>
    <t>JOAO PEDRO DA SILVA SANTOS</t>
  </si>
  <si>
    <t>GEOVANNA MONIQUE MARTINS DA SILVA</t>
  </si>
  <si>
    <t>FLAVIA CRISTINA DO NASCIMENTO DOS SANTOS</t>
  </si>
  <si>
    <t>JULIO CESAR LOPES DE LIMA</t>
  </si>
  <si>
    <t>VICTOR FERREIRA DE MORAIS</t>
  </si>
  <si>
    <t>CEI MUN. MARIA CURSI (TERC)</t>
  </si>
  <si>
    <t>SAMUEL SOUZA CHOUZENDE</t>
  </si>
  <si>
    <t>ENZO ARAUJO VELOSO</t>
  </si>
  <si>
    <t>Alergia a Ovo; Alergia a Proteína do Leite de Vaca; Alergia a Fruta - Abacaxi; Alergia a Fruta - Banana; Alergia a Fruta - Maçã</t>
  </si>
  <si>
    <t>ISABELLA MERCES DE MORAIS</t>
  </si>
  <si>
    <t>MATEUS DI STEFANO GOMES DE SANTANA</t>
  </si>
  <si>
    <t>OTNIEL LUCAS GOZIE DE LIMA OKPALA</t>
  </si>
  <si>
    <t>MARCOS SANTOS FERREIRA</t>
  </si>
  <si>
    <t>DAVI MIGUEL DOS SANTOS</t>
  </si>
  <si>
    <t>MARIAH ISABELI DE OLIVEIRA PEREIRA</t>
  </si>
  <si>
    <t>ALLYCE SILVA FERREIRA MELO</t>
  </si>
  <si>
    <t>BERNARDO LUCAS COSTA DO NASCIMENTO</t>
  </si>
  <si>
    <t>CLARICE RIBEIRO DE ARAUJO</t>
  </si>
  <si>
    <t>Alergia a Proteína do Leite de Vaca; Hipercolesterolemia</t>
  </si>
  <si>
    <t>SARA HYORRANA RODRIGUES CARDOSO</t>
  </si>
  <si>
    <t>MARIA GABRIELLY SIMOES PEREIRA</t>
  </si>
  <si>
    <t>ALICIA FERNANDES NUNES</t>
  </si>
  <si>
    <t>DAVI FELIPE DOS SANTOS</t>
  </si>
  <si>
    <t>BERNARDO MOTA</t>
  </si>
  <si>
    <t>MARIANNY COSTA DA CONCEICAO SOUSA</t>
  </si>
  <si>
    <t>HADASHA VICTORIA RODRIGUES PILOTO</t>
  </si>
  <si>
    <t>Malformação Congênita</t>
  </si>
  <si>
    <t>KARINA DE ALMEIDA MAURICIO</t>
  </si>
  <si>
    <t>ANGELO GABRIEL APARECIDO DE OLIVEIRA</t>
  </si>
  <si>
    <t>RUAN DE OLIVEIRA DIAS</t>
  </si>
  <si>
    <t>HELLOYSA DA SILVA AYUSO</t>
  </si>
  <si>
    <t>MARIA FERNANDA DOS SANTOS</t>
  </si>
  <si>
    <t>BEATRIZ ALEXANDRE DE SOUZA</t>
  </si>
  <si>
    <t>KETELLY MARIA ARAUJO BORGES</t>
  </si>
  <si>
    <t>ANA CAROLLYNA SANTOS RIBEIRO</t>
  </si>
  <si>
    <t>PEDRO HENRIQUE ANDRADE DO AMARAL</t>
  </si>
  <si>
    <t>RICARDO ALBACETE DIAS</t>
  </si>
  <si>
    <t>NICOLAS AUGUSTO NASCIMENTO DA COSTA</t>
  </si>
  <si>
    <t>EMILLY LORRANY CAETANO</t>
  </si>
  <si>
    <t>Alergia a Corantes; Alergia a Conservantes; Alergia a Peixe</t>
  </si>
  <si>
    <t>LUIZ HENRIQUE DA SILVEIRA SOARES</t>
  </si>
  <si>
    <t>VICTORIA LOUISE ANJOS BARBOSA</t>
  </si>
  <si>
    <t>ROGER LUIZ PEROZIM ANCELMO</t>
  </si>
  <si>
    <t>NATHALIA DE SOUZA</t>
  </si>
  <si>
    <t>RAYSSA PEREIRA COUTINHO</t>
  </si>
  <si>
    <t>NICOLLY VITORIA BARBOSA DA SILVA</t>
  </si>
  <si>
    <t>RAFAEL SALATIEL COSTA LIRIO</t>
  </si>
  <si>
    <t>YAGO MACEDO DE SOBRAL</t>
  </si>
  <si>
    <t>LAURA MARIA PALHARES DE SOUSA</t>
  </si>
  <si>
    <t>THIAGO ANEMAM GOMES</t>
  </si>
  <si>
    <t>BRENDA VITORIA DE CARVALHO</t>
  </si>
  <si>
    <t>CEU EMEF PROFA MARIA LISBOA DA SILVA (TERC) (ANTIGO CEU EMEF JD. DA CONQUISTA II)</t>
  </si>
  <si>
    <t>LAIZA DE LIMA PINHEIRO</t>
  </si>
  <si>
    <t>Alergia a Ovo; Alergia ao Trigo; Alergia a Soja; Alergia a Frutos do Mar; Alergia a Fruta - Banana; Alergia a Hortifruti - Milho
Alergia a Milho</t>
  </si>
  <si>
    <t>DAVI LUIZ PALADINO MARTINS</t>
  </si>
  <si>
    <t>KAIO HENRIQUE CAMPOS DA CRUZ</t>
  </si>
  <si>
    <t>MIGUEL GUTIERREZ COSTA</t>
  </si>
  <si>
    <t>NICOLAS MIGUEL ALMEIDA MARTINS</t>
  </si>
  <si>
    <t>Alergia a Ovo; Alergia a Proteína do Leite de Vaca; Alergia ao Trigo; Alergia a Peixe; Alergia a Frutos do Mar; Alergia a Oleaginosas - Amendoim; Alergia a Chocolate/Cacau; Alergia a Oleaginosas - Castanha do Pará; Alergia a Oleaginosas - Castanha de Caju; Alergia a Oleaginosas - Castanha de Barú</t>
  </si>
  <si>
    <t>Alergia a Ovo; Alergia a Proteína do Leite de Vaca; Alergia a Soja; Alergia a Peixe; Alergia a Oleaginosas - Amendoim</t>
  </si>
  <si>
    <t>SOPHIA PEREIRA ALENCAR</t>
  </si>
  <si>
    <t>PEDRO HENRIQUE ALMEIDA DE MORAES</t>
  </si>
  <si>
    <t>YASMIM DANIEL SALDANHA</t>
  </si>
  <si>
    <t>MATHEUS ALMEIDA EVANGELISTA</t>
  </si>
  <si>
    <t>LORENZO SILVA ALVES</t>
  </si>
  <si>
    <t>LORENA BATISTA PELEJI</t>
  </si>
  <si>
    <t>MATHEUS LEONARDO PAULINO DE SOUZA</t>
  </si>
  <si>
    <t>Tirosinemia</t>
  </si>
  <si>
    <t>PEDRO JORDAO MAXIMO</t>
  </si>
  <si>
    <t>HIGOR OLIVEIRA MATOS</t>
  </si>
  <si>
    <t>VICTOR MARCELINO DA SILVA</t>
  </si>
  <si>
    <t>ALICE BARRETO MARIANO</t>
  </si>
  <si>
    <t>LARISSA VITORIA MENDES FERNOCHI</t>
  </si>
  <si>
    <t>LORENZO JOAQUIM TAVARES CIPRIANO</t>
  </si>
  <si>
    <t>DAVI RAFAEL SARAIVA DUQUE</t>
  </si>
  <si>
    <t>Alergia a Ovo; Alergia a Proteína do Leite de Vaca; Alergia a Fruta - Laranja pera; Alergia a Frango; Alergia a Fruta - Pêra; Alergia a Fruta - Ameixa</t>
  </si>
  <si>
    <t>ANTONIO MIGUEL THOMAZ NEGRAO</t>
  </si>
  <si>
    <t>GABRIELA CRISTINA PASSOS CRUZ</t>
  </si>
  <si>
    <t>ADRYEL ARTUR DA SILVA</t>
  </si>
  <si>
    <t>JORGE BRYAN MEDEIROS FREIRE</t>
  </si>
  <si>
    <t>AUGUSTO DE MOURA SILVA</t>
  </si>
  <si>
    <t>FERNANDA DOS SANTOS MATTOS</t>
  </si>
  <si>
    <t>DAVY COELHO JOSE</t>
  </si>
  <si>
    <t>ISABELLA LOMBARDO</t>
  </si>
  <si>
    <t>Diabetes Mellitus; Intolerância à Lactose</t>
  </si>
  <si>
    <t>SOPHIA VITORIA FERREIRA DA SILVA</t>
  </si>
  <si>
    <t>RYAN SANTOS ALVES</t>
  </si>
  <si>
    <t>HUANY DA SILVA ALONSO</t>
  </si>
  <si>
    <t>ESAU JOSE FREITAS DE ARAUJO</t>
  </si>
  <si>
    <t>CAIO SALGADO DE SOUZA</t>
  </si>
  <si>
    <t>JANAYSLA DA SILVA TEIXEIRA</t>
  </si>
  <si>
    <t>GABRIEL DOS SANTOS NEVES</t>
  </si>
  <si>
    <t>MATHEUS ENRICO LAZARO KANDA DA SILVA</t>
  </si>
  <si>
    <t>DAVI LUCAS SALES DANTAS PEREIRA</t>
  </si>
  <si>
    <t>SAMUEL ARTHUR BENEDITO AMANCIO</t>
  </si>
  <si>
    <t>JOAO LUCAS LOPES ROCHA</t>
  </si>
  <si>
    <t>LEONARDO YOSHIRO FUKANO DE SOUSA</t>
  </si>
  <si>
    <t>MARCOS DOS SANTOS</t>
  </si>
  <si>
    <t>MARCELO JUNIOR LUNA BRASIL</t>
  </si>
  <si>
    <t>RYAN CARLOS AMORAS MARCHETTO</t>
  </si>
  <si>
    <t>DAVI SOUSA SANTOS</t>
  </si>
  <si>
    <t>HELOIZA FERREIRA DA SILVA</t>
  </si>
  <si>
    <t>LUKAS SANTOS DE ANDRADE</t>
  </si>
  <si>
    <t>NICOLLAS MURILO TEODORO ARAQUAM</t>
  </si>
  <si>
    <t>RAFAELLA MARQUES MELO</t>
  </si>
  <si>
    <t>VITOR HUGO FERREIRA RAMOS</t>
  </si>
  <si>
    <t>MARIANNA SANTANA ANJULA</t>
  </si>
  <si>
    <t>NICOLLY DANIELE FRANCISCO DE SOUZA</t>
  </si>
  <si>
    <t>GIOVANNA SANTANA SANTOS DE JESUS</t>
  </si>
  <si>
    <t>MAESKA LARYSSA ARAUJO DE OLIVEIRA</t>
  </si>
  <si>
    <t>KALEBY DE MELO SILVA SANTOS</t>
  </si>
  <si>
    <t>MARIA EDUARDA AMORIM LONGATTO</t>
  </si>
  <si>
    <t>RAPHAEL ALVES DOS REIS</t>
  </si>
  <si>
    <t>SOPHIA FONTINELE DE SOUZA</t>
  </si>
  <si>
    <t>PAOLA JOANA FERNANDES CAMILO</t>
  </si>
  <si>
    <t>EMEI JARDIM CASA GRANDE (TERC)</t>
  </si>
  <si>
    <t>CARLOS EDUARDO MORAIS PRADO</t>
  </si>
  <si>
    <t>SAMUEL MONTANHINI BRITO</t>
  </si>
  <si>
    <t>ANA CLARA BALZANELLO</t>
  </si>
  <si>
    <t>ANA SOPHIA PAIXAO DA SILVA</t>
  </si>
  <si>
    <t>EMANOEL ALMEIDA MAIA</t>
  </si>
  <si>
    <t>THEO GONCALVES FIGUEIREDO</t>
  </si>
  <si>
    <t>ANTONIO MARCOS JESUS DA SILVA</t>
  </si>
  <si>
    <t>Alergia a Corantes; Alergia a Conservantes; Alergia a Peixe; Alergia a Frutos do Mar; Alergia a Chocolate/Cacau</t>
  </si>
  <si>
    <t>EMEI JARDIM LUCÉLIA</t>
  </si>
  <si>
    <t>HAYLLA BEATRIZ SILVA DOS SANTOS</t>
  </si>
  <si>
    <t>MOISES TAVARES DE BARROS</t>
  </si>
  <si>
    <t>LUCAS FERREIRA BARBOSA</t>
  </si>
  <si>
    <t>EMILY EMANUELY DE JESUS DA SILVA</t>
  </si>
  <si>
    <t>Epigastralgia</t>
  </si>
  <si>
    <t>VINICIUS GUIOTTI MORAIS DE OLIVEIRA</t>
  </si>
  <si>
    <t>LAYSLLA VITORIA FARIAS PAULINO</t>
  </si>
  <si>
    <t>JUAN RAMOS LAURINTINO</t>
  </si>
  <si>
    <t>ALLEXYA VITORIA GONZALES VIDICA</t>
  </si>
  <si>
    <t>MARIA EDUARDA BERNARDES LYRA</t>
  </si>
  <si>
    <t>YASMIM GABRIELLI DA SILVA HERNANDES</t>
  </si>
  <si>
    <t>DAVI AVELINO SANTOS</t>
  </si>
  <si>
    <t>Alergia a Chocolate/Cacau; Alergia a Café</t>
  </si>
  <si>
    <t>BERNARDO ROCHA ROSA</t>
  </si>
  <si>
    <t>ESTHER SILVA NOVAIS</t>
  </si>
  <si>
    <t>Alergia a Fruta - Abacaxi; Alergia a Fruta - Limão; Alergia a Fruta - Maracujá</t>
  </si>
  <si>
    <t>HILLARY GEOVANNA DE CARVALHO</t>
  </si>
  <si>
    <t>CRYSTAL RAPHAELLY DE SOUZA CRISTIANO</t>
  </si>
  <si>
    <t>Doença Celíaca/Alergia ao glúten; Glicogenose</t>
  </si>
  <si>
    <t>MYGUEL AFONSO STROGENSKI</t>
  </si>
  <si>
    <t>Alergia a Ovo; Alergia a Chocolate/Cacau</t>
  </si>
  <si>
    <t>DAVI LUIZ BUENO DOS SANTOS</t>
  </si>
  <si>
    <t>ALEXIA RIBEIRO DIAS</t>
  </si>
  <si>
    <t>HENRI GABRIEL LOPES DA SILVA</t>
  </si>
  <si>
    <t>EDUARDO GOMES DO AMARAL</t>
  </si>
  <si>
    <t>MARIA LUIZA MAINARTE MARTINS</t>
  </si>
  <si>
    <t>SANDRO JOSE ALVES DA SILVA</t>
  </si>
  <si>
    <t>YAGO FRANCA XAVIER</t>
  </si>
  <si>
    <t>LUISA DE OLIVEIRA NERIS</t>
  </si>
  <si>
    <t>ARYA VALENTINA VIEIRA DE OLIVEIRA</t>
  </si>
  <si>
    <t>ENZO JOAQUIM DA COSTA LEITE</t>
  </si>
  <si>
    <t>MURILO MARINHO DOS SANTOS</t>
  </si>
  <si>
    <t>JULLIA ARIEL SILVA GOMES</t>
  </si>
  <si>
    <t>SOPHIA QUINTINO SANCHES</t>
  </si>
  <si>
    <t>NICOLLY AISLA BEZERRA CARDOSO</t>
  </si>
  <si>
    <t>NATHALY DA SILVA</t>
  </si>
  <si>
    <t>MIGUEL FELIPE ALMEIDA DE SOUZA</t>
  </si>
  <si>
    <t>DAVI HENRIQUE DOS SANTOS LOURENCO</t>
  </si>
  <si>
    <t>RAPHAEL PRADO COSTA DA SILVA</t>
  </si>
  <si>
    <t>ARTHUR FERREIRA NUNES</t>
  </si>
  <si>
    <t>MURILO ALVES DOS SANTOS</t>
  </si>
  <si>
    <t>LORENZO MIGUEL SANTANA DE SOUSA</t>
  </si>
  <si>
    <t>VITOR GUILHERME DA SILVA OLIVEIRA DEJORGE</t>
  </si>
  <si>
    <t>KESSYA DIAS MOREIRA</t>
  </si>
  <si>
    <t>ISABELLY SILVA JARDIM</t>
  </si>
  <si>
    <t>ELLYS VIZONI PERDIGAO</t>
  </si>
  <si>
    <t>RAISSA DE MATOS SILVA</t>
  </si>
  <si>
    <t>VITOR MIGUEL BATISTA DOURADO</t>
  </si>
  <si>
    <t>GUILHERME SANTANA PORCINO</t>
  </si>
  <si>
    <t>PEDRO MIGUEL GOMES VIEIRA</t>
  </si>
  <si>
    <t>DAVI LUAN CHOI DE SOUZA</t>
  </si>
  <si>
    <t>ALICE VICTORIA LIMA CARVALHO</t>
  </si>
  <si>
    <t>LEONARDO GOMES RIBEIRO</t>
  </si>
  <si>
    <t>JOAO PEDRO CARDOSO PORTELA</t>
  </si>
  <si>
    <t>LUCAS SILVA DO AMARAL FERREIRA</t>
  </si>
  <si>
    <t>YASMIN KAORI ALMEIDA HOSOYA</t>
  </si>
  <si>
    <t>GABRIEL ALVES DE OLIVEIRA VENDRAMINI</t>
  </si>
  <si>
    <t>LETICIA ALVES DE OLIVEIRA VENDRAMINI</t>
  </si>
  <si>
    <t>DANDARA MORAES DE SOUSA</t>
  </si>
  <si>
    <t>IGOR MORAIS HEIDERICH MOTA</t>
  </si>
  <si>
    <t>Diabetes Mellitus; Esofagite</t>
  </si>
  <si>
    <t>MELISSA CALIXTO BARBOSA RODRIGUES</t>
  </si>
  <si>
    <t>GABRIEL DEREK DOS SANTOS NETTO</t>
  </si>
  <si>
    <t>MARCELA MATTOS PUGRIELLI RIBEIRO RUA</t>
  </si>
  <si>
    <t>PHELIPE GABRIEL DE JESUS MODESTO</t>
  </si>
  <si>
    <t>Alergia a Corantes; Alergia a Conservantes; Alergia a Peixe; Alergia a Frutos do Mar; Alergia a Carne Suina</t>
  </si>
  <si>
    <t>JOAO GABRIEL NEVES SILVA PINHEIRO</t>
  </si>
  <si>
    <t>NOEMI EUNICE RENATA LUZ DA SILVA</t>
  </si>
  <si>
    <t>HELOISA SENA DA SILVA</t>
  </si>
  <si>
    <t>Doença de Behçet</t>
  </si>
  <si>
    <t>DEBORA MARIA QUEIROZ DE SOUSA</t>
  </si>
  <si>
    <t>RAPHAEL LUCAS DE SOUZA SILVA</t>
  </si>
  <si>
    <t>WESLLEY DANIEL ALVES SIQUEIRA</t>
  </si>
  <si>
    <t>Anemia Ferropriva; Dislipidemia; Sobrepeso e Obesidade</t>
  </si>
  <si>
    <t>MIRELLA DA SILVA PEREIRA</t>
  </si>
  <si>
    <t>MILLENA DA SILVA PEREIRA</t>
  </si>
  <si>
    <t>DAVI ALVES DOS SANTOS</t>
  </si>
  <si>
    <t>KAUA HENRIQUE GONCALVES GOMES</t>
  </si>
  <si>
    <t>MIGUEL CHAVES SILVA</t>
  </si>
  <si>
    <t>GABRIEL MARCELINO VIEIRA</t>
  </si>
  <si>
    <t>NICOLLE LORRAYNE LOPES DE SOUSA</t>
  </si>
  <si>
    <t>MANUELA DE ALBUQUERQUE VIEIRA</t>
  </si>
  <si>
    <t>YASMIN UESSO PEDROSO</t>
  </si>
  <si>
    <t>ANA FLAVIA ROSATI PEDRO</t>
  </si>
  <si>
    <t>HELENA DE BARROS SILVA</t>
  </si>
  <si>
    <t>ISABELLY ALANYS MENDES ELIAS</t>
  </si>
  <si>
    <t>ALICE BERTOLDO CRUZ</t>
  </si>
  <si>
    <t>ALLICE SILVA NOGUEIRA</t>
  </si>
  <si>
    <t>DAVID CARMO BELIS</t>
  </si>
  <si>
    <t>Alergia a Proteína do Leite de Vaca; Alergia a Corantes; Alergia a Embutidos; Alergia a Peixe; Alergia a Frutos do Mar; Alergia a Carne Suina; Alergia a Enlatados</t>
  </si>
  <si>
    <t>IASMYN ALVES ROSA</t>
  </si>
  <si>
    <t>ISABELLY FERREIRA DA COSTA</t>
  </si>
  <si>
    <t>LUIZ MYGUEL GOMES SILVA</t>
  </si>
  <si>
    <t>MATEUS FRANCA DA SILVA</t>
  </si>
  <si>
    <t>MATHEUS RODRIGUES DA SILVA</t>
  </si>
  <si>
    <t>MIGUEL MONTEAGUDO SANTANA</t>
  </si>
  <si>
    <t>Alergia a Soja; Alergia a Corantes</t>
  </si>
  <si>
    <t>NAIANY COSTA DOS SANTOS</t>
  </si>
  <si>
    <t>RAPHAELA SANTANA DE OLIVEIRA</t>
  </si>
  <si>
    <t>SOPHIA SANTOS MARTINS</t>
  </si>
  <si>
    <t>VALENTINA LOBO ROCHA</t>
  </si>
  <si>
    <t>BEATRIZ DOS SANTOS SILVA</t>
  </si>
  <si>
    <t>DAVI SANTOS DE AMORIM</t>
  </si>
  <si>
    <t>ELIS ESCARABOTE RIBEIRO</t>
  </si>
  <si>
    <t>Alergia a Ovo; Alergia a Oleaginosas - Amendoim; Alergia a Oleaginosas - Castanha do Pará; Alergia a Oleaginosas - Castanha de Caju; Alergia a Oleaginosas - Castanha de Barú; Alergia a Fruta - Coco</t>
  </si>
  <si>
    <t>EVELYN CRISTINA DE SOUSA SILVA</t>
  </si>
  <si>
    <t>LUCAS CARLOS MACHADO FERNANDES</t>
  </si>
  <si>
    <t>Doença Renal Crônica; Intolerância à Lactose</t>
  </si>
  <si>
    <t>MARCOS PAULO FORNEL GUIMARAES</t>
  </si>
  <si>
    <t>MIRELLA LIMA SANTOS PEREIRA</t>
  </si>
  <si>
    <t>ANTHONY LEVI PEREIRA COUTINHO</t>
  </si>
  <si>
    <t>ARTUR HENRIQUE DE JESUS SILVA</t>
  </si>
  <si>
    <t>KAUAN GIGLIOTTI ARAUJO</t>
  </si>
  <si>
    <t>KETHLYN VITORIA DA CRUZ SILVA</t>
  </si>
  <si>
    <t>MARIA EDUARDA LEMOS GUIMARAES</t>
  </si>
  <si>
    <t>Intolerância à Lactose; Alergia a Soja; Alergia a Glúten</t>
  </si>
  <si>
    <t>SARAH ALEXANDRE BATISTA</t>
  </si>
  <si>
    <t>SOPHYA CRISTINNY LANDIM SANTOS</t>
  </si>
  <si>
    <t>AGATA MACEDO SANTANA</t>
  </si>
  <si>
    <t>DAVI DO NASCIMENTO MARTINS</t>
  </si>
  <si>
    <t>ELOIZA REIS BEZERRA LEMOS</t>
  </si>
  <si>
    <t>Intolerância à Lactose; Alergia a Corantes; Alergia a Conservantes; Alergia a Embutidos; Alergia a Peixe; Alergia a Frutos do Mar; Alergia a Carne Suina; Alergia a Enlatados</t>
  </si>
  <si>
    <t>GABRIEL DE SOUSA FREITAS</t>
  </si>
  <si>
    <t>KAUA LUCCA DOS SANTOS BENEDICTO</t>
  </si>
  <si>
    <t>LAURA OLIVEIRA SANTOS</t>
  </si>
  <si>
    <t>LUIZ GUSTAVO BEGALLI NUNES</t>
  </si>
  <si>
    <t>MATEUS REJAILI VIGLIAR DOS SANTOS</t>
  </si>
  <si>
    <t>MELISSA ALVES CARVALHO</t>
  </si>
  <si>
    <t>MIGUEL LUCAS ROCHA MARABA</t>
  </si>
  <si>
    <t>RYAN MIGUEL RIBEIRO DOS SANTOS</t>
  </si>
  <si>
    <t>Alergia a Molho de Tomate</t>
  </si>
  <si>
    <t>VITORIA RODRIGUES ALVES DA SILVA</t>
  </si>
  <si>
    <t>VITORIA SANTOS OLIVEIRA</t>
  </si>
  <si>
    <t>YASMIN MONTEIRO NOVAIS</t>
  </si>
  <si>
    <t>ALEXIA FERNANDA DOS SANTOS LOPES</t>
  </si>
  <si>
    <t>ANA CAROLINA SENA DOS SANTOS</t>
  </si>
  <si>
    <t>BEATRIZ RICCI RODRIGUES</t>
  </si>
  <si>
    <t>BERNARDO GONCALVES DE SOUZA</t>
  </si>
  <si>
    <t>BIANCA ANDRADE DOS SANTOS</t>
  </si>
  <si>
    <t>BRYAN DAVI PINHEIRO DA SILVA</t>
  </si>
  <si>
    <t>GABRIEL DIAS ROCHA SANTANA</t>
  </si>
  <si>
    <t>GIOVANA BARRETO CLEMENTE DOS SANTOS</t>
  </si>
  <si>
    <t>HADJA MARIAMA BAH</t>
  </si>
  <si>
    <t>Alergia a Proteína do Leite de Vaca; Alergia a Peixe; Alergia a Frutos do Mar; Alergia a Hortifruti - Inhame</t>
  </si>
  <si>
    <t>JOSE PHILIPPE FERREIRA LOBATO</t>
  </si>
  <si>
    <t>Alergia a Ovo; Alergia a Proteína do Leite de Vaca; Alergia a Soja; Alergia a Oleaginosas - Amendoim; Alergia a Oleaginosas - Castanha do Pará; Alergia a Oleaginosas - Castanha de Caju; Alergia a Oleaginosas - Castanha de Barú; Alergia a Oleaginosas - Avelã; Alergia a Oleaginosas - Amêndoa; Alergia a Oleaginosas - Nozes; Alergia a Oleaginosas - Macadâmia</t>
  </si>
  <si>
    <t>LANA VICTORIA PASSOS NASCIMENTO</t>
  </si>
  <si>
    <t>LARA FERNANDES FERREIRA</t>
  </si>
  <si>
    <t>LAURA APARECIDA ALVES DE SOUSA</t>
  </si>
  <si>
    <t>LEONARDO HENRIQUE GONCALVES GAGO PEREIRA</t>
  </si>
  <si>
    <t>Alergia a Proteína do Leite de Vaca; Alergia a Soja; Alergia a Hortifruti - Milho
Alergia a Milho; Alergia a Lentilha; Alergia a Hortifruti - Ervilha</t>
  </si>
  <si>
    <t>LUCAS TAVARES LEMES DE FARIAS</t>
  </si>
  <si>
    <t>MANUELLA DOS SANTOS HONORIO</t>
  </si>
  <si>
    <t>MATHEUS OLIVEIRA MAZZA</t>
  </si>
  <si>
    <t>PEDRO ALMEIDA CARDOSO</t>
  </si>
  <si>
    <t>RAFAELA SANTOS PEREIRA</t>
  </si>
  <si>
    <t>SORAYA MACEDO DE SOUSA</t>
  </si>
  <si>
    <t>ANNA SOPHIA ALVES NUNES</t>
  </si>
  <si>
    <t>BEATRIZ TIEPPO GABELONI</t>
  </si>
  <si>
    <t>BRENDA SOFIA RODRIGUES FERREIRA</t>
  </si>
  <si>
    <t>DAVI DE SOUZA FIL</t>
  </si>
  <si>
    <t>EDUARDO DOS SANTOS VOGIANTZIS</t>
  </si>
  <si>
    <t>ELIEZER DOS SANTOS LIMA</t>
  </si>
  <si>
    <t>EMILLY FERREIRA LOPES</t>
  </si>
  <si>
    <t>FELIPE BEZERRA DE SOUZA</t>
  </si>
  <si>
    <t>Alergia a Ovo; Alergia a Proteína do Leite de Vaca; Alergia a Corantes; Alergia a Hortifruti - Cenoura</t>
  </si>
  <si>
    <t>JOAO PEDRO DE OLIVEIRA LIMA</t>
  </si>
  <si>
    <t>Anemia Ferropriva; Hipercolesterolemia</t>
  </si>
  <si>
    <t>KAMILLY VICTORIA SANTOS DOREA</t>
  </si>
  <si>
    <t>EMEI PROFA. VERA ARNONI SCALQUETTI</t>
  </si>
  <si>
    <t>LAURA SOUZA MACEDO</t>
  </si>
  <si>
    <t>LAYLA OLIVEIRA TERTULIANO SOUZA</t>
  </si>
  <si>
    <t>NICOLAS DOMINGOS BURGHI</t>
  </si>
  <si>
    <t>Alergia a Ovo; Alergia a Proteína do Leite de Vaca; Alergia a Fruta - Mamão; Alergia a Fruta - Abacate; Alergia a Fruta - Kiwi; Alergia a Fruta - Banana; Alergia a Fruta - Pêssego; Alergia a Fruta - Damasco</t>
  </si>
  <si>
    <t>PEDRO DANIEL LOPES NOGUEIRA DOS SANTOS</t>
  </si>
  <si>
    <t>RODRIGO OLIVEIRA MESQUITA</t>
  </si>
  <si>
    <t>YASMIM GORDIANO DE OLIVEIRA</t>
  </si>
  <si>
    <t>ALLICE VIEIRA DOS SANTOS</t>
  </si>
  <si>
    <t>ANA JULIA MIRANDA CAVALCANTE</t>
  </si>
  <si>
    <t>EMEF PROFESSORA MARISA MORETTI CÂMARA(TERCEI.)</t>
  </si>
  <si>
    <t>BRENDA SILVA ANTONELI</t>
  </si>
  <si>
    <t>Alergia a Ovo; Alergia a Proteína do Leite de Vaca; Alergia a Corantes; Alergia a Peixe; Alergia a Chocolate/Cacau</t>
  </si>
  <si>
    <t>DAVI LUKAS PEREIRA FORTUNATO</t>
  </si>
  <si>
    <t>ENZO GABRIEL DA SILVA</t>
  </si>
  <si>
    <t>ERICK VENTURI</t>
  </si>
  <si>
    <t>FELIPE DOS SANTOS MOREIRA</t>
  </si>
  <si>
    <t>FELIPE SILVA DOS SANTOS</t>
  </si>
  <si>
    <t>FERNANDO DOS SANTOS MOREIRA</t>
  </si>
  <si>
    <t>HELOISA MIRELLY NOGUEIRA</t>
  </si>
  <si>
    <t>HELOISA SCHIASSI SILVA</t>
  </si>
  <si>
    <t>Alergia a Ovo; Alergia a Proteína do Leite de Vaca; Alergia a Soja; Alergia a Glúten</t>
  </si>
  <si>
    <t>ISADORA ALVES CHAVES</t>
  </si>
  <si>
    <t>Alergia a Corantes; Alergia a Aromatizantes; Alergia a Condimentos</t>
  </si>
  <si>
    <t>KENYD RAMOS GUALBERTO</t>
  </si>
  <si>
    <t>Alergia a Ovo; Alergia a Proteína do Leite de Vaca; Alergia ao Trigo; Alergia a Soja; Alergia a Hortifruti - Tomate; Alergia a Glúten</t>
  </si>
  <si>
    <t>LUIZ GABRIEL DE ANDRADE SOUSA</t>
  </si>
  <si>
    <t>MARIANA LIMA TAVARES</t>
  </si>
  <si>
    <t>MATEUS RODRIGUES DE ALMEIDA</t>
  </si>
  <si>
    <t>MIGUEL PESSOA LIMA</t>
  </si>
  <si>
    <t>MIGUEL RODRIGUES GONCALVES</t>
  </si>
  <si>
    <t>Alergia a Ovo; Alergia a Proteína do Leite de Vaca; Alergia ao Trigo; Alergia a Hortifruti - Tomate; Alergia a Carne Suina; Alergia a Glúten</t>
  </si>
  <si>
    <t>NICOLLE OLIVO PINHEIRO</t>
  </si>
  <si>
    <t>NICOLLY OLIVEIRA COSTA</t>
  </si>
  <si>
    <t>POLYANNA FERREIRA CARDOSO</t>
  </si>
  <si>
    <t>RAYSSA VITORIA TEIXEIRA DE SOUSA</t>
  </si>
  <si>
    <t>SOFIA SILVA PESSOA BATISTA</t>
  </si>
  <si>
    <t>STHEFANNY CAROLINE ANDRADE SILVA</t>
  </si>
  <si>
    <t>VINICIOS LEDRA TORRES TIZANO</t>
  </si>
  <si>
    <t>ANA SOPHIA GOMES SANTOS</t>
  </si>
  <si>
    <t>BERNARDO MACEDO LIMA</t>
  </si>
  <si>
    <t>DAVI CRUZ BARROS</t>
  </si>
  <si>
    <t>ESTER PARDINI OLIVEIRA</t>
  </si>
  <si>
    <t>ESTHER VITORIA ALVES VALERIO</t>
  </si>
  <si>
    <t>GABRIEL SANTOS PINHEIRO</t>
  </si>
  <si>
    <t>ISABELA ARAUJO FERRARI</t>
  </si>
  <si>
    <t>ISABELLA SALLES ARAUJO DA SILVA</t>
  </si>
  <si>
    <t>JOAQUIM GIORDAN CARNEIRO</t>
  </si>
  <si>
    <t>LAIS PEREIRA CORREA</t>
  </si>
  <si>
    <t>LORENZO CAETANO GALINDO DA SILVA</t>
  </si>
  <si>
    <t>MURILO DA SILVA PALOMBO</t>
  </si>
  <si>
    <t>PYETRO CARLOS RIBEIRO NASCIMENTO</t>
  </si>
  <si>
    <t>SOPHIA SILVA MAXIMO DOS REIS</t>
  </si>
  <si>
    <t>THALYSSA RODRIGUES DOS SANTOS</t>
  </si>
  <si>
    <t>TIAGO XAVIER DE ALMEIDA</t>
  </si>
  <si>
    <t>YASMIN SOUTO LAVISIO SILVA</t>
  </si>
  <si>
    <t>ANA BEATRIZ FACIOLI MELO</t>
  </si>
  <si>
    <t>ANA JULIA SANTOS DA SILVA</t>
  </si>
  <si>
    <t>Alergia a Ovo; Alergia a Carne Suina</t>
  </si>
  <si>
    <t>ANALIA ESTELA DUARTE COSTA</t>
  </si>
  <si>
    <t>BEATRIZ DA SILVA COSTA</t>
  </si>
  <si>
    <t>DANIEL ARAUJO RESSURREICAO DA SILVA</t>
  </si>
  <si>
    <t>DAVI JUNIOR SIMPLICIO DE ARAUJO</t>
  </si>
  <si>
    <t>DAVI LUCCA RISSI CONCEICAO</t>
  </si>
  <si>
    <t>DAVI PYETRO DIAS MAZA</t>
  </si>
  <si>
    <t>EDSON CAMILO DOS SANTOS</t>
  </si>
  <si>
    <t>ENZO BERNARDO MACIEL ALVES</t>
  </si>
  <si>
    <t>GUSTAVO MOURA DA SILVA</t>
  </si>
  <si>
    <t>KALEB ROCHA SOUZA</t>
  </si>
  <si>
    <t>LORENA NOGUEIRA GONCALVES</t>
  </si>
  <si>
    <t>LUAN DE ALMEIDA SOUZA</t>
  </si>
  <si>
    <t>MANUELLA LOPES DIAS</t>
  </si>
  <si>
    <t>MERVEILLE BAKA DIFUENINDANGI</t>
  </si>
  <si>
    <t>NICOLY AZEVEDO CRUZ</t>
  </si>
  <si>
    <t>RAFAEL TRIDICO SANTOS</t>
  </si>
  <si>
    <t>Alergia a Hortifruti - Cenoura; Intolerância Alimentar - Leite e/ou Derivados do Leite</t>
  </si>
  <si>
    <t>RIKELME OLIVEIRA DIAS ALMEIDA</t>
  </si>
  <si>
    <t>THALLYSON RAFAEL SOUSA DE OLIVEIRA</t>
  </si>
  <si>
    <t>22/12/2014</t>
  </si>
  <si>
    <t>15/01/2015</t>
  </si>
  <si>
    <t>Alergia - corantes + aromatizantes</t>
  </si>
  <si>
    <t>13/03/2015</t>
  </si>
  <si>
    <t>Intolerância alimentar - leite + constipação (bebida de soja)</t>
  </si>
  <si>
    <t>19/06/2012</t>
  </si>
  <si>
    <t>APLV + Intolerância à Lactose (bebida de soja)</t>
  </si>
  <si>
    <t>13/11/2006</t>
  </si>
  <si>
    <t>21/05/2016</t>
  </si>
  <si>
    <t>04/04/2012</t>
  </si>
  <si>
    <t>05/01/2003</t>
  </si>
  <si>
    <t>Alergia - chocolate</t>
  </si>
  <si>
    <t>11/12/2012</t>
  </si>
  <si>
    <t>Intolerância alimentar - flocos de milho</t>
  </si>
  <si>
    <t>18/12/2012</t>
  </si>
  <si>
    <t>Dislipidemia + Obesidade</t>
  </si>
  <si>
    <t>23/01/2013</t>
  </si>
  <si>
    <t>03/12/2005</t>
  </si>
  <si>
    <t>10/06/2012</t>
  </si>
  <si>
    <t>15/04/2015</t>
  </si>
  <si>
    <t>06/08/2014</t>
  </si>
  <si>
    <t>21/08/2005</t>
  </si>
  <si>
    <t>21/05/2014</t>
  </si>
  <si>
    <t>Alergia - mamão</t>
  </si>
  <si>
    <t>Dieta Pastosa e liquidificada - Alline Leite</t>
  </si>
  <si>
    <t>02/08/2014</t>
  </si>
  <si>
    <t>06/02/2008</t>
  </si>
  <si>
    <t>25/08/2012</t>
  </si>
  <si>
    <t>15/11/2004</t>
  </si>
  <si>
    <t>Doença Diverticular - Bruno Henrique</t>
  </si>
  <si>
    <t>Sobrepeso e obesidade - hipocalórica</t>
  </si>
  <si>
    <t>09/07/2012</t>
  </si>
  <si>
    <t>Alergia - carne suína</t>
  </si>
  <si>
    <t>19/08/2010</t>
  </si>
  <si>
    <t>Síndrome Nefrótica - hipossódica</t>
  </si>
  <si>
    <t>25/02/2011</t>
  </si>
  <si>
    <t>Alergia - amendoim</t>
  </si>
  <si>
    <t>26/05/2008</t>
  </si>
  <si>
    <t>Sobrepeso e obesidade - Gabriel Novais</t>
  </si>
  <si>
    <t>Dieta Enteral - Livia Cristina Damas Dias</t>
  </si>
  <si>
    <t>12/09/2012</t>
  </si>
  <si>
    <t>25/02/2015</t>
  </si>
  <si>
    <t>Alergia - corante + conservante</t>
  </si>
  <si>
    <t>14/09/2015</t>
  </si>
  <si>
    <t>23/06/2015</t>
  </si>
  <si>
    <t>Intolerância à lactose (leite sem alctose)</t>
  </si>
  <si>
    <t>17/04/2004</t>
  </si>
  <si>
    <t>31/03/2012</t>
  </si>
  <si>
    <t>20/01/2016</t>
  </si>
  <si>
    <t>g</t>
  </si>
  <si>
    <t>03/03/2013</t>
  </si>
  <si>
    <t>29/11/2010</t>
  </si>
  <si>
    <t>07/06/2015</t>
  </si>
  <si>
    <t>03/11/2010</t>
  </si>
  <si>
    <t>23/07/2016</t>
  </si>
  <si>
    <t>APLV (fórmula de soja)</t>
  </si>
  <si>
    <t>19/03/2015</t>
  </si>
  <si>
    <t>16/10/2009</t>
  </si>
  <si>
    <t>Sobrepeso e obesidade - Isabella de Oliveira</t>
  </si>
  <si>
    <t>06/03/2012</t>
  </si>
  <si>
    <t>19/07/2016</t>
  </si>
  <si>
    <t>15/03/2011</t>
  </si>
  <si>
    <t>Intolerância alimentar - ovo</t>
  </si>
  <si>
    <t>15/09/2015</t>
  </si>
  <si>
    <t>21/01/2016</t>
  </si>
  <si>
    <t>15/06/2012</t>
  </si>
  <si>
    <t>Autismo - Gabriela Pereira</t>
  </si>
  <si>
    <t>21/08/2012</t>
  </si>
  <si>
    <t>Obesidade</t>
  </si>
  <si>
    <t>07/07/2015</t>
  </si>
  <si>
    <t>08/07/2005</t>
  </si>
  <si>
    <t>Alergia - morango</t>
  </si>
  <si>
    <t>Autismo - Carlos Henrique Silva</t>
  </si>
  <si>
    <t>28/12/2008</t>
  </si>
  <si>
    <t>Dieta pastosa e liquidificada - Pablo Henrique</t>
  </si>
  <si>
    <t>02/08/2016</t>
  </si>
  <si>
    <t>Alergia - feijão + repolho</t>
  </si>
  <si>
    <t>21/12/2015</t>
  </si>
  <si>
    <t>deficiência de G6PD - sem corantes + feijão fava</t>
  </si>
  <si>
    <t>06/03/2013</t>
  </si>
  <si>
    <t>APLV + corante + enlatados + carne suina (bebida de soja)</t>
  </si>
  <si>
    <t>18/11/2014</t>
  </si>
  <si>
    <t>04/06/2006</t>
  </si>
  <si>
    <t>08/08/2015</t>
  </si>
  <si>
    <t>APLV + glúten + trigo + peixe + carne vermelha (bebida de soja)</t>
  </si>
  <si>
    <t>16/09/2012</t>
  </si>
  <si>
    <t>Purpura Henoch Schonlein - sem corante, conservante, hipossódica</t>
  </si>
  <si>
    <t>13/06/2012</t>
  </si>
  <si>
    <t>Alergia ovo + corante + conservante + sucos e temperos artificias + enlatados + embutidos</t>
  </si>
  <si>
    <t>11/07/2011</t>
  </si>
  <si>
    <t>19/01/2004</t>
  </si>
  <si>
    <t>Dieta Pastosa - Renan Santana</t>
  </si>
  <si>
    <t>22/06/2015</t>
  </si>
  <si>
    <t>Alergia ovo + peixe</t>
  </si>
  <si>
    <t>Intolerância à lactose + corante + conservante + peixe (leite sem lactose)</t>
  </si>
  <si>
    <t>27/12/2013</t>
  </si>
  <si>
    <t>APLV + ovo + corantes (bebida de soja)</t>
  </si>
  <si>
    <t>29/11/2014</t>
  </si>
  <si>
    <t>10/05/2015</t>
  </si>
  <si>
    <t>03/08/2013</t>
  </si>
  <si>
    <t>21/12/2016</t>
  </si>
  <si>
    <t>16/03/2014</t>
  </si>
  <si>
    <t>APLV + soja (aptamil pepti)</t>
  </si>
  <si>
    <t>04/12/2013</t>
  </si>
  <si>
    <t>12/02/2013</t>
  </si>
  <si>
    <t>Alergia - Caju</t>
  </si>
  <si>
    <t>16/11/2015</t>
  </si>
  <si>
    <t>APLV + ovo + peixe + amendoim (suco de fruta)</t>
  </si>
  <si>
    <t>11/07/2013</t>
  </si>
  <si>
    <t>APLV (leite de cabra)</t>
  </si>
  <si>
    <t>27/11/2014</t>
  </si>
  <si>
    <t>APLV (bebida de coco)</t>
  </si>
  <si>
    <t>Alergia - abacaxi e camarão</t>
  </si>
  <si>
    <t>31/03/2017</t>
  </si>
  <si>
    <t>APLV + soja + tomate (suco de futas)</t>
  </si>
  <si>
    <t>Enxaqueca - sem leite = glúten + chocolate + café + tomate (bebida de arroz)</t>
  </si>
  <si>
    <t>25/02/2016</t>
  </si>
  <si>
    <t>20/04/2015</t>
  </si>
  <si>
    <t>Intolerância à lactose + corante + conservante + soja (leite sem lactose)</t>
  </si>
  <si>
    <t>16/09/2015</t>
  </si>
  <si>
    <t>08/12/2012</t>
  </si>
  <si>
    <t>28/01/2014</t>
  </si>
  <si>
    <t>Intolerância à lactose + corante (suco de fruta)</t>
  </si>
  <si>
    <t>15/08/2013</t>
  </si>
  <si>
    <t>Deficiência de G6PD + Alergia carne suína - sem corantes + feijão fava</t>
  </si>
  <si>
    <t>30/12/2013</t>
  </si>
  <si>
    <t>06/08/2013</t>
  </si>
  <si>
    <t>28/11/2014</t>
  </si>
  <si>
    <t>02/06/2013</t>
  </si>
  <si>
    <t>Alergia - chocolate + laranja</t>
  </si>
  <si>
    <t>06/12/2013</t>
  </si>
  <si>
    <t>20/02/2014</t>
  </si>
  <si>
    <t>19/05/2013</t>
  </si>
  <si>
    <t>18/11/2013</t>
  </si>
  <si>
    <t>APLV (suco de fruta) - derivados liberados</t>
  </si>
  <si>
    <t>11/10/2013</t>
  </si>
  <si>
    <t>Dieta cetogênica - Theodoro da Silva</t>
  </si>
  <si>
    <t>05/07/2012</t>
  </si>
  <si>
    <t>Alergia - uva</t>
  </si>
  <si>
    <t>12/09/2013</t>
  </si>
  <si>
    <t>APLV +ovo + trigo + peixe + frutos do mar (suco de fruta)</t>
  </si>
  <si>
    <t>18/02/2015</t>
  </si>
  <si>
    <t>Intolerância à lactose (leite sem lactose) - derivados liberados</t>
  </si>
  <si>
    <t>29/05/2013</t>
  </si>
  <si>
    <t>11/05/2017</t>
  </si>
  <si>
    <t>Refluxo gastroesofágico (leite com engrossantes)</t>
  </si>
  <si>
    <t>20/03/2014</t>
  </si>
  <si>
    <t>Alergia a corante + conservante</t>
  </si>
  <si>
    <t>18/04/2016</t>
  </si>
  <si>
    <t>13/12/2012</t>
  </si>
  <si>
    <t>Sobrepesoe obesidae - Hipocalórica</t>
  </si>
  <si>
    <t>13/08/2013</t>
  </si>
  <si>
    <t>Dieta enteral - Maielly Vitoria da Silva</t>
  </si>
  <si>
    <t>Intolerância à lactose (bebida de soja ou leite sem lactose)</t>
  </si>
  <si>
    <t>26/09/2013</t>
  </si>
  <si>
    <t>08/03/2014</t>
  </si>
  <si>
    <t>Intolerância alimentar a alimentos ácidos</t>
  </si>
  <si>
    <t>Intolerância à lacotse (leite sem lactose)</t>
  </si>
  <si>
    <t>19/07/2013</t>
  </si>
  <si>
    <t>02/03/2014</t>
  </si>
  <si>
    <t>Alergia  a peixe</t>
  </si>
  <si>
    <t>07/07/2012</t>
  </si>
  <si>
    <t>13/06/2013</t>
  </si>
  <si>
    <t>01/11/2016</t>
  </si>
  <si>
    <t>Constipação Intestinal (Aptamil)</t>
  </si>
  <si>
    <t>03/01/2014</t>
  </si>
  <si>
    <t>09/05/2013</t>
  </si>
  <si>
    <t>Hidronefrose - Lucas Macedo</t>
  </si>
  <si>
    <t>01/04/2014</t>
  </si>
  <si>
    <t>Dieta pastosa liquidificada - melissa Leite</t>
  </si>
  <si>
    <t>30/07/2015</t>
  </si>
  <si>
    <t>25/11/2016</t>
  </si>
  <si>
    <t>Constipação intestinal (Aptamil 3)</t>
  </si>
  <si>
    <t>23/08/2013</t>
  </si>
  <si>
    <t>Intolerância à lactose (leite sem lactose) - liberado pães, bolos e biscoitos</t>
  </si>
  <si>
    <t>12/11/2013</t>
  </si>
  <si>
    <t>07/07/2009</t>
  </si>
  <si>
    <t>APLV (Neo Advance)</t>
  </si>
  <si>
    <t>23/07/2014</t>
  </si>
  <si>
    <t>Intolerância alimentar - carne suína</t>
  </si>
  <si>
    <t>23/11/2017</t>
  </si>
  <si>
    <t>Refluxo gastroesofágico (Nan AR)</t>
  </si>
  <si>
    <t>06/02/2017</t>
  </si>
  <si>
    <t>28/12/2011</t>
  </si>
  <si>
    <t>09/07/2015</t>
  </si>
  <si>
    <t>26/12/2013</t>
  </si>
  <si>
    <t>17/09/2012</t>
  </si>
  <si>
    <t>24/07/2013</t>
  </si>
  <si>
    <t>06/09/2015</t>
  </si>
  <si>
    <t>Alergia a alimentos ácidos</t>
  </si>
  <si>
    <t>Alergia a chocolate + carne suína + frutas ácidas</t>
  </si>
  <si>
    <t>11/04/2013</t>
  </si>
  <si>
    <t>Alergia a café</t>
  </si>
  <si>
    <t>03/01/2016</t>
  </si>
  <si>
    <t>Alergia a chocolate + alimentos ácidos</t>
  </si>
  <si>
    <t>08/08/2013</t>
  </si>
  <si>
    <t>25/01/2013</t>
  </si>
  <si>
    <t>07/03/2014</t>
  </si>
  <si>
    <t>13/05/2013</t>
  </si>
  <si>
    <t>19/03/2012</t>
  </si>
  <si>
    <t>Dieta pastosa liquidificada - Samuel Inácio Oliveira</t>
  </si>
  <si>
    <t>03/06/2013</t>
  </si>
  <si>
    <t>28/12/2013</t>
  </si>
  <si>
    <t>19/04/2017</t>
  </si>
  <si>
    <t>Intolerância alimentar - fórmula (Aptamil 3)</t>
  </si>
  <si>
    <t>20/05/2015</t>
  </si>
  <si>
    <t>Deficiência de G6PD - sem corantes + feijão fava</t>
  </si>
  <si>
    <t>01/12/2013</t>
  </si>
  <si>
    <t>24/04/2013</t>
  </si>
  <si>
    <t>31/03/2014</t>
  </si>
  <si>
    <t>intolerância à lactose (suco de fruta prescrito) - liberado pães, bolos e biscoitos</t>
  </si>
  <si>
    <t>04/03/2014</t>
  </si>
  <si>
    <t>Alergia - conservantes + chocolate + molho de tomate</t>
  </si>
  <si>
    <t>28/10/2014</t>
  </si>
  <si>
    <t>24/02/2011</t>
  </si>
  <si>
    <t>02/05/2013</t>
  </si>
  <si>
    <t>14/07/2015</t>
  </si>
  <si>
    <t>Constipação intestinal - arroz e macarrão integrais</t>
  </si>
  <si>
    <t>06/10/2015</t>
  </si>
  <si>
    <t>11/05/2013</t>
  </si>
  <si>
    <t>29/04/2015</t>
  </si>
  <si>
    <t>25/01/2010</t>
  </si>
  <si>
    <t>11/12/2013</t>
  </si>
  <si>
    <t>Transtorno de alimentação na infância - sem carnes</t>
  </si>
  <si>
    <t>07/05/2013</t>
  </si>
  <si>
    <t>Alergia a peixe + frutos do mar</t>
  </si>
  <si>
    <t>11/02/2014</t>
  </si>
  <si>
    <t>02/05/2017</t>
  </si>
  <si>
    <t>Alergia a ovo + refluxo gastroesofágico (Aptamil AR)</t>
  </si>
  <si>
    <t>APLV + soja (suco de fruta)</t>
  </si>
  <si>
    <t>07/06/2017</t>
  </si>
  <si>
    <t>Refluxo gastroesofágico (Aptamil AR ou Nan AR)</t>
  </si>
  <si>
    <t>19/03/2014</t>
  </si>
  <si>
    <t>24/12/2012</t>
  </si>
  <si>
    <t>24/07/2012</t>
  </si>
  <si>
    <t>Dieta enteral - Valentina da Silva Paulino</t>
  </si>
  <si>
    <t>21/09/2013</t>
  </si>
  <si>
    <t>APLV + corantes (suco de fruta)</t>
  </si>
  <si>
    <t>Intolerância alimentar a chocolate</t>
  </si>
  <si>
    <t>02/03/2013</t>
  </si>
  <si>
    <t>Alergia  a chocolate</t>
  </si>
  <si>
    <t>27/08/2012</t>
  </si>
  <si>
    <t>22/05/2016</t>
  </si>
  <si>
    <t>Dieta pastosa amassada - Lucas Donizete Marques da Silva</t>
  </si>
  <si>
    <t>23/06/2014</t>
  </si>
  <si>
    <t>07/01/2014</t>
  </si>
  <si>
    <t>13/11/2013</t>
  </si>
  <si>
    <t>Alergia - corantes + conservantes + sucos e temperos artificiais + enlatados + embutidos</t>
  </si>
  <si>
    <t>03/07/2012</t>
  </si>
  <si>
    <t>Dieta pastosa e liquidificada - Leonardo de Oliveira</t>
  </si>
  <si>
    <t>04/02/2016</t>
  </si>
  <si>
    <t>APLV + peixe + frutos do mar (bebida de soja)</t>
  </si>
  <si>
    <t>06/04/2016</t>
  </si>
  <si>
    <t>Fibrose Cística - nestogeno</t>
  </si>
  <si>
    <t>30/08/2015</t>
  </si>
  <si>
    <t>Alergia a carne suína</t>
  </si>
  <si>
    <t>Alergia a corante</t>
  </si>
  <si>
    <t>APLV + ovo + gluten + trigo + tomate (bebida de soja)</t>
  </si>
  <si>
    <t>12/09/2014</t>
  </si>
  <si>
    <t>02/07/2015</t>
  </si>
  <si>
    <t>Intolerância à lactose + abacaxi (leite sem lactose)</t>
  </si>
  <si>
    <t>03/04/2013</t>
  </si>
  <si>
    <t>17/11/2012</t>
  </si>
  <si>
    <t>09/11/2013</t>
  </si>
  <si>
    <t>07/09/2015</t>
  </si>
  <si>
    <t>27/07/2013</t>
  </si>
  <si>
    <t>Alergia - corantes + conservantes + uva</t>
  </si>
  <si>
    <t>Alergia - Arthur de Souza</t>
  </si>
  <si>
    <t>11/11/2013</t>
  </si>
  <si>
    <t>Alergia - corantes + peixes + frutos do mar</t>
  </si>
  <si>
    <t>25/08/2013</t>
  </si>
  <si>
    <t>Sobrepeso e Obesidade - hipocalórica</t>
  </si>
  <si>
    <t>16/11/2012</t>
  </si>
  <si>
    <t>22/08/2017</t>
  </si>
  <si>
    <t>Diarreia (nan ou Aptamil sem lactose)</t>
  </si>
  <si>
    <t>01/08/2012</t>
  </si>
  <si>
    <t>APLV + ovo + hipercolesterolemia (suco de fruta)</t>
  </si>
  <si>
    <t>Síndrome Nefrótica - hipossódica + hipogordurosa</t>
  </si>
  <si>
    <t>22/06/2013</t>
  </si>
  <si>
    <t>02/09/2012</t>
  </si>
  <si>
    <t>16/05/2013</t>
  </si>
  <si>
    <t>13/04/2012</t>
  </si>
  <si>
    <t>27/02/2015</t>
  </si>
  <si>
    <t>APLV (Milnutri soja)</t>
  </si>
  <si>
    <t>20/09/2013</t>
  </si>
  <si>
    <t>05/11/2012</t>
  </si>
  <si>
    <t>12/07/2013</t>
  </si>
  <si>
    <t>Refluxo gastroesofágico - leite desnatado</t>
  </si>
  <si>
    <t>27/03/2014</t>
  </si>
  <si>
    <t>Dieta pastosa amassada - fernando sobral</t>
  </si>
  <si>
    <t>06/04/2013</t>
  </si>
  <si>
    <t>24/01/2013</t>
  </si>
  <si>
    <t>Intolerância à lactose (suco de frutas)</t>
  </si>
  <si>
    <t>Alergia a corantes + ovo</t>
  </si>
  <si>
    <t>23/07/2012</t>
  </si>
  <si>
    <t>12/01/2014</t>
  </si>
  <si>
    <t>10/05/2013</t>
  </si>
  <si>
    <t>02/09/2016</t>
  </si>
  <si>
    <t>APLV + ovo + peixe + soja (hidrolisado proteico)</t>
  </si>
  <si>
    <t>22/03/2016</t>
  </si>
  <si>
    <t>29/11/2013</t>
  </si>
  <si>
    <t>12/04/2009</t>
  </si>
  <si>
    <t>21/12/2013</t>
  </si>
  <si>
    <t>Neofobia - Bryan Silva</t>
  </si>
  <si>
    <t>06/10/2013</t>
  </si>
  <si>
    <t>Intolerância à lactose + carne suína (leite sem lactose)</t>
  </si>
  <si>
    <t>22/11/2012</t>
  </si>
  <si>
    <t>Intolerância à lactose + corante + conservante + frutas cítricas (leite sem lactose)</t>
  </si>
  <si>
    <t>05/04/2017</t>
  </si>
  <si>
    <t>Diarreia (nan comfor 3)</t>
  </si>
  <si>
    <t>03/05/2013</t>
  </si>
  <si>
    <t>Alergia a corante + Conservante + ovo (liberado pães, bolos e biscoitos com ovo)</t>
  </si>
  <si>
    <t>31/08/2016</t>
  </si>
  <si>
    <t>17/10/2012</t>
  </si>
  <si>
    <t>01/06/2006</t>
  </si>
  <si>
    <t>11/04/2012</t>
  </si>
  <si>
    <t>Alergia - corantes + chocolate + peixe + carne suína</t>
  </si>
  <si>
    <t>07/04/2016</t>
  </si>
  <si>
    <t>Intolerância À lactose (leite sem lactose)</t>
  </si>
  <si>
    <t>30/04/2013</t>
  </si>
  <si>
    <t>Dieta pastosa liquidificada - Franciane Oliveira Santos</t>
  </si>
  <si>
    <t>01/04/2013</t>
  </si>
  <si>
    <t>Autismo + dislipidemia - Khalel Mohandas</t>
  </si>
  <si>
    <t>16/12/2015</t>
  </si>
  <si>
    <t>04/11/2014</t>
  </si>
  <si>
    <t>Dislipidemia (leite desnatado)</t>
  </si>
  <si>
    <t>07/06/2014</t>
  </si>
  <si>
    <t>27/01/2013</t>
  </si>
  <si>
    <t>Dieta Pastosa amassada - Davi Tenório</t>
  </si>
  <si>
    <t>APLV + corantes + conservantes + enlatados (bebida de arroz ou aveia)</t>
  </si>
  <si>
    <t>07/01/2011</t>
  </si>
  <si>
    <t>17/06/2014</t>
  </si>
  <si>
    <t>Intolerância alimentar = café + carne Suína</t>
  </si>
  <si>
    <t>18/05/2017</t>
  </si>
  <si>
    <t>Intolerância alimentar - leite (milnutri)</t>
  </si>
  <si>
    <t>Sobrepeso e Obesidade - Kauan Guedes</t>
  </si>
  <si>
    <t>23/02/2011</t>
  </si>
  <si>
    <t>Diabetes mellitus + doença celíaca</t>
  </si>
  <si>
    <t>21/06/2017</t>
  </si>
  <si>
    <t>Alergia a corantes</t>
  </si>
  <si>
    <t>22/09/2011</t>
  </si>
  <si>
    <t>16/12/2013</t>
  </si>
  <si>
    <t>30/03/2016</t>
  </si>
  <si>
    <t>APLV (bebida de soja) - pães, bolos e biscoitos liberados</t>
  </si>
  <si>
    <t>Dieta pastosa - Kethellyn Lacerda</t>
  </si>
  <si>
    <t>27/06/2014</t>
  </si>
  <si>
    <t>Dieta pastosa - Kaleby de Melo</t>
  </si>
  <si>
    <t>Síndrome Nefrótica - hipóssódica</t>
  </si>
  <si>
    <t>17/01/2014</t>
  </si>
  <si>
    <t>11/08/2010</t>
  </si>
  <si>
    <t>Autismo - Carlos Eduardo Morais</t>
  </si>
  <si>
    <t>13/02/2017</t>
  </si>
  <si>
    <t>Constipação intestinal - Ana Beatriz Rodrigues Uchoa</t>
  </si>
  <si>
    <t>20/07/2014</t>
  </si>
  <si>
    <t>15/01/2014</t>
  </si>
  <si>
    <t>09/05/2016</t>
  </si>
  <si>
    <t>24/04/2017</t>
  </si>
  <si>
    <t>Diarreia (leite sem lactose ou bebida de soja)</t>
  </si>
  <si>
    <t>14/05/2007</t>
  </si>
  <si>
    <t>Alergia a corantes + conservantes + chocolate + peixe + frutos do mar</t>
  </si>
  <si>
    <t>APLV + soja (bebida de amêndoas)</t>
  </si>
  <si>
    <t>28/05/2017</t>
  </si>
  <si>
    <t>Refluxo gastroesofágico - Rapahael Alves dos Santos Reis</t>
  </si>
  <si>
    <t>01/06/2016</t>
  </si>
  <si>
    <t>01/12/2015</t>
  </si>
  <si>
    <t>APLV + corantes + embutidos + enlatados + carne suína + peixes e frutos do mar (suco de fruta)</t>
  </si>
  <si>
    <t>06/03/2017</t>
  </si>
  <si>
    <t>Intolerância à lactose (Aptamil Soja 2)</t>
  </si>
  <si>
    <t>25/01/2014</t>
  </si>
  <si>
    <t>Alergia a corantes + conservantes</t>
  </si>
  <si>
    <t>12/06/2015</t>
  </si>
  <si>
    <t>Alergias a corante + soja</t>
  </si>
  <si>
    <t>06/03/2014</t>
  </si>
  <si>
    <t>13/12/2013</t>
  </si>
  <si>
    <t>07/01/2018</t>
  </si>
  <si>
    <t>APLV (fórmula de soja - julio cezar cotrin</t>
  </si>
  <si>
    <t>22/04/2013</t>
  </si>
  <si>
    <t>Dieta pastosa amassada - Mayra Angelo</t>
  </si>
  <si>
    <t>01/01/2011</t>
  </si>
  <si>
    <t>25/07/2012</t>
  </si>
  <si>
    <t>08/12/2013</t>
  </si>
  <si>
    <t>Síndrome Nefrótica - Gabriel Bezerra</t>
  </si>
  <si>
    <t>KLEBER LUCAS SANTOS DA SILVA</t>
  </si>
  <si>
    <t>20/03/2013</t>
  </si>
  <si>
    <t>ARTHUR ARAUJO SILVA</t>
  </si>
  <si>
    <t>14/05/2013</t>
  </si>
  <si>
    <t>Constipação Intestinal - sem leite (suco de fruta)</t>
  </si>
  <si>
    <t>FELIPE DA SILVA BISPO</t>
  </si>
  <si>
    <t>11/11/2010</t>
  </si>
  <si>
    <t>LIVIA RODRIGUES DOURADO</t>
  </si>
  <si>
    <t>27/06/2016</t>
  </si>
  <si>
    <t>THIAGO AMERICO RODRIGUES DA SILVA</t>
  </si>
  <si>
    <t>25/09/2011</t>
  </si>
  <si>
    <t>MATHEUS ARAUJO DOS SANTOS</t>
  </si>
  <si>
    <t>APLV (Pregomin)</t>
  </si>
  <si>
    <t>JOYCE MAYRA DA SILVA LIRA</t>
  </si>
  <si>
    <t>Constipação/Obstipação Intestinal; Alergia a Corantes</t>
  </si>
  <si>
    <t>Alergia - corantes + constipação intestinal</t>
  </si>
  <si>
    <t>WESLEY BARBOSA DOS SANTOS</t>
  </si>
  <si>
    <t>30/05/2010</t>
  </si>
  <si>
    <t>GUSTAVO HENRIQUE SANTOS VIEIRA</t>
  </si>
  <si>
    <t>19/06/2015</t>
  </si>
  <si>
    <t>BRUNO SILVA DOS SANTOS</t>
  </si>
  <si>
    <t>21/10/2015</t>
  </si>
  <si>
    <t>Mastocitose</t>
  </si>
  <si>
    <t>Mastocitose - Bruno Silva</t>
  </si>
  <si>
    <t>03/11/2014</t>
  </si>
  <si>
    <t>Intolerância à lactose (suco de fruta prescrito)</t>
  </si>
  <si>
    <t>14/07/2017</t>
  </si>
  <si>
    <t>Constipação/Obstipação Intestinal; Alergia a Hortifruti - Repolho</t>
  </si>
  <si>
    <t>Constipação intestinal (nan comfor) + intolerância alimentar repolho</t>
  </si>
  <si>
    <t>MARIANA PEREIRA BREVE</t>
  </si>
  <si>
    <t>14/04/2016</t>
  </si>
  <si>
    <t>GUILLHERME OLIVEIRA SANTOS LOURENCO</t>
  </si>
  <si>
    <t>10/12/2013</t>
  </si>
  <si>
    <t>MARIA JULIA MARTINS VIANA</t>
  </si>
  <si>
    <t>14/11/2017</t>
  </si>
  <si>
    <t>APLV (neocate)</t>
  </si>
  <si>
    <t>LUIS MIGUEL MARTINS VIANA</t>
  </si>
  <si>
    <t>06/12/2015</t>
  </si>
  <si>
    <t>BRUNO AMARAL DE MELO</t>
  </si>
  <si>
    <t>18/09/2007</t>
  </si>
  <si>
    <t>MANUELA ARAUJO MELO SOUSA</t>
  </si>
  <si>
    <t>14/01/2017</t>
  </si>
  <si>
    <t>JOAO VICTOR MARINHO SILVA COSTA</t>
  </si>
  <si>
    <t>22/09/2016</t>
  </si>
  <si>
    <t>Doença Renaç - João Victor Marinho</t>
  </si>
  <si>
    <t>EMILLY SOPHIA DA SILVA FIGUEIREDO</t>
  </si>
  <si>
    <t>18/07/2013</t>
  </si>
  <si>
    <t>Alergia a Ovo; Alergia a Corantes; Alergia a Conservantes; Alergia a Carne Suina</t>
  </si>
  <si>
    <t>Alegia a corante + conservante + ovo + carne suina</t>
  </si>
  <si>
    <t>30/07/2014</t>
  </si>
  <si>
    <t>REFLUXO GASTROESOFAGICO (APTAMIL AR OU NAN AR)</t>
  </si>
  <si>
    <t>21/02/2008</t>
  </si>
  <si>
    <t>Intolerância à lactose (leite com baixo teor de lactose ou soja - derivados liberados)</t>
  </si>
  <si>
    <t>18/04/2007</t>
  </si>
  <si>
    <t>alergia alimentar - corantes + embutidos + ovo + condimentos</t>
  </si>
  <si>
    <t>11/03/2008</t>
  </si>
  <si>
    <t>alergia alimentar - corantes</t>
  </si>
  <si>
    <t>16/05/2014</t>
  </si>
  <si>
    <t>09/08/2008</t>
  </si>
  <si>
    <t>Alergia à proteína do leite de vaca (leite a base de proteina isolada de soja)</t>
  </si>
  <si>
    <t>26/06/2006</t>
  </si>
  <si>
    <t>Intolerância à lactose - leite sem lactose</t>
  </si>
  <si>
    <t>14/09/2008</t>
  </si>
  <si>
    <t>22/10/2007</t>
  </si>
  <si>
    <t>Síndrome Nefrótica + hipossódica + hipogordurosa</t>
  </si>
  <si>
    <t>17/11/2007</t>
  </si>
  <si>
    <t>10/07/2007</t>
  </si>
  <si>
    <t>Anemia falciforme</t>
  </si>
  <si>
    <t>13/12/2008</t>
  </si>
  <si>
    <t>Diabetes Mellitus - tipo I</t>
  </si>
  <si>
    <t>17/07/2014</t>
  </si>
  <si>
    <t>30/11/2009</t>
  </si>
  <si>
    <t>15/08/2015</t>
  </si>
  <si>
    <t>Baixo Peso (Nan Confort ou Aptamil)</t>
  </si>
  <si>
    <t>22/08/2008</t>
  </si>
  <si>
    <t>23/04/2008</t>
  </si>
  <si>
    <t>04/08/2011</t>
  </si>
  <si>
    <t>21/07/2011</t>
  </si>
  <si>
    <t>Má absorção de glicose Leon Laudionor da Anunciação</t>
  </si>
  <si>
    <t>26/06/2014</t>
  </si>
  <si>
    <t>27/07/2014</t>
  </si>
  <si>
    <t>Sobrepeso e Obesidade (leite desnatado)</t>
  </si>
  <si>
    <t>15/05/2002</t>
  </si>
  <si>
    <t>Síndrome Nefrótica - Dieta Hipossódica</t>
  </si>
  <si>
    <t>26/07/2008</t>
  </si>
  <si>
    <t>30/05/2005</t>
  </si>
  <si>
    <t>Diabetes Insipidus Nefrogênico (dieta hipossódica)</t>
  </si>
  <si>
    <t>15/06/2009</t>
  </si>
  <si>
    <t>04/11/2015</t>
  </si>
  <si>
    <t>Intolerância alimentar - leite (prescrição leite ninho)</t>
  </si>
  <si>
    <t>18/10/2007</t>
  </si>
  <si>
    <t>Nefrectomia - Loany Santos</t>
  </si>
  <si>
    <t>26/10/2015</t>
  </si>
  <si>
    <t>Constipação intestinal - maçã, goiaba, banana + dobrar verduras + Enfamil 2</t>
  </si>
  <si>
    <t>02/01/2016</t>
  </si>
  <si>
    <t>Alergia a proteina do leite de vaca (prescrição médica Aptamil Soja)</t>
  </si>
  <si>
    <t>Intolerância alimentar - fórmula infantil (indicação Aptamil 3)</t>
  </si>
  <si>
    <t>29/01/2015</t>
  </si>
  <si>
    <t>Alergia à proteína do leite de vaca (neocate)</t>
  </si>
  <si>
    <t>08/08/2004</t>
  </si>
  <si>
    <t>Diabetes Mellitus - contagem de carboidratos</t>
  </si>
  <si>
    <t>30/06/2015</t>
  </si>
  <si>
    <t>Intolerância alimentar - leite (prescrição leite ninho UHT)</t>
  </si>
  <si>
    <t>23/10/2005</t>
  </si>
  <si>
    <t>28/01/2010</t>
  </si>
  <si>
    <t>16/02/2007</t>
  </si>
  <si>
    <t>18/08/2007</t>
  </si>
  <si>
    <t>Síndrome Nefrótica + Dieta Hipossódica</t>
  </si>
  <si>
    <t>03/09/2009</t>
  </si>
  <si>
    <t>Hipercolesterolemia - padrão</t>
  </si>
  <si>
    <t>Intolerância alimentar - fórmula infantil (indicação Aptamil)</t>
  </si>
  <si>
    <t>29/12/2009</t>
  </si>
  <si>
    <t>02/07/2008</t>
  </si>
  <si>
    <t>02/11/2006</t>
  </si>
  <si>
    <t>10/09/2002</t>
  </si>
  <si>
    <t>02/11/2009</t>
  </si>
  <si>
    <t>21/11/2011</t>
  </si>
  <si>
    <t>27/06/2004</t>
  </si>
  <si>
    <t>Intolerância à glicose</t>
  </si>
  <si>
    <t>15/04/2007</t>
  </si>
  <si>
    <t>23/10/2007</t>
  </si>
  <si>
    <t>30/05/2007</t>
  </si>
  <si>
    <t>Alergia alimentar - tomate + abacaxi</t>
  </si>
  <si>
    <t>04/03/2003</t>
  </si>
  <si>
    <t>Alergia a corantes, conservantes, ovo e peixe</t>
  </si>
  <si>
    <t>18/07/2005</t>
  </si>
  <si>
    <t>Alergia a corantes, conservantes e chocolate</t>
  </si>
  <si>
    <t>23/05/2004</t>
  </si>
  <si>
    <t>Alergia a ovo e salsicha</t>
  </si>
  <si>
    <t>26/06/2005</t>
  </si>
  <si>
    <t>14/11/2005</t>
  </si>
  <si>
    <t>Intolerância à lactose ou alergia ao leite de vaca</t>
  </si>
  <si>
    <t>02/12/2006</t>
  </si>
  <si>
    <t>27/03/2008</t>
  </si>
  <si>
    <t>Síndrome Nefrótica + Hipossodica</t>
  </si>
  <si>
    <t>13/12/2006</t>
  </si>
  <si>
    <t>19/05/2006</t>
  </si>
  <si>
    <t>Intolerância e/ou Alergia ao leite de vaca</t>
  </si>
  <si>
    <t>21/11/2005</t>
  </si>
  <si>
    <t>08/05/2004</t>
  </si>
  <si>
    <t>Intolerancia a lactose</t>
  </si>
  <si>
    <t>19/04/2005</t>
  </si>
  <si>
    <t>22/11/2004</t>
  </si>
  <si>
    <t>22/03/2006</t>
  </si>
  <si>
    <t>Sobrepeso e Obesidade - Hipocalorica</t>
  </si>
  <si>
    <t>10/06/2010</t>
  </si>
  <si>
    <t>11/06/2006</t>
  </si>
  <si>
    <t>12/07/2006</t>
  </si>
  <si>
    <t>Alergia alimentar - peixe, frutos do mar, carne suina</t>
  </si>
  <si>
    <t>14/10/2005</t>
  </si>
  <si>
    <t>09/04/2005</t>
  </si>
  <si>
    <t>Alergia alimentar - Salsicha</t>
  </si>
  <si>
    <t>29/10/2003</t>
  </si>
  <si>
    <t>19/11/2006</t>
  </si>
  <si>
    <t>09/06/2011</t>
  </si>
  <si>
    <t>Alergia - ovo (liberado alimentos que contém ovo)</t>
  </si>
  <si>
    <t>24/10/2008</t>
  </si>
  <si>
    <t>Inolerância à lactose (leite sem lactose)</t>
  </si>
  <si>
    <t>02/12/2004</t>
  </si>
  <si>
    <t>Dieta polimérica, normocalorica, normoproteica. Volume da dieta: 200ml a cada 3 horas. Tempo de adm: 1 hora através de equipo e frasco. Adm 60ml de água c/ seringa a cada 1 hora. Dilui 22% do produto a cada 100 ml de água.</t>
  </si>
  <si>
    <t>03/11/2012</t>
  </si>
  <si>
    <t>18/11/2011</t>
  </si>
  <si>
    <t>22/12/2011</t>
  </si>
  <si>
    <t>24/02/2016</t>
  </si>
  <si>
    <t>10/05/2010</t>
  </si>
  <si>
    <t>Intolerância à lactose + doença celíaca (leite sem lactose)</t>
  </si>
  <si>
    <t>28/07/2010</t>
  </si>
  <si>
    <t>Dieta pastosa liquidificada - Richard Leal</t>
  </si>
  <si>
    <t>APLV + ovo + trigo + soja + amendoim + peixe + frutos do mar + banana + beterraba (suco de fruta)</t>
  </si>
  <si>
    <t>01/02/2013</t>
  </si>
  <si>
    <t>Megacolon Congênito - Enzo Gustavo</t>
  </si>
  <si>
    <t>08/01/2013</t>
  </si>
  <si>
    <t>12/08/2012</t>
  </si>
  <si>
    <t>05/12/2010</t>
  </si>
  <si>
    <t>Intolerância à Lactose +  feijão + abobrinha + couve + amendoim + cenoura (leite sem lactose)</t>
  </si>
  <si>
    <t>30/07/2010</t>
  </si>
  <si>
    <t>Síndrome Nefrótica - Gustavo Henrique</t>
  </si>
  <si>
    <t>14/05/2010</t>
  </si>
  <si>
    <t>23/06/2010</t>
  </si>
  <si>
    <t>10/10/2012</t>
  </si>
  <si>
    <t>09/01/2013</t>
  </si>
  <si>
    <t>03/10/2014</t>
  </si>
  <si>
    <t>01/09/2010</t>
  </si>
  <si>
    <t>Autismo - Nicolas Guedes</t>
  </si>
  <si>
    <t>06/11/2010</t>
  </si>
  <si>
    <t>04/11/2012</t>
  </si>
  <si>
    <t>08/03/2013</t>
  </si>
  <si>
    <t>Intolerância alimentar - leite (suco de fruta)</t>
  </si>
  <si>
    <t>27/07/2009</t>
  </si>
  <si>
    <t>05/03/2013</t>
  </si>
  <si>
    <t>17/10/2011</t>
  </si>
  <si>
    <t>Constipação intestinal (bebida de soja)</t>
  </si>
  <si>
    <t>20/09/2010</t>
  </si>
  <si>
    <t>Dieta pastosa - Irandir Fernandes</t>
  </si>
  <si>
    <t>28/08/2010</t>
  </si>
  <si>
    <t>Acidemia metilmalônica - Luiza Pereira</t>
  </si>
  <si>
    <t>02/04/2012</t>
  </si>
  <si>
    <t>17/07/2010</t>
  </si>
  <si>
    <t>14/03/2008</t>
  </si>
  <si>
    <t>Dieta pastosa liquidificada - Guilherme Yuri</t>
  </si>
  <si>
    <t>11/02/2013</t>
  </si>
  <si>
    <t>23/12/2005</t>
  </si>
  <si>
    <t>11/04/2014</t>
  </si>
  <si>
    <t>Intolerância à Lactose (leite sem lactose) - liberado pães, bolos e biscoitos</t>
  </si>
  <si>
    <t>09/12/2012</t>
  </si>
  <si>
    <t>Dieta pastosa liquidificada - Arthur Lucca da Costa</t>
  </si>
  <si>
    <t>Alergia - ovo + chocolate + biscoito</t>
  </si>
  <si>
    <t>20/07/2010</t>
  </si>
  <si>
    <t>APLV + ovo + soja + amendoim (bebida de arroz ou aveia)</t>
  </si>
  <si>
    <t>17/04/2016</t>
  </si>
  <si>
    <t>Constipação intestinal - restrição fórmula infantil (leite integral)</t>
  </si>
  <si>
    <t>10/11/2012</t>
  </si>
  <si>
    <t>24/07/2011</t>
  </si>
  <si>
    <t>Alergia - abacaxi + embutidos</t>
  </si>
  <si>
    <t>25/10/2012</t>
  </si>
  <si>
    <t>28/08/2007</t>
  </si>
  <si>
    <t>02/07/2010</t>
  </si>
  <si>
    <t>26/09/2012</t>
  </si>
  <si>
    <t>29/12/2012</t>
  </si>
  <si>
    <t>01/11/2007</t>
  </si>
  <si>
    <t>29/07/2010</t>
  </si>
  <si>
    <t>Intolerância alimentar - tomate</t>
  </si>
  <si>
    <t>22/11/2016</t>
  </si>
  <si>
    <t>Refluxo gastroesofágico (Aptamil AR)</t>
  </si>
  <si>
    <t>01/07/2012</t>
  </si>
  <si>
    <t>03/05/2006</t>
  </si>
  <si>
    <t>24/11/2010</t>
  </si>
  <si>
    <t>Alergia - corantes + enlatados</t>
  </si>
  <si>
    <t>07/04/2015</t>
  </si>
  <si>
    <t>01/06/2012</t>
  </si>
  <si>
    <t>12/03/2013</t>
  </si>
  <si>
    <t>03/07/2011</t>
  </si>
  <si>
    <t>23/05/2015</t>
  </si>
  <si>
    <t>APLV (Suco de Fruta)</t>
  </si>
  <si>
    <t>21/04/2013</t>
  </si>
  <si>
    <t>APLV (Suco de Frutas) liberado pães, bolos e biscoitos</t>
  </si>
  <si>
    <t>Alergia - carnes + ovos + leite + bebida de soja</t>
  </si>
  <si>
    <t>07/08/2015</t>
  </si>
  <si>
    <t>APLV (Suco de frutas)</t>
  </si>
  <si>
    <t>19/01/2014</t>
  </si>
  <si>
    <t>02/12/2014</t>
  </si>
  <si>
    <t>Intolerância à lactose + constipação (leite sem lactose)</t>
  </si>
  <si>
    <t>05/02/2011</t>
  </si>
  <si>
    <t>Constipação intestinal (leite UHT integral)</t>
  </si>
  <si>
    <t>22/09/2012</t>
  </si>
  <si>
    <t>Alergia - alimentos ácidos</t>
  </si>
  <si>
    <t>Assadura - sem alimentos ácidos</t>
  </si>
  <si>
    <t>06/07/2012</t>
  </si>
  <si>
    <t>15/10/2011</t>
  </si>
  <si>
    <t>23/11/2015</t>
  </si>
  <si>
    <t>23/02/2013</t>
  </si>
  <si>
    <t>20/11/2008</t>
  </si>
  <si>
    <t>08/09/2011</t>
  </si>
  <si>
    <t>09/04/2016</t>
  </si>
  <si>
    <t>Intolerância à lactose (ninho sem lactose)</t>
  </si>
  <si>
    <t>13/07/2012</t>
  </si>
  <si>
    <t>Alergia - corantes e conservantes</t>
  </si>
  <si>
    <t>21/12/2012</t>
  </si>
  <si>
    <t>Litíase Renal - dieta hipossódica</t>
  </si>
  <si>
    <t>18/02/2011</t>
  </si>
  <si>
    <t>12/05/2016</t>
  </si>
  <si>
    <t>10/12/2015</t>
  </si>
  <si>
    <t>26/07/2012</t>
  </si>
  <si>
    <t>28/08/2012</t>
  </si>
  <si>
    <t>Refluxo gastroesofágico - leite com espessante Nutilis</t>
  </si>
  <si>
    <t>08/04/2012</t>
  </si>
  <si>
    <t>05/10/2009</t>
  </si>
  <si>
    <t>11/08/2006</t>
  </si>
  <si>
    <t>Esofagite - Ryan Muller</t>
  </si>
  <si>
    <t>03/06/2016</t>
  </si>
  <si>
    <t>APLV + chocolate (suco de frutas)</t>
  </si>
  <si>
    <t>16/06/2010</t>
  </si>
  <si>
    <t>Dieta pastosa liquidificada - Maria Heloisa 2</t>
  </si>
  <si>
    <t>25/10/2016</t>
  </si>
  <si>
    <t>Alergia - carne suina</t>
  </si>
  <si>
    <t>alergia - carne suina</t>
  </si>
  <si>
    <t>02/06/2014</t>
  </si>
  <si>
    <t>31/05/2012</t>
  </si>
  <si>
    <t>Intolerância Alimentar - leite (neslac comfonr)</t>
  </si>
  <si>
    <t>06/02/2015</t>
  </si>
  <si>
    <t>APLV (Aptamil Pepti)</t>
  </si>
  <si>
    <t>04/04/2015</t>
  </si>
  <si>
    <t>APLV (suco de frutas0</t>
  </si>
  <si>
    <t>09/09/2012</t>
  </si>
  <si>
    <t>Gastrite - sem enlatados e embutidos</t>
  </si>
  <si>
    <t>17/06/2005</t>
  </si>
  <si>
    <t>01/07/2016</t>
  </si>
  <si>
    <t>24/03/2004</t>
  </si>
  <si>
    <t>16/11/2009</t>
  </si>
  <si>
    <t>06/04/2015</t>
  </si>
  <si>
    <t>27/05/2011</t>
  </si>
  <si>
    <t>APLV (bebida de soja) derivados liberadosg</t>
  </si>
  <si>
    <t>30/12/2012</t>
  </si>
  <si>
    <t>Alergia corante + conservante + ovo + oleaginosas - liberados alimentos com ovo</t>
  </si>
  <si>
    <t>13/09/2015</t>
  </si>
  <si>
    <t>APLV + ovo + soja (suco de frutas)</t>
  </si>
  <si>
    <t>05/07/2010</t>
  </si>
  <si>
    <t>Sobrepeso e obesidade - Beatriz Gomes</t>
  </si>
  <si>
    <t>25/03/2013</t>
  </si>
  <si>
    <t>14/05/2009</t>
  </si>
  <si>
    <t>24/03/2013</t>
  </si>
  <si>
    <t>14/05/2012</t>
  </si>
  <si>
    <t>16/06/2012</t>
  </si>
  <si>
    <t>08/08/2012</t>
  </si>
  <si>
    <t>APLV (suco de fruta prescrito)</t>
  </si>
  <si>
    <t>Insuficiência Renal - hipocalêmica</t>
  </si>
  <si>
    <t>14/11/2015</t>
  </si>
  <si>
    <t>10/05/2011</t>
  </si>
  <si>
    <t>APLV (neoforte)</t>
  </si>
  <si>
    <t>27/06/2013</t>
  </si>
  <si>
    <t>APLV - Júlia Santos Lago</t>
  </si>
  <si>
    <t>29/07/2013</t>
  </si>
  <si>
    <t>APLV + ovo + peixe (suco de fruta)</t>
  </si>
  <si>
    <t>31/10/2013</t>
  </si>
  <si>
    <t>13/04/2013</t>
  </si>
  <si>
    <t>23/05/2007</t>
  </si>
  <si>
    <t>01/11/2013</t>
  </si>
  <si>
    <t>20/12/2013</t>
  </si>
  <si>
    <t>24/03/2014</t>
  </si>
  <si>
    <t>Alergia peixe + frutos do mar</t>
  </si>
  <si>
    <t>26/03/2013</t>
  </si>
  <si>
    <t>02/01/2014</t>
  </si>
  <si>
    <t>07/02/2014</t>
  </si>
  <si>
    <t>APLV + refluxo gastroesofágico (bebida de soja)</t>
  </si>
  <si>
    <t>20/08/2012</t>
  </si>
  <si>
    <t>26/06/2011</t>
  </si>
  <si>
    <t>23/12/2013</t>
  </si>
  <si>
    <t>Alergia a ovo + molho de tomate</t>
  </si>
  <si>
    <t>08/06/2017</t>
  </si>
  <si>
    <t>APLV + ovo + carnes (aminoácidos livres)</t>
  </si>
  <si>
    <t>28/03/2014</t>
  </si>
  <si>
    <t>21/07/2013</t>
  </si>
  <si>
    <t>08/07/2013</t>
  </si>
  <si>
    <t>Alerfia a corante e conservante</t>
  </si>
  <si>
    <t>17/12/2013</t>
  </si>
  <si>
    <t>03/09/2013</t>
  </si>
  <si>
    <t>Alergia a salsicha</t>
  </si>
  <si>
    <t>07/01/2012</t>
  </si>
  <si>
    <t>31/03/2013</t>
  </si>
  <si>
    <t>Alergia a banana</t>
  </si>
  <si>
    <t>26/03/2014</t>
  </si>
  <si>
    <t>29/08/2013</t>
  </si>
  <si>
    <t>21/08/2013</t>
  </si>
  <si>
    <t>Intolerância à lactose (leite sem lactose) -derivados liberados</t>
  </si>
  <si>
    <t>26/02/2013</t>
  </si>
  <si>
    <t>08/07/2012</t>
  </si>
  <si>
    <t>16/01/2014</t>
  </si>
  <si>
    <t>06/07/2013</t>
  </si>
  <si>
    <t>Intolerânia à lactose + corante (suco de fruta)</t>
  </si>
  <si>
    <t>APLV + banan (suco de fruta)</t>
  </si>
  <si>
    <t>05/01/2014</t>
  </si>
  <si>
    <t>Estomatite - sem alimentos ácidos</t>
  </si>
  <si>
    <t>04/07/2017</t>
  </si>
  <si>
    <t>25/05/2016</t>
  </si>
  <si>
    <t>Alergia a carne suína + carne bovina</t>
  </si>
  <si>
    <t>Dislipidemia (adoçante e leite desnatado)</t>
  </si>
  <si>
    <t>09/03/2014</t>
  </si>
  <si>
    <t>Alergia - corantes + consevantes + sucos e temperos artificiais + enlatados + embutidos</t>
  </si>
  <si>
    <t>01/04/2017</t>
  </si>
  <si>
    <t>Desnutrição -  Julia Caroline Guedes dos Santos</t>
  </si>
  <si>
    <t>21/11/2016</t>
  </si>
  <si>
    <t>Intolerância alimentar - Ninho</t>
  </si>
  <si>
    <t>14/10/2013</t>
  </si>
  <si>
    <t>11/06/2013</t>
  </si>
  <si>
    <t>15/12/2015</t>
  </si>
  <si>
    <t>12/06/2013</t>
  </si>
  <si>
    <t>13/09/2012</t>
  </si>
  <si>
    <t>14/08/2012</t>
  </si>
  <si>
    <t>27/09/2013</t>
  </si>
  <si>
    <t>17/04/2014</t>
  </si>
  <si>
    <t>11/09/2013</t>
  </si>
  <si>
    <t>APLV (suco de fruta prescrito) - derivados liberados</t>
  </si>
  <si>
    <t>10/09/2013</t>
  </si>
  <si>
    <t>06/12/2016</t>
  </si>
  <si>
    <t>03/08/2017</t>
  </si>
  <si>
    <t>Refluxo gastroesofágico (NAN AR)</t>
  </si>
  <si>
    <t>13/01/2017</t>
  </si>
  <si>
    <t>13/09/2013</t>
  </si>
  <si>
    <t>APLV + soja + ovo + amendoim + castanha do Pará + abacaxi + morango + kiwi (suco de fruta)</t>
  </si>
  <si>
    <t>08/01/2014</t>
  </si>
  <si>
    <t>Alergia - soja</t>
  </si>
  <si>
    <t>27/08/2013</t>
  </si>
  <si>
    <t>24/11/2013</t>
  </si>
  <si>
    <t>Intolerância à lactose 9bebida de siha ou leite sem lactose)</t>
  </si>
  <si>
    <t>04/03/2015</t>
  </si>
  <si>
    <t>04/08/2015</t>
  </si>
  <si>
    <t>29/09/2017</t>
  </si>
  <si>
    <t>APLV (Aptamil Pepti ou Pregomin)</t>
  </si>
  <si>
    <t>13/11/2016</t>
  </si>
  <si>
    <t>Intolerância alimentar - leite (Neslac Supreme)</t>
  </si>
  <si>
    <t>31/08/2017</t>
  </si>
  <si>
    <t>10/11/2013</t>
  </si>
  <si>
    <t>31/08/2013</t>
  </si>
  <si>
    <t>Alergia - ovo + castanhas + amendoim + frutos do mar</t>
  </si>
  <si>
    <t>03/03/2015</t>
  </si>
  <si>
    <t>02/04/2014</t>
  </si>
  <si>
    <t>02/02/2014</t>
  </si>
  <si>
    <t>03/03/2014</t>
  </si>
  <si>
    <t>Intolerancia à lactose (leite sem lactose) - liberado pães, bolos e biscoitos</t>
  </si>
  <si>
    <t>Diabetes Mellitus - leite desnatado</t>
  </si>
  <si>
    <t>29/01/2014</t>
  </si>
  <si>
    <t>Intolerância à lactose + coco (suco de fruta)</t>
  </si>
  <si>
    <t>Intolerância alimentar - leite (nan comfor 3)</t>
  </si>
  <si>
    <t>Alergia - ovo + banana + pêssego + damasco + mamão papaia + castanha portuguesa + kiwi</t>
  </si>
  <si>
    <t>24/02/2014</t>
  </si>
  <si>
    <t>APLV + ovo + gluten + corante (bebida de soja</t>
  </si>
  <si>
    <t>01/01/2014</t>
  </si>
  <si>
    <t>Intolerância à lactose + alergia latex (leite sem lactose)</t>
  </si>
  <si>
    <t>08/08/2009</t>
  </si>
  <si>
    <t>05/06/2013</t>
  </si>
  <si>
    <t>Constipação intestinal - sem leite em pó (leite fluido)</t>
  </si>
  <si>
    <t>01/01/2013</t>
  </si>
  <si>
    <t>Alergia a corantes + chocolate</t>
  </si>
  <si>
    <t>09/11/2012</t>
  </si>
  <si>
    <t>17/05/2013</t>
  </si>
  <si>
    <t>05/12/2011</t>
  </si>
  <si>
    <t>21/05/2013</t>
  </si>
  <si>
    <t>11/05/2007</t>
  </si>
  <si>
    <t>16/07/2016</t>
  </si>
  <si>
    <t>Intolerância alimentar - leite em pó (leite fluido)</t>
  </si>
  <si>
    <t>05/06/2016</t>
  </si>
  <si>
    <t>14/02/2012</t>
  </si>
  <si>
    <t>Doença renal - Ana Clara Moraes Vale</t>
  </si>
  <si>
    <t>30/03/2013</t>
  </si>
  <si>
    <t>26/06/2013</t>
  </si>
  <si>
    <t>22/12/2013</t>
  </si>
  <si>
    <t>11/06/2015</t>
  </si>
  <si>
    <t>01/08/2006</t>
  </si>
  <si>
    <t>27/04/2011</t>
  </si>
  <si>
    <t>APLV + soja + trigo (suco d efruta)</t>
  </si>
  <si>
    <t>01/02/2016</t>
  </si>
  <si>
    <t>Constipação Intestinal - carne vermelha, maçã, goiaba, café</t>
  </si>
  <si>
    <t>Alergia a corantes + frutas ácidas</t>
  </si>
  <si>
    <t>19/04/2012</t>
  </si>
  <si>
    <t>04/02/2015</t>
  </si>
  <si>
    <t>Intolerância alimentar - achocolatado</t>
  </si>
  <si>
    <t>Intolerância à alctose (bebida de soja)</t>
  </si>
  <si>
    <t>30/01/2009</t>
  </si>
  <si>
    <t>Epigastralgia - sem conservante e chocolate</t>
  </si>
  <si>
    <t>19/11/2017</t>
  </si>
  <si>
    <t>Constipação Intestinal (aptamil)</t>
  </si>
  <si>
    <t>16/04/2010</t>
  </si>
  <si>
    <t>06/06/2013</t>
  </si>
  <si>
    <t>Dieta Pastosa amassada - Alice Batista Souza II</t>
  </si>
  <si>
    <t>27/01/2016</t>
  </si>
  <si>
    <t>Intolerâcia à lactose (bebida de soja ou leite sem lactose)</t>
  </si>
  <si>
    <t>06/01/2016</t>
  </si>
  <si>
    <t>12/05/2015</t>
  </si>
  <si>
    <t>Alergia - chocolate + café</t>
  </si>
  <si>
    <t>26/11/2012</t>
  </si>
  <si>
    <t>30/06/2017</t>
  </si>
  <si>
    <t>29/04/2004</t>
  </si>
  <si>
    <t>22/08/2015</t>
  </si>
  <si>
    <t>Intiolerância à lactose (leite sem lactose)</t>
  </si>
  <si>
    <t>30/08/2013</t>
  </si>
  <si>
    <t>Alergia a ovo + coco + amendoim + castanhas (nozes, castanhas, avelã)</t>
  </si>
  <si>
    <t>31/08/2012</t>
  </si>
  <si>
    <t>Alergia  a ovo</t>
  </si>
  <si>
    <t>18/11/2012</t>
  </si>
  <si>
    <t>APLV + soja = gluten (bebida de arroz)</t>
  </si>
  <si>
    <t>29/05/2008</t>
  </si>
  <si>
    <t>Doença renal e intolerância à lactose - Lucas Machado Fernandes</t>
  </si>
  <si>
    <t>06/12/2017</t>
  </si>
  <si>
    <t>APLV (nan soy)</t>
  </si>
  <si>
    <t>HELOA VICTORIA EVANGELISTA ALMEIDA</t>
  </si>
  <si>
    <t>05/03/2011</t>
  </si>
  <si>
    <t>Alergia a corantes + peixe + frutos do mar</t>
  </si>
  <si>
    <t>ANA LUIZA MOREIRA COSTA</t>
  </si>
  <si>
    <t>11/03/2013</t>
  </si>
  <si>
    <t>25/03/2014</t>
  </si>
  <si>
    <t>SOFIA COSTA VIANA</t>
  </si>
  <si>
    <t>DANIEL BUENO LOPES ZORZETTO</t>
  </si>
  <si>
    <t>08/11/2014</t>
  </si>
  <si>
    <t>Dieta pastosa amassada - Daniel Bueno</t>
  </si>
  <si>
    <t>JUAN OLIMPIO DA SILVA</t>
  </si>
  <si>
    <t>24/12/2010</t>
  </si>
  <si>
    <t>Dieta enteral - Juan Olimpio da Silva</t>
  </si>
  <si>
    <t>LINCOLN ALVES BOVO COELHO</t>
  </si>
  <si>
    <t>10/03/2017</t>
  </si>
  <si>
    <t>ISABELLA SPAZIANTE CALHEIROS</t>
  </si>
  <si>
    <t>06/11/2016</t>
  </si>
  <si>
    <t>LUIZ HENRIQUE DA SILVA SALLES</t>
  </si>
  <si>
    <t>12/03/2007</t>
  </si>
  <si>
    <t>MARIA EDUARDA RODRIGUES DE LIRA</t>
  </si>
  <si>
    <t>30/06/2008</t>
  </si>
  <si>
    <t>APLV + hipercolesterolemia (suco de fruta)</t>
  </si>
  <si>
    <t>NICOLAS MACARIO LUZ</t>
  </si>
  <si>
    <t>05/11/2015</t>
  </si>
  <si>
    <t>JULIA DE SANTANA</t>
  </si>
  <si>
    <t>07/04/2012</t>
  </si>
  <si>
    <t>Alergia a corante + chocolate + peixe + carne suina</t>
  </si>
  <si>
    <t>30/07/2017</t>
  </si>
  <si>
    <t>DEBORAH CAMPOS ARANHA</t>
  </si>
  <si>
    <t>27/05/2015</t>
  </si>
  <si>
    <t>Alergia  a abacaxi</t>
  </si>
  <si>
    <t>LUCAS SANTOS DE ALMEIDA</t>
  </si>
  <si>
    <t>27/09/2014</t>
  </si>
  <si>
    <t>Intolerância à Lactose; Alergia a Fruta - Abacaxi</t>
  </si>
  <si>
    <t>Intolerância `lactose + abacaxi (leite sem lactose)</t>
  </si>
  <si>
    <t>NAYRA DOS SANTOS OLIVEIRA FREITAS</t>
  </si>
  <si>
    <t>11/08/2013</t>
  </si>
  <si>
    <t>Dieta enteral - Nayra dos Santos Oliveira</t>
  </si>
  <si>
    <t>BRYAN FERREIRA DA SILVA</t>
  </si>
  <si>
    <t>Diarreia ( leite sem lactose)</t>
  </si>
  <si>
    <t>ISAAC CAMPOS PETRELLIO</t>
  </si>
  <si>
    <t>11/09/2017</t>
  </si>
  <si>
    <t>Alergia a abacaxi</t>
  </si>
  <si>
    <t>LUANA GOMES DA SILVA</t>
  </si>
  <si>
    <t>FELIPE LUIS FERNANDES PEREIRA</t>
  </si>
  <si>
    <t>28/08/2017</t>
  </si>
  <si>
    <t>Dieta pastosa liquidificada - Felipe Luis Fernandes</t>
  </si>
  <si>
    <t>CAIO ORMENI FRANCO LIMA</t>
  </si>
  <si>
    <t>07/11/2014</t>
  </si>
  <si>
    <t>Doença renal - hipossódica</t>
  </si>
  <si>
    <t>02/05/2014</t>
  </si>
  <si>
    <t>05/06/2014</t>
  </si>
  <si>
    <t>02/09/2008</t>
  </si>
  <si>
    <t>sobrepeso e obesidade + hipercolesterolemia (leite desnatado)</t>
  </si>
  <si>
    <t>29/02/2012</t>
  </si>
  <si>
    <t>Intolerância à lactose (leite sem lactose e derivados liberados com moderação)</t>
  </si>
  <si>
    <t>29/07/2007</t>
  </si>
  <si>
    <t>Diabetes Mellitus (sucralose ou stevia)</t>
  </si>
  <si>
    <t>10/08/2008</t>
  </si>
  <si>
    <t>hipercolesterolemia</t>
  </si>
  <si>
    <t>Hipercolesterolemia + Hiperglicemia</t>
  </si>
  <si>
    <t>Constipação intestinal (leite fluido) + restrição de leite em pó</t>
  </si>
  <si>
    <t>23/01/2004</t>
  </si>
  <si>
    <t>02/04/2004</t>
  </si>
  <si>
    <t>30/08/2006</t>
  </si>
  <si>
    <t>Baixo Peso - evitar doces</t>
  </si>
  <si>
    <t>10/12/2006</t>
  </si>
  <si>
    <t>Alergia à proteína do leite de vaca (alimento a base de soja) + milho</t>
  </si>
  <si>
    <t>27/12/2007</t>
  </si>
  <si>
    <t>11/09/2006</t>
  </si>
  <si>
    <t>31/08/2006</t>
  </si>
  <si>
    <t>03/11/2008</t>
  </si>
  <si>
    <t>Intolerância à lactose (leite sem lactose ou soja)</t>
  </si>
  <si>
    <t>16/01/2009</t>
  </si>
  <si>
    <t>23/01/2014</t>
  </si>
  <si>
    <t>13/01/2014</t>
  </si>
  <si>
    <t>04/09/2012</t>
  </si>
  <si>
    <t>24/07/2006</t>
  </si>
  <si>
    <t>12/06/2008</t>
  </si>
  <si>
    <t>29/07/2004</t>
  </si>
  <si>
    <t>Diabetes Mellitus (hipogordurosa)</t>
  </si>
  <si>
    <t>02/10/2008</t>
  </si>
  <si>
    <t>26/05/2014</t>
  </si>
  <si>
    <t>Alergia à proteína do leite de vaca (alimento a base de soja) + amendoim + nozes + castanhas em geral + coco</t>
  </si>
  <si>
    <t>24/10/2014</t>
  </si>
  <si>
    <t>Alergia a Proteína do Leite de vaca (prescrição médica Neocate LCP) + alergia a ovo + peixe em investigação Alice S. R. Machado</t>
  </si>
  <si>
    <t>25/06/2009</t>
  </si>
  <si>
    <t>26/01/2007</t>
  </si>
  <si>
    <t>Alergia alimentar - corantes + conservantes + temperos artificiais + sucos artificiais + enlatados + embutidos + refrigerantes + salgadinhos</t>
  </si>
  <si>
    <t>18/12/2009</t>
  </si>
  <si>
    <t>Alergia alimentar - corantes + ovo</t>
  </si>
  <si>
    <t>19/06/2009</t>
  </si>
  <si>
    <t>Alergia alimentar - leite de vaca + castanhas + intolerância ao glúten (alimento a base de soja)</t>
  </si>
  <si>
    <t>16/03/2012</t>
  </si>
  <si>
    <t>27/08/2009</t>
  </si>
  <si>
    <t>11/05/2008</t>
  </si>
  <si>
    <t>18/01/2006</t>
  </si>
  <si>
    <t>Alergia a proteina do leite de vaca + ovo (alimento a base de soja)</t>
  </si>
  <si>
    <t>11/06/2009</t>
  </si>
  <si>
    <t>Hipercolesterolemia + Hipertrigliceridemia</t>
  </si>
  <si>
    <t>13/08/2011</t>
  </si>
  <si>
    <t>Alergia alimentar - chocolate, peixe e frutos do mar</t>
  </si>
  <si>
    <t>Autismo - intolerância ao gluten</t>
  </si>
  <si>
    <t>13/05/2009</t>
  </si>
  <si>
    <t>20/10/2014</t>
  </si>
  <si>
    <t>Alergia alimentar - ovo e citricos</t>
  </si>
  <si>
    <t>24/10/2009</t>
  </si>
  <si>
    <t>30/10/2008</t>
  </si>
  <si>
    <t>Dieta pastosa liquidificada - Elias Junior Cabral de souza</t>
  </si>
  <si>
    <t>22/04/2009</t>
  </si>
  <si>
    <t>18/05/2007</t>
  </si>
  <si>
    <t>hipercolesterolemia - leite desnatado</t>
  </si>
  <si>
    <t>11/02/2004</t>
  </si>
  <si>
    <t>DIABETES MELLITUS TIPO 1</t>
  </si>
  <si>
    <t>18/02/2012</t>
  </si>
  <si>
    <t>DISLIPIDEMIA (SUCRALOSE OU STÉVIA)</t>
  </si>
  <si>
    <t>13/12/2009</t>
  </si>
  <si>
    <t>DISLIPIDEMIA</t>
  </si>
  <si>
    <t>09/04/2014</t>
  </si>
  <si>
    <t>DOENÇA CELÍACA</t>
  </si>
  <si>
    <t>12/09/2015</t>
  </si>
  <si>
    <t>REFLUXO GASTROESOFÁGICO - NAN COMFOR</t>
  </si>
  <si>
    <t>08/04/2009</t>
  </si>
  <si>
    <t>ALERGIA A PROTEÍNA DO LEITE DE VACA ( ALIMENTO A BASE DE SOJA)</t>
  </si>
  <si>
    <t>09/06/2005</t>
  </si>
  <si>
    <t>Sobrepeso e obesidade + resistência à insulina</t>
  </si>
  <si>
    <t>Alergia alimentar - leite de vaca + ovo + glúten (alimento a base de soja)</t>
  </si>
  <si>
    <t>10/07/2009</t>
  </si>
  <si>
    <t>Disfagia e Sobrepeso e Obesidade</t>
  </si>
  <si>
    <t>04/06/2012</t>
  </si>
  <si>
    <t>Alergia alimentar - corantes + conservantes + salsicha + feijão preto</t>
  </si>
  <si>
    <t>04/02/2008</t>
  </si>
  <si>
    <t>23/04/2015</t>
  </si>
  <si>
    <t>14/03/2012</t>
  </si>
  <si>
    <t>16/08/2014</t>
  </si>
  <si>
    <t>03/08/2014</t>
  </si>
  <si>
    <t>Intolerância alimentar - feijão preto</t>
  </si>
  <si>
    <t>16/04/2014</t>
  </si>
  <si>
    <t>Intolerância à lactose (Milnutri soja)</t>
  </si>
  <si>
    <t>31/05/2007</t>
  </si>
  <si>
    <t>Alergia alimentar - soja</t>
  </si>
  <si>
    <t>17/11/2003</t>
  </si>
  <si>
    <t>Constipação intestinal - (prescrição médica Milnutri)</t>
  </si>
  <si>
    <t>Língua Geográfica</t>
  </si>
  <si>
    <t>22/05/2015</t>
  </si>
  <si>
    <t>12/06/2014</t>
  </si>
  <si>
    <t>Alergia alimentar - mamão</t>
  </si>
  <si>
    <t>03/10/2007</t>
  </si>
  <si>
    <t>Dieta enteral via gastrostomia a cada 3 horas. Dieta industrializada normocalórica, normoproteica, normoglicidica, normolipidica, 300mL por horário, além de irrigação adequada via sonda, com passagem de 40mL de água. Filtrada após cada adm [...]</t>
  </si>
  <si>
    <t>01/09/2008</t>
  </si>
  <si>
    <t>Alergia alimentar a corantes, morango e chocolate</t>
  </si>
  <si>
    <t>27/09/2011</t>
  </si>
  <si>
    <t>Hipercolesterolemia + litíase renal</t>
  </si>
  <si>
    <t>23/02/2005</t>
  </si>
  <si>
    <t>04/04/2009</t>
  </si>
  <si>
    <t>Sobrepeso e obesidade - sem gordura e sem açúcar</t>
  </si>
  <si>
    <t>10/02/2015</t>
  </si>
  <si>
    <t>Constipação intestinal (prescrição médica - Neslac)</t>
  </si>
  <si>
    <t>06/11/2009</t>
  </si>
  <si>
    <t>Dieta pastosa e liquidificada - Isabel Aparecida Lopes</t>
  </si>
  <si>
    <t>24/05/2007</t>
  </si>
  <si>
    <t>17/05/2007</t>
  </si>
  <si>
    <t>08/10/2008</t>
  </si>
  <si>
    <t>Dieta pastosa amassada - Ana Clara da Cruz Penteado</t>
  </si>
  <si>
    <t>Dieta pastosa (água saborizada) + constipação + refluxo - Murillo dos Santos Morais</t>
  </si>
  <si>
    <t>22/12/2005</t>
  </si>
  <si>
    <t>Hipercolesterolemia + hipotireoidismo - indicação dieta hipolipidica</t>
  </si>
  <si>
    <t>04/11/2003</t>
  </si>
  <si>
    <t>05/07/2003</t>
  </si>
  <si>
    <t>02/03/1999</t>
  </si>
  <si>
    <t>20/09/2004</t>
  </si>
  <si>
    <t>Litíase renal - corantes + alimentos ácidos + enlatados</t>
  </si>
  <si>
    <t>Autismo - sem gluten e leite</t>
  </si>
  <si>
    <t>07/12/2004</t>
  </si>
  <si>
    <t>Reação adversa a corantes</t>
  </si>
  <si>
    <t>09/10/2004</t>
  </si>
  <si>
    <t>25/04/2005</t>
  </si>
  <si>
    <t>Alergia a leite de vaca</t>
  </si>
  <si>
    <t>20/10/2005</t>
  </si>
  <si>
    <t>22/06/2005</t>
  </si>
  <si>
    <t>30/03/2006</t>
  </si>
  <si>
    <t>Dieta Pastosa - Liquidos Espessados</t>
  </si>
  <si>
    <t>23/09/2013</t>
  </si>
  <si>
    <t>18/07/2007</t>
  </si>
  <si>
    <t>Dieta Pastosa Homogenea - Liquidificada - Matheus de Souza Batista</t>
  </si>
  <si>
    <t>12/10/2007</t>
  </si>
  <si>
    <t>Dislipidemia com azeite - Isabella Gomes de Almeida</t>
  </si>
  <si>
    <t>05/08/2007</t>
  </si>
  <si>
    <t>02/01/2006</t>
  </si>
  <si>
    <t>07/01/2007</t>
  </si>
  <si>
    <t>16/02/2003</t>
  </si>
  <si>
    <t>DIETA ENTERAL - SUCO DE LARANJA INTEGRAL PASTEURIZADO + YAKULT 40</t>
  </si>
  <si>
    <t>10/12/2004</t>
  </si>
  <si>
    <t>Alergia alimentar a corantes + conservantes + chocolate</t>
  </si>
  <si>
    <t>28/06/2006</t>
  </si>
  <si>
    <t>Dieta enteral industrializada - Hipercalórica e hiperprotéica - 500 ml a cada 3 horas</t>
  </si>
  <si>
    <t>07/07/2007</t>
  </si>
  <si>
    <t>Litíase Renal + Alimentos ácidos (exceto laranja e limão) + Chocolate</t>
  </si>
  <si>
    <t>20/07/2003</t>
  </si>
  <si>
    <t>07/02/2004</t>
  </si>
  <si>
    <t>Dieta hipossódica</t>
  </si>
  <si>
    <t>18/08/2003</t>
  </si>
  <si>
    <t>05/11/2006</t>
  </si>
  <si>
    <t>30/09/2011</t>
  </si>
  <si>
    <t>06/02/2009</t>
  </si>
  <si>
    <t>Dieta enteral - Gabriel Souza Fragoso</t>
  </si>
  <si>
    <t>21/06/2007</t>
  </si>
  <si>
    <t>Intolerãncia à lactose (leite sem lactose)</t>
  </si>
  <si>
    <t>12/05/2010</t>
  </si>
  <si>
    <t>Alerdia - corantes + conservantes + embutidos</t>
  </si>
  <si>
    <t>Língua geográfica</t>
  </si>
  <si>
    <t>31/01/2013</t>
  </si>
  <si>
    <t>Intoleância à lactose (suco de fruta)</t>
  </si>
  <si>
    <t>APLV (hidrolisado proteíco)</t>
  </si>
  <si>
    <t>03/12/2012</t>
  </si>
  <si>
    <t>13/09/2014</t>
  </si>
  <si>
    <t>Intolerância alimetar - leite integral (leite desnatado ou semidesnatado)</t>
  </si>
  <si>
    <t>16/01/2013</t>
  </si>
  <si>
    <t>08/09/2010</t>
  </si>
  <si>
    <t>Alergias - Manuela Pesseti 
(Alergia amendoim, avelã, castanha do para, castanha de caju, coco, corante, conservante, trigo, ovo)</t>
  </si>
  <si>
    <t>18/02/2013</t>
  </si>
  <si>
    <t>APLV + corante + peixe (suco de frutas)</t>
  </si>
  <si>
    <t>21/11/2012</t>
  </si>
  <si>
    <t>APLV + ovo + trigo + soja + peixe (suco de fruta prescrito)</t>
  </si>
  <si>
    <t>11/05/2012</t>
  </si>
  <si>
    <t>25/11/2010</t>
  </si>
  <si>
    <t>22/01/2011</t>
  </si>
  <si>
    <t>08/06/2015</t>
  </si>
  <si>
    <t>Refluxo gastroesofágico</t>
  </si>
  <si>
    <t>26/01/2013</t>
  </si>
  <si>
    <t>Dislipidemia + anemia</t>
  </si>
  <si>
    <t>06/01/2014</t>
  </si>
  <si>
    <t>24/10/2012</t>
  </si>
  <si>
    <t>Intolerância alimentar - soja</t>
  </si>
  <si>
    <t>18/06/2012</t>
  </si>
  <si>
    <t>Enxaqueca - Melissa Silva Belchior dos Santos</t>
  </si>
  <si>
    <t>09/06/2014</t>
  </si>
  <si>
    <t>Alergia - corantes + salsicha + sucos artificiais</t>
  </si>
  <si>
    <t>06/06/2012</t>
  </si>
  <si>
    <t>Dieta Enteral - Manoela Aparecida Vitoria</t>
  </si>
  <si>
    <t>22/02/2013</t>
  </si>
  <si>
    <t>19/01/2013</t>
  </si>
  <si>
    <t>Transplante cardíaco - sem probióticos</t>
  </si>
  <si>
    <t>31/05/2006</t>
  </si>
  <si>
    <t>15/02/2011</t>
  </si>
  <si>
    <t>25/07/2013</t>
  </si>
  <si>
    <t>25/04/2014</t>
  </si>
  <si>
    <t>07/03/2006</t>
  </si>
  <si>
    <t>18/05/2008</t>
  </si>
  <si>
    <t>02/03/2008</t>
  </si>
  <si>
    <t>03/02/2011</t>
  </si>
  <si>
    <t>24/09/2010</t>
  </si>
  <si>
    <t>25/05/2012</t>
  </si>
  <si>
    <t>05/08/2016</t>
  </si>
  <si>
    <t>06/08/2010</t>
  </si>
  <si>
    <t>03/03/2003</t>
  </si>
  <si>
    <t>Hipertensão arterial - assódica</t>
  </si>
  <si>
    <t>Alergia - embutidos + laranja + bolacha recheada</t>
  </si>
  <si>
    <t>24/09/2014</t>
  </si>
  <si>
    <t>28/10/2004</t>
  </si>
  <si>
    <t>05/12/2012</t>
  </si>
  <si>
    <t>Infecção urinária - Isabelly Virginio</t>
  </si>
  <si>
    <t>07/10/2016</t>
  </si>
  <si>
    <t>Prematuridade - Aptamil 2</t>
  </si>
  <si>
    <t>Acidose Tubular - Samuel de Albuquerque</t>
  </si>
  <si>
    <t>19/06/2014</t>
  </si>
  <si>
    <t>29/10/2010</t>
  </si>
  <si>
    <t>18/01/2008</t>
  </si>
  <si>
    <t>Intolerância à Lactose + Doença Celíaca (leite sem lactose)</t>
  </si>
  <si>
    <t>13/10/2009</t>
  </si>
  <si>
    <t>Dieta pastosa liquidificada - Pedro Soares</t>
  </si>
  <si>
    <t>16/07/2012</t>
  </si>
  <si>
    <t>Dermatite atópica - sem corantes</t>
  </si>
  <si>
    <t>01/05/2009</t>
  </si>
  <si>
    <t>01/10/2012</t>
  </si>
  <si>
    <t>12/06/2012</t>
  </si>
  <si>
    <t>14/09/2010</t>
  </si>
  <si>
    <t>Dieta Pastosa Liquidificada - Daniel Silva Santos</t>
  </si>
  <si>
    <t>16/05/2003</t>
  </si>
  <si>
    <t>Dieta pastosa amssada -Fernanda Vitória</t>
  </si>
  <si>
    <t>14/07/2009</t>
  </si>
  <si>
    <t>Dieta Pastosa Amassada - Amanda Campos</t>
  </si>
  <si>
    <t>Constipação intestinal - goiaba e maçã</t>
  </si>
  <si>
    <t>05/06/2009</t>
  </si>
  <si>
    <t>09/09/2009</t>
  </si>
  <si>
    <t>11/11/2015</t>
  </si>
  <si>
    <t>24/10/2005</t>
  </si>
  <si>
    <t>22/02/2006</t>
  </si>
  <si>
    <t>Sobrepeso e obesidade - hipocalórica sem adoçante</t>
  </si>
  <si>
    <t>03/08/2016</t>
  </si>
  <si>
    <t>Refluxo Gastroesofágico (Ninho 1+)</t>
  </si>
  <si>
    <t>01/03/2013</t>
  </si>
  <si>
    <t>07/08/2014</t>
  </si>
  <si>
    <t>19/05/2016</t>
  </si>
  <si>
    <t>24/08/2015</t>
  </si>
  <si>
    <t>Língua Geográfica - sem ácidos quando está em crise</t>
  </si>
  <si>
    <t>11/06/2014</t>
  </si>
  <si>
    <t>03/09/2014</t>
  </si>
  <si>
    <t>11/03/2010</t>
  </si>
  <si>
    <t>28/06/2009</t>
  </si>
  <si>
    <t>21/01/2004</t>
  </si>
  <si>
    <t>08/06/2007</t>
  </si>
  <si>
    <t>Alergia Maracujá</t>
  </si>
  <si>
    <t>Alergia alimentos ácidos</t>
  </si>
  <si>
    <t>24/08/2004</t>
  </si>
  <si>
    <t>16/02/2016</t>
  </si>
  <si>
    <t>13/10/2014</t>
  </si>
  <si>
    <t>04/08/2012</t>
  </si>
  <si>
    <t>09/04/2010</t>
  </si>
  <si>
    <t>29/10/2016</t>
  </si>
  <si>
    <t>Anemia (Aptamil)</t>
  </si>
  <si>
    <t>04/02/2011</t>
  </si>
  <si>
    <t>APLV + ovo + corantes + soja (suco de fruta)</t>
  </si>
  <si>
    <t>06/04/2008</t>
  </si>
  <si>
    <t>02/12/2015</t>
  </si>
  <si>
    <t>Intolerância alimentar fórmula (Aptamil)</t>
  </si>
  <si>
    <t>09/02/2017</t>
  </si>
  <si>
    <t>Refluxo Gastroesofágico (Aptamil AR)</t>
  </si>
  <si>
    <t>05/01/2012</t>
  </si>
  <si>
    <t>Hipercolesterolemia - Rafael William D. de Carvalho</t>
  </si>
  <si>
    <t>25/04/2012</t>
  </si>
  <si>
    <t>Dieta Pastosa liquidificada + Aciduria Glutárica - Lorena Barbosa Jardim</t>
  </si>
  <si>
    <t>26/04/2016</t>
  </si>
  <si>
    <t>16/10/2015</t>
  </si>
  <si>
    <t>Diarreia (leite sem lactose)</t>
  </si>
  <si>
    <t>16/03/2011</t>
  </si>
  <si>
    <t>25/08/2009</t>
  </si>
  <si>
    <t>08/05/2011</t>
  </si>
  <si>
    <t>19/02/2013</t>
  </si>
  <si>
    <t>03/12/2008</t>
  </si>
  <si>
    <t>10/01/2013</t>
  </si>
  <si>
    <t>Dieta pastosa amassada - Sophia Aparecida</t>
  </si>
  <si>
    <t>APLV (milnutri soja)</t>
  </si>
  <si>
    <t>14/10/2009</t>
  </si>
  <si>
    <t>Dieta Pastosa e Liquidificadam - Hudson Rocha</t>
  </si>
  <si>
    <t>Alergia - corante + chocolate + amendoim + peixe</t>
  </si>
  <si>
    <t>13/07/2010</t>
  </si>
  <si>
    <t>Sobrepeso e Obesidade -hipossódica</t>
  </si>
  <si>
    <t>APLV + ovo + glúten + trigo (bebida de soja)</t>
  </si>
  <si>
    <t>09/06/2016</t>
  </si>
  <si>
    <t>09/12/2007</t>
  </si>
  <si>
    <t>Dieta pastosa - Sophia Gonçalves</t>
  </si>
  <si>
    <t>04/07/2007</t>
  </si>
  <si>
    <t>Dor Abdominal - leite sem lactose</t>
  </si>
  <si>
    <t>21/07/2010</t>
  </si>
  <si>
    <t>Glicogenose - Wallas de Carvalho</t>
  </si>
  <si>
    <t>13/03/2014</t>
  </si>
  <si>
    <t>Constipação Intestinal (leite UHT integral)</t>
  </si>
  <si>
    <t>03/02/2006</t>
  </si>
  <si>
    <t>31/07/2005</t>
  </si>
  <si>
    <t>08/09/2013</t>
  </si>
  <si>
    <t>APLV + Intolerância à lactose + Alergia a ovo (suco de fruta)</t>
  </si>
  <si>
    <t>05/04/2014</t>
  </si>
  <si>
    <t>Hipercolesterolemia e Intolerância a chocolate</t>
  </si>
  <si>
    <t>24/12/2014</t>
  </si>
  <si>
    <t>Dieta enteral - Marcos da Silva Ferreira</t>
  </si>
  <si>
    <t>19/12/2011</t>
  </si>
  <si>
    <t>Baixo peso (Aptamil 3)</t>
  </si>
  <si>
    <t>19/04/2016</t>
  </si>
  <si>
    <t>APLV +ovo (suco de fruta)</t>
  </si>
  <si>
    <t>04/09/2009</t>
  </si>
  <si>
    <t>Dieta pastosa liquidificada - Angelina Vitória</t>
  </si>
  <si>
    <t>Constipação Intestinal (bebida de soja)</t>
  </si>
  <si>
    <t>04/07/2013</t>
  </si>
  <si>
    <t>17/02/2012</t>
  </si>
  <si>
    <t>20/05/2012</t>
  </si>
  <si>
    <t>13/01/2013</t>
  </si>
  <si>
    <t>22/10/2013</t>
  </si>
  <si>
    <t>07/10/2013</t>
  </si>
  <si>
    <t>08/09/2015</t>
  </si>
  <si>
    <t>Esofagite - sem leite + ovo + trigo + soja + oleaginosas + frutos do mar (fórmula extesamente hidrolisada)</t>
  </si>
  <si>
    <t>10/05/2014</t>
  </si>
  <si>
    <t>Intolerância alimentar - chocolate + café</t>
  </si>
  <si>
    <t>31/05/2014</t>
  </si>
  <si>
    <t>12/02/2014</t>
  </si>
  <si>
    <t>26/10/2013</t>
  </si>
  <si>
    <t>Alergia a carnes</t>
  </si>
  <si>
    <t>Intolerância à lactose (suco de fruras)</t>
  </si>
  <si>
    <t>25/12/2013</t>
  </si>
  <si>
    <t>APLV + ovo + carne bovina (bebida de soja)</t>
  </si>
  <si>
    <t>12/05/2011</t>
  </si>
  <si>
    <t>09/09/2014</t>
  </si>
  <si>
    <t>Dieta pastosa liquidificada - Carlos Eduardo Novais</t>
  </si>
  <si>
    <t>Intolerância alimentar - fórmula infantil (nan 3)</t>
  </si>
  <si>
    <t>01/02/2012</t>
  </si>
  <si>
    <t>03/07/2017</t>
  </si>
  <si>
    <t>APLV (hidrolisado proteico)</t>
  </si>
  <si>
    <t>APLV + ovo + gluten + trigo (bebida de soja)</t>
  </si>
  <si>
    <t>25/02/2013</t>
  </si>
  <si>
    <t>APLV + soja + tomate + amendoim (suco de fruta)</t>
  </si>
  <si>
    <t>APLV + ovo + gluten + amenodim (bebida de soja)</t>
  </si>
  <si>
    <t>26/05/2013</t>
  </si>
  <si>
    <t>APLV + soja + oleaginosas (bebida de arroz ou aveia)</t>
  </si>
  <si>
    <t>23/06/2013</t>
  </si>
  <si>
    <t>06/08/2017</t>
  </si>
  <si>
    <t>07/07/2017</t>
  </si>
  <si>
    <t>Constipação Intestinal - maçã,banana, goiaba</t>
  </si>
  <si>
    <t>05/05/2016</t>
  </si>
  <si>
    <t>Alergia a Alimentos ácidos</t>
  </si>
  <si>
    <t>07/05/2017</t>
  </si>
  <si>
    <t>APLV ( Aptamil soja)</t>
  </si>
  <si>
    <t>08/06/2013</t>
  </si>
  <si>
    <t>05/07/2013</t>
  </si>
  <si>
    <t>18/04/2013</t>
  </si>
  <si>
    <t>Intolerância alimentar - leite (Aptamil 2)</t>
  </si>
  <si>
    <t>Alergia a corante + chocolate + molho de tomate</t>
  </si>
  <si>
    <t>04/10/2014</t>
  </si>
  <si>
    <t>18/09/2014</t>
  </si>
  <si>
    <t>Refluxo gastroesofágico (aptamil ar com mucilon)</t>
  </si>
  <si>
    <t>APLV + ovo + gluten + frutos do mar (suco de frutas)</t>
  </si>
  <si>
    <t>30/01/2012</t>
  </si>
  <si>
    <t>Dieta pastosa - Yuri Marinho</t>
  </si>
  <si>
    <t>19/06/2013</t>
  </si>
  <si>
    <t>APLV + ovo + cenoura + ervilha (bebida de soja)</t>
  </si>
  <si>
    <t>Dieta Pastosa liquidificada - Pedro Martins</t>
  </si>
  <si>
    <t>23/04/2014</t>
  </si>
  <si>
    <t>01/03/2014</t>
  </si>
  <si>
    <t>20/01/2008</t>
  </si>
  <si>
    <t>21/04/2014</t>
  </si>
  <si>
    <t>APLV + soja + ovo + chocolate (suco de fruta)</t>
  </si>
  <si>
    <t>05/01/2009</t>
  </si>
  <si>
    <t>Alergia a corantes + soja + carne bovina + peixe</t>
  </si>
  <si>
    <t>21/09/2015</t>
  </si>
  <si>
    <t>APLV (bebida de soja) - derivados liberados</t>
  </si>
  <si>
    <t>30/09/2013</t>
  </si>
  <si>
    <t>Dieta Pastosa Amassada - Lucas Vieira</t>
  </si>
  <si>
    <t>Nefrocalcinose - Marya Eduarda</t>
  </si>
  <si>
    <t>03/12/2013</t>
  </si>
  <si>
    <t>Alergia a mamão</t>
  </si>
  <si>
    <t>Dieta Pastosa Liquidificada - Klalven Thaylor</t>
  </si>
  <si>
    <t>11/03/2014</t>
  </si>
  <si>
    <t>APLV + ovo + corante + peixe + carne suína + frutas ácidas + vinagre (suco de fruta)</t>
  </si>
  <si>
    <t>10/10/2013</t>
  </si>
  <si>
    <t>15/02/2013</t>
  </si>
  <si>
    <t>28/09/2017</t>
  </si>
  <si>
    <t>03/08/2005</t>
  </si>
  <si>
    <t>26/12/2011</t>
  </si>
  <si>
    <t>Dieta pastosa liquidificada - José Felipe Boa Ventura</t>
  </si>
  <si>
    <t>14/09/2017</t>
  </si>
  <si>
    <t>APLV (fórmula parcialmente hidrolisada)</t>
  </si>
  <si>
    <t>APLV + banana (suco de fruta)</t>
  </si>
  <si>
    <t>23/02/2015</t>
  </si>
  <si>
    <t>29/06/2013</t>
  </si>
  <si>
    <t>07/03/2013</t>
  </si>
  <si>
    <t>09/04/2013</t>
  </si>
  <si>
    <t>13/03/2010</t>
  </si>
  <si>
    <t>23/07/2017</t>
  </si>
  <si>
    <t>Refluxo Gastroesofágico - sem suco</t>
  </si>
  <si>
    <t>12/08/2013</t>
  </si>
  <si>
    <t>29/03/2012</t>
  </si>
  <si>
    <t>15/05/2016</t>
  </si>
  <si>
    <t>23/02/2009</t>
  </si>
  <si>
    <t>09/04/2012</t>
  </si>
  <si>
    <t>10/09/2012</t>
  </si>
  <si>
    <t>28/03/2011</t>
  </si>
  <si>
    <t>05/02/2013</t>
  </si>
  <si>
    <t>14/11/2012</t>
  </si>
  <si>
    <t>17/03/2015</t>
  </si>
  <si>
    <t>05/09/2016</t>
  </si>
  <si>
    <t>Constipação Intestinal - Vinicius dos Santos</t>
  </si>
  <si>
    <t>16/09/2006</t>
  </si>
  <si>
    <t>05/02/2015</t>
  </si>
  <si>
    <t>05/08/2010</t>
  </si>
  <si>
    <t>05/10/2012</t>
  </si>
  <si>
    <t>Dieta Enteral - John Richard</t>
  </si>
  <si>
    <t>14/08/2017</t>
  </si>
  <si>
    <t>Refluxo Gastroesofágico (Fórmula AR)</t>
  </si>
  <si>
    <t>30/04/2015</t>
  </si>
  <si>
    <t>Alergia - abacaxi + maracujá + limão</t>
  </si>
  <si>
    <t>Intolerância alimentar - fórmula (Aptail 3)</t>
  </si>
  <si>
    <t>Intolerância à lactose + hipertrigliceridemia (leite sem lactose)</t>
  </si>
  <si>
    <t>02/11/2011</t>
  </si>
  <si>
    <t>14/12/2017</t>
  </si>
  <si>
    <t>Refluxo Gastroesofágico (nan AR)</t>
  </si>
  <si>
    <t>21/03/2010</t>
  </si>
  <si>
    <t>Diarreia (bebida de soja)</t>
  </si>
  <si>
    <t>23/08/2015</t>
  </si>
  <si>
    <t>07/12/2013</t>
  </si>
  <si>
    <t>22/03/2011</t>
  </si>
  <si>
    <t>20/11/2017</t>
  </si>
  <si>
    <t>02/07/2013</t>
  </si>
  <si>
    <t>18/01/2017</t>
  </si>
  <si>
    <t>Alergia - Francisco Clemente</t>
  </si>
  <si>
    <t>16/03/2017</t>
  </si>
  <si>
    <t>Constipação Intestinal (ninho prebio)</t>
  </si>
  <si>
    <t>Intolerância à lactose + soja + gluten (Suco de frutas)</t>
  </si>
  <si>
    <t>13/04/2017</t>
  </si>
  <si>
    <t>Constipação Intestinal (milnutri)</t>
  </si>
  <si>
    <t>29/10/2014</t>
  </si>
  <si>
    <t>26/10/2011</t>
  </si>
  <si>
    <t>Dieta apstosa liquidificada e peneirada - Sophya Cristinny</t>
  </si>
  <si>
    <t>LUIZ GUILHERME DA SILVA</t>
  </si>
  <si>
    <t>22/12/2015</t>
  </si>
  <si>
    <t>intolerância à lactose (leite sem lactose)</t>
  </si>
  <si>
    <t>MARIA EDUARDA FLAUSINO GUTIERRES</t>
  </si>
  <si>
    <t>13/09/2010</t>
  </si>
  <si>
    <t>PIETRA LARISSA RODRIGUES GOMES</t>
  </si>
  <si>
    <t>APLV + trigo + tomate (bebida de soja)</t>
  </si>
  <si>
    <t>HILLARY DE NARDI ESTEVES</t>
  </si>
  <si>
    <t>24/01/2017</t>
  </si>
  <si>
    <t>NICOLLY OLIVEIRA SALES</t>
  </si>
  <si>
    <t>02/01/2018</t>
  </si>
  <si>
    <t>Diarreia - (nestogeno)</t>
  </si>
  <si>
    <t>ISABELY LIMA SILVA</t>
  </si>
  <si>
    <t>02/01/2015</t>
  </si>
  <si>
    <t>ANNA BEATRYZ CAETANO DE ASSIS</t>
  </si>
  <si>
    <t>30/07/2009</t>
  </si>
  <si>
    <t>PEDRO ENZO SANTOS BATISTA</t>
  </si>
  <si>
    <t>07/12/2015</t>
  </si>
  <si>
    <t>DANIEL DAVY SOARES PECANHA</t>
  </si>
  <si>
    <t>12/03/2017</t>
  </si>
  <si>
    <t>WELITON VITOR MEDEIROS DA SILVA</t>
  </si>
  <si>
    <t>15/07/2015</t>
  </si>
  <si>
    <t>HEITOR DE SOUSA PIRES</t>
  </si>
  <si>
    <t>11/08/2017</t>
  </si>
  <si>
    <t>RAFAEL DE SOUSA CASTRO</t>
  </si>
  <si>
    <t>28/05/2013</t>
  </si>
  <si>
    <t>18/08/2014</t>
  </si>
  <si>
    <t>20/05/2013</t>
  </si>
  <si>
    <t>Dieta Pastosa; Dieta Cetogênica</t>
  </si>
  <si>
    <t>Dieta pastosa cetogênica - luan Alves</t>
  </si>
  <si>
    <t>13/10/2006</t>
  </si>
  <si>
    <t>08/02/2005</t>
  </si>
  <si>
    <t>Dieta Pastosa amassada - anderson da silva nunes</t>
  </si>
  <si>
    <t>Intolerância à lactose (leite sem lactose) derivados liberados + alergia a corantes e embutidos</t>
  </si>
  <si>
    <t>Dislipidemia + obesidade (leite semi desnatado)</t>
  </si>
  <si>
    <t>19/01/2011</t>
  </si>
  <si>
    <t>Alergia alimentar - salsicha</t>
  </si>
  <si>
    <t>24/10/2007</t>
  </si>
  <si>
    <t>Sobrepeso e Obesidade + hipercolesterolemia</t>
  </si>
  <si>
    <t>17/11/2008</t>
  </si>
  <si>
    <t>05/09/2005</t>
  </si>
  <si>
    <t>09/01/2006</t>
  </si>
  <si>
    <t>Sobrepeso e Obesidade - Gustavo Henrique Gomes Falsetti</t>
  </si>
  <si>
    <t>29/03/2004</t>
  </si>
  <si>
    <t>Deficiencia de G6PD + restrição de corantes + feijão fava</t>
  </si>
  <si>
    <t>04/06/2008</t>
  </si>
  <si>
    <t>26/09/2008</t>
  </si>
  <si>
    <t>Alergia alimentar - tomate</t>
  </si>
  <si>
    <t>22/05/2008</t>
  </si>
  <si>
    <t>Alergia alimentar - corantes + conservantes + soja</t>
  </si>
  <si>
    <t>07/10/2005</t>
  </si>
  <si>
    <t>Intolerância à lactose (leite sem lactose) + RGE</t>
  </si>
  <si>
    <t>30/05/2004</t>
  </si>
  <si>
    <t>07/06/2010</t>
  </si>
  <si>
    <t>29/12/2008</t>
  </si>
  <si>
    <t>alergia alimentar - carne suina</t>
  </si>
  <si>
    <t>20/05/2009</t>
  </si>
  <si>
    <t>Síndrome Nefrótica - padrão</t>
  </si>
  <si>
    <t>26/10/2014</t>
  </si>
  <si>
    <t>12/09/2011</t>
  </si>
  <si>
    <t>14/03/2010</t>
  </si>
  <si>
    <t>Alergia alimentar - ovo + amendoim + embutidos</t>
  </si>
  <si>
    <t>17/12/2014</t>
  </si>
  <si>
    <t>02/03/2012</t>
  </si>
  <si>
    <t>12/03/2010</t>
  </si>
  <si>
    <t>Diabetes Mellitus + Doença Celíaca Rodrigo Werner Barros</t>
  </si>
  <si>
    <t>03/07/2014</t>
  </si>
  <si>
    <t>24/02/2012</t>
  </si>
  <si>
    <t>02/04/2009</t>
  </si>
  <si>
    <t>Autismo - restrição leite, glúten, soja, açúcar e adoçante</t>
  </si>
  <si>
    <t>Sobrepeso e obesidade _ hipercolesterolemia</t>
  </si>
  <si>
    <t>Sobrepeso e obesidade + hipercolesterolemia</t>
  </si>
  <si>
    <t>Alergia alimentar - alimentos citricos</t>
  </si>
  <si>
    <t>11/05/2009</t>
  </si>
  <si>
    <t>Hipertrigliceridemia - queijo branco</t>
  </si>
  <si>
    <t>12/06/2007</t>
  </si>
  <si>
    <t>21/09/2010</t>
  </si>
  <si>
    <t>Hipercolesterolemia - leite desnatado, queijo minas tipo frescal, ricota e cottage, restrição de chocolate (achocolatado)</t>
  </si>
  <si>
    <t>Constipação intestinal (prescrição médica - leite ninho com mucilon)</t>
  </si>
  <si>
    <t>28/05/2006</t>
  </si>
  <si>
    <t>29/11/2011</t>
  </si>
  <si>
    <t>21/08/2015</t>
  </si>
  <si>
    <t>06/04/2011</t>
  </si>
  <si>
    <t>Alergia alimentar - ovo + peixe + maionese</t>
  </si>
  <si>
    <t>12/03/2006</t>
  </si>
  <si>
    <t>07/08/2003</t>
  </si>
  <si>
    <t>17/02/2006</t>
  </si>
  <si>
    <t>Obesidade + hipertrigliceridemia</t>
  </si>
  <si>
    <t>05/10/2014</t>
  </si>
  <si>
    <t>alergia alimentar - abacaxi</t>
  </si>
  <si>
    <t>21/02/2004</t>
  </si>
  <si>
    <t>Sobrepeso e obesidade + hipercolesterolemia com adoçante</t>
  </si>
  <si>
    <t>09/09/2004</t>
  </si>
  <si>
    <t>diabetes melitus - padrão</t>
  </si>
  <si>
    <t>12/12/2006</t>
  </si>
  <si>
    <t>22/12/2008</t>
  </si>
  <si>
    <t>SOBREPESO E OBESIDADE+ HIPERCOLESTEROLEMIA</t>
  </si>
  <si>
    <t>04/03/2010</t>
  </si>
  <si>
    <t>ALERGIA  PROTEÍNA DO LEITE DE VACA (ALIMENTO  A BASE DE SOJA)</t>
  </si>
  <si>
    <t>23/02/2010</t>
  </si>
  <si>
    <t>HIPERCOLESTEROLEMIA</t>
  </si>
  <si>
    <t>01/09/2009</t>
  </si>
  <si>
    <t>29/07/2005</t>
  </si>
  <si>
    <t>Sobrepeso e obesidade (leite semi desnatado, sucralose, pães integrais)</t>
  </si>
  <si>
    <t>12/02/2010</t>
  </si>
  <si>
    <t>Hipercolesterolemia padrão</t>
  </si>
  <si>
    <t>Alergia ao leite de vaca (aptamil soja)</t>
  </si>
  <si>
    <t>07/02/2010</t>
  </si>
  <si>
    <t>Hipercolesterolemia + hiperglicemia</t>
  </si>
  <si>
    <t>26/07/2006</t>
  </si>
  <si>
    <t>Alergia alimentar - ovo + peixe</t>
  </si>
  <si>
    <t>30/08/2014</t>
  </si>
  <si>
    <t>12/05/2006</t>
  </si>
  <si>
    <t>14/10/2014</t>
  </si>
  <si>
    <t>15/11/2015</t>
  </si>
  <si>
    <t>Intolerância alimentar - fórmula infantil nestogeno (indicação Aptamil)</t>
  </si>
  <si>
    <t>19/01/2010</t>
  </si>
  <si>
    <t>19/07/2011</t>
  </si>
  <si>
    <t>24/11/2003</t>
  </si>
  <si>
    <t>Hipercolesterolemia + Sobrepeso (queijo branco ou ricota)</t>
  </si>
  <si>
    <t>12/10/2005</t>
  </si>
  <si>
    <t>Dieta pastosa amassada - Pedro Henrique da Silva</t>
  </si>
  <si>
    <t>Dislipidemia + obesidade - com açúcar</t>
  </si>
  <si>
    <t>06/03/2002</t>
  </si>
  <si>
    <t>07/11/2002</t>
  </si>
  <si>
    <t>17/05/2005</t>
  </si>
  <si>
    <t>Resistência insulínica - Ariane Ferreira Silva</t>
  </si>
  <si>
    <t>25/07/2009</t>
  </si>
  <si>
    <t>29/01/2004</t>
  </si>
  <si>
    <t>04/01/2010</t>
  </si>
  <si>
    <t>Alergia alimentar - ovo + amendoim</t>
  </si>
  <si>
    <t>10/06/2011</t>
  </si>
  <si>
    <t>Dieta pastosa amassada - Maria Eduarda da Silva</t>
  </si>
  <si>
    <t>26/05/2011</t>
  </si>
  <si>
    <t>Hipercolesterolemia + obesidade (apenas lanche na escola - 1 fruta)</t>
  </si>
  <si>
    <t>29/01/2005</t>
  </si>
  <si>
    <t>31/01/2009</t>
  </si>
  <si>
    <t>Alergia à proteína do leite de vaca + ovo + trigo (fórmula de aminoácidos livres)</t>
  </si>
  <si>
    <t>21/05/2008</t>
  </si>
  <si>
    <t>12/04/2006</t>
  </si>
  <si>
    <t>Intolerância à lactose em investigação (leite sem lactose ou alimento a base de soja)</t>
  </si>
  <si>
    <t>01/12/2008</t>
  </si>
  <si>
    <t>25/08/2015</t>
  </si>
  <si>
    <t>Alergia à proteína do leite de vaca + ovo (fórmula de proteína isolada de soja)</t>
  </si>
  <si>
    <t>03/09/2007</t>
  </si>
  <si>
    <t>26/10/2005</t>
  </si>
  <si>
    <t>obesidade e Hipertrigliceridemia</t>
  </si>
  <si>
    <t>25/07/2004</t>
  </si>
  <si>
    <t>20/10/1998</t>
  </si>
  <si>
    <t>02/11/2003</t>
  </si>
  <si>
    <t>27/04/2009</t>
  </si>
  <si>
    <t>alergia alimentar - corantes e conservantes</t>
  </si>
  <si>
    <t>13/10/2002</t>
  </si>
  <si>
    <t>Dieta enteral (gastrostomia). Sugestões: nutren junior diluir 7 medidas em 210 ml de agua ou Pedrasurecomplete diluir 5 medidas em 210ml de agua ou nutren soya diluir 9 medidas em 200ml de agua 2x por dia na escola, 8h e 11h... Vide protocolo</t>
  </si>
  <si>
    <t>11/01/2002</t>
  </si>
  <si>
    <t>10/11/2004</t>
  </si>
  <si>
    <t>06/09/2007</t>
  </si>
  <si>
    <t>08/01/2006</t>
  </si>
  <si>
    <t>25/07/2005</t>
  </si>
  <si>
    <t>18/10/2005</t>
  </si>
  <si>
    <t>31/03/2006</t>
  </si>
  <si>
    <t>26/09/2002</t>
  </si>
  <si>
    <t>22/07/2004</t>
  </si>
  <si>
    <t>06/04/2004</t>
  </si>
  <si>
    <t>Hipercolesterolemia + Hipertensão + Obesidade</t>
  </si>
  <si>
    <t>07/02/2008</t>
  </si>
  <si>
    <t>Alergia ao leite de vaca ou Intolerância à lactose</t>
  </si>
  <si>
    <t>08/08/2005</t>
  </si>
  <si>
    <t>17/06/2006</t>
  </si>
  <si>
    <t>18/06/2007</t>
  </si>
  <si>
    <t>02/04/2008</t>
  </si>
  <si>
    <t>15/08/2003</t>
  </si>
  <si>
    <t>10/03/2007</t>
  </si>
  <si>
    <t>23/06/2004</t>
  </si>
  <si>
    <t>Alergia Alimentar - Ovo</t>
  </si>
  <si>
    <t>06/08/2005</t>
  </si>
  <si>
    <t>23/03/2006</t>
  </si>
  <si>
    <t>20/07/2004</t>
  </si>
  <si>
    <t>Diabetes + Sobrepeso - Amanda Ali Martins</t>
  </si>
  <si>
    <t>22/04/2008</t>
  </si>
  <si>
    <t>Doença Celiaca + alergia a proteina do leite de vaca</t>
  </si>
  <si>
    <t>08/03/2006</t>
  </si>
  <si>
    <t>Intolerância e/ou alergia ao leite de vaca</t>
  </si>
  <si>
    <t>21/11/2008</t>
  </si>
  <si>
    <t>alergia a peixe</t>
  </si>
  <si>
    <t>09/03/2007</t>
  </si>
  <si>
    <t>Gastrite - hipogordurosa + café + fruta ácida + tomate + chocolate</t>
  </si>
  <si>
    <t>09/05/2009</t>
  </si>
  <si>
    <t>02/01/2009</t>
  </si>
  <si>
    <t>03/05/2003</t>
  </si>
  <si>
    <t>Obesidade - hipocalorica</t>
  </si>
  <si>
    <t>10/04/2003</t>
  </si>
  <si>
    <t>04/02/2006</t>
  </si>
  <si>
    <t>17/08/2008</t>
  </si>
  <si>
    <t>alergia ao leite de vaca + corantes + conservantes + morango</t>
  </si>
  <si>
    <t>30/03/2004</t>
  </si>
  <si>
    <t>Diabetes Mellitus -Hipocalórica</t>
  </si>
  <si>
    <t>22/01/2005</t>
  </si>
  <si>
    <t>20/03/2003</t>
  </si>
  <si>
    <t>Hipercolesterolemia + Obesidade</t>
  </si>
  <si>
    <t>28/12/2003</t>
  </si>
  <si>
    <t>Dieta Hipogordurosa + alergia a salsicha e tomate</t>
  </si>
  <si>
    <t>21/04/2005</t>
  </si>
  <si>
    <t>Alergia Ao leite de vaca e corantes + hipercolesterolemia + baixo peso</t>
  </si>
  <si>
    <t>04/12/2005</t>
  </si>
  <si>
    <t>08/11/2006</t>
  </si>
  <si>
    <t>21/06/2001</t>
  </si>
  <si>
    <t>Hipertensão arterial</t>
  </si>
  <si>
    <t>02/11/2007</t>
  </si>
  <si>
    <t>14/06/2006</t>
  </si>
  <si>
    <t>Baixo peso (Ninho 1+)</t>
  </si>
  <si>
    <t>23/10/2009</t>
  </si>
  <si>
    <t>25/07/2010</t>
  </si>
  <si>
    <t>Intolerãncia alimentar - leite em pó (leite fluido)</t>
  </si>
  <si>
    <t>31/07/2016</t>
  </si>
  <si>
    <t>Constipação intestinal (Nan)</t>
  </si>
  <si>
    <t>03/09/2012</t>
  </si>
  <si>
    <t>APLV + corantes (suco de frutas)</t>
  </si>
  <si>
    <t>Alergia - peixe</t>
  </si>
  <si>
    <t>06/12/2007</t>
  </si>
  <si>
    <t>01/04/2012</t>
  </si>
  <si>
    <t>01/05/2015</t>
  </si>
  <si>
    <t>16/02/2013</t>
  </si>
  <si>
    <t>08/11/2012</t>
  </si>
  <si>
    <t>APLV + ovo + milho + amendoim (Pregomin)</t>
  </si>
  <si>
    <t>Dieta enteral - Rafael Vitorino de Sousa</t>
  </si>
  <si>
    <t>29/10/2012</t>
  </si>
  <si>
    <t>Alergia - embutidos</t>
  </si>
  <si>
    <t>02/06/2016</t>
  </si>
  <si>
    <t>Constipação intestinal (Aptamil 2)</t>
  </si>
  <si>
    <t>08/02/2012</t>
  </si>
  <si>
    <t>APLV + ovo (suco de fruta prescrito)</t>
  </si>
  <si>
    <t>24/04/2014</t>
  </si>
  <si>
    <t>APLV + ovo + banana (suco de fruta)</t>
  </si>
  <si>
    <t>Hipertrigliceridemia + obesidade</t>
  </si>
  <si>
    <t>15/05/2010</t>
  </si>
  <si>
    <t>25/12/2003</t>
  </si>
  <si>
    <t>Resistência insulínica</t>
  </si>
  <si>
    <t>23/08/2010</t>
  </si>
  <si>
    <t>Puberdade precoce - restrição soja</t>
  </si>
  <si>
    <t>30/06/2014</t>
  </si>
  <si>
    <t>04/11/2010</t>
  </si>
  <si>
    <t>19/04/2010</t>
  </si>
  <si>
    <t>Alergias - Julia Coelho</t>
  </si>
  <si>
    <t>03/09/2015</t>
  </si>
  <si>
    <t>Dieta pastosa homogênea - Agatha Oliveira de Miranda</t>
  </si>
  <si>
    <t>20/04/2009</t>
  </si>
  <si>
    <t>Hipotireoidismo - Nathaly Patricia</t>
  </si>
  <si>
    <t>19/12/2010</t>
  </si>
  <si>
    <t>Dieta pastosa - Marcos Felipe</t>
  </si>
  <si>
    <t>08/01/2008</t>
  </si>
  <si>
    <t>16/07/2011</t>
  </si>
  <si>
    <t>Intolerância à Lactose + soja (leite sem lactose)</t>
  </si>
  <si>
    <t>28/01/2013</t>
  </si>
  <si>
    <t>10/08/2012</t>
  </si>
  <si>
    <t>APLV + soja (suco de frutas)</t>
  </si>
  <si>
    <t>21/06/2004</t>
  </si>
  <si>
    <t>14/07/2008</t>
  </si>
  <si>
    <t>Intoleância à lactose + Refluxo gastroesofágico (suco de fruta)</t>
  </si>
  <si>
    <t>06/08/2012</t>
  </si>
  <si>
    <t>28/03/2012</t>
  </si>
  <si>
    <t>24/09/2012</t>
  </si>
  <si>
    <t>Alergia - ovo + peixe</t>
  </si>
  <si>
    <t>11/07/2012</t>
  </si>
  <si>
    <t>APLV + ovo + corantes + conservantes + enlatados (suco de fruta)</t>
  </si>
  <si>
    <t>27/09/2012</t>
  </si>
  <si>
    <t>29/06/2009</t>
  </si>
  <si>
    <t>12/12/2011</t>
  </si>
  <si>
    <t>14/01/2016</t>
  </si>
  <si>
    <t>APLV + Laranja (suco de fruta)</t>
  </si>
  <si>
    <t>30/08/2016</t>
  </si>
  <si>
    <t>28/02/2005</t>
  </si>
  <si>
    <t>Alergia - carne suína + temperos artificiais</t>
  </si>
  <si>
    <t>Prematuridade - Enfagrow</t>
  </si>
  <si>
    <t>13/03/2013</t>
  </si>
  <si>
    <t>04/05/2007</t>
  </si>
  <si>
    <t>18/07/2012</t>
  </si>
  <si>
    <t>16/05/2008</t>
  </si>
  <si>
    <t>11/01/2013</t>
  </si>
  <si>
    <t>Alergia - glúten</t>
  </si>
  <si>
    <t>Diarreia - Arthur Galdino</t>
  </si>
  <si>
    <t>Desnutrição - Lara Heloisa Gouveia Gomes</t>
  </si>
  <si>
    <t>23/09/2014</t>
  </si>
  <si>
    <t>APLV + salsicha (suco de fruta)</t>
  </si>
  <si>
    <t>27/07/2012</t>
  </si>
  <si>
    <t>Alergia - ovo + amendoim + camarão</t>
  </si>
  <si>
    <t>08/06/2012</t>
  </si>
  <si>
    <t>06/02/2013</t>
  </si>
  <si>
    <t>Alergia - corantes + conservantes + ovo</t>
  </si>
  <si>
    <t>Diarreia - Emanuelly Mundes</t>
  </si>
  <si>
    <t>11/10/2009</t>
  </si>
  <si>
    <t>Alergia - soja + amendoim</t>
  </si>
  <si>
    <t>30/03/2010</t>
  </si>
  <si>
    <t>29/09/2005</t>
  </si>
  <si>
    <t>Hipercolesterolemia + obesidade</t>
  </si>
  <si>
    <t>Alergia - ovo + peixe (liberado alimentos que contém ovo)</t>
  </si>
  <si>
    <t>19/12/2014</t>
  </si>
  <si>
    <t>22/10/2016</t>
  </si>
  <si>
    <t>Intolerância alimentar - fórmula infantil (nan)</t>
  </si>
  <si>
    <t>Baixo peso + constipação intestinal (milnutri)</t>
  </si>
  <si>
    <t>30/12/2005</t>
  </si>
  <si>
    <t>APLV + macarrão + salsicha (suco de fruta)</t>
  </si>
  <si>
    <t>08/03/2015</t>
  </si>
  <si>
    <t>intolerância alimentar - leite (leite sem lactose)</t>
  </si>
  <si>
    <t>Refluxo gastroesofágico (leite desnatado ou semi desnatado)</t>
  </si>
  <si>
    <t>27/05/2003</t>
  </si>
  <si>
    <t>Dieta Pastosa Liquidificada - Vitória Nascimento</t>
  </si>
  <si>
    <t>20/11/2014</t>
  </si>
  <si>
    <t>11/06/2012</t>
  </si>
  <si>
    <t>Alergia - corantes + conservantes + enlatados + embutidos</t>
  </si>
  <si>
    <t>16/12/2010</t>
  </si>
  <si>
    <t>Gastrite - sem corantes e conservantes</t>
  </si>
  <si>
    <t>20/09/2012</t>
  </si>
  <si>
    <t>28/02/2013</t>
  </si>
  <si>
    <t>15/05/2015</t>
  </si>
  <si>
    <t>19/09/2012</t>
  </si>
  <si>
    <t>20/08/2010</t>
  </si>
  <si>
    <t>16/04/2009</t>
  </si>
  <si>
    <t>Diarréia -Maria Eduarda</t>
  </si>
  <si>
    <t>01/11/2012</t>
  </si>
  <si>
    <t>05/01/2004</t>
  </si>
  <si>
    <t>16/08/2012</t>
  </si>
  <si>
    <t>Intolerância alimentar - salsicha, yakult, abacaxi</t>
  </si>
  <si>
    <t>08/12/2015</t>
  </si>
  <si>
    <t>08/10/2015</t>
  </si>
  <si>
    <t>Alergia - corante + suco de uva</t>
  </si>
  <si>
    <t>05/05/2015</t>
  </si>
  <si>
    <t>13/11/2008</t>
  </si>
  <si>
    <t>Sobrepeso e obesidade + anemia - hipocalórica</t>
  </si>
  <si>
    <t>03/06/2015</t>
  </si>
  <si>
    <t>23/02/2016</t>
  </si>
  <si>
    <t>25/12/2010</t>
  </si>
  <si>
    <t>Hipercolesterolemia - Victor Dionísio</t>
  </si>
  <si>
    <t>23/03/2016</t>
  </si>
  <si>
    <t>22/03/2013</t>
  </si>
  <si>
    <t>Intolerância à lactose (leite se lactose)</t>
  </si>
  <si>
    <t>APLV + ovo + corante(suco de fruta)</t>
  </si>
  <si>
    <t>08/03/2010</t>
  </si>
  <si>
    <t>Alergia - corantes + peixe e frutos do mar - Mauricio Ribeiro da Silva</t>
  </si>
  <si>
    <t>13/11/2009</t>
  </si>
  <si>
    <t>15/10/2015</t>
  </si>
  <si>
    <t>23/05/2009</t>
  </si>
  <si>
    <t>Síndrome de Prader Willi</t>
  </si>
  <si>
    <t>04/05/2012</t>
  </si>
  <si>
    <t>13/08/2015</t>
  </si>
  <si>
    <t>Alergia - ervilha e lentilha</t>
  </si>
  <si>
    <t>20/07/2009</t>
  </si>
  <si>
    <t>26/01/2010</t>
  </si>
  <si>
    <t>14/11/2014</t>
  </si>
  <si>
    <t>18/09/2011</t>
  </si>
  <si>
    <t>07/05/2016</t>
  </si>
  <si>
    <t>27/05/2012</t>
  </si>
  <si>
    <t>08/04/2015</t>
  </si>
  <si>
    <t>16/07/2007</t>
  </si>
  <si>
    <t>Diarreia - Davi miguel</t>
  </si>
  <si>
    <t>14/04/2014</t>
  </si>
  <si>
    <t>11/07/2016</t>
  </si>
  <si>
    <t>03/01/2005</t>
  </si>
  <si>
    <t>25/09/2002</t>
  </si>
  <si>
    <t>29/12/2004</t>
  </si>
  <si>
    <t>09/07/2016</t>
  </si>
  <si>
    <t>APLV (pregomin)</t>
  </si>
  <si>
    <t>30/08/2012</t>
  </si>
  <si>
    <t>24/05/2012</t>
  </si>
  <si>
    <t>Alergia - frutos do mar + peixe</t>
  </si>
  <si>
    <t>26/03/2008</t>
  </si>
  <si>
    <t>26/06/2008</t>
  </si>
  <si>
    <t>19/12/2012</t>
  </si>
  <si>
    <t>APLV + soja + gluten + carnes + açúcar (bebida de arroz ou coco)- Clarice</t>
  </si>
  <si>
    <t>26/01/2004</t>
  </si>
  <si>
    <t>17/05/2012</t>
  </si>
  <si>
    <t>26/11/2010</t>
  </si>
  <si>
    <t>Vômito - Maria Fernanda Oliveira</t>
  </si>
  <si>
    <t>31/10/2015</t>
  </si>
  <si>
    <t>Intolerânica à lactose (leite sem lactose)</t>
  </si>
  <si>
    <t>20/11/2010</t>
  </si>
  <si>
    <t>05/05/2012</t>
  </si>
  <si>
    <t>22/05/2013</t>
  </si>
  <si>
    <t>Alergia - abacaxi + uva</t>
  </si>
  <si>
    <t>16/02/2014</t>
  </si>
  <si>
    <t>26/04/2015</t>
  </si>
  <si>
    <t>31/01/2014</t>
  </si>
  <si>
    <t>Intolerância à lactose (Ninho sem lactose)</t>
  </si>
  <si>
    <t>APLV + Intolerância à lactose + Intolerância alimentar a frutas ácidas (bebida de soja ou arroz)</t>
  </si>
  <si>
    <t>24/08/2016</t>
  </si>
  <si>
    <t>APLV (Neocate) 20.01.17</t>
  </si>
  <si>
    <t>06/06/2016</t>
  </si>
  <si>
    <t>APLV (Pregomin) 31.01.17</t>
  </si>
  <si>
    <t>Intolerância à alctose + refluxo gastroesofágico</t>
  </si>
  <si>
    <t>11/11/2012</t>
  </si>
  <si>
    <t>IntolerÂncia à lactose (leite sem lactose)</t>
  </si>
  <si>
    <t>27/10/2013</t>
  </si>
  <si>
    <t>27/04/2013</t>
  </si>
  <si>
    <t>24/05/2013</t>
  </si>
  <si>
    <t>28/01/2007</t>
  </si>
  <si>
    <t>Doença celíaca + Diabetes mellitus</t>
  </si>
  <si>
    <t>07/02/2012</t>
  </si>
  <si>
    <t>18/04/2011</t>
  </si>
  <si>
    <t>21/10/2013</t>
  </si>
  <si>
    <t>APLV + soja (suco de fruta prescrito)</t>
  </si>
  <si>
    <t>14/04/2012</t>
  </si>
  <si>
    <t>22/02/2016</t>
  </si>
  <si>
    <t>Síndrome de Down - Helena Aragão</t>
  </si>
  <si>
    <t>05/10/2015</t>
  </si>
  <si>
    <t>Telarca precoce - sem soja e amendoim</t>
  </si>
  <si>
    <t>13/04/2016</t>
  </si>
  <si>
    <t>Autismo - sem gluten e sem leite (bebida de arroz, amendoa ou avelã)</t>
  </si>
  <si>
    <t>10/02/2014</t>
  </si>
  <si>
    <t>alergia a maçã, carne suína, chocolate, macarrão, catchup, mostarda, salsicha e extrato de tomate</t>
  </si>
  <si>
    <t>15/03/2016</t>
  </si>
  <si>
    <t>15/06/2013</t>
  </si>
  <si>
    <t>24/06/2015</t>
  </si>
  <si>
    <t>APLV (bebida  de soja)</t>
  </si>
  <si>
    <t>Intolerância à lactose 9leite sem lactose)</t>
  </si>
  <si>
    <t>APLV + soja (Pregomin)</t>
  </si>
  <si>
    <t>APLV + vovo + soja + chocolate (suco de fruta)</t>
  </si>
  <si>
    <t>24/03/2016</t>
  </si>
  <si>
    <t>Sobrepeso - Gael Gomes Kroger</t>
  </si>
  <si>
    <t>16/09/2013</t>
  </si>
  <si>
    <t>19/04/2013</t>
  </si>
  <si>
    <t>Intoleância à lactose (leite sem lactose)</t>
  </si>
  <si>
    <t>06/09/2017</t>
  </si>
  <si>
    <t>APLV (suco de fruta prescrito ) - derivados liberados</t>
  </si>
  <si>
    <t>30/01/2011</t>
  </si>
  <si>
    <t>14/07/1977</t>
  </si>
  <si>
    <t>Alergia - Geovanna Xavier</t>
  </si>
  <si>
    <t>07/07/2013</t>
  </si>
  <si>
    <t>Alergia a castanha</t>
  </si>
  <si>
    <t>05/08/2013</t>
  </si>
  <si>
    <t>Intolerância à lactose + hipercolesterolemia (leite sem lactose)</t>
  </si>
  <si>
    <t>28/11/2013</t>
  </si>
  <si>
    <t>Dieta enteral - Ana Beatriz de Oliveira</t>
  </si>
  <si>
    <t>14/09/2012</t>
  </si>
  <si>
    <t>Dieta pastosa - Victoria Gabrili Feres</t>
  </si>
  <si>
    <t>07/10/2009</t>
  </si>
  <si>
    <t>08/10/2013</t>
  </si>
  <si>
    <t>21/06/2014</t>
  </si>
  <si>
    <t>Alergia a amendoim + peixe + frutos do mar</t>
  </si>
  <si>
    <t>APLV (suco de frutas) - derivados liberados</t>
  </si>
  <si>
    <t>20/12/2011</t>
  </si>
  <si>
    <t>25/09/2016</t>
  </si>
  <si>
    <t>Alergia  peixe + frutos do mar</t>
  </si>
  <si>
    <t>Alergia - chocolate + banana</t>
  </si>
  <si>
    <t>04/04/2016</t>
  </si>
  <si>
    <t>15/02/2014</t>
  </si>
  <si>
    <t>16/06/2016</t>
  </si>
  <si>
    <t>15/07/2013</t>
  </si>
  <si>
    <t>Alergia - chocolate + atum</t>
  </si>
  <si>
    <t>Alergia - frango + embutidos</t>
  </si>
  <si>
    <t>Alergia - andrew patrício</t>
  </si>
  <si>
    <t>05/09/2013</t>
  </si>
  <si>
    <t>APLV + ovo + trigo + amendoim + carne suína (suco de fruta)</t>
  </si>
  <si>
    <t>19/09/2017</t>
  </si>
  <si>
    <t>Desnutrição (Aptamil)</t>
  </si>
  <si>
    <t>30/10/2005</t>
  </si>
  <si>
    <t>Alergia a corantes + abacaxi</t>
  </si>
  <si>
    <t>28/12/2012</t>
  </si>
  <si>
    <t>Síndrome de Down - sem leite e derivaods (suco de fruta)</t>
  </si>
  <si>
    <t>02/07/2012</t>
  </si>
  <si>
    <t>Hipercolesterolemia - Rodrigo Roda Michels</t>
  </si>
  <si>
    <t>11/01/2014</t>
  </si>
  <si>
    <t>Leucinose - Manuela Miranda</t>
  </si>
  <si>
    <t>03/02/2012</t>
  </si>
  <si>
    <t>Intolerância à lactose (leie sem lactose)</t>
  </si>
  <si>
    <t>29/06/2015</t>
  </si>
  <si>
    <t>26/01/2014</t>
  </si>
  <si>
    <t>APLV + soja + ovo + chocolate + peixe (hidrolisado proteico)</t>
  </si>
  <si>
    <t>APLV (neocate ou pregomin)</t>
  </si>
  <si>
    <t>08/02/2014</t>
  </si>
  <si>
    <t>APLV + peixe + frutos do mar (suco de fruta)</t>
  </si>
  <si>
    <t>23/10/2016</t>
  </si>
  <si>
    <t>Intolerância à lactose (suco de fruta prescrito )</t>
  </si>
  <si>
    <t>29/12/2007</t>
  </si>
  <si>
    <t>05/06/2017</t>
  </si>
  <si>
    <t>Diarreia - Aptamil Profutura 2</t>
  </si>
  <si>
    <t>05/12/2013</t>
  </si>
  <si>
    <t>18/03/2013</t>
  </si>
  <si>
    <t>APLV + soja (bebida de amêndoas ou arroz)</t>
  </si>
  <si>
    <t>24/09/2013</t>
  </si>
  <si>
    <t>10/03/2008</t>
  </si>
  <si>
    <t>02/03/2009</t>
  </si>
  <si>
    <t>Intolerância à glicose - sem adoçante</t>
  </si>
  <si>
    <t>21/06/2013</t>
  </si>
  <si>
    <t>Intolerância à lactose + corante + enlatados + ácidos (leite sem lactose)</t>
  </si>
  <si>
    <t>16/11/2013</t>
  </si>
  <si>
    <t>26/09/2016</t>
  </si>
  <si>
    <t>08/01/2017</t>
  </si>
  <si>
    <t>27/06/2012</t>
  </si>
  <si>
    <t>18/08/2010</t>
  </si>
  <si>
    <t>Proteinúria - Sophia Morais</t>
  </si>
  <si>
    <t>Intolerância alimentar - leite + gluten (suco de fruta)</t>
  </si>
  <si>
    <t>APLV + amendoim (suco de fruta)</t>
  </si>
  <si>
    <t>Alergia - corantes + conservantes + aromatizantes + chocolate</t>
  </si>
  <si>
    <t>12/02/2017</t>
  </si>
  <si>
    <t>01/07/2010</t>
  </si>
  <si>
    <t>APLV + corantes + carne suina + salsicha (bebida de soja)</t>
  </si>
  <si>
    <t>17/08/2013</t>
  </si>
  <si>
    <t>Megacolon congenito - sem leite e açúcar (bebida de soja)</t>
  </si>
  <si>
    <t>Hipercolesterolemia - somente leite desnatado</t>
  </si>
  <si>
    <t>06/02/2014</t>
  </si>
  <si>
    <t>30/10/2011</t>
  </si>
  <si>
    <t>26/09/2017</t>
  </si>
  <si>
    <t>Baixo Peso (Aptamil com Mucilon)</t>
  </si>
  <si>
    <t>10/04/2012</t>
  </si>
  <si>
    <t>04/08/2013</t>
  </si>
  <si>
    <t>Paralisia Cerebral - sem feijão, ovo, chocolate, café</t>
  </si>
  <si>
    <t>19/08/2016</t>
  </si>
  <si>
    <t>07/01/2017</t>
  </si>
  <si>
    <t>Bebê chiador (milnutri soja)</t>
  </si>
  <si>
    <t>08/07/2016</t>
  </si>
  <si>
    <t>13/10/2011</t>
  </si>
  <si>
    <t>Intolerância à lactose + dislipidemia (leite sem lactose)</t>
  </si>
  <si>
    <t>APLV + soja + ovo (bebida de amêndoa ou arroz)</t>
  </si>
  <si>
    <t>22/06/2012</t>
  </si>
  <si>
    <t>06/08/2001</t>
  </si>
  <si>
    <t>Dieta enteral - Victor Eitaro</t>
  </si>
  <si>
    <t>27/04/2004</t>
  </si>
  <si>
    <t>Dieta enteral - Gabriel Bitencourt Puga</t>
  </si>
  <si>
    <t>Intolerância à lactose + intolerância ao gluten (suco de fruta)</t>
  </si>
  <si>
    <t>09/02/2011</t>
  </si>
  <si>
    <t>02/09/2009</t>
  </si>
  <si>
    <t>Constipação Intestinal - goiaba, maçã, banana e caju</t>
  </si>
  <si>
    <t>APLV + ovo + amendoim (suco de fruta)</t>
  </si>
  <si>
    <t>07/07/2016</t>
  </si>
  <si>
    <t>19/05/2017</t>
  </si>
  <si>
    <t>refluxo gastroesofágico (aptamil ar)</t>
  </si>
  <si>
    <t>Dieta pastosa amassada - kaike gonçalves</t>
  </si>
  <si>
    <t>08/11/2013</t>
  </si>
  <si>
    <t>Dieta pastosa - Ariany Luiza</t>
  </si>
  <si>
    <t>17/02/2016</t>
  </si>
  <si>
    <t>21/06/2016</t>
  </si>
  <si>
    <t>16/10/2013</t>
  </si>
  <si>
    <t>20/02/2008</t>
  </si>
  <si>
    <t>09/04/2015</t>
  </si>
  <si>
    <t>APLV + ovo + banana nanica bebida de arroz ou leite de cabra)</t>
  </si>
  <si>
    <t>10/01/2007</t>
  </si>
  <si>
    <t>APLV + ovo + glúten + soja + carnes +açúcar( bebida de arroz ou coco)</t>
  </si>
  <si>
    <t>Hipercolesterolemia+ ovo</t>
  </si>
  <si>
    <t>19/08/2009</t>
  </si>
  <si>
    <t>APLV  (suco de fruta)</t>
  </si>
  <si>
    <t>APLV + corantes + peixe (suco de fruta)</t>
  </si>
  <si>
    <t>22/08/2006</t>
  </si>
  <si>
    <t>Glicogenose + Doença Celíaca - Alice Mykaeli</t>
  </si>
  <si>
    <t>Alergia - ovo + chocolate</t>
  </si>
  <si>
    <t>23/08/2011</t>
  </si>
  <si>
    <t>Alergia - ovo (liberado alimentos que contêm ovo)</t>
  </si>
  <si>
    <t>Dieta Enteral - Henri Gabriel Lopes da Silva</t>
  </si>
  <si>
    <t>12/12/2016</t>
  </si>
  <si>
    <t>Intolerância à lactose + corantes + conservantes + sucos e temperos artificiais + enlatados + embutidos (leite sem lactose)</t>
  </si>
  <si>
    <t>13/12/2016</t>
  </si>
  <si>
    <t>Doença celíaca + constipação intestinal</t>
  </si>
  <si>
    <t>06/03/2016</t>
  </si>
  <si>
    <t>Litíase renal - Davi do nascimento</t>
  </si>
  <si>
    <t>23/07/2015</t>
  </si>
  <si>
    <t>23/05/2013</t>
  </si>
  <si>
    <t>Intolerâncoa à lactose (leite sem lactose) - derviados liberados</t>
  </si>
  <si>
    <t>Intolerância à lactose e alergia - Fabrício Cipriano da Silva</t>
  </si>
  <si>
    <t>21/07/2009</t>
  </si>
  <si>
    <t>Esofagite - sem leite + ovo + trigo (suco de fruta)</t>
  </si>
  <si>
    <t>03/07/2007</t>
  </si>
  <si>
    <t>24/10/2013</t>
  </si>
  <si>
    <t>alergia a molhos enlatados</t>
  </si>
  <si>
    <t>30/11/2010</t>
  </si>
  <si>
    <t>22/09/2014</t>
  </si>
  <si>
    <t>PIETRO DE MACEDO SILVA</t>
  </si>
  <si>
    <t>Dor Abdominal - sem leite + feijão + molho de tomate (suco de fruta)</t>
  </si>
  <si>
    <t>RAYSSA MARINHO DA SILVA</t>
  </si>
  <si>
    <t>05/04/2012</t>
  </si>
  <si>
    <t>APLV + dislipidemia (suco de fruta)</t>
  </si>
  <si>
    <t>HEITOR GOMIERI DELUCA DO AMARAL</t>
  </si>
  <si>
    <t>Refluxo gastroesofágico - apenas sem frutas cítricas</t>
  </si>
  <si>
    <t>LETICIA FERREIRA SANTANA</t>
  </si>
  <si>
    <t>02/12/2017</t>
  </si>
  <si>
    <t>Constipaçlão intestinal (milupa)</t>
  </si>
  <si>
    <t>DAVI LUCAS EUFRASIO DOS SANTOS</t>
  </si>
  <si>
    <t>03/02/2017</t>
  </si>
  <si>
    <t>Alergia - corante Antonella David 2</t>
  </si>
  <si>
    <t>PEDRO HENRIQUE DA SILVA LIMA</t>
  </si>
  <si>
    <t>PATRICIA OLIVEIRA GONCALVES DE SOUSA</t>
  </si>
  <si>
    <t>TIFFANY MELISSA MOTA DE BRITO</t>
  </si>
  <si>
    <t>06/10/2012</t>
  </si>
  <si>
    <t>SAMUEL RICHARD ABRIZ</t>
  </si>
  <si>
    <t>09/02/2014</t>
  </si>
  <si>
    <t>Intolerância Alimentar - Macarrão</t>
  </si>
  <si>
    <t>Intolerância alimentar - macarrão</t>
  </si>
  <si>
    <t>CAIO CARVALHO SATTIM</t>
  </si>
  <si>
    <t>16/06/2008</t>
  </si>
  <si>
    <t>ALICIA ALVES TANAN</t>
  </si>
  <si>
    <t>30/01/2018</t>
  </si>
  <si>
    <t>Refluxo gastroesofágico (aptamil 2)</t>
  </si>
  <si>
    <t>PEDRO HENRIQUE SAMPAIO</t>
  </si>
  <si>
    <t>22/02/2017</t>
  </si>
  <si>
    <t>19/01/2009</t>
  </si>
  <si>
    <t>Doença Renal - Hipossódica</t>
  </si>
  <si>
    <t>KAMILLY VALENZE CHIMICHAQUI</t>
  </si>
  <si>
    <t>Constipação intestinal - goiaba, maçã, banana</t>
  </si>
  <si>
    <t>NICOLAS SANTANA MACHADO</t>
  </si>
  <si>
    <t>APLV + carne suína + carne bovina (suco de fruta)</t>
  </si>
  <si>
    <t>PEDRO CIAMPOLINI COSTA E SILVA</t>
  </si>
  <si>
    <t>28/02/2016</t>
  </si>
  <si>
    <t>Alergia a Proteína do Leite de Vaca; Alergia a Oleaginosas - Amendoim; Alergia a Oleaginosas - Castanha do Pará; Alergia a Oleaginosas - Castanha de Caju; Alergia a Oleaginosas - Castanha de Barú; Alergia a Oleaginosas - Avelã; Alergia a Oleaginosas - Amêndoa; Alergia a Oleaginosas - Nozes; Alergia a Glúten; Alergia a Oleaginosas - Macadâmia</t>
  </si>
  <si>
    <t>APLV + glúten + oleaginosas (suco de fruta prescrito)</t>
  </si>
  <si>
    <t>ISAAC MOURAO BRASILEIRO</t>
  </si>
  <si>
    <t>20/10/2016</t>
  </si>
  <si>
    <t>BENJAMIM MORENO BARBOUR</t>
  </si>
  <si>
    <t>23/10/2017</t>
  </si>
  <si>
    <t>Síndrome do lactente com sibilância</t>
  </si>
  <si>
    <t>10/01/2014</t>
  </si>
  <si>
    <t>Alergia à proteína do leite de vaca + ovo (alimento a base de soja)</t>
  </si>
  <si>
    <t>29/09/2004</t>
  </si>
  <si>
    <t>22/09/2007</t>
  </si>
  <si>
    <t>hipercolesterolemia - Lazaro da Silva Pereira</t>
  </si>
  <si>
    <t>07/08/2008</t>
  </si>
  <si>
    <t>alergia à proteína do leite de vaca (fórmula de proteina isolada de soja ou alimento a base de soja)</t>
  </si>
  <si>
    <t>25/06/2005</t>
  </si>
  <si>
    <t>hipercolesterolemia (arroz integral + leite desnatado + queijo branco ou ricota)</t>
  </si>
  <si>
    <t>07/10/2008</t>
  </si>
  <si>
    <t>Diabetes Mellitus tipo 1 Matheus Gomes Cedran</t>
  </si>
  <si>
    <t>22/08/2009</t>
  </si>
  <si>
    <t>Hipercolesterolemia - restrição bolo industrializado</t>
  </si>
  <si>
    <t>Sobrepeso e Obesidade - hipogordurosa + integrais</t>
  </si>
  <si>
    <t>23/09/2003</t>
  </si>
  <si>
    <t>27/05/2010</t>
  </si>
  <si>
    <t>Dislipidemia + Constipação intestinal + restrição espessantes</t>
  </si>
  <si>
    <t>30/10/2013</t>
  </si>
  <si>
    <t>25/05/2006</t>
  </si>
  <si>
    <t>Intolerância à lactose - Lucas Martins Santana</t>
  </si>
  <si>
    <t>27/10/2004</t>
  </si>
  <si>
    <t>22/07/2014</t>
  </si>
  <si>
    <t>Alterações Gastrointestinais (prescrição nestogeno 2)</t>
  </si>
  <si>
    <t>alergia a proteina do leite de vaca + ovo + Diabetes mellitus (substituto soja)</t>
  </si>
  <si>
    <t>17/07/2013</t>
  </si>
  <si>
    <t>Alergia à proteína do leite de vaca (alimento a base de soja ADES)</t>
  </si>
  <si>
    <t>16/08/2011</t>
  </si>
  <si>
    <t>Alergia alimentar - ovo + trigo</t>
  </si>
  <si>
    <t>08/11/2011</t>
  </si>
  <si>
    <t>Alergia alimentar - corantes + diversos alimentos - Miguel Angelo Rodrigues Pimentel</t>
  </si>
  <si>
    <t>29/05/2014</t>
  </si>
  <si>
    <t>Intolerância à lactose (leite sem lactose - ninho sem lactose ou alimento a base de soja aptamil soja)</t>
  </si>
  <si>
    <t>28/02/2004</t>
  </si>
  <si>
    <t>21/10/2014</t>
  </si>
  <si>
    <t>Intolerância alimentar - fórmula infantil em pó (prescrição médica leite fluido UHT)</t>
  </si>
  <si>
    <t>22/08/2011</t>
  </si>
  <si>
    <t>Intolerância alimentar - leite em pó (prescrição médica leite fluido UHT)</t>
  </si>
  <si>
    <t>Intolerância alimentar - fórmula infantil nestogeno (indicação médica fórmula intantil Aptamil 1)</t>
  </si>
  <si>
    <t>21/02/2012</t>
  </si>
  <si>
    <t>Hipercolesterolemia - leite desnatado + arroz e macarrão integral + queijo magro</t>
  </si>
  <si>
    <t>10/05/2009</t>
  </si>
  <si>
    <t>Síndrome Nefrótica + Dieta Hipossódica + Dislipidemia</t>
  </si>
  <si>
    <t>17/03/2007</t>
  </si>
  <si>
    <t>04/07/2011</t>
  </si>
  <si>
    <t>24/03/2010</t>
  </si>
  <si>
    <t>21/03/2003</t>
  </si>
  <si>
    <t>08/06/2009</t>
  </si>
  <si>
    <t>DIABETES MELLITUS - PADRÃO</t>
  </si>
  <si>
    <t>21/04/2006</t>
  </si>
  <si>
    <t>14/04/2003</t>
  </si>
  <si>
    <t>DIABETES MELLITUS - TIPO I</t>
  </si>
  <si>
    <t>22/05/2014</t>
  </si>
  <si>
    <t>ALERGIA ALIMENTAR - OVO</t>
  </si>
  <si>
    <t>16/12/2011</t>
  </si>
  <si>
    <t>27/06/2015</t>
  </si>
  <si>
    <t>Alergia à proteína do leite de vaca (nan soy ou aptamil soja)</t>
  </si>
  <si>
    <t>24/07/2009</t>
  </si>
  <si>
    <t>Alergia à proteína do leite de vaca + intolerância à lactose</t>
  </si>
  <si>
    <t>Intolerância à lactose (prescrição leite ninho sem lactose)</t>
  </si>
  <si>
    <t>Alergia alimentar - abacate</t>
  </si>
  <si>
    <t>27/12/2014</t>
  </si>
  <si>
    <t>14/01/2015</t>
  </si>
  <si>
    <t>18/10/2009</t>
  </si>
  <si>
    <t>20/12/2004</t>
  </si>
  <si>
    <t>Intolerância ao leite de vaca (alimento a base de soja)</t>
  </si>
  <si>
    <t>10/03/2015</t>
  </si>
  <si>
    <t>15/12/2004</t>
  </si>
  <si>
    <t>Alergia alimentar - corantes + temperos artificiais + sucos artificiais + enlatados + embutidos</t>
  </si>
  <si>
    <t>27/07/2011</t>
  </si>
  <si>
    <t>18/07/2011</t>
  </si>
  <si>
    <t>23/10/2010</t>
  </si>
  <si>
    <t>Intolrância à lactose (leite sem lactose ou alimento a base de soja)</t>
  </si>
  <si>
    <t>02/12/2007</t>
  </si>
  <si>
    <t>Refluxo gastroesofágico + dieta hipogordurosa</t>
  </si>
  <si>
    <t>15/10/2008</t>
  </si>
  <si>
    <t>02/06/2008</t>
  </si>
  <si>
    <t>04/11/2007</t>
  </si>
  <si>
    <t>Sobrepeso + constipação</t>
  </si>
  <si>
    <t>04/11/2005</t>
  </si>
  <si>
    <t>Dieta Pastosa e liquidificada - Lucas Cardoso Ferreira</t>
  </si>
  <si>
    <t>08/02/2008</t>
  </si>
  <si>
    <t>Intolerância à lactose e Alergia à proteina do leite de vaca</t>
  </si>
  <si>
    <t>26/06/2015</t>
  </si>
  <si>
    <t>Alergia a proteína do leite de vaca (alimento a base de soja)</t>
  </si>
  <si>
    <t>Gastrite - RGE - Esofagite - Duodenite</t>
  </si>
  <si>
    <t>31/12/2003</t>
  </si>
  <si>
    <t>Dieta pastosa</t>
  </si>
  <si>
    <t>26/05/2003</t>
  </si>
  <si>
    <t>29/08/2003</t>
  </si>
  <si>
    <t>31/03/2005</t>
  </si>
  <si>
    <t>sobrepeso e obesidade + hipercolesterolemia</t>
  </si>
  <si>
    <t>20/09/2003</t>
  </si>
  <si>
    <t>12/01/2004</t>
  </si>
  <si>
    <t>10/02/2005</t>
  </si>
  <si>
    <t>Alergia alimentar a trigo integral e castanha do Pará</t>
  </si>
  <si>
    <t>13/06/2004</t>
  </si>
  <si>
    <t>30/08/2005</t>
  </si>
  <si>
    <t>22/10/2005</t>
  </si>
  <si>
    <t>06/02/2004</t>
  </si>
  <si>
    <t>19/06/2005</t>
  </si>
  <si>
    <t>30/04/2011</t>
  </si>
  <si>
    <t>Alergia ao leite de vaca + corantes</t>
  </si>
  <si>
    <t>18/06/2011</t>
  </si>
  <si>
    <t>28/08/2003</t>
  </si>
  <si>
    <t>12/09/2004</t>
  </si>
  <si>
    <t>23/08/2006</t>
  </si>
  <si>
    <t>Alergia alimentar - Corantes + conservantes + soja</t>
  </si>
  <si>
    <t>27/05/2004</t>
  </si>
  <si>
    <t>Intolerancia a Lactose ou Alergia à proteina do Leite de Vaca</t>
  </si>
  <si>
    <t>Dieta Pastosa - liquidificada</t>
  </si>
  <si>
    <t>14/12/2011</t>
  </si>
  <si>
    <t>Constipação intestinal - restrição a batata, cará, mandioquinha, maçã, goiaba</t>
  </si>
  <si>
    <t>03/04/2006</t>
  </si>
  <si>
    <t>23/03/2008</t>
  </si>
  <si>
    <t>Perda de Peso</t>
  </si>
  <si>
    <t>14/03/2007</t>
  </si>
  <si>
    <t>Dieta Infantil Polimérica, Normocalórica, Normoproteica, Com fibras, via gastro, 2x/dia dose 250ml (total 500ml/dia). Tempo adm: entre 45 e 60min. Horario: 14 e 17h. Vol agua para hidratação: 50ml após dieta</t>
  </si>
  <si>
    <t>01/08/2005</t>
  </si>
  <si>
    <t>09/05/2006</t>
  </si>
  <si>
    <t>10/07/2005</t>
  </si>
  <si>
    <t>Baixo peso (azeite + aveia )</t>
  </si>
  <si>
    <t>26/09/2000</t>
  </si>
  <si>
    <t>Fenilcetonúria -Dieta Qualitativa</t>
  </si>
  <si>
    <t>15/01/2006</t>
  </si>
  <si>
    <t>Constipação intestinal + RESTRIÇÃO AO LEITE EM PO</t>
  </si>
  <si>
    <t>doença Celíaca</t>
  </si>
  <si>
    <t>Refluxo Gastroesofagico + Formula anti-refluxo (Nan AR ou Aptamil AR)</t>
  </si>
  <si>
    <t>26/03/2003</t>
  </si>
  <si>
    <t>20/05/2006</t>
  </si>
  <si>
    <t>26/03/2010</t>
  </si>
  <si>
    <t>10/05/2007</t>
  </si>
  <si>
    <t>19/12/2003</t>
  </si>
  <si>
    <t>Dieta pastosa - Líquidos espessados</t>
  </si>
  <si>
    <t>17/07/2006</t>
  </si>
  <si>
    <t>sobrepeso e obesidade</t>
  </si>
  <si>
    <t>Dislipidemia + Obesidade (sucralose)</t>
  </si>
  <si>
    <t>29/03/2016</t>
  </si>
  <si>
    <t>21/04/2011</t>
  </si>
  <si>
    <t>24/06/2014</t>
  </si>
  <si>
    <t>APLV + ovo + soja + amendoim + peixe + frutos do mar (suco de fruta)</t>
  </si>
  <si>
    <t>23/06/2009</t>
  </si>
  <si>
    <t>22/11/2010</t>
  </si>
  <si>
    <t>Síndome nefrótica + hipercolesterolemia + hipertrigliceridemia</t>
  </si>
  <si>
    <t>Obesidade + resistência à insulina - David Ferreira dos Santos</t>
  </si>
  <si>
    <t>20/07/2012</t>
  </si>
  <si>
    <t>06/11/2012</t>
  </si>
  <si>
    <t>30/11/2012</t>
  </si>
  <si>
    <t>16/10/2012</t>
  </si>
  <si>
    <t>22/07/2015</t>
  </si>
  <si>
    <t>Alergia - banana + abacate</t>
  </si>
  <si>
    <t>Constipação intestinal (Milnutri)</t>
  </si>
  <si>
    <t>25/01/2011</t>
  </si>
  <si>
    <t>16/01/2016</t>
  </si>
  <si>
    <t>Intolerância à lactose + peixe (Supra Soy ou Soy Milk)</t>
  </si>
  <si>
    <t>13/10/2012</t>
  </si>
  <si>
    <t>25/07/2008</t>
  </si>
  <si>
    <t>22/12/2010</t>
  </si>
  <si>
    <t>05/08/2012</t>
  </si>
  <si>
    <t>11/09/2016</t>
  </si>
  <si>
    <t>Refluxo gastroesofágico (Aptamil AR) - sem suco</t>
  </si>
  <si>
    <t>Hidronefrose - Caio Moreira</t>
  </si>
  <si>
    <t>08/12/2014</t>
  </si>
  <si>
    <t>Dieta pastosa - Gabrielle Silva</t>
  </si>
  <si>
    <t>Intolerância à Lactose (leite sem lactose ou bebida de soja) - derivados liberados</t>
  </si>
  <si>
    <t>26/02/2015</t>
  </si>
  <si>
    <t>03/04/2007</t>
  </si>
  <si>
    <t>22/01/2012</t>
  </si>
  <si>
    <t>03/05/2010</t>
  </si>
  <si>
    <t>Intolerância alimentar - leite (bebida de soja) - liberado alimentos com leite</t>
  </si>
  <si>
    <t>16/03/2016</t>
  </si>
  <si>
    <t>Refluxo gastroesofágico (fórmula com cremogena ou mucilon)</t>
  </si>
  <si>
    <t>25/06/2012</t>
  </si>
  <si>
    <t>Rim único</t>
  </si>
  <si>
    <t>14/06/2012</t>
  </si>
  <si>
    <t>Alergia - corante + embutidos</t>
  </si>
  <si>
    <t>10/07/2012</t>
  </si>
  <si>
    <t>08/01/2011</t>
  </si>
  <si>
    <t>Dieta pastosa + intolerância à lactose - Youssef Mahmoud</t>
  </si>
  <si>
    <t>Alergia - ovo + gluten</t>
  </si>
  <si>
    <t>01/12/2006</t>
  </si>
  <si>
    <t>15/04/2016</t>
  </si>
  <si>
    <t>23/08/2012</t>
  </si>
  <si>
    <t>Alergia - laranja</t>
  </si>
  <si>
    <t>06/05/2016</t>
  </si>
  <si>
    <t>Intolerância alimentar - fórmula infantil (leite de vaca)</t>
  </si>
  <si>
    <t>APLV + corante + conservante</t>
  </si>
  <si>
    <t>23/04/2010</t>
  </si>
  <si>
    <t>Alergia - corante + melancia + morango + mamão + banana + peixe + carne suína</t>
  </si>
  <si>
    <t>02/02/2011</t>
  </si>
  <si>
    <t>24/12/2003</t>
  </si>
  <si>
    <t>Gota - sem alimentos ácidos</t>
  </si>
  <si>
    <t>23/04/2012</t>
  </si>
  <si>
    <t>Intolerância à Lactose + ovo + soja (leite sem lactose)</t>
  </si>
  <si>
    <t>07/09/2012</t>
  </si>
  <si>
    <t>13/06/2003</t>
  </si>
  <si>
    <t>31/01/2015</t>
  </si>
  <si>
    <t>Alergia - soja + ovo + amendoim + refluxo gastroesofágico (Enfamil AR)</t>
  </si>
  <si>
    <t>Alergia Salsicha</t>
  </si>
  <si>
    <t>Megacólon funcional - Sabrina Provença Aragão</t>
  </si>
  <si>
    <t>APLV (bebida de soja Yoki ou Frape de Coco Ades) - liberado pães, bolos e biscoitos</t>
  </si>
  <si>
    <t>23/11/2006</t>
  </si>
  <si>
    <t>Intolerância alimentar - leite integral (suco de fruta prescrito) liberado queijo, pães, bolos e biscoitos</t>
  </si>
  <si>
    <t>03/12/2011</t>
  </si>
  <si>
    <t>09/01/2009</t>
  </si>
  <si>
    <t>24/06/2003</t>
  </si>
  <si>
    <t>Constipação intestinal - banana + maçã + maisena</t>
  </si>
  <si>
    <t>11/01/2011</t>
  </si>
  <si>
    <t>Infecção urinária - Lavinya Santos</t>
  </si>
  <si>
    <t>05/07/2016</t>
  </si>
  <si>
    <t>Desnutrição - Aptamil</t>
  </si>
  <si>
    <t>Intolerância à Lactose (suco de frutas)</t>
  </si>
  <si>
    <t>20/03/2005</t>
  </si>
  <si>
    <t>Dieta Pastosa Liquidificada - Giovanni Belisario</t>
  </si>
  <si>
    <t>08/11/2010</t>
  </si>
  <si>
    <t>Dieta pastosa liquidificada - Julia Yun</t>
  </si>
  <si>
    <t>11/12/2016</t>
  </si>
  <si>
    <t>03/07/2015</t>
  </si>
  <si>
    <t>Intolerância à Lactose + trigo (suco de fruta)</t>
  </si>
  <si>
    <t>APLV (bebida de soja ou arroz)</t>
  </si>
  <si>
    <t>05/03/2008</t>
  </si>
  <si>
    <t>18/07/2016</t>
  </si>
  <si>
    <t>06/09/2016</t>
  </si>
  <si>
    <t>Prematuridade - nan supreme 2</t>
  </si>
  <si>
    <t>Refluxo gastroesofágico (nan supreme 2 com cremogema ou mucilon)</t>
  </si>
  <si>
    <t>27/03/2013</t>
  </si>
  <si>
    <t>18/03/2009</t>
  </si>
  <si>
    <t>24/03/2006</t>
  </si>
  <si>
    <t>11/04/2016</t>
  </si>
  <si>
    <t>09/10/2010</t>
  </si>
  <si>
    <t>15/02/2015</t>
  </si>
  <si>
    <t>13/02/2015</t>
  </si>
  <si>
    <t>Diarreia - sem leite e derivados (bebida de soja)</t>
  </si>
  <si>
    <t>25/06/2013</t>
  </si>
  <si>
    <t>Dieta pastosa - Ingryd Vitoria Machado</t>
  </si>
  <si>
    <t>28/03/2008</t>
  </si>
  <si>
    <t>APLV + ovo + trigo (suco de fruta)</t>
  </si>
  <si>
    <t>Diabetes mellitus + hipercolesterolemia</t>
  </si>
  <si>
    <t>27/12/2015</t>
  </si>
  <si>
    <t>12/12/2014</t>
  </si>
  <si>
    <t>17/11/2010</t>
  </si>
  <si>
    <t>Dieta Pastosa Liquidificada - Mariana Bastos Berto</t>
  </si>
  <si>
    <t>07/06/2012</t>
  </si>
  <si>
    <t>intolerância à Lactose (leite sem lactose)</t>
  </si>
  <si>
    <t>Alergia - chocolate + mamão</t>
  </si>
  <si>
    <t>14/02/2010</t>
  </si>
  <si>
    <t>Intolerância à Lactose + Refluxo Gastroesofágico (bebida de soja)</t>
  </si>
  <si>
    <t>27/02/2012</t>
  </si>
  <si>
    <t>16/01/2012</t>
  </si>
  <si>
    <t>Intolerância alimentar - cenoura</t>
  </si>
  <si>
    <t>08/02/2015</t>
  </si>
  <si>
    <t>Intolerância alimentar - leite com achocolatado e mamão</t>
  </si>
  <si>
    <t>21/02/2013</t>
  </si>
  <si>
    <t>APLV (Nan Soy)</t>
  </si>
  <si>
    <t>11/02/2008</t>
  </si>
  <si>
    <t>Intolerância à lactose + Doença celíaca (suco de fruta)</t>
  </si>
  <si>
    <t>22/02/2003</t>
  </si>
  <si>
    <t>Intolerância À lactose + corantes + conservantes+ sucos e temperos artificiais + enlatados + embutidps (leite sem lactose)</t>
  </si>
  <si>
    <t>29/04/2014</t>
  </si>
  <si>
    <t>Dieta Pastosa Amassada - Isaque Reis Martins</t>
  </si>
  <si>
    <t>24/01/2008</t>
  </si>
  <si>
    <t>Intolerância à Lactose ou alergia a proteína do leite de vaca</t>
  </si>
  <si>
    <t>27/04/2017</t>
  </si>
  <si>
    <t>Intolerância alimentar - fórmula infantil (Nan Comfor 1)</t>
  </si>
  <si>
    <t>08/04/2013</t>
  </si>
  <si>
    <t>Colecistectomia - hipogordurosa</t>
  </si>
  <si>
    <t>Alkergia - carne suína</t>
  </si>
  <si>
    <t>06/06/2010</t>
  </si>
  <si>
    <t>Diabetes mellitus - Mariana Garibaldi</t>
  </si>
  <si>
    <t>14/07/2014</t>
  </si>
  <si>
    <t>09/02/2016</t>
  </si>
  <si>
    <t>01/08/2016</t>
  </si>
  <si>
    <t>Intolerância Alimentar- maçã</t>
  </si>
  <si>
    <t>Refluxo Gastroesofágico - sem corantes</t>
  </si>
  <si>
    <t>02/12/2010</t>
  </si>
  <si>
    <t>07/01/2016</t>
  </si>
  <si>
    <t>26/10/2008</t>
  </si>
  <si>
    <t>Alergia Corante + chocolate + frutas cítricas</t>
  </si>
  <si>
    <t>APLV + Soja (suco de frutas)</t>
  </si>
  <si>
    <t>Alergia corantes + conservantes</t>
  </si>
  <si>
    <t>04/05/2009</t>
  </si>
  <si>
    <t>Hipertrigliceridemia - brenda Nicole</t>
  </si>
  <si>
    <t>20/06/2006</t>
  </si>
  <si>
    <t>Alergia ovo</t>
  </si>
  <si>
    <t>intolerancia alimentar - carne suina</t>
  </si>
  <si>
    <t>28/10/2012</t>
  </si>
  <si>
    <t>05/07/2008</t>
  </si>
  <si>
    <t>Cefaleia - Tayná Queiroz</t>
  </si>
  <si>
    <t>15/12/2007</t>
  </si>
  <si>
    <t>22/04/2016</t>
  </si>
  <si>
    <t>Alergia - corantes + ovo + trigo</t>
  </si>
  <si>
    <t>Alergia - corantes + ovo + trigo + soja</t>
  </si>
  <si>
    <t>Intolerância à lactose + chocolate (leite sem lactose)</t>
  </si>
  <si>
    <t>16/04/2007</t>
  </si>
  <si>
    <t>07/03/2012</t>
  </si>
  <si>
    <t>11/06/2008</t>
  </si>
  <si>
    <t>02/08/2015</t>
  </si>
  <si>
    <t>Diarreia - Daniel Levi</t>
  </si>
  <si>
    <t>17/02/2007</t>
  </si>
  <si>
    <t>Alergia - gluten</t>
  </si>
  <si>
    <t>07/04/2006</t>
  </si>
  <si>
    <t>19/10/2009</t>
  </si>
  <si>
    <t>Intolerância à lactose + ovo + diarreia - Ryan Gomes</t>
  </si>
  <si>
    <t>Hipercolesterolemia - Vitória Conceição</t>
  </si>
  <si>
    <t>02/07/2014</t>
  </si>
  <si>
    <t>08/01/2016</t>
  </si>
  <si>
    <t>22/07/2016</t>
  </si>
  <si>
    <t>APLV + ovo (Aminoácidos livres)</t>
  </si>
  <si>
    <t>09/07/2017</t>
  </si>
  <si>
    <t>APLV (aminoácidos livres)</t>
  </si>
  <si>
    <t>APLV + ovo (bebida de soja) - liberado pães, bolos e biscoitos com ovo</t>
  </si>
  <si>
    <t>22/07/2013</t>
  </si>
  <si>
    <t>18/12/2013</t>
  </si>
  <si>
    <t>25/10/2013</t>
  </si>
  <si>
    <t>31/10/2016</t>
  </si>
  <si>
    <t>APLV + Refluxo Gastroesofágico (bebida de soja)</t>
  </si>
  <si>
    <t>22/11/2013</t>
  </si>
  <si>
    <t>APLV (bebida de aveia ou amêndoa ou coco ou arroz)</t>
  </si>
  <si>
    <t>29/05/2017</t>
  </si>
  <si>
    <t>30/04/2016</t>
  </si>
  <si>
    <t>APLV + soja + ovo (suco de fruta)</t>
  </si>
  <si>
    <t>20/09/2014</t>
  </si>
  <si>
    <t>Intolerância à lactose(leite sem lactose)</t>
  </si>
  <si>
    <t>17/04/2013</t>
  </si>
  <si>
    <t>16/06/2013</t>
  </si>
  <si>
    <t>14/10/2015</t>
  </si>
  <si>
    <t>19/09/2016</t>
  </si>
  <si>
    <t>APLV (Pregomin ou fórmula de soja)</t>
  </si>
  <si>
    <t>08/03/2017</t>
  </si>
  <si>
    <t>18/08/2013</t>
  </si>
  <si>
    <t>04/11/2016</t>
  </si>
  <si>
    <t>APLV + ovo (Milnutri soja)</t>
  </si>
  <si>
    <t>08/08/2016</t>
  </si>
  <si>
    <t>APLV + soja (bebida de amêndoas com neoforte)</t>
  </si>
  <si>
    <t>20/07/2015</t>
  </si>
  <si>
    <t>APLV 9bebida de arroz ou aveia)</t>
  </si>
  <si>
    <t>Intolerância a lactose + molho de tomate (bebida de soja ou leite sem lactose)</t>
  </si>
  <si>
    <t>APLV + Intolerância à lactose (bebida de soja)</t>
  </si>
  <si>
    <t>APLV + soja (Suco de fruta)</t>
  </si>
  <si>
    <t>28/06/2012</t>
  </si>
  <si>
    <t>Intolerância à lactose + ovo (leite sem lactose)</t>
  </si>
  <si>
    <t>Intolerância alimentar - fórmula 9 neslac)</t>
  </si>
  <si>
    <t>09/08/2009</t>
  </si>
  <si>
    <t>Alergia a corante + conservante + dislipidemia</t>
  </si>
  <si>
    <t>29/01/2016</t>
  </si>
  <si>
    <t>29/12/2013</t>
  </si>
  <si>
    <t>20/06/2016</t>
  </si>
  <si>
    <t>Alergia a carne suina</t>
  </si>
  <si>
    <t>11/03/2016</t>
  </si>
  <si>
    <t>Alergia - soja + trigo + milho + banana + amendoim</t>
  </si>
  <si>
    <t>Dieta pastosa liquidificada - Bernardo Henrique</t>
  </si>
  <si>
    <t>11/05/2011</t>
  </si>
  <si>
    <t>22/09/2013</t>
  </si>
  <si>
    <t>18/02/2014</t>
  </si>
  <si>
    <t>Doença Renal - Benício Silvério</t>
  </si>
  <si>
    <t>27/03/2012</t>
  </si>
  <si>
    <t>Dieta pastosa - Rebeca Abreu</t>
  </si>
  <si>
    <t>Intolerânciaà lactose (suco de fruta)</t>
  </si>
  <si>
    <t>29/05/2012</t>
  </si>
  <si>
    <t>18/05/2009</t>
  </si>
  <si>
    <t>APLV (bebida de aveia ou amêndoa ou arroz)</t>
  </si>
  <si>
    <t>07/02/2011</t>
  </si>
  <si>
    <t>28/06/2015</t>
  </si>
  <si>
    <t>15/10/2017</t>
  </si>
  <si>
    <t>Constipação intestinal (nan Comfor)</t>
  </si>
  <si>
    <t>11/10/2011</t>
  </si>
  <si>
    <t>Alergia a corantes + conservantes + sucos e temperos artificiais + enlatados + embutidos</t>
  </si>
  <si>
    <t>30/12/2015</t>
  </si>
  <si>
    <t>28/04/2013</t>
  </si>
  <si>
    <t>04/10/2013</t>
  </si>
  <si>
    <t>25/03/2017</t>
  </si>
  <si>
    <t>13/11/2015</t>
  </si>
  <si>
    <t>04/09/2017</t>
  </si>
  <si>
    <t>16/06/2015</t>
  </si>
  <si>
    <t>Intolerância à lactose + carne vermelha + corante + cacau (leite sem lactose)</t>
  </si>
  <si>
    <t>26/11/2016</t>
  </si>
  <si>
    <t>Intolerância alimentar - leite (nan 3)</t>
  </si>
  <si>
    <t>20/05/2011</t>
  </si>
  <si>
    <t>Intolerância à lactose + Abacaxi (leite sem lactose)</t>
  </si>
  <si>
    <t>Alergia - Miguel Mota</t>
  </si>
  <si>
    <t>Dieta pastosa amassada - Ingryd Vitoria</t>
  </si>
  <si>
    <t>10/01/2015</t>
  </si>
  <si>
    <t>Alergia - ovo + banana + manga + tomate + mandioquinha + laranja + abacaxi + abóbora + maracujá + morango + amendoim + peixe + frutos do mar</t>
  </si>
  <si>
    <t>02/11/2016</t>
  </si>
  <si>
    <t>diarreia - leite semi desnatado</t>
  </si>
  <si>
    <t>APLV 9suco de fruta)</t>
  </si>
  <si>
    <t>APLV (Filippo Soares)</t>
  </si>
  <si>
    <t>Alergia - soja + trigo + ovo + milho + banana + amendoim</t>
  </si>
  <si>
    <t>09/08/2012</t>
  </si>
  <si>
    <t>Dieta pastosa liquidificada - Beatriz Ermelindo Conceição</t>
  </si>
  <si>
    <t>APLV + ovo (bebida de soja ) -liberado pães, bolos e biscoitos com ovo</t>
  </si>
  <si>
    <t>02/03/2011</t>
  </si>
  <si>
    <t>30/07/2013</t>
  </si>
  <si>
    <t>08/05/2013</t>
  </si>
  <si>
    <t>Alergia a corantes + enlatados</t>
  </si>
  <si>
    <t>11/03/2017</t>
  </si>
  <si>
    <t>Baixo peso - Benício Farias</t>
  </si>
  <si>
    <t>02/11/2013</t>
  </si>
  <si>
    <t>Intolerância à lactose (leite sem</t>
  </si>
  <si>
    <t>01/09/2015</t>
  </si>
  <si>
    <t>02/04/2016</t>
  </si>
  <si>
    <t>Dieta pastosa liquidificada - Rafael Ailton</t>
  </si>
  <si>
    <t>31/03/2016</t>
  </si>
  <si>
    <t>28/06/2013</t>
  </si>
  <si>
    <t>Sobrepeso eObesidade - hipocalórica</t>
  </si>
  <si>
    <t>20/10/2011</t>
  </si>
  <si>
    <t>Intolerância alimentar - peixe</t>
  </si>
  <si>
    <t>Alergia - corantes + ovo</t>
  </si>
  <si>
    <t>15/09/2012</t>
  </si>
  <si>
    <t>Alergia - amêndoa e nozes</t>
  </si>
  <si>
    <t>12/05/2009</t>
  </si>
  <si>
    <t>10/06/2013</t>
  </si>
  <si>
    <t>06/01/2017</t>
  </si>
  <si>
    <t>Refluxo gastroesofágico - sem leite e derviados (milnutri)</t>
  </si>
  <si>
    <t>Alergia a amendoim</t>
  </si>
  <si>
    <t>05/08/2015</t>
  </si>
  <si>
    <t>16/02/2017</t>
  </si>
  <si>
    <t>19/01/2017</t>
  </si>
  <si>
    <t>28/05/2012</t>
  </si>
  <si>
    <t>25/08/2008</t>
  </si>
  <si>
    <t>25/09/2013</t>
  </si>
  <si>
    <t>04/05/2015</t>
  </si>
  <si>
    <t>01/09/2017</t>
  </si>
  <si>
    <t>APLV + trigo (suco de fruta)</t>
  </si>
  <si>
    <t>alergia  a ovo</t>
  </si>
  <si>
    <t>15/12/2013</t>
  </si>
  <si>
    <t>Desnutrição (neslac com mucilon)</t>
  </si>
  <si>
    <t>04/11/2017</t>
  </si>
  <si>
    <t>17/11/2006</t>
  </si>
  <si>
    <t>Fenilcetonúria - João Pedro Silva</t>
  </si>
  <si>
    <t>12/01/2017</t>
  </si>
  <si>
    <t>Constipação intestinal (ninho fases 1)</t>
  </si>
  <si>
    <t>05/01/2016</t>
  </si>
  <si>
    <t>21/10/2009</t>
  </si>
  <si>
    <t>24/01/2009</t>
  </si>
  <si>
    <t>03/08/2015</t>
  </si>
  <si>
    <t>Intolerância alimentar - leite em pó (leite fluido</t>
  </si>
  <si>
    <t>Alergia - corantes + conservantes + chocolate</t>
  </si>
  <si>
    <t>26/12/2007</t>
  </si>
  <si>
    <t>retardo mental - isabela fuzano</t>
  </si>
  <si>
    <t>23/10/2013</t>
  </si>
  <si>
    <t>APLV + ovo + corante (bebida de soja)</t>
  </si>
  <si>
    <t>22/08/2014</t>
  </si>
  <si>
    <t>APLV + ovo (suco de fruta) - liberado pães, bolos e biscoitos</t>
  </si>
  <si>
    <t>APLV + carne suína (bebida de soja)</t>
  </si>
  <si>
    <t>22/08/2010</t>
  </si>
  <si>
    <t>04/11/2004</t>
  </si>
  <si>
    <t>Intolerância à lactose + chocolate + molho de tomate + cítricos (leite sem lactose)</t>
  </si>
  <si>
    <t>04/03/2016</t>
  </si>
  <si>
    <t>13/05/2015</t>
  </si>
  <si>
    <t>21/01/2014</t>
  </si>
  <si>
    <t>Dieta enteral - Samuel Nóbrega Italiano</t>
  </si>
  <si>
    <t>01/02/2015</t>
  </si>
  <si>
    <t>01/08/2014</t>
  </si>
  <si>
    <t>Desnutrição - Pietro Henrique</t>
  </si>
  <si>
    <t>Intolerância à lactose (fórmula de soja)</t>
  </si>
  <si>
    <t>07/12/2012</t>
  </si>
  <si>
    <t>26/01/2017</t>
  </si>
  <si>
    <t>APLV + Doença Celíaca (bebida de soja)</t>
  </si>
  <si>
    <t>15/01/2018</t>
  </si>
  <si>
    <t>Constipação intestinal (Aptamil)</t>
  </si>
  <si>
    <t>09/09/2015</t>
  </si>
  <si>
    <t>Constipação intestinal - Miguel Araújo dos Santos</t>
  </si>
  <si>
    <t>12/11/2016</t>
  </si>
  <si>
    <t>05/04/2016</t>
  </si>
  <si>
    <t>APLV + carne bovina (bebida de soja)</t>
  </si>
  <si>
    <t>09/01/2017</t>
  </si>
  <si>
    <t>Intolerância à lactose + abacaxi + coco (leite sem lactose)</t>
  </si>
  <si>
    <t>05/09/2010</t>
  </si>
  <si>
    <t>Dieta Cetogênica - Emilly Vitória 2</t>
  </si>
  <si>
    <t>Dieta Pastosa Liquidificada - sandro josé</t>
  </si>
  <si>
    <t>15/06/2014</t>
  </si>
  <si>
    <t>29/09/2016</t>
  </si>
  <si>
    <t>04/05/2017</t>
  </si>
  <si>
    <t>20/07/2016</t>
  </si>
  <si>
    <t>24/04/2015</t>
  </si>
  <si>
    <t>25/09/2015</t>
  </si>
  <si>
    <t>APLV + inhame + peixe + frutos do mar (bebida de soja)</t>
  </si>
  <si>
    <t>24/12/2005</t>
  </si>
  <si>
    <t>APLV + soja + milho + ervilha + lentilha (suco de fruta)</t>
  </si>
  <si>
    <t>05/08/2014</t>
  </si>
  <si>
    <t>15/11/2013</t>
  </si>
  <si>
    <t>02/10/2015</t>
  </si>
  <si>
    <t>Autismo - Maria Eduarda Silva</t>
  </si>
  <si>
    <t>11/03/2003</t>
  </si>
  <si>
    <t>Dieta Pastosa liquidificada - Alexia fernanda dos Santos Lopes</t>
  </si>
  <si>
    <t>Dieta Pastosa - Laura Aparecida Alves</t>
  </si>
  <si>
    <t>30/03/2014</t>
  </si>
  <si>
    <t>APLV + ovo + soja + oleaginosas (neocate)</t>
  </si>
  <si>
    <t>01/06/2015</t>
  </si>
  <si>
    <t>Dieta Orale  Enteral - joão Guilherme Padovani Silva 2</t>
  </si>
  <si>
    <t>27/10/2017</t>
  </si>
  <si>
    <t>Intolerância alimentar - fórmula (Aptamil 2)</t>
  </si>
  <si>
    <t>Dieta pastosa liquidificada - Soraya Macedo</t>
  </si>
  <si>
    <t>14/09/2016</t>
  </si>
  <si>
    <t>11/01/2017</t>
  </si>
  <si>
    <t>RAFAEL HENRIQUE AGUIAR RAPOSO</t>
  </si>
  <si>
    <t>16/06/2017</t>
  </si>
  <si>
    <t>Intolerância à lactose + corante (leite sem lactose)</t>
  </si>
  <si>
    <t>LAURA ROCHA DUTRA SOUZA</t>
  </si>
  <si>
    <t>Alergia a Ovo; Alergia a Proteína do Leite de Vaca; Alergia a Feijão</t>
  </si>
  <si>
    <t>APLV + ovo + feijão (suco de fruta)</t>
  </si>
  <si>
    <t>DAVI GERONIMO CASADO</t>
  </si>
  <si>
    <t>Autismo - sem leite, gluten, soja, corante, glutamato monossódico (suco de fruta)</t>
  </si>
  <si>
    <t>NICOLLY BARBOSA ANDRADE</t>
  </si>
  <si>
    <t>LUMA RAMOS NAVARRO</t>
  </si>
  <si>
    <t>04/03/2008</t>
  </si>
  <si>
    <t>Alergia a Ovo; Alergia a Proteína do Leite de Vaca; Alergia ao Trigo; Alergia a Soja; Alergia a Corantes; Alergia a Conservantes; Alergia a Peixe; Alergia a Frutos do Mar; Alergia a Oleaginosas - Amendoim; Alergia a Chocolate/Cacau; Alergia a Fruta - Banana; Alergia a Hortifruti - Milho
Alergia a Milho</t>
  </si>
  <si>
    <t>APLV + corantes + conservantes + chocolate + ovo + trigo + soja + amendoim + milho + peixe e frutos do mar + banana (bebida de arroz)</t>
  </si>
  <si>
    <t>MARIANI DA SILVA OLERIANO</t>
  </si>
  <si>
    <t>NATHALLIA SILVA ROSSI</t>
  </si>
  <si>
    <t>24/05/2008</t>
  </si>
  <si>
    <t>Sobrepeso e obesidade - sem açúcar, com adoçante</t>
  </si>
  <si>
    <t>RAUL AMORIM DE LIMA</t>
  </si>
  <si>
    <t>10/10/2006</t>
  </si>
  <si>
    <t>RAFAEL ANTUNES TEIXEIRA</t>
  </si>
  <si>
    <t>06/11/2008</t>
  </si>
  <si>
    <t>BRUNA GIROTTO</t>
  </si>
  <si>
    <t>Intolerância alimentar - fórmula infantil (Enfamil 2)</t>
  </si>
  <si>
    <t>TALLES DOS SANTOS CARDOSO</t>
  </si>
  <si>
    <t>17/05/2015</t>
  </si>
  <si>
    <t>MELISSA BELE LINARES GORSKA DA SILVA</t>
  </si>
  <si>
    <t>KEVIN RIBEIRO MARQUES</t>
  </si>
  <si>
    <t>Alergia a Ovo; Alergia a Proteína do Leite de Vaca; Alergia ao Trigo; Alergia a Soja; Alergia a Peixe; Alergia a Frutos do Mar; Alergia a Frango</t>
  </si>
  <si>
    <t>APLV + o9vo + soja = trigo + frnago + peixe + frutos do mar (suco de fruta)</t>
  </si>
  <si>
    <t>GABRIELA PORTELA DA SILVA</t>
  </si>
  <si>
    <t>23/06/2011</t>
  </si>
  <si>
    <t>23/01/2010</t>
  </si>
  <si>
    <t>Alergia alimentar - Yasmin Pereira Silva
(	Substituição do leite de vaca e derivado por Soymilke ou Supra Soy,carne suina e bovina e sensibilidade ao amendoim, feijão, soja, tomate, trigo )</t>
  </si>
  <si>
    <t>07/09/2013</t>
  </si>
  <si>
    <t>Alergia alimentar - corantes + conservantes Victoria Cordeiro Guimarães</t>
  </si>
  <si>
    <t>06/09/2008</t>
  </si>
  <si>
    <t>dieta hipogordurosa Maria Paula Gomes Ventura</t>
  </si>
  <si>
    <t>15/04/2004</t>
  </si>
  <si>
    <t>Dieta enteral por gastrostomia normocalorica normoproteica rica em fibras (nutrifiber). Volume da dieta: 350ml. Ofertar de 3 em 3horas (2 vezes na escola) [...] vide protocolo</t>
  </si>
  <si>
    <t>13/12/2010</t>
  </si>
  <si>
    <t>hipertrigliceridemia (arroz integral, leite semidesnatado, queijo minas ou ricota)</t>
  </si>
  <si>
    <t>05/04/2007</t>
  </si>
  <si>
    <t>dieta pastosa homogenea sem pedaços liquidos espessados Nicoli Souza Santos</t>
  </si>
  <si>
    <t>alergia à proteína do leite de vaca (alimento a base de proteína isolada de soja)</t>
  </si>
  <si>
    <t>25/08/2007</t>
  </si>
  <si>
    <t>Esteatose Hepática + hipertrigliceridemia + obesidade João Brunnerson Barbosa de Lima</t>
  </si>
  <si>
    <t>31/12/2006</t>
  </si>
  <si>
    <t>Litíase renal e hipercalciúria - Dieta hipossódica</t>
  </si>
  <si>
    <t>hipercolesterolemia (arroz integral + leite semidesnatado + queijo branco ou ricota)</t>
  </si>
  <si>
    <t>Doença Celíaca  + alergia ao leite de vaca + ovo</t>
  </si>
  <si>
    <t>07/12/2006</t>
  </si>
  <si>
    <t>13/04/2007</t>
  </si>
  <si>
    <t>23/03/2009</t>
  </si>
  <si>
    <t>14/06/2003</t>
  </si>
  <si>
    <t>06/07/2004</t>
  </si>
  <si>
    <t>Diabetes Mellitus (sucralose)</t>
  </si>
  <si>
    <t>06/10/2006</t>
  </si>
  <si>
    <t>10/11/2006</t>
  </si>
  <si>
    <t>10/12/2008</t>
  </si>
  <si>
    <t>20/10/2004</t>
  </si>
  <si>
    <t>24/09/2005</t>
  </si>
  <si>
    <t>27/04/2007</t>
  </si>
  <si>
    <t>27/02/2009</t>
  </si>
  <si>
    <t>Dieta pastosa liquidificada</t>
  </si>
  <si>
    <t>18/06/2008</t>
  </si>
  <si>
    <t>19/08/2013</t>
  </si>
  <si>
    <t>Baixo Peso + suplemento nutricional (pediasure)</t>
  </si>
  <si>
    <t>20/03/2009</t>
  </si>
  <si>
    <t>17/11/2014</t>
  </si>
  <si>
    <t>Intolerância a lactoe (Nan sem lactose)</t>
  </si>
  <si>
    <t>25/09/2009</t>
  </si>
  <si>
    <t>Diabetes Mellitus Tipo 1</t>
  </si>
  <si>
    <t>Alergia à proteína do leite de vaca (fórmula a base de proteína isolada de soja)</t>
  </si>
  <si>
    <t>07/07/2014</t>
  </si>
  <si>
    <t>29/11/2009</t>
  </si>
  <si>
    <t>01/02/2010</t>
  </si>
  <si>
    <t>Intolerância à lactose (fórmula infantil de soja)</t>
  </si>
  <si>
    <t>30/10/2009</t>
  </si>
  <si>
    <t>Intolerância a lactose (leite sem lactose ou com baixo teor de lactose - derivados liberados) + alergia a camarão</t>
  </si>
  <si>
    <t>23/01/2009</t>
  </si>
  <si>
    <t>25/11/2009</t>
  </si>
  <si>
    <t>Intolerância a lactose + soja (leite sem lactose)</t>
  </si>
  <si>
    <t>22/02/2011</t>
  </si>
  <si>
    <t>18/07/2014</t>
  </si>
  <si>
    <t>03/07/2009</t>
  </si>
  <si>
    <t>Alergia alimentar - lentilha</t>
  </si>
  <si>
    <t>12/03/2015</t>
  </si>
  <si>
    <t>Diarreia - prescrição Aptamil 3</t>
  </si>
  <si>
    <t>05/11/2005</t>
  </si>
  <si>
    <t>Intolerância à lactose (leite sem lactose derivados liberados)</t>
  </si>
  <si>
    <t>Deficiência de G6PD - restrição de corantes + feijão fava + vitamina C</t>
  </si>
  <si>
    <t>16/12/2009</t>
  </si>
  <si>
    <t>18/03/2010</t>
  </si>
  <si>
    <t>alergia alimentar -corantes + temperos artificiais + sucos artificiais + enlatados + embutidos</t>
  </si>
  <si>
    <t>alergia a proteína do leite de vaca (alimento a base de soja)</t>
  </si>
  <si>
    <t>03/11/2005</t>
  </si>
  <si>
    <t>10/08/2003</t>
  </si>
  <si>
    <t>07/10/2011</t>
  </si>
  <si>
    <t>19/12/2008</t>
  </si>
  <si>
    <t>20/01/2012</t>
  </si>
  <si>
    <t>17/12/2011</t>
  </si>
  <si>
    <t>Alergia a proteina do leite de vaca (Milnutri Soja)</t>
  </si>
  <si>
    <t>Refluxo Gastroesofágico (fórmula infantil anti refluxo)</t>
  </si>
  <si>
    <t>Alergia a proteina do leite de vaca (fórmula de proteina isolada de soja)</t>
  </si>
  <si>
    <t>Intolerância a lactose (leite com baixo teor de lactose) + constipação</t>
  </si>
  <si>
    <t>06/09/2009</t>
  </si>
  <si>
    <t>20/07/2000</t>
  </si>
  <si>
    <t>10/03/2014</t>
  </si>
  <si>
    <t>04/09/2011</t>
  </si>
  <si>
    <t>08/10/2006</t>
  </si>
  <si>
    <t>Autismo - Brayan Munoz</t>
  </si>
  <si>
    <t>10/08/2013</t>
  </si>
  <si>
    <t>18/03/2012</t>
  </si>
  <si>
    <t>Intolerância à lactose (leite e derivados sem lactose) + Intolerância ao glúten em investigação</t>
  </si>
  <si>
    <t>Alergia alimentar - corantes + temperos artificiais + sucos artificiais + enlatados + outros</t>
  </si>
  <si>
    <t>10/09/2004</t>
  </si>
  <si>
    <t>23/11/2008</t>
  </si>
  <si>
    <t>Hipercolesterolemia - Hipertrigliceridemia</t>
  </si>
  <si>
    <t>22/05/2003</t>
  </si>
  <si>
    <t>Alergia à proteína do leite de vaca (alimento a base de soja) derivados liberados</t>
  </si>
  <si>
    <t>10/03/2005</t>
  </si>
  <si>
    <t>07/05/2011</t>
  </si>
  <si>
    <t>18/12/2008</t>
  </si>
  <si>
    <t>08/05/2007</t>
  </si>
  <si>
    <t>26/11/2003</t>
  </si>
  <si>
    <t>Alergia a proteína do leite de vaca (alimento a base de soja) + corantes</t>
  </si>
  <si>
    <t>19/09/2005</t>
  </si>
  <si>
    <t>14/06/2004</t>
  </si>
  <si>
    <t>05/04/2013</t>
  </si>
  <si>
    <t>Refluxo Gastroesofagico - formula (ninho 1+) com engrossante (mucilon)</t>
  </si>
  <si>
    <t>Insuficiência renal crônica</t>
  </si>
  <si>
    <t>23/06/2003</t>
  </si>
  <si>
    <t>20/11/2007</t>
  </si>
  <si>
    <t>24/09/2004</t>
  </si>
  <si>
    <t>10/01/2005</t>
  </si>
  <si>
    <t>Alergia ao leite de vaca + Corantes</t>
  </si>
  <si>
    <t>03/02/2001</t>
  </si>
  <si>
    <t>03/09/2004</t>
  </si>
  <si>
    <t>Alergia a corantes e conservantes + Doença péptica</t>
  </si>
  <si>
    <t>07/01/2002</t>
  </si>
  <si>
    <t>17/10/2005</t>
  </si>
  <si>
    <t>Alergia alimentar + Doença Celiaca - Davi de Jesus Duarte</t>
  </si>
  <si>
    <t>01/07/2002</t>
  </si>
  <si>
    <t>13/04/2004</t>
  </si>
  <si>
    <t>29/10/2005</t>
  </si>
  <si>
    <t>07/09/2004</t>
  </si>
  <si>
    <t>20/11/2005</t>
  </si>
  <si>
    <t>11/11/2003</t>
  </si>
  <si>
    <t>Alergia a chocolate + peixe + salsicha</t>
  </si>
  <si>
    <t>25/05/2005</t>
  </si>
  <si>
    <t>Baixo Peso + Suplemento Nutricional (Pediassure_lanche)</t>
  </si>
  <si>
    <t>02/06/2004</t>
  </si>
  <si>
    <t>18/09/2006</t>
  </si>
  <si>
    <t>Intolerância ou alergia ao leite de vaca</t>
  </si>
  <si>
    <t>25/03/2003</t>
  </si>
  <si>
    <t>Diabetes Mellitus + Dislipidemia + Sobrepeso</t>
  </si>
  <si>
    <t>11/04/2005</t>
  </si>
  <si>
    <t>Hipertrigliceridemia - Fernando Soares Silva</t>
  </si>
  <si>
    <t>29/05/2005</t>
  </si>
  <si>
    <t>11/02/2007</t>
  </si>
  <si>
    <t>Intolerancia a lactose e /ou Alergia ao leite de vaca</t>
  </si>
  <si>
    <t>12/02/2008</t>
  </si>
  <si>
    <t>16/12/2005</t>
  </si>
  <si>
    <t>alergia ao leite de vaca + trigo + ovo + peixe + amendoim</t>
  </si>
  <si>
    <t>07/11/2005</t>
  </si>
  <si>
    <t>Síndrome Nefrótica + Hipossódica</t>
  </si>
  <si>
    <t>13/07/2006</t>
  </si>
  <si>
    <t>10/05/2005</t>
  </si>
  <si>
    <t>alergia ao leite de vaca + ovo</t>
  </si>
  <si>
    <t>05/07/2006</t>
  </si>
  <si>
    <t>alergia a ovo + coco</t>
  </si>
  <si>
    <t>02/03/2007</t>
  </si>
  <si>
    <t>Obesidade + Hipertrigliceridemia (fibras)</t>
  </si>
  <si>
    <t>16/09/2009</t>
  </si>
  <si>
    <t>Intolerância à lactose + Diabetes mellitus +Hipercolesterolemia + restrição a corantes + aromatizantes</t>
  </si>
  <si>
    <t>08/06/2005</t>
  </si>
  <si>
    <t>07/05/2005</t>
  </si>
  <si>
    <t>Sobrepeso e Obesidade + Dislipidemia</t>
  </si>
  <si>
    <t>18/01/2010</t>
  </si>
  <si>
    <t>21/03/2008</t>
  </si>
  <si>
    <t>Alergia alimentar A CORANTES E CONSERVANTES</t>
  </si>
  <si>
    <t>10/12/2011</t>
  </si>
  <si>
    <t>Alergia Alimentar - Corantes</t>
  </si>
  <si>
    <t>09/01/2008</t>
  </si>
  <si>
    <t>23/01/2006</t>
  </si>
  <si>
    <t>Dieta pastosa liquidificada + líquidos espessados</t>
  </si>
  <si>
    <t>11/08/2009</t>
  </si>
  <si>
    <t>Dieta enteral - Eduardo Martins dos Santos</t>
  </si>
  <si>
    <t>10/08/2010</t>
  </si>
  <si>
    <t>APLV (bebida de soja Ades original ou ades shake morango)</t>
  </si>
  <si>
    <t>23/09/2010</t>
  </si>
  <si>
    <t>30/05/2015</t>
  </si>
  <si>
    <t>24/04/2012</t>
  </si>
  <si>
    <t>14/01/2013</t>
  </si>
  <si>
    <t>22/07/2010</t>
  </si>
  <si>
    <t>12/06/2010</t>
  </si>
  <si>
    <t>Intolerância à Lactose + corante + aromatizante + enlatados + embutidos (leite sem lactose)</t>
  </si>
  <si>
    <t>17/11/2013</t>
  </si>
  <si>
    <t>25/11/2012</t>
  </si>
  <si>
    <t>Intolerância alimentar - leite (bebida de soja) + alergia corantes + ovo</t>
  </si>
  <si>
    <t>Leucemia Linfoide Aguda - sem alimentos ácidos</t>
  </si>
  <si>
    <t>19/09/2014</t>
  </si>
  <si>
    <t>07/09/2005</t>
  </si>
  <si>
    <t>23/12/2012</t>
  </si>
  <si>
    <t>18/10/2012</t>
  </si>
  <si>
    <t>23/05/2012</t>
  </si>
  <si>
    <t>27/08/2010</t>
  </si>
  <si>
    <t>12/10/2012</t>
  </si>
  <si>
    <t>10/02/2013</t>
  </si>
  <si>
    <t>02/05/2008</t>
  </si>
  <si>
    <t>10/01/2011</t>
  </si>
  <si>
    <t>Deficiência de G6PD - Murilo da Anunciação</t>
  </si>
  <si>
    <t>02/11/2012</t>
  </si>
  <si>
    <t>18/05/2012</t>
  </si>
  <si>
    <t>21/07/2014</t>
  </si>
  <si>
    <t>PALV (suco de fruta)</t>
  </si>
  <si>
    <t>10/07/2014</t>
  </si>
  <si>
    <t>APLV + soja + gluten (suco de frutas)</t>
  </si>
  <si>
    <t>15/12/2012</t>
  </si>
  <si>
    <t>25/08/2014</t>
  </si>
  <si>
    <t>Alergia - Laura Macena</t>
  </si>
  <si>
    <t>Alergias - Arthur Frederico</t>
  </si>
  <si>
    <t>08/06/2016</t>
  </si>
  <si>
    <t>Refluxo gastroesofágico (Aptamil AR ou nan AR)</t>
  </si>
  <si>
    <t>04/08/2016</t>
  </si>
  <si>
    <t>Desnutrição - Nicolas Alves</t>
  </si>
  <si>
    <t>08/09/2014</t>
  </si>
  <si>
    <t>Alergia - corantes + frutos do mar</t>
  </si>
  <si>
    <t>28/07/2014</t>
  </si>
  <si>
    <t>Intolerância alimentar - trigo</t>
  </si>
  <si>
    <t>03/04/2012</t>
  </si>
  <si>
    <t>18/11/2000</t>
  </si>
  <si>
    <t>28/04/2012</t>
  </si>
  <si>
    <t>Alergia - amendoim + carne suína + peixe</t>
  </si>
  <si>
    <t>02/06/2015</t>
  </si>
  <si>
    <t>23/05/2011</t>
  </si>
  <si>
    <t>Intolerância à Lactose (Pregomin)</t>
  </si>
  <si>
    <t>Refluxo gastroesofágico + alergia oleaginosas</t>
  </si>
  <si>
    <t>12/02/2009</t>
  </si>
  <si>
    <t>18/12/2004</t>
  </si>
  <si>
    <t>08/04/2006</t>
  </si>
  <si>
    <t>Alergia - camarão</t>
  </si>
  <si>
    <t>APLV + ovo + abacate (bebida de soja)</t>
  </si>
  <si>
    <t>APLV + ovo + melancia + goiaba + maracujá + abacaxi (bebida de soja)</t>
  </si>
  <si>
    <t>10/10/2004</t>
  </si>
  <si>
    <t>Dieta pastosa - Leonardo Henry</t>
  </si>
  <si>
    <t>26/08/2012</t>
  </si>
  <si>
    <t>Alergia - café</t>
  </si>
  <si>
    <t>APLV + ovo + corantes + peixe (suco de frutas)</t>
  </si>
  <si>
    <t>26/06/2012</t>
  </si>
  <si>
    <t>Intolerância alimentar - laranja + café</t>
  </si>
  <si>
    <t>09/10/2014</t>
  </si>
  <si>
    <t>16/11/2016</t>
  </si>
  <si>
    <t>Intolerância à lactose ( leite sem lactose)</t>
  </si>
  <si>
    <t>Deficiência e G6PD - Miguel Borlino</t>
  </si>
  <si>
    <t>30/04/2006</t>
  </si>
  <si>
    <t>Intolerância à lactose (leite sem lactose) - liberado pãe, bolos e biscoitos</t>
  </si>
  <si>
    <t>12/01/2006</t>
  </si>
  <si>
    <t>02/02/2010</t>
  </si>
  <si>
    <t>11/09/2014</t>
  </si>
  <si>
    <t>03/07/2016</t>
  </si>
  <si>
    <t>18/11/2015</t>
  </si>
  <si>
    <t>08/02/2016</t>
  </si>
  <si>
    <t>06/09/2011</t>
  </si>
  <si>
    <t>15/09/2005</t>
  </si>
  <si>
    <t>Dieta Pastosa Homogênea e Liquidificada - Miguel Andrade Joly</t>
  </si>
  <si>
    <t>Dieta Enteral - Kenay Gabriel de Melo Umbelino</t>
  </si>
  <si>
    <t>Alergia - peixe + camarão + frutos do mar</t>
  </si>
  <si>
    <t>Alergia - corantes + chocolate + carne suina + molho de tomate + morango + abacaxi + kiwi + açaí</t>
  </si>
  <si>
    <t>26/07/2005</t>
  </si>
  <si>
    <t>Intolerância à lactose (leite sem lactose ou bebida de soja)</t>
  </si>
  <si>
    <t>06/01/2007</t>
  </si>
  <si>
    <t>Intolerância à Lactose (leite sem lactose ou bebida de soja)</t>
  </si>
  <si>
    <t>12/01/2016</t>
  </si>
  <si>
    <t>06/06/2015</t>
  </si>
  <si>
    <t>Alergia - ovo + chocolate + peixe</t>
  </si>
  <si>
    <t>18/01/2011</t>
  </si>
  <si>
    <t>APLV + corante + aromatizante (bebida de soja)</t>
  </si>
  <si>
    <t>12/07/2014</t>
  </si>
  <si>
    <t>Glicogenose - Ana Luisa Anseloni Serra</t>
  </si>
  <si>
    <t>01/05/2012</t>
  </si>
  <si>
    <t>APLV + corantes + amendoim + temperos artificiais + soja (suco de fruta)</t>
  </si>
  <si>
    <t>26/10/2012</t>
  </si>
  <si>
    <t>19/03/2013</t>
  </si>
  <si>
    <t>14/02/2008</t>
  </si>
  <si>
    <t>IntolerÇancia à lactose + alergia a soja (suco de frutas)</t>
  </si>
  <si>
    <t>07/01/2015</t>
  </si>
  <si>
    <t>23/06/2008</t>
  </si>
  <si>
    <t>30/04/2012</t>
  </si>
  <si>
    <t>Dieta enteral - Nicollas Rodrigues</t>
  </si>
  <si>
    <t>Dislipidemia + Diabetes Mellitus</t>
  </si>
  <si>
    <t>Alergia corante + conservante</t>
  </si>
  <si>
    <t>14/03/2016</t>
  </si>
  <si>
    <t>Alergia peixe + carne suina + salsicha</t>
  </si>
  <si>
    <t>Dieta pastosa - Gabriel Duarte</t>
  </si>
  <si>
    <t>20/08/2008</t>
  </si>
  <si>
    <t>Dieta enteral - Silas Thiago 2</t>
  </si>
  <si>
    <t>31/03/2008</t>
  </si>
  <si>
    <t>17/12/2015</t>
  </si>
  <si>
    <t>19/02/2016</t>
  </si>
  <si>
    <t>Intolerância À lactose (leite sem lactose ou bebida de soja)</t>
  </si>
  <si>
    <t>APLV + ovo + trigo (Milnutri soja)</t>
  </si>
  <si>
    <t>11/02/2015</t>
  </si>
  <si>
    <t>APLV (suco de fruta prescrito)- derivados liberados</t>
  </si>
  <si>
    <t>30/07/2016</t>
  </si>
  <si>
    <t>Alergia ovo + amendoim</t>
  </si>
  <si>
    <t>28/09/2010</t>
  </si>
  <si>
    <t>APLV + carne suína + carne bovina - liberado pa~es, bolos, biscoitos, manteiga (suco de fruta)</t>
  </si>
  <si>
    <t>28/02/2010</t>
  </si>
  <si>
    <t>Dieta Pastosa - Rafaela Belizario</t>
  </si>
  <si>
    <t>APLV + ovo (SUCO DE FRUTA)</t>
  </si>
  <si>
    <t>16/09/2004</t>
  </si>
  <si>
    <t>Dieta Pastosa e Liquidificada- jenevieve Mobembo</t>
  </si>
  <si>
    <t>21/06/2010</t>
  </si>
  <si>
    <t>Cefaleia - sem corantes + conservantes</t>
  </si>
  <si>
    <t>26/12/2014</t>
  </si>
  <si>
    <t>01/09/2013</t>
  </si>
  <si>
    <t>APLV (bebida de soja ou arroz ou aveia ou coco)</t>
  </si>
  <si>
    <t>27/02/2016</t>
  </si>
  <si>
    <t>APLV (Aptamil HA)</t>
  </si>
  <si>
    <t>19/01/2016</t>
  </si>
  <si>
    <t>Intolerância à lactose + corante + conservante</t>
  </si>
  <si>
    <t>Refluxo Gastroesofágico - Kaue Melari</t>
  </si>
  <si>
    <t>17/05/2016</t>
  </si>
  <si>
    <t>APLV + corantes + molho de tomate + beterraba (suco de fruta) - derivados liberados</t>
  </si>
  <si>
    <t>10/12/2016</t>
  </si>
  <si>
    <t>Alergias (corantes artificiais, morango, molho de tomate, frutas vermelhas, peixe, crustáceos, carne de porco, achocolatado, temperos artificiais, derivados de soja) - Vitor Monteiro</t>
  </si>
  <si>
    <t>09/01/2014</t>
  </si>
  <si>
    <t>15/03/2014</t>
  </si>
  <si>
    <t>APLV + corantes + conservantes e dislipidemia (suco de fruta)</t>
  </si>
  <si>
    <t>09/09/2013</t>
  </si>
  <si>
    <t>04/02/2014</t>
  </si>
  <si>
    <t>20/07/2013</t>
  </si>
  <si>
    <t>APLV (Aptamil Soja)</t>
  </si>
  <si>
    <t>07/11/2016</t>
  </si>
  <si>
    <t>Refluxo Gastroesofágico (Aptamil 3)</t>
  </si>
  <si>
    <t>Alergia - alimentos integrais</t>
  </si>
  <si>
    <t>01/04/2011</t>
  </si>
  <si>
    <t>13/05/2016</t>
  </si>
  <si>
    <t>Intolerância á Lactose (leite sem lactose) - derivados liberados</t>
  </si>
  <si>
    <t>25/05/2015</t>
  </si>
  <si>
    <t>APLV (suco de fruta )</t>
  </si>
  <si>
    <t>09/11/2016</t>
  </si>
  <si>
    <t>22/02/2014</t>
  </si>
  <si>
    <t>APLV + ovo + peixe + trigo + soja + amendoim (suco de fruta)</t>
  </si>
  <si>
    <t>09/06/2012</t>
  </si>
  <si>
    <t>APLV + ovo + gluten (suco de frutas)</t>
  </si>
  <si>
    <t>05/08/2011</t>
  </si>
  <si>
    <t>13/07/2015</t>
  </si>
  <si>
    <t>Intolerância à lactose 9leite sem alctose)- derivados liberados</t>
  </si>
  <si>
    <t>09/06/2015</t>
  </si>
  <si>
    <t>APLV (suco de fruta) -  liberado pães, bolos e biscoitos</t>
  </si>
  <si>
    <t>22/10/2014</t>
  </si>
  <si>
    <t>06/08/2016</t>
  </si>
  <si>
    <t>Prematuridade - Milnutri</t>
  </si>
  <si>
    <t>26/01/2015</t>
  </si>
  <si>
    <t>29/03/2014</t>
  </si>
  <si>
    <t>09/10/2013</t>
  </si>
  <si>
    <t>Galactosemia _ murilo da Merce Andrade</t>
  </si>
  <si>
    <t>25/09/2012</t>
  </si>
  <si>
    <t>Intolerância alimentar a leite + constipação - mAria Eduarda</t>
  </si>
  <si>
    <t>28/09/2014</t>
  </si>
  <si>
    <t>Autismo - Victoria Barreto Soares</t>
  </si>
  <si>
    <t>Dislipidemia + obesidade</t>
  </si>
  <si>
    <t>Autismo - Rodrigo Edson Santos</t>
  </si>
  <si>
    <t>Constipação intestinal - sem leite em pó e sem banana nanica</t>
  </si>
  <si>
    <t>Síndrome de Down - Fernanda Luiz Santos</t>
  </si>
  <si>
    <t>22/10/2012</t>
  </si>
  <si>
    <t>Alergia a peixe + fruto do mar + melancia</t>
  </si>
  <si>
    <t>29/06/2012</t>
  </si>
  <si>
    <t>09/05/2008</t>
  </si>
  <si>
    <t>Anemia falciforme - Eduarda Antonia</t>
  </si>
  <si>
    <t>Alergia - corantes + conservantes + enlatados + embutidos + sucos e etemperos artificiais + ovo + trigo</t>
  </si>
  <si>
    <t>21/10/2012</t>
  </si>
  <si>
    <t>11/09/1999</t>
  </si>
  <si>
    <t>08/04/2007</t>
  </si>
  <si>
    <t>Doença renal</t>
  </si>
  <si>
    <t>30/01/2017</t>
  </si>
  <si>
    <t>Intolerância alimentar  leite (ninho)</t>
  </si>
  <si>
    <t>18/01/2014</t>
  </si>
  <si>
    <t>20/04/2010</t>
  </si>
  <si>
    <t>APLV + morango (suco de fruta)</t>
  </si>
  <si>
    <t>Intolerância alimentar - fórmula (nan comfor)</t>
  </si>
  <si>
    <t>04/12/2014</t>
  </si>
  <si>
    <t>Síndrome de Down - Sayuri Araujo</t>
  </si>
  <si>
    <t>Refluxo Gastroesofágico (nan Supreme)</t>
  </si>
  <si>
    <t>21/11/2013</t>
  </si>
  <si>
    <t>APLV + sja + gluten (suco de fruta)</t>
  </si>
  <si>
    <t>Alergia a banana + tomate + amenodim + castanhas + nozes +caju + manga</t>
  </si>
  <si>
    <t>13/11/2012</t>
  </si>
  <si>
    <t>Síndrome de Down - sem gluten e soja</t>
  </si>
  <si>
    <t>25/02/2017</t>
  </si>
  <si>
    <t>Intolerância à lactose (Aptamil sem lactose)</t>
  </si>
  <si>
    <t>29/09/2000</t>
  </si>
  <si>
    <t>24/09/2015</t>
  </si>
  <si>
    <t>ALPV + soja (suco de fruta)</t>
  </si>
  <si>
    <t>28/07/2008</t>
  </si>
  <si>
    <t>Doença renal - Maria Clara amorim andrande</t>
  </si>
  <si>
    <t>Alergia a ovo - liberado alimentos que contém ovo</t>
  </si>
  <si>
    <t>Alergia a ovo (liberao alimentos que contém ovo)</t>
  </si>
  <si>
    <t>Intolerância à lactose + refluxo gastroesofágico (leite sem lactose)</t>
  </si>
  <si>
    <t>Dieta pastosa amassada - Francisco Arthur</t>
  </si>
  <si>
    <t>Doenca Renal - hipossódica, sem conservante</t>
  </si>
  <si>
    <t>28/04/2015</t>
  </si>
  <si>
    <t>Alergia a corante + conservante + chocolate</t>
  </si>
  <si>
    <t>29/03/2013</t>
  </si>
  <si>
    <t>Dieta Cetogênica - Samuel Barbosa dos Santos</t>
  </si>
  <si>
    <t>Dieta Pastosa - Guilherme Figueiredo</t>
  </si>
  <si>
    <t>12/03/2016</t>
  </si>
  <si>
    <t>20/02/2017</t>
  </si>
  <si>
    <t>01/07/2009</t>
  </si>
  <si>
    <t>27/11/2012</t>
  </si>
  <si>
    <t>Acidemia Glutárica tipo 1 -Caio Ferbnando de Souza Campos</t>
  </si>
  <si>
    <t>02/01/2012</t>
  </si>
  <si>
    <t>APLV + ovo - kaique fernandes</t>
  </si>
  <si>
    <t>APLV + ovo + camarão (suco de frutas)</t>
  </si>
  <si>
    <t>18/06/2014</t>
  </si>
  <si>
    <t>Alergia - carne suína + enlatado + embutidos</t>
  </si>
  <si>
    <t>16/02/2011</t>
  </si>
  <si>
    <t>Dieta Pastosa Liquidificada - Arthur Marques 2</t>
  </si>
  <si>
    <t>18/12/2003</t>
  </si>
  <si>
    <t>16/02/2015</t>
  </si>
  <si>
    <t>26/05/2012</t>
  </si>
  <si>
    <t>02/02/2017</t>
  </si>
  <si>
    <t>27/03/2015</t>
  </si>
  <si>
    <t>Autismo - Júlia Ariel Silva Gomes</t>
  </si>
  <si>
    <t>26/08/2016</t>
  </si>
  <si>
    <t>07/04/2014</t>
  </si>
  <si>
    <t>Constipação intestinal - sem maçã e leite</t>
  </si>
  <si>
    <t>01/10/2010</t>
  </si>
  <si>
    <t>28/03/2016</t>
  </si>
  <si>
    <t>Constipação Intestinal - maçã</t>
  </si>
  <si>
    <t>21/02/2014</t>
  </si>
  <si>
    <t>29/12/2014</t>
  </si>
  <si>
    <t>09/08/2013</t>
  </si>
  <si>
    <t>Dieta pastosa liquidificada - Emilly Ferreira Lopes</t>
  </si>
  <si>
    <t>16/04/2013</t>
  </si>
  <si>
    <t>APLV + ovo + castanha portuguesa + frutas (banana, pêssego, damasco, mamão papaia, kiwi, abacate), - suco de fruta)</t>
  </si>
  <si>
    <t>APLV + ovo + gluten (suco de fruta)</t>
  </si>
  <si>
    <t>Constipação Intestinal - sem leite em pó (leite fluid)</t>
  </si>
  <si>
    <t>20/08/2013</t>
  </si>
  <si>
    <t>Dieta Pastosa - Eliezer dos santos</t>
  </si>
  <si>
    <t>16/05/2017</t>
  </si>
  <si>
    <t>Anemia ferropriva e hipercolesterolemia</t>
  </si>
  <si>
    <t>APLV + ovo + corante + cenoura (bebida de soja)</t>
  </si>
  <si>
    <t>14/11/2013</t>
  </si>
  <si>
    <t>Fenilcetonúria -Kamilly Victoria</t>
  </si>
  <si>
    <t>LYAN TEIXEIRA GONCALVES</t>
  </si>
  <si>
    <t>17/09/2015</t>
  </si>
  <si>
    <t>INGRID IASMIN OLIVEIRA MESQUITA</t>
  </si>
  <si>
    <t>ARTHUR CICERO DE SA LOURENCO</t>
  </si>
  <si>
    <t>Alergia a Ovo; Alergia a Corantes; Alergia a Conservantes; Alergia a Peixe; Alergia a Frutos do Mar</t>
  </si>
  <si>
    <t>Alergia a corantes + conservantes + ovo + peixe + frutos do mar</t>
  </si>
  <si>
    <t>YASMIN LUANE MARCOLINO DOS SANTOS</t>
  </si>
  <si>
    <t>CATARINA CARVALHO DOS SANTOS</t>
  </si>
  <si>
    <t>Alergia a gluten</t>
  </si>
  <si>
    <t>ISADORA SAGGIO BARBARA</t>
  </si>
  <si>
    <t>12/06/2016</t>
  </si>
  <si>
    <t>MIGUEL ALMEIDA LIMA</t>
  </si>
  <si>
    <t>25/03/2015</t>
  </si>
  <si>
    <t>Alergia - Arthur Ferreira</t>
  </si>
  <si>
    <t>ESTER ARCANJO OLIVEIRA</t>
  </si>
  <si>
    <t>GIOVANNA NOVAIS FERREIRA QUEIROZ</t>
  </si>
  <si>
    <t>Alergia - corantes + conservantes + frutas ácidas</t>
  </si>
  <si>
    <t>MANUELA TAYSSA NUNES VIANA</t>
  </si>
  <si>
    <t>15/10/2016</t>
  </si>
  <si>
    <t>EMEF PROF. MÁXIMO MOURA SANTOS - (TERCEI.)</t>
  </si>
  <si>
    <t>STEPHANIE TANIA MOREIRA DIAS DE CAMPOS</t>
  </si>
  <si>
    <t>ALISSON PAULINO DOS SANTOS</t>
  </si>
  <si>
    <t>09/03/2013</t>
  </si>
  <si>
    <t>LEONARDO DE FREITAS CHIAPINA</t>
  </si>
  <si>
    <t>Dieta pastosa amassada - Leonardo de Freitas</t>
  </si>
  <si>
    <t>RODRIGO LOPES BREVIGLIERI</t>
  </si>
  <si>
    <t>BEATRIZ LIMA DE OLIVEIRA</t>
  </si>
  <si>
    <t>Constipação Intestinal - sem leite em pó (leite fluido)</t>
  </si>
  <si>
    <t>JOAO VICTOR NERES FIGUEIREDO</t>
  </si>
  <si>
    <t>APLV (bebida de soja e suco de fruta alternados )</t>
  </si>
  <si>
    <t>LENIQUE IVO SILVA MERIS</t>
  </si>
  <si>
    <t>14/04/2008</t>
  </si>
  <si>
    <t>dieta pastosa amassada - Yasmim Oliveira Rocha</t>
  </si>
  <si>
    <t>28/02/2006</t>
  </si>
  <si>
    <t>Alergia alimentar - corantes + embutidos + sucos e temperos artificiais + enlatados + salgadinhos + refrigerantes</t>
  </si>
  <si>
    <t>Hipercolesterolemia - Rebeca Mirela de Oliveira Pereira</t>
  </si>
  <si>
    <t>01/09/2007</t>
  </si>
  <si>
    <t>24/01/2004</t>
  </si>
  <si>
    <t>Sobrepeso e Obesidade + Resistência à insulina</t>
  </si>
  <si>
    <t>27/05/2007</t>
  </si>
  <si>
    <t>Dislipidemia (leite desnatado + sucralose ou stevia + queijo branco ou ricota)</t>
  </si>
  <si>
    <t>20/02/2003</t>
  </si>
  <si>
    <t>resistência a insulina (leite desnatado + carboidratos integrais)</t>
  </si>
  <si>
    <t>26/04/2008</t>
  </si>
  <si>
    <t>26/03/2006</t>
  </si>
  <si>
    <t>alergia alimentar - ovo</t>
  </si>
  <si>
    <t>16/11/2007</t>
  </si>
  <si>
    <t>Gastrite - Maria Eduarda Macedo da Silva</t>
  </si>
  <si>
    <t>26/04/2004</t>
  </si>
  <si>
    <t>Intolerância à lactose + Doença Celíaca</t>
  </si>
  <si>
    <t>03/05/2007</t>
  </si>
  <si>
    <t>10/10/2005</t>
  </si>
  <si>
    <t>23/10/2008</t>
  </si>
  <si>
    <t>Sobrepeso e Obesidade + hipercolesterolemia (integrais)</t>
  </si>
  <si>
    <t>26/02/2004</t>
  </si>
  <si>
    <t>Constipação Intestinal (indicação de Aptamil ou ninho 1+)</t>
  </si>
  <si>
    <t>15/05/2008</t>
  </si>
  <si>
    <t>Intolerância alimentar - café</t>
  </si>
  <si>
    <t>22/12/2012</t>
  </si>
  <si>
    <t>29/07/2008</t>
  </si>
  <si>
    <t>alergia à proteína do leite de vaca - indicação supra soy</t>
  </si>
  <si>
    <t>Alergia alimentar - corantes + caju</t>
  </si>
  <si>
    <t>15/03/2004</t>
  </si>
  <si>
    <t>Dislipidemia - Hipercolesterolemia</t>
  </si>
  <si>
    <t>Alergia a Proteína do Leite de Vaca (alimento a base de soja)</t>
  </si>
  <si>
    <t>12/12/2009</t>
  </si>
  <si>
    <t>Intolerância a lactose (leite sem lactose ou alimento a base de soja)</t>
  </si>
  <si>
    <t>13/03/2012</t>
  </si>
  <si>
    <t>23/10/2015</t>
  </si>
  <si>
    <t>Refluxo gastroesofágico (aptamil AR)</t>
  </si>
  <si>
    <t>05/04/2015</t>
  </si>
  <si>
    <t>Constipação intestinal - restrição de fórmula infantil nestogeno (prescrição leite ninho fases)</t>
  </si>
  <si>
    <t>09/05/2014</t>
  </si>
  <si>
    <t>06/07/2011</t>
  </si>
  <si>
    <t>Desnutrição proteico calórica + anemia falciforme (prescrição suplemento nutricional) Leonam G. França</t>
  </si>
  <si>
    <t>03/04/2015</t>
  </si>
  <si>
    <t>Refluxogastroesofágico (aptamil AR)</t>
  </si>
  <si>
    <t>17/01/2012</t>
  </si>
  <si>
    <t>Alergia à proteína do leite de vaca + ovo (alimento a base de soja ou bebida a base de aveia)</t>
  </si>
  <si>
    <t>05/05/2006</t>
  </si>
  <si>
    <t>Dislipidemia + Obesidade (segundo prescrição do nutricionista - lanche composto por fruta)</t>
  </si>
  <si>
    <t>Intolerância alimentar - laranja, limão, abacaxi</t>
  </si>
  <si>
    <t>19/02/2010</t>
  </si>
  <si>
    <t>Autismo - Murilo Ferreira Ribeiro</t>
  </si>
  <si>
    <t>28/04/2004</t>
  </si>
  <si>
    <t>06/06/2014</t>
  </si>
  <si>
    <t>20/09/2009</t>
  </si>
  <si>
    <t>Galactosemia - Marina de Jesus Pereira Ribeiro</t>
  </si>
  <si>
    <t>07/02/2007</t>
  </si>
  <si>
    <t>10/04/2014</t>
  </si>
  <si>
    <t>Constipação Intestinal restrição de leite em pó (prescrição leite UHT)</t>
  </si>
  <si>
    <t>06/03/2007</t>
  </si>
  <si>
    <t>Dislipidemia - leite desnatado + arroz integral + macarrão integral</t>
  </si>
  <si>
    <t>03/12/2004</t>
  </si>
  <si>
    <t>01/11/2014</t>
  </si>
  <si>
    <t>15/12/2014</t>
  </si>
  <si>
    <t>Constipação Intestinal - padrão</t>
  </si>
  <si>
    <t>ENXAQUECA- RESTRIÇÃO A QUEIJO, CHOCOLATE - ACHOCOLATADO, SALSICHA</t>
  </si>
  <si>
    <t>10/08/2009</t>
  </si>
  <si>
    <t>Refluxo Gastroesofágico + restrição a banana</t>
  </si>
  <si>
    <t>23/04/2007</t>
  </si>
  <si>
    <t>Diabetes Melitus - padrão</t>
  </si>
  <si>
    <t>Intolerância a lactose (leite baixo teor de latose ou alimento a base de soja)</t>
  </si>
  <si>
    <t>15/02/2002</t>
  </si>
  <si>
    <t>Diabetes melitus - padrão</t>
  </si>
  <si>
    <t>22/03/2009</t>
  </si>
  <si>
    <t>Alergia a proteína do leite de vaca + ovo (alimento a base de soja)</t>
  </si>
  <si>
    <t>09/09/2008</t>
  </si>
  <si>
    <t>02/06/2009</t>
  </si>
  <si>
    <t>Alergia a proteina do leite de vaca (alimento a base de soja, bebida de arroz ou amendoa) + banana + pêssego + kiwi + melão + melancia</t>
  </si>
  <si>
    <t>Dieta Pastosa Liquidificada - Ana Luiza Lima de Jesus</t>
  </si>
  <si>
    <t>05/05/2009</t>
  </si>
  <si>
    <t>Alergia a proteina do leite de vaca + intolerância a lactose + ovo + hipertrigliceridemia (alimento a base de soja + arroz integral)</t>
  </si>
  <si>
    <t>18/01/2005</t>
  </si>
  <si>
    <t>Dislipidemia + deficiência de vitaminas e minerais</t>
  </si>
  <si>
    <t>01/10/2004</t>
  </si>
  <si>
    <t>07/12/2008</t>
  </si>
  <si>
    <t>23/04/2009</t>
  </si>
  <si>
    <t>Alergia alimentar - carne suína</t>
  </si>
  <si>
    <t>Alergia à proteína do leite de vaca + ovo (alimento a base de soja ou bebida a base de arroz)</t>
  </si>
  <si>
    <t>02/01/2004</t>
  </si>
  <si>
    <t>13/08/2004</t>
  </si>
  <si>
    <t>Diabetes Mellitus (leite semidesnatado + queijo branco + macarrão integral + arroz integral) Kimberly Rafaela Ferreira Silva</t>
  </si>
  <si>
    <t>23/02/2007</t>
  </si>
  <si>
    <t>Sobrepeso e obesidade (leite semi desnatado)</t>
  </si>
  <si>
    <t>16/01/2010</t>
  </si>
  <si>
    <t>09/06/2009</t>
  </si>
  <si>
    <t>19/04/2007</t>
  </si>
  <si>
    <t>Alergia alimentar - embutidos e carne suína</t>
  </si>
  <si>
    <t>Alergia alimentar - corantes + conservantes + enlatados</t>
  </si>
  <si>
    <t>24/01/2005</t>
  </si>
  <si>
    <t>16/03/2007</t>
  </si>
  <si>
    <t>23/11/2009</t>
  </si>
  <si>
    <t>23/11/2012</t>
  </si>
  <si>
    <t>25/02/2006</t>
  </si>
  <si>
    <t>06/06/2005</t>
  </si>
  <si>
    <t>13/09/2011</t>
  </si>
  <si>
    <t>14/08/2005</t>
  </si>
  <si>
    <t>17/09/2009</t>
  </si>
  <si>
    <t>14/06/2015</t>
  </si>
  <si>
    <t>12/04/2015</t>
  </si>
  <si>
    <t>11/12/2008</t>
  </si>
  <si>
    <t>Dieta enteral normocalórica, normoproteica, infantil, 300mL às 15h. Tempo de administração: 50 minutos através de equipo. Após a dieta, lavar a sonda com 20mL de água e aguardar 30 minutos para administrar 200mL de água para hidratação.</t>
  </si>
  <si>
    <t>14/10/2012</t>
  </si>
  <si>
    <t>Deficiência de frutose-1.6-bifosfatase</t>
  </si>
  <si>
    <t>20/04/2005</t>
  </si>
  <si>
    <t>Sobrepeso e Obesidade - Perda de peso - Juliano dos Santos Bezerra da Silva</t>
  </si>
  <si>
    <t>30/01/2004</t>
  </si>
  <si>
    <t>hipertrigliceridemia - Ananda Gabrielly Taveira</t>
  </si>
  <si>
    <t>16/06/2004</t>
  </si>
  <si>
    <t>Acidose metabólica + Hipercolesterolemia</t>
  </si>
  <si>
    <t>20/02/2006</t>
  </si>
  <si>
    <t>diabetes Mellitus (leite semi desnatado)</t>
  </si>
  <si>
    <t>22/12/2003</t>
  </si>
  <si>
    <t>19/12/2002</t>
  </si>
  <si>
    <t>24/01/2003</t>
  </si>
  <si>
    <t>28/07/2004</t>
  </si>
  <si>
    <t>01/10/2002</t>
  </si>
  <si>
    <t>04/09/2003</t>
  </si>
  <si>
    <t>Alergia alimentar -corantes e conservantes</t>
  </si>
  <si>
    <t>30/07/2005</t>
  </si>
  <si>
    <t>13/03/2004</t>
  </si>
  <si>
    <t>06/03/2005</t>
  </si>
  <si>
    <t>23/02/2006</t>
  </si>
  <si>
    <t>23/05/2005</t>
  </si>
  <si>
    <t>11/11/2005</t>
  </si>
  <si>
    <t>10/02/2003</t>
  </si>
  <si>
    <t>Intolerância à lactose + alergia a ovo</t>
  </si>
  <si>
    <t>18/05/2005</t>
  </si>
  <si>
    <t>Síndrome Nefrótica + Hipossodica (pobre em potássio, fósforo) - Wenderson Oliveira Tavares aval Dra Vanessa</t>
  </si>
  <si>
    <t>05/04/2006</t>
  </si>
  <si>
    <t>26/08/2008</t>
  </si>
  <si>
    <t>13/01/2007</t>
  </si>
  <si>
    <t>alergia a soja</t>
  </si>
  <si>
    <t>15/12/2006</t>
  </si>
  <si>
    <t>Diabetes Mellitus (Sucralose)</t>
  </si>
  <si>
    <t>15/10/2004</t>
  </si>
  <si>
    <t>18/07/2006</t>
  </si>
  <si>
    <t>12/06/2005</t>
  </si>
  <si>
    <t>04/01/2006</t>
  </si>
  <si>
    <t>intolerancia moderada a lactose</t>
  </si>
  <si>
    <t>Gastrite - hipogordurosa</t>
  </si>
  <si>
    <t>23/10/2003</t>
  </si>
  <si>
    <t>03/03/2005</t>
  </si>
  <si>
    <t>14/11/2004</t>
  </si>
  <si>
    <t>Insuficiência Renal Crônica - controle potassio</t>
  </si>
  <si>
    <t>21/12/2005</t>
  </si>
  <si>
    <t>06/11/2006</t>
  </si>
  <si>
    <t>06/07/2005</t>
  </si>
  <si>
    <t>24/11/2006</t>
  </si>
  <si>
    <t>Alergia ao leite de vaca + trigo</t>
  </si>
  <si>
    <t>07/03/2005</t>
  </si>
  <si>
    <t>alergia a chocolate + salsicha</t>
  </si>
  <si>
    <t>18/12/2005</t>
  </si>
  <si>
    <t>Sobrepeso e Obesidade - hipocalorica</t>
  </si>
  <si>
    <t>14/06/2007</t>
  </si>
  <si>
    <t>Dieta Pastosa liquidificada (inclusive frutas)</t>
  </si>
  <si>
    <t>17/03/2008</t>
  </si>
  <si>
    <t>Intolerância à lactose + Alergia alimentar A PROTEINA DO LEITE DE VACA</t>
  </si>
  <si>
    <t>05/05/2002</t>
  </si>
  <si>
    <t>Alergia alimentar - corante + chocolate</t>
  </si>
  <si>
    <t>30/01/2005</t>
  </si>
  <si>
    <t>Sobrepeso e Obesidade+ hipertrigliceridemia</t>
  </si>
  <si>
    <t>15/10/2006</t>
  </si>
  <si>
    <t>26/05/2006</t>
  </si>
  <si>
    <t>Alergia alimentar - corantes + chocolate + amendoim</t>
  </si>
  <si>
    <t>09/07/2003</t>
  </si>
  <si>
    <t>Alergia alimentar - corantes + peixe + camarão + carne de porco + restrição de açúcar</t>
  </si>
  <si>
    <t>17/03/2005</t>
  </si>
  <si>
    <t>Dieta Pastosa: leite engrossado - maisena</t>
  </si>
  <si>
    <t>07/03/2008</t>
  </si>
  <si>
    <t>06/04/2006</t>
  </si>
  <si>
    <t>HIPERCOLesterolemia</t>
  </si>
  <si>
    <t>11/03/2007</t>
  </si>
  <si>
    <t>alergia ao leite de vaca + ovo + peixe + amendoim + amendoas +coco</t>
  </si>
  <si>
    <t>13/05/2005</t>
  </si>
  <si>
    <t>Obesidade -Hipocalórica</t>
  </si>
  <si>
    <t>21/06/2012</t>
  </si>
  <si>
    <t>16/09/2014</t>
  </si>
  <si>
    <t>Alergia - corantes + sucos e temperos artificiais + enlatados + embutidos + chocolate</t>
  </si>
  <si>
    <t>APLV + ovo (bebid de soja)</t>
  </si>
  <si>
    <t>05/05/2014</t>
  </si>
  <si>
    <t>Dislipidemia (arroz integral + macarrão integral + leite desnatado)</t>
  </si>
  <si>
    <t>Dieta pastosa amassada - Pedro Henrique Jesus</t>
  </si>
  <si>
    <t>31/10/2012</t>
  </si>
  <si>
    <t>07/02/2015</t>
  </si>
  <si>
    <t>29/09/2010</t>
  </si>
  <si>
    <t>24/06/2009</t>
  </si>
  <si>
    <t>Constipação Intestinal (Aptamil 2)</t>
  </si>
  <si>
    <t>15/02/2008</t>
  </si>
  <si>
    <t>APLV + ovo + soja + amendoim + milho (suco de fruta)</t>
  </si>
  <si>
    <t>04/10/2005</t>
  </si>
  <si>
    <t>02/10/2009</t>
  </si>
  <si>
    <t>22/06/2010</t>
  </si>
  <si>
    <t>23/10/2012</t>
  </si>
  <si>
    <t>13/10/2015</t>
  </si>
  <si>
    <t>Intolerância à lactose + gluten (leite sem lactose)</t>
  </si>
  <si>
    <t>24/04/2016</t>
  </si>
  <si>
    <t>Intolerância alimentar - leite + ovo (suco de fruta)</t>
  </si>
  <si>
    <t>05/06/2012</t>
  </si>
  <si>
    <t>Refluxo gastoesofágico (Fórmula AR)</t>
  </si>
  <si>
    <t>14/08/2014</t>
  </si>
  <si>
    <t>30/12/2006</t>
  </si>
  <si>
    <t>13/05/2012</t>
  </si>
  <si>
    <t>29/12/2015</t>
  </si>
  <si>
    <t>Intolerância alimentar - biscoito maisena</t>
  </si>
  <si>
    <t>03/05/2012</t>
  </si>
  <si>
    <t>Intolerância à Lactose + corante + conservante (leite sem lactose)</t>
  </si>
  <si>
    <t>01/11/2009</t>
  </si>
  <si>
    <t>Dieta pastosa amassada - Kauan Conceição</t>
  </si>
  <si>
    <t>28/02/2015</t>
  </si>
  <si>
    <t>Dieta pastosa - Kalel Henrique</t>
  </si>
  <si>
    <t>17/12/2012</t>
  </si>
  <si>
    <t>APLV + ovo + glúten + limão + laranja (suco de fruta)</t>
  </si>
  <si>
    <t>APLV + ovo + gluten + trigo + tomate + soja + amendoim (suco de fruta prescrito)</t>
  </si>
  <si>
    <t>28/07/2009</t>
  </si>
  <si>
    <t>04/10/2008</t>
  </si>
  <si>
    <t>Intolerância alimentar - fórmula (Aptamil)</t>
  </si>
  <si>
    <t>24/06/2011</t>
  </si>
  <si>
    <t>27/11/2015</t>
  </si>
  <si>
    <t>APLV + trigo + camarão (bebida de soja)</t>
  </si>
  <si>
    <t>Dislipidemia - sem adoçante</t>
  </si>
  <si>
    <t>28/07/2012</t>
  </si>
  <si>
    <t>22/02/2012</t>
  </si>
  <si>
    <t>APLV + hipertrigliceridemia (bebida de soja)</t>
  </si>
  <si>
    <t>29/01/2011</t>
  </si>
  <si>
    <t>24/07/2015</t>
  </si>
  <si>
    <t>02/01/2011</t>
  </si>
  <si>
    <t>22/04/2015</t>
  </si>
  <si>
    <t>APLV + ovo + gluten + soja + amendoim (suco de fruta)</t>
  </si>
  <si>
    <t>Alergia - chocolate + coco + peixe + carne suína + alimentos gordurosos</t>
  </si>
  <si>
    <t>Diarreia - rica em fibras</t>
  </si>
  <si>
    <t>30/12/2008</t>
  </si>
  <si>
    <t>APLV + corantes + conservantes + enlatados + embutidos (suco de frutas)</t>
  </si>
  <si>
    <t>20/02/2015</t>
  </si>
  <si>
    <t>Intolerância à Lactose + gluten (leite sem lactose)</t>
  </si>
  <si>
    <t>23/10/2014</t>
  </si>
  <si>
    <t>01/07/2006</t>
  </si>
  <si>
    <t>06/05/2009</t>
  </si>
  <si>
    <t>Sobrepeso e obesidade - Gabriel da Silva</t>
  </si>
  <si>
    <t>Síndrome Nefrótica - Hyago Gabriel da Cunha Andrade</t>
  </si>
  <si>
    <t>15/10/2012</t>
  </si>
  <si>
    <t>Dislipidemia - leite desnatado</t>
  </si>
  <si>
    <t>29/09/2015</t>
  </si>
  <si>
    <t>Desnutrição - Yasmin Reis</t>
  </si>
  <si>
    <t>17/04/2015</t>
  </si>
  <si>
    <t>Intolerância alimentar - melancia</t>
  </si>
  <si>
    <t>30/03/2015</t>
  </si>
  <si>
    <t>31/07/2014</t>
  </si>
  <si>
    <t>13/05/2014</t>
  </si>
  <si>
    <t>07/09/2016</t>
  </si>
  <si>
    <t>26/01/2016</t>
  </si>
  <si>
    <t>Desnutrição - Allana Silva</t>
  </si>
  <si>
    <t>APLV + ovo + gluten + corante + carne suína (suco de fruta)</t>
  </si>
  <si>
    <t>01/08/2008</t>
  </si>
  <si>
    <t>Sobrepeso e obesidade - sem doces</t>
  </si>
  <si>
    <t>13/01/2015</t>
  </si>
  <si>
    <t>25/01/2016</t>
  </si>
  <si>
    <t>Alergia - corantes (Enzo C. Tolentino)</t>
  </si>
  <si>
    <t>Intolerância à Lactose (bebida de castanha)</t>
  </si>
  <si>
    <t>31/03/2015</t>
  </si>
  <si>
    <t>Fibrose Cística - Felipe Furlan Gimeniz</t>
  </si>
  <si>
    <t>Dieta enteral - Misael Martins Garcia</t>
  </si>
  <si>
    <t>Intolerância à Lactose (suco de fruta prescrito)</t>
  </si>
  <si>
    <t>30/10/2007</t>
  </si>
  <si>
    <t>APLV + ovo + trigo + corante + frutos do mar (suco de frutas)</t>
  </si>
  <si>
    <t>18/04/2014</t>
  </si>
  <si>
    <t>27/08/2007</t>
  </si>
  <si>
    <t>05/04/2009</t>
  </si>
  <si>
    <t>Intolerância alimentar - salsicha + lactose (leite sem lactose)</t>
  </si>
  <si>
    <t>Intolerância alimentar - leite (ninho 1+)</t>
  </si>
  <si>
    <t>09/03/2015</t>
  </si>
  <si>
    <t>Alergia - trigo + carne suína</t>
  </si>
  <si>
    <t>Enxaqueca - sem corantes + conservantes + chocolate</t>
  </si>
  <si>
    <t>30/04/2010</t>
  </si>
  <si>
    <t>Alergia - banana + abacate + kiwi + peixe + tomate + pêssego</t>
  </si>
  <si>
    <t>Intolerância à lactose + soja - Ammy Belle</t>
  </si>
  <si>
    <t>Intolerância alimentar - uva</t>
  </si>
  <si>
    <t>04/01/2016</t>
  </si>
  <si>
    <t>APLV + ovo + glúten + trigo + soja + amendoim (suco de fruta prescrito)</t>
  </si>
  <si>
    <t>Intolerância à Lactose (leite sem lactose ou bebida a base de soja)</t>
  </si>
  <si>
    <t>16/03/2015</t>
  </si>
  <si>
    <t>13/11/2014</t>
  </si>
  <si>
    <t>Alergias - Bryan Souza Garcia</t>
  </si>
  <si>
    <t>Alergia - ovo + peixe + camarão + frutos do mar</t>
  </si>
  <si>
    <t>19/03/2009</t>
  </si>
  <si>
    <t>APLV + ovo + peixe + tomate + trigo + soja + amendoim (suco de fruta prescrito)</t>
  </si>
  <si>
    <t>Intolerância à lactose + constiapação (leite sem lactose)</t>
  </si>
  <si>
    <t>Alergia corante + conservante + enlatado + embutido+ temperos e sucos artificiais</t>
  </si>
  <si>
    <t>15/05/2006</t>
  </si>
  <si>
    <t>Intolerância à leite (suco de fruta)</t>
  </si>
  <si>
    <t>05/12/2009</t>
  </si>
  <si>
    <t>Alergia  amendoim + Intolerância à lactose (leite sem lactose) - liberado pães, bolos e biscoitos</t>
  </si>
  <si>
    <t>Gastrite (bebida de soja)</t>
  </si>
  <si>
    <t>APLV + corantes + conservantes (suco de fruta)</t>
  </si>
  <si>
    <t>02/08/2012</t>
  </si>
  <si>
    <t>04/09/2004</t>
  </si>
  <si>
    <t>19/09/2010</t>
  </si>
  <si>
    <t>15/01/2016</t>
  </si>
  <si>
    <t>Anemia - (nan comfor 3)</t>
  </si>
  <si>
    <t>Dislipidemia + REG + gastrite</t>
  </si>
  <si>
    <t>24/04/2011</t>
  </si>
  <si>
    <t>Dislipidemia - Jean Pablo</t>
  </si>
  <si>
    <t>03/10/2006</t>
  </si>
  <si>
    <t>APLV (bebida de soja) - liberado derivados</t>
  </si>
  <si>
    <t>20/08/2011</t>
  </si>
  <si>
    <t>12/01/2012</t>
  </si>
  <si>
    <t>01/10/2015</t>
  </si>
  <si>
    <t>PLV (bebida de soja)</t>
  </si>
  <si>
    <t>Aftas - sem frutas ácidas</t>
  </si>
  <si>
    <t>11/01/2016</t>
  </si>
  <si>
    <t>APLV  + corantes</t>
  </si>
  <si>
    <t>Síndrome Nefrótica - Sophia Nunes</t>
  </si>
  <si>
    <t>01/06/2011</t>
  </si>
  <si>
    <t>18/01/2003</t>
  </si>
  <si>
    <t>APLV + soja (bebida de arroz ou suco de frutas)</t>
  </si>
  <si>
    <t>14/10/2006</t>
  </si>
  <si>
    <t>Dieta enteral - Gabriely da Silva Nascimento Lira 2</t>
  </si>
  <si>
    <t>24/09/2011</t>
  </si>
  <si>
    <t>17/07/2016</t>
  </si>
  <si>
    <t>APLV + ovo + soja + tomate (suco de fruta)</t>
  </si>
  <si>
    <t>17/02/2013</t>
  </si>
  <si>
    <t>APLV + glúten + trigo (bebida de soja)</t>
  </si>
  <si>
    <t>13/06/2014</t>
  </si>
  <si>
    <t>01/03/2009</t>
  </si>
  <si>
    <t>Dieta Pastosa amassada - Ana Julia Moreira</t>
  </si>
  <si>
    <t>02/02/2008</t>
  </si>
  <si>
    <t>Constipação intestinal - Daniel Emanuel</t>
  </si>
  <si>
    <t>17/03/2013</t>
  </si>
  <si>
    <t>25/05/2014</t>
  </si>
  <si>
    <t>Dieta Enteral - Kauan Ygor</t>
  </si>
  <si>
    <t>Autismo - Jeferson Pinheiro</t>
  </si>
  <si>
    <t>APLV + ovo (Aptamil Pepti)</t>
  </si>
  <si>
    <t>APLV + soja + ovo + tomate (suco de fruta)</t>
  </si>
  <si>
    <t>Hipercolesterolemia  (leite desnatado)</t>
  </si>
  <si>
    <t>08/09/2016</t>
  </si>
  <si>
    <t>11/10/2016</t>
  </si>
  <si>
    <t>17/08/2016</t>
  </si>
  <si>
    <t>13/09/2016</t>
  </si>
  <si>
    <t>Intolerância à lactose (leite sem lactose) + alergia banana e cenoura - derivados liberados</t>
  </si>
  <si>
    <t>02/12/2016</t>
  </si>
  <si>
    <t>Paralisia Cerebral - Pediasure</t>
  </si>
  <si>
    <t>APLV + banana + mamão + maracujá + coco + abóbora (fórmula de soja)</t>
  </si>
  <si>
    <t>01/08/2013</t>
  </si>
  <si>
    <t>APLV + ovo + peixe + gluten + soja + carne suina (suco de fruta prescrito)</t>
  </si>
  <si>
    <t>Intolerância alimentar - gluten</t>
  </si>
  <si>
    <t>Alergia a tomate</t>
  </si>
  <si>
    <t>IntolerÂncia `lactose + milho + cenoura (bebida de soja)</t>
  </si>
  <si>
    <t>18/05/2014</t>
  </si>
  <si>
    <t>APLV + ovo + trigo + soja (Pregomin)</t>
  </si>
  <si>
    <t>01/10/2014</t>
  </si>
  <si>
    <t>Síndrome nefrótica - hipossódica + corante</t>
  </si>
  <si>
    <t>17/03/2017</t>
  </si>
  <si>
    <t>20/11/2013</t>
  </si>
  <si>
    <t>19/05/2012</t>
  </si>
  <si>
    <t>Alergia a gluten + ovo</t>
  </si>
  <si>
    <t>Disfagia - Nockolas Victor</t>
  </si>
  <si>
    <t>10/07/2013</t>
  </si>
  <si>
    <t>28/01/2017</t>
  </si>
  <si>
    <t>14/12/2013</t>
  </si>
  <si>
    <t>Alergia - corante + conservante + enlatdos + embutidos + sucos e temperos artificiais</t>
  </si>
  <si>
    <t>APLV + ovo + trigo + soja + amendoim (bebida de soja)</t>
  </si>
  <si>
    <t>10/12/2012</t>
  </si>
  <si>
    <t>Intolerância à lactose (leite sem lactose )</t>
  </si>
  <si>
    <t>Intolerância à lactose + ovo + aveia (leite sem lactose)</t>
  </si>
  <si>
    <t>18/02/2017</t>
  </si>
  <si>
    <t>06/09/2013</t>
  </si>
  <si>
    <t>21/11/2014</t>
  </si>
  <si>
    <t>22/04/2014</t>
  </si>
  <si>
    <t>21/03/2012</t>
  </si>
  <si>
    <t>28/12/2015</t>
  </si>
  <si>
    <t>23/02/2017</t>
  </si>
  <si>
    <t>09/06/2010</t>
  </si>
  <si>
    <t>02/09/2013</t>
  </si>
  <si>
    <t>Intolerância à lactose (bebida de soja) - liberado pães, bolos e biscoitos</t>
  </si>
  <si>
    <t>23/09/2016</t>
  </si>
  <si>
    <t>APLV (Aptamil soja)</t>
  </si>
  <si>
    <t>18/06/2013</t>
  </si>
  <si>
    <t>APLV + peixe + morango + kiwi + amendoim</t>
  </si>
  <si>
    <t>30/10/2010</t>
  </si>
  <si>
    <t>Dieta pastosa liquidificada - Adryan Luiz</t>
  </si>
  <si>
    <t>16/06/2006</t>
  </si>
  <si>
    <t>14/01/2012</t>
  </si>
  <si>
    <t>Alergia a corante + conservante + sucos e temperos artificiais + enlatados + embutidos</t>
  </si>
  <si>
    <t>27/09/2015</t>
  </si>
  <si>
    <t>21/09/2014</t>
  </si>
  <si>
    <t>Puberdade Precoce - sem soja</t>
  </si>
  <si>
    <t>15/02/2016</t>
  </si>
  <si>
    <t>APLV + tomate (bebida de soja)</t>
  </si>
  <si>
    <t>APLV + ovo = trigo + glúten + tomate (bebida de soja)</t>
  </si>
  <si>
    <t>Autismo - Júlia torres Duarte</t>
  </si>
  <si>
    <t>Intolerância à lactose (leite sem lactose ) derivados liberados</t>
  </si>
  <si>
    <t>APLV + chocolate (bebida de soja)</t>
  </si>
  <si>
    <t>Intolerância à lactose 9suco de fruta)</t>
  </si>
  <si>
    <t>18/03/2017</t>
  </si>
  <si>
    <t>21/04/2016</t>
  </si>
  <si>
    <t>APLV + ovo + trigo + soja + amendoim + tomate (suco de fruta)</t>
  </si>
  <si>
    <t>APLV +ovo (bebida de soja)</t>
  </si>
  <si>
    <t>19/07/2015</t>
  </si>
  <si>
    <t>APLV + ovo + carne bovina (suco de fruta)</t>
  </si>
  <si>
    <t>04/07/2015</t>
  </si>
  <si>
    <t>27/04/2014</t>
  </si>
  <si>
    <t>Doença Hepática - hipogordurosa</t>
  </si>
  <si>
    <t>05/02/2012</t>
  </si>
  <si>
    <t>24/11/2016</t>
  </si>
  <si>
    <t>31/01/2016</t>
  </si>
  <si>
    <t>27/10/2014</t>
  </si>
  <si>
    <t>24/11/2007</t>
  </si>
  <si>
    <t>APLV + ovo + gluten + amendoim + carne bovina (bebida de soja)</t>
  </si>
  <si>
    <t>14/06/2010</t>
  </si>
  <si>
    <t>Dieta pastosa amassada - Sabrina da Purificação</t>
  </si>
  <si>
    <t>Alergia a corante + banana + ovo + trigo</t>
  </si>
  <si>
    <t>19/10/2016</t>
  </si>
  <si>
    <t>Alergia a mamão e pera</t>
  </si>
  <si>
    <t>20/11/2016</t>
  </si>
  <si>
    <t>Alergia a soja</t>
  </si>
  <si>
    <t>08/05/2015</t>
  </si>
  <si>
    <t>02/04/2013</t>
  </si>
  <si>
    <t>Alergia a sardinha em lata + chocolate</t>
  </si>
  <si>
    <t>08/07/2015</t>
  </si>
  <si>
    <t>01/07/2013</t>
  </si>
  <si>
    <t>05/10/2013</t>
  </si>
  <si>
    <t>14/07/2012</t>
  </si>
  <si>
    <t>Alergia - ovo + salsicha</t>
  </si>
  <si>
    <t>15/07/2011</t>
  </si>
  <si>
    <t>Alegia a camarão</t>
  </si>
  <si>
    <t>20/11/2015</t>
  </si>
  <si>
    <t>20/05/2014</t>
  </si>
  <si>
    <t>05/12/2016</t>
  </si>
  <si>
    <t>APLV + ovo + tomate (bebida de soja)</t>
  </si>
  <si>
    <t>Paralisia Cerebral - José Carlos Pereira</t>
  </si>
  <si>
    <t>15/11/2011</t>
  </si>
  <si>
    <t>Alergia a corantes + conservantes + enlatados + embutidos + sucos e temperos artificiais</t>
  </si>
  <si>
    <t>22/11/2011</t>
  </si>
  <si>
    <t>15/09/2016</t>
  </si>
  <si>
    <t>Alergia a nestogeno (Aptamil 1)</t>
  </si>
  <si>
    <t>Intolerância à lactose + corante + ovo (leite sem lactose)</t>
  </si>
  <si>
    <t>31/12/2016</t>
  </si>
  <si>
    <t>28/04/2006</t>
  </si>
  <si>
    <t>30/01/2006</t>
  </si>
  <si>
    <t>12/12/2013</t>
  </si>
  <si>
    <t>Alergia a chocolate + caju</t>
  </si>
  <si>
    <t>16/10/2014</t>
  </si>
  <si>
    <t>Autismo - Jonathan Wendel</t>
  </si>
  <si>
    <t>Diabetes Mellituys</t>
  </si>
  <si>
    <t>15/04/2011</t>
  </si>
  <si>
    <t>18/03/2015</t>
  </si>
  <si>
    <t>20/02/2012</t>
  </si>
  <si>
    <t>APLV + ovo + gluten + trigo + carne suína (bebida de soja)</t>
  </si>
  <si>
    <t>Intolerância alimentar - leite da Prefeitura (leite desnatado ou semi desnatado)</t>
  </si>
  <si>
    <t>30/10/2016</t>
  </si>
  <si>
    <t>28/08/2011</t>
  </si>
  <si>
    <t>09/05/2017</t>
  </si>
  <si>
    <t>Baixo peso - hillary nicolau</t>
  </si>
  <si>
    <t>26/08/2010</t>
  </si>
  <si>
    <t>APLV + ovo + gluten + soja + amendoim + tomate + carne suína + bovina (suco de fruta)</t>
  </si>
  <si>
    <t>02/10/2013</t>
  </si>
  <si>
    <t>16/01/2017</t>
  </si>
  <si>
    <t>Refluxo Gastroesofágico (leite engrossado com aveia)</t>
  </si>
  <si>
    <t>20/11/2012</t>
  </si>
  <si>
    <t>Dieta pastosa + APLV + soja - Ester Nicole</t>
  </si>
  <si>
    <t>15/08/2011</t>
  </si>
  <si>
    <t>APLV + ovo + carne suina+ molho de tomate + corante (suco de fruta)</t>
  </si>
  <si>
    <t>10/03/2016</t>
  </si>
  <si>
    <t>09/10/2015</t>
  </si>
  <si>
    <t>Constipação intestinal - maçã</t>
  </si>
  <si>
    <t>23/11/2013</t>
  </si>
  <si>
    <t>Transtorno de Alimentação na Infância - Aptamil 2</t>
  </si>
  <si>
    <t>23/01/2017</t>
  </si>
  <si>
    <t>APLV - Hendrick Johannes</t>
  </si>
  <si>
    <t>APLV + ovo + trigo + amendoim + carne bovina (bebida de soja)</t>
  </si>
  <si>
    <t>05/11/2013</t>
  </si>
  <si>
    <t>05/03/2016</t>
  </si>
  <si>
    <t>24/01/2012</t>
  </si>
  <si>
    <t>Intolerância à lactose (bebida de arroz ou aveia)</t>
  </si>
  <si>
    <t>07/08/2013</t>
  </si>
  <si>
    <t>Dieta pastosa - Leonardo Gomes</t>
  </si>
  <si>
    <t>12/07/2017</t>
  </si>
  <si>
    <t>08/02/2011</t>
  </si>
  <si>
    <t>APLV + ovo + gluten + soja (suco de fruta)</t>
  </si>
  <si>
    <t>05/10/2006</t>
  </si>
  <si>
    <t>24/03/2017</t>
  </si>
  <si>
    <t>25/11/2015</t>
  </si>
  <si>
    <t>Intolerância à lactose (leite Jussara ou Piracanjuba sem lactose)</t>
  </si>
  <si>
    <t>Diabetes Melitus + hipertensão</t>
  </si>
  <si>
    <t>13/01/2016</t>
  </si>
  <si>
    <t>03/05/2017</t>
  </si>
  <si>
    <t>Constipação Intestinal (ninho fases)</t>
  </si>
  <si>
    <t>APLV +trigo (bebida de soja)</t>
  </si>
  <si>
    <t>06/08/2015</t>
  </si>
  <si>
    <t>Intolerância à lactose (leit sem lactose ou bebida de soja )</t>
  </si>
  <si>
    <t>25/03/2016</t>
  </si>
  <si>
    <t>APLV + ovo + corante + chocolate + peixe (suco de frutas)</t>
  </si>
  <si>
    <t>22/12/2016</t>
  </si>
  <si>
    <t>APLV + ovo + gluten + trigo + tomate + carne suina (bebida de soja)</t>
  </si>
  <si>
    <t>14/04/2013</t>
  </si>
  <si>
    <t>Dieta Enteral - Rian Breno Barbosa 2</t>
  </si>
  <si>
    <t>13/02/2012</t>
  </si>
  <si>
    <t>Alergia a corants + aromatizantes + condimentos</t>
  </si>
  <si>
    <t>APLV + ovo + trigo + gluten + soja + tomate (suco de fruta)</t>
  </si>
  <si>
    <t>YURI DA SILVA SANTOS</t>
  </si>
  <si>
    <t>HENNRY EDUARDO ALVES COELHO</t>
  </si>
  <si>
    <t>RAFAEL SILVA SANTOS</t>
  </si>
  <si>
    <t>21/12/2011</t>
  </si>
  <si>
    <t>10/06/2016</t>
  </si>
  <si>
    <t>ALLYSON ZECCHI DOS SANTOS MOREIRA</t>
  </si>
  <si>
    <t>LORENA COSTA DE SOUZA SILVA</t>
  </si>
  <si>
    <t>MATHEUS LOPES RODRIGUES</t>
  </si>
  <si>
    <t>APLV + ovo + gluten + soja (suco de frutas)</t>
  </si>
  <si>
    <t>MARIANA DE PIETRO OLIVEIRA</t>
  </si>
  <si>
    <t>ANA VICTORIA DE OLIVEIRA MARINS</t>
  </si>
  <si>
    <t>NICOLY LOPES DA SILVA MORAIS</t>
  </si>
  <si>
    <t>APLV + ovo + gluten + corante (bebida de soja)</t>
  </si>
  <si>
    <t>KAUAN DIAS DA PAZ DE DEUS</t>
  </si>
  <si>
    <t>ALICE VITORIA VASCONCELOS DOS SANTOS</t>
  </si>
  <si>
    <t>Alergia a Fruta - Maçã</t>
  </si>
  <si>
    <t>Intolerância alimentar - maçã</t>
  </si>
  <si>
    <t>23/07/2013</t>
  </si>
  <si>
    <t>APLV (Pregomin ou bebida de arroz ou castanha ou amêndoa)</t>
  </si>
  <si>
    <t>ALICE PEREIRA DE SOUZA</t>
  </si>
  <si>
    <t>13/06/2015</t>
  </si>
  <si>
    <t>21/08/2016</t>
  </si>
  <si>
    <t>27/10/2005</t>
  </si>
  <si>
    <t>Diabetes Mellitus tipo 1 Estevão de Sá Pereira</t>
  </si>
  <si>
    <t>23/06/2005</t>
  </si>
  <si>
    <t>13/05/1986</t>
  </si>
  <si>
    <t>Diabetes Mellitus (queijo branco ou ricota)</t>
  </si>
  <si>
    <t>Intolerância à lactose (leite sem lactose) + gluten + ovo + corante em investigação</t>
  </si>
  <si>
    <t>14/03/2004</t>
  </si>
  <si>
    <t>Diabetes Mellitus - padrão</t>
  </si>
  <si>
    <t>20/12/2002</t>
  </si>
  <si>
    <t>Gastrite - Murilo Wilson Barbosa Fonseca</t>
  </si>
  <si>
    <t>15/07/2005</t>
  </si>
  <si>
    <t>17/12/2008</t>
  </si>
  <si>
    <t>22/12/2006</t>
  </si>
  <si>
    <t>Alergia alimentar - corantes + conservantes RAFAEL FRANCISCO RAMOS</t>
  </si>
  <si>
    <t>22/04/2002</t>
  </si>
  <si>
    <t>13/02/2009</t>
  </si>
  <si>
    <t>Intolerância à lactose (alimento a base de soja) + Doença Celíaca</t>
  </si>
  <si>
    <t>19/06/2006</t>
  </si>
  <si>
    <t>Diabetes Mellitus tipo I</t>
  </si>
  <si>
    <t>10/06/2014</t>
  </si>
  <si>
    <t>Intolerância à lactose (fórmula infantil de soja) + Alergia alimentar - morango, maracujá e laranja</t>
  </si>
  <si>
    <t>25/10/2014</t>
  </si>
  <si>
    <t>17/05/2006</t>
  </si>
  <si>
    <t>intolerância a lactose (leite sem lactose ou alimento a base de soja)</t>
  </si>
  <si>
    <t>18/05/2011</t>
  </si>
  <si>
    <t>03/04/2011</t>
  </si>
  <si>
    <t>Obesidade - alergia a uva</t>
  </si>
  <si>
    <t>24/09/2006</t>
  </si>
  <si>
    <t>22/02/2000</t>
  </si>
  <si>
    <t>Diabetes Mellitus + Síndrome de Wolcott - Ralisson - Lucas Parente Ribeiro</t>
  </si>
  <si>
    <t>Dieta Enteral Pediasure (280 mL água + 7 medidas) ou Nutrn Jr. (270 mL água + 9 medidas) Tempo de administração: 20 a 25 minutos, Hórario de adiministração: 15h30, Vol de água para hidratação: 60mL às 14h e 16h. Uso de seringa</t>
  </si>
  <si>
    <t>01/10/2009</t>
  </si>
  <si>
    <t>29/04/2009</t>
  </si>
  <si>
    <t>04/03/2001</t>
  </si>
  <si>
    <t>Síndrome de Pradder Willi + hipercolesterolemia</t>
  </si>
  <si>
    <t>ALERGIA À PROTEINA AO LEITE DE VACA ( ALIMENTO A BASE DE SOJA)</t>
  </si>
  <si>
    <t>INTOLERÂNCIA À LACTOSE ( FÓRMULA INFANTIL DE SOJA)</t>
  </si>
  <si>
    <t>REFLUXO GASTROESOFÁGICO (NAN AR)</t>
  </si>
  <si>
    <t>11/04/2015</t>
  </si>
  <si>
    <t>INTOLERÂNCIA À LACTOSE (PRESCRIÇÃO MÉDICA NINHO SEM LACTOSE)</t>
  </si>
  <si>
    <t>17/09/2014</t>
  </si>
  <si>
    <t>Diarréia - leite sem lactose</t>
  </si>
  <si>
    <t>Diarreia - leite ninho em pó</t>
  </si>
  <si>
    <t>Intolerância alimentar - leite (prescrição leite ninho 1+)</t>
  </si>
  <si>
    <t>Alergia ao leite de vaca (indicação de pregomin)</t>
  </si>
  <si>
    <t>Alergia ao leite de vaca (prescrição médica aptamil soja)</t>
  </si>
  <si>
    <t>23/01/2012</t>
  </si>
  <si>
    <t>Intolerância alimentar - leite em pó (prescrição médica leite fluido)</t>
  </si>
  <si>
    <t>04/04/2014</t>
  </si>
  <si>
    <t>24/03/2007</t>
  </si>
  <si>
    <t>Hipercolesterolemia - Isabella dos Santos Silva</t>
  </si>
  <si>
    <t>Hipercolesterolemia - Bruno Otavio dos Santos Silva</t>
  </si>
  <si>
    <t>Intolerância à lactose (fórmula a base de proteína isolada de soja)</t>
  </si>
  <si>
    <t>09/05/2005</t>
  </si>
  <si>
    <t>Intolerância alimentar - sucos artificiais</t>
  </si>
  <si>
    <t>Dislipidemia - leite semidesnatado</t>
  </si>
  <si>
    <t>Diarreia - leite ninho fases</t>
  </si>
  <si>
    <t>03/11/2006</t>
  </si>
  <si>
    <t>31/07/2007</t>
  </si>
  <si>
    <t>Enxaqueca - Eduardo Lustosa</t>
  </si>
  <si>
    <t>Refluxo gastroesofágico - Valentina Vitoria</t>
  </si>
  <si>
    <t>06/12/2014</t>
  </si>
  <si>
    <t>Alergia alimentar - feijão preto</t>
  </si>
  <si>
    <t>08/07/2007</t>
  </si>
  <si>
    <t>Constipação intestinal - maçã + banana prata + goiaba</t>
  </si>
  <si>
    <t>04/05/2005</t>
  </si>
  <si>
    <t>28/03/2006</t>
  </si>
  <si>
    <t>28/03/2007</t>
  </si>
  <si>
    <t>21/12/2001</t>
  </si>
  <si>
    <t>Dieta hipossódica + hipogordurosa</t>
  </si>
  <si>
    <t>26/04/2005</t>
  </si>
  <si>
    <t>03/07/2003</t>
  </si>
  <si>
    <t>Obesidade - Hiperglicemia</t>
  </si>
  <si>
    <t>03/08/2007</t>
  </si>
  <si>
    <t>03/03/2006</t>
  </si>
  <si>
    <t>Gastrite - hipogordurosa + café + fruta acida + tomate + doces concentrados + crucíferos</t>
  </si>
  <si>
    <t>24/09/2003</t>
  </si>
  <si>
    <t>19/12/2004</t>
  </si>
  <si>
    <t>Litíase Renal -hipossodica + restrição a tomate + vinagre + chocolate</t>
  </si>
  <si>
    <t>23/06/2006</t>
  </si>
  <si>
    <t>Intolerância à lactose + Refluxo Gastroesofagico + Gastrite</t>
  </si>
  <si>
    <t>19/10/2007</t>
  </si>
  <si>
    <t>Dieta Pastosa Homogenea - restrição doces</t>
  </si>
  <si>
    <t>28/02/2008</t>
  </si>
  <si>
    <t>Hipercolesterolemia - Antonielly Costa de Almeida</t>
  </si>
  <si>
    <t>02/08/2008</t>
  </si>
  <si>
    <t>24/04/2007</t>
  </si>
  <si>
    <t>Constipação intestinal (Ninho 1+)</t>
  </si>
  <si>
    <t>Diabetes Mellitus - arroz e macarrão integral + leite e derivados semidesnatados</t>
  </si>
  <si>
    <t>22/04/2007</t>
  </si>
  <si>
    <t>Dieta enteral - Rebeca Moura Rodrigues</t>
  </si>
  <si>
    <t>19/05/2014</t>
  </si>
  <si>
    <t>29/08/2016</t>
  </si>
  <si>
    <t>Agnesia renal - hipossódica</t>
  </si>
  <si>
    <t>01/09/2012</t>
  </si>
  <si>
    <t>Dieta pastosa amassada - Lucas Henrique Ribeiro</t>
  </si>
  <si>
    <t>APLV + ovo + trigo + soja + amendoim + corante (leite de arroz, coco, aveia)</t>
  </si>
  <si>
    <t>Alergia - ovo + banana</t>
  </si>
  <si>
    <t>Alergia - corantes + molhos industrializados
Pedro Lucca Soares Feitosa</t>
  </si>
  <si>
    <t>Dieta pastosa amassada - Kevin Ribeiro</t>
  </si>
  <si>
    <t>09/10/2012</t>
  </si>
  <si>
    <t>13/05/2010</t>
  </si>
  <si>
    <t>28/09/2015</t>
  </si>
  <si>
    <t>19/04/2006</t>
  </si>
  <si>
    <t>23/12/2010</t>
  </si>
  <si>
    <t>Autismo - Henrique Alberto</t>
  </si>
  <si>
    <t>16/05/2016</t>
  </si>
  <si>
    <t>22/10/2008</t>
  </si>
  <si>
    <t>07/04/2008</t>
  </si>
  <si>
    <t>Alergia - carnes</t>
  </si>
  <si>
    <t>21/09/2005</t>
  </si>
  <si>
    <t>14/05/2014</t>
  </si>
  <si>
    <t>Alergia - coco + canela</t>
  </si>
  <si>
    <t>09/03/2016</t>
  </si>
  <si>
    <t>15/06/2016</t>
  </si>
  <si>
    <t>APLV + ovo + trigo + soja + amendoim + bacalhau (neocate)</t>
  </si>
  <si>
    <t>Constipação Intestinal - Lavínia J. S. Ribeiro</t>
  </si>
  <si>
    <t>Constipação intestinal - sem maçã e sem leite</t>
  </si>
  <si>
    <t>23/09/2011</t>
  </si>
  <si>
    <t>27/11/2010</t>
  </si>
  <si>
    <t>06/11/2014</t>
  </si>
  <si>
    <t>06/01/2011</t>
  </si>
  <si>
    <t>11/03/2009</t>
  </si>
  <si>
    <t>15/04/2014</t>
  </si>
  <si>
    <t>14/12/2016</t>
  </si>
  <si>
    <t>28/08/2015</t>
  </si>
  <si>
    <t>14/03/2013</t>
  </si>
  <si>
    <t>18/10/2010</t>
  </si>
  <si>
    <t>Intolerância à Lactose + corante + frango + embutidos (leite sem lactose)</t>
  </si>
  <si>
    <t>Constipação intestinal (Aptamil ou Nan)</t>
  </si>
  <si>
    <t>02/08/2007</t>
  </si>
  <si>
    <t>23/05/2010</t>
  </si>
  <si>
    <t>24/10/2015</t>
  </si>
  <si>
    <t>13/07/2016</t>
  </si>
  <si>
    <t>07/05/2006</t>
  </si>
  <si>
    <t>11/07/2014</t>
  </si>
  <si>
    <t>22/11/2008</t>
  </si>
  <si>
    <t>06/07/2014</t>
  </si>
  <si>
    <t>05/03/2014</t>
  </si>
  <si>
    <t>03/06/2004</t>
  </si>
  <si>
    <t>17/03/2016</t>
  </si>
  <si>
    <t>Flatulência - Aptamil Active ou Aptamil 3</t>
  </si>
  <si>
    <t>11/11/2016</t>
  </si>
  <si>
    <t>Intolerância ao glúten</t>
  </si>
  <si>
    <t>22/06/2016</t>
  </si>
  <si>
    <t>09/06/2004</t>
  </si>
  <si>
    <t>14/07/2006</t>
  </si>
  <si>
    <t>20/09/2015</t>
  </si>
  <si>
    <t>Diarréia + Intolerância alimentar - carne suína + cafeína</t>
  </si>
  <si>
    <t>27/09/2005</t>
  </si>
  <si>
    <t>18/12/2010</t>
  </si>
  <si>
    <t>Alergi - corante + conservante</t>
  </si>
  <si>
    <t>11/08/2008</t>
  </si>
  <si>
    <t>17/09/2005</t>
  </si>
  <si>
    <t>28/11/2012</t>
  </si>
  <si>
    <t>10/08/2007</t>
  </si>
  <si>
    <t>03/10/2009</t>
  </si>
  <si>
    <t>10/03/2003</t>
  </si>
  <si>
    <t>31/05/2015</t>
  </si>
  <si>
    <t>08/02/2017</t>
  </si>
  <si>
    <t>22/08/2005</t>
  </si>
  <si>
    <t>Alergia a feijão</t>
  </si>
  <si>
    <t>22/08/2016</t>
  </si>
  <si>
    <t>02/07/2016</t>
  </si>
  <si>
    <t>03/02/2016</t>
  </si>
  <si>
    <t>Intolerãncia à lactose (leite sem lactose ou bebida de soja)</t>
  </si>
  <si>
    <t>07/02/2013</t>
  </si>
  <si>
    <t>09/12/2014</t>
  </si>
  <si>
    <t>21/01/2009</t>
  </si>
  <si>
    <t>Dieta pastosa e liquidificada - Arthur de França</t>
  </si>
  <si>
    <t>27/01/2010</t>
  </si>
  <si>
    <t>Hipercolesterolemia + Intolerância à carne suína</t>
  </si>
  <si>
    <t>07/06/2003</t>
  </si>
  <si>
    <t>APLV ( suco de fruta)</t>
  </si>
  <si>
    <t>25/02/2014</t>
  </si>
  <si>
    <t>04/04/2010</t>
  </si>
  <si>
    <t>APLV + carne vermelha + corantes (neoforte)</t>
  </si>
  <si>
    <t>APLV (Neocate com Neoforte)</t>
  </si>
  <si>
    <t>Dieta Pastosa - Delmira Nsingui</t>
  </si>
  <si>
    <t>Hipertensão arterial - hipossódica</t>
  </si>
  <si>
    <t>Dieta Pastosa Liquidificada- -  Marcos Araujo Bellini</t>
  </si>
  <si>
    <t>Alergia - glúten + ovo + amendoim</t>
  </si>
  <si>
    <t>Alergia - ovo + banana (liberado pães, bolos e biscoitos)</t>
  </si>
  <si>
    <t>Dieta pastosa liquidificada - Rafael Satoru</t>
  </si>
  <si>
    <t>25/11/2013</t>
  </si>
  <si>
    <t>APLV + ovo + carnes (suco de fruta)</t>
  </si>
  <si>
    <t>01/09/2016</t>
  </si>
  <si>
    <t>29/03/2015</t>
  </si>
  <si>
    <t>21/03/2017</t>
  </si>
  <si>
    <t>23/09/2017</t>
  </si>
  <si>
    <t>APLV + carne suína (suco de fruta)</t>
  </si>
  <si>
    <t>10/04/2013</t>
  </si>
  <si>
    <t>Dieta - Davi Romão (deficiência G6PD)</t>
  </si>
  <si>
    <t>16/12/2016</t>
  </si>
  <si>
    <t>Constipação intestinal - Sofia do Prado</t>
  </si>
  <si>
    <t>16/12/2012</t>
  </si>
  <si>
    <t>29/10/2013</t>
  </si>
  <si>
    <t>Alergia a lentilha</t>
  </si>
  <si>
    <t>08/12/2010</t>
  </si>
  <si>
    <t>Inolerância à lactose + corante + conservante (leite sem lactose)</t>
  </si>
  <si>
    <t>Intolerância À lactose (bebida de soja)</t>
  </si>
  <si>
    <t>Rim Único - Henry Gabriel</t>
  </si>
  <si>
    <t>03/01/2017</t>
  </si>
  <si>
    <t>Intolerância alimentar - leite (Aptamil 3)</t>
  </si>
  <si>
    <t>20/12/2016</t>
  </si>
  <si>
    <t>05/11/2010</t>
  </si>
  <si>
    <t>Intolerância à lactose + soja + morango (leite sem lactose)</t>
  </si>
  <si>
    <t>Síndrome Nefrótica - assódica</t>
  </si>
  <si>
    <t>22/08/2013</t>
  </si>
  <si>
    <t>Alergia a caju</t>
  </si>
  <si>
    <t>26/11/2013</t>
  </si>
  <si>
    <t>18/10/2013</t>
  </si>
  <si>
    <t>Intoerância à lactose (leite sem lactose)</t>
  </si>
  <si>
    <t>Alergia a corante + ovo</t>
  </si>
  <si>
    <t>20/05/2017</t>
  </si>
  <si>
    <t>Intoleância à lactose (aptamil soja)</t>
  </si>
  <si>
    <t>Intolerância alimentar - fórmula lactea infantil (nan comfor 3)</t>
  </si>
  <si>
    <t>Alergia a maracujá</t>
  </si>
  <si>
    <t>18/06/2015</t>
  </si>
  <si>
    <t>APLV (neocate com baunilha)</t>
  </si>
  <si>
    <t>06/07/2008</t>
  </si>
  <si>
    <t>30/04/2017</t>
  </si>
  <si>
    <t>Refluxo gastroesofágico (fórmula AR)</t>
  </si>
  <si>
    <t>28/01/2016</t>
  </si>
  <si>
    <t>Intolerância à lactose (suco de fruta) derivados liberados</t>
  </si>
  <si>
    <t>Atraso no desenvolvimento neuropsicomotor (Enfamil)</t>
  </si>
  <si>
    <t>Dieta pastosa e enteral - Jéssica Ducatti</t>
  </si>
  <si>
    <t>Intolerância à glicose - Yasmin Vitoria Meireles Seno Santos</t>
  </si>
  <si>
    <t>Dieta pastosa amassada - Victor Gabriel Moura</t>
  </si>
  <si>
    <t>06/10/2017</t>
  </si>
  <si>
    <t>APLV + ovo (hidrolisado proteico)</t>
  </si>
  <si>
    <t>Alergia a ovo + amendoim</t>
  </si>
  <si>
    <t>Intolerância à lactose (leite sem lacotse)</t>
  </si>
  <si>
    <t>APLV +feijão (suco de fruta)</t>
  </si>
  <si>
    <t>APLV + tomate + geleia (suco de fruta)</t>
  </si>
  <si>
    <t>hipertensão arterial - Assódica</t>
  </si>
  <si>
    <t>13/12/2011</t>
  </si>
  <si>
    <t>24/05/2016</t>
  </si>
  <si>
    <t>Intolerância á lactose (leite sem lactose)</t>
  </si>
  <si>
    <t>Síndrome Nefrótica - Assódica</t>
  </si>
  <si>
    <t>Síndrome de Down - André Luis Honorio</t>
  </si>
  <si>
    <t>APLV + ovo + chocolate + milho + coco (suco de fruta)</t>
  </si>
  <si>
    <t>18/05/2015</t>
  </si>
  <si>
    <t>APLV + ovo + corante + conservante (bebida de soja)</t>
  </si>
  <si>
    <t>APLV + soja + ovo (neocate)</t>
  </si>
  <si>
    <t>Esteatose Hepática - hipogordurosa e hipoglicídica</t>
  </si>
  <si>
    <t>Intolerância á lactose + doença celíaca (leite sem lactose)</t>
  </si>
  <si>
    <t>21/03/2014</t>
  </si>
  <si>
    <t>Alergia - iogurte</t>
  </si>
  <si>
    <t>17/07/2015</t>
  </si>
  <si>
    <t>15/08/2010</t>
  </si>
  <si>
    <t>APLV (Pregomim)</t>
  </si>
  <si>
    <t>19/11/2015</t>
  </si>
  <si>
    <t>24/06/2004</t>
  </si>
  <si>
    <t>19/02/2012</t>
  </si>
  <si>
    <t>19/08/2014</t>
  </si>
  <si>
    <t>Alergia - Juliana Faustino 2</t>
  </si>
  <si>
    <t>APLV + peixes + frutos do mar (bebida de soja)</t>
  </si>
  <si>
    <t>21/03/2015</t>
  </si>
  <si>
    <t>15/08/1967</t>
  </si>
  <si>
    <t>Diabetes melltius + hipertensão</t>
  </si>
  <si>
    <t>24/04/2006</t>
  </si>
  <si>
    <t>Síndrome de Sturge Weber - sem chocolate</t>
  </si>
  <si>
    <t>30/09/2017</t>
  </si>
  <si>
    <t>Refluxo gastroesofágico - sophia moura</t>
  </si>
  <si>
    <t>Refluxo gastroesofágico - sem leite (suco de fruta prescrito)</t>
  </si>
  <si>
    <t>23/03/2013</t>
  </si>
  <si>
    <t>Síndrome de Down - sem leite (suco de fruta)</t>
  </si>
  <si>
    <t>APLV (neocate - liberado pães, bolos e biscoitos</t>
  </si>
  <si>
    <t>Diarreia - sem doces, chocolate, laranja, uva, mamão, iogurte</t>
  </si>
  <si>
    <t>APLV + ovo + peixe + frutos do mar (suco de fruta)</t>
  </si>
  <si>
    <t>Refluxo gastroesofágico (nan AR)</t>
  </si>
  <si>
    <t>01/08/2011</t>
  </si>
  <si>
    <t>Alergia - Restrição Alimentar e Hipercolesterolemia - Kayreh Pietro</t>
  </si>
  <si>
    <t>APLV + gluten + tomate + amendoim (bebida de soja)</t>
  </si>
  <si>
    <t>08/02/2003</t>
  </si>
  <si>
    <t>APLV + corantes + soja + amendoim (bebidas vegetais)</t>
  </si>
  <si>
    <t>04/05/2013</t>
  </si>
  <si>
    <t>Baixo Peso - Manuela Lobato</t>
  </si>
  <si>
    <t>01/05/2011</t>
  </si>
  <si>
    <t>03/01/2007</t>
  </si>
  <si>
    <t>06/06/2007</t>
  </si>
  <si>
    <t>30/12/2016</t>
  </si>
  <si>
    <t>Baixo peso (neslac)</t>
  </si>
  <si>
    <t>16/05/2011</t>
  </si>
  <si>
    <t>03/04/2016</t>
  </si>
  <si>
    <t>Alergia - corantes + melão + melancia</t>
  </si>
  <si>
    <t>11/02/2017</t>
  </si>
  <si>
    <t>Dieta pastosa amassada - Beatriz Silva</t>
  </si>
  <si>
    <t>Alergia - Murilo Rodrigues</t>
  </si>
  <si>
    <t>30/10/2017</t>
  </si>
  <si>
    <t>29/05/2016</t>
  </si>
  <si>
    <t>18/12/2017</t>
  </si>
  <si>
    <t>28/08/2013</t>
  </si>
  <si>
    <t>21/01/2018</t>
  </si>
  <si>
    <t>Dieta Pastosa Liquidificada - Mateus Francisco 2</t>
  </si>
  <si>
    <t>19/11/2013</t>
  </si>
  <si>
    <t>27/06/2017</t>
  </si>
  <si>
    <t>APLV + soja (aminoácidos livres)</t>
  </si>
  <si>
    <t>01/06/1960</t>
  </si>
  <si>
    <t>27/06/2007</t>
  </si>
  <si>
    <t>Alergia - ovo + trigo</t>
  </si>
  <si>
    <t>17/01/2009</t>
  </si>
  <si>
    <t>19/07/2007</t>
  </si>
  <si>
    <t>Diabetes Mellitus + Esofagite eosinofílica - Pawel Prestes</t>
  </si>
  <si>
    <t>01/07/2017</t>
  </si>
  <si>
    <t>29/08/2011</t>
  </si>
  <si>
    <t>Intolerância à lactoser (leite sem lactose)</t>
  </si>
  <si>
    <t>Alergia - corantes + conservantes + carne suína + peixe + frutos do mar</t>
  </si>
  <si>
    <t>12/08/2015</t>
  </si>
  <si>
    <t>Baixo Peso (Fortini)</t>
  </si>
  <si>
    <t>16/09/2010</t>
  </si>
  <si>
    <t>APLV - Noemi Eunice Renata Luz da Silva</t>
  </si>
  <si>
    <t>Doença de Behçet - Heloísa Sena da Silva</t>
  </si>
  <si>
    <t>14/06/2016</t>
  </si>
  <si>
    <t>APLV (fórmula de soja batida com frutas)</t>
  </si>
  <si>
    <t>12/01/2018</t>
  </si>
  <si>
    <t>09/08/2010</t>
  </si>
  <si>
    <t>27/08/2016</t>
  </si>
  <si>
    <t>17/08/2017</t>
  </si>
  <si>
    <t>Gastrite - Yasmin Souto Lavisio Silva</t>
  </si>
  <si>
    <t>Constipação Intestinal - Bernardo Macedo</t>
  </si>
  <si>
    <t>Intolerância à lactose + molho de tomate (ninho sem lactose)</t>
  </si>
  <si>
    <t>Dieta Pastosa Amassada - Tiago Xavier de Almeida</t>
  </si>
  <si>
    <t>Doença Renal - Lais Pereira Correa</t>
  </si>
  <si>
    <t>08/01/2018</t>
  </si>
  <si>
    <t>Constipação Intestinal - leite com mucilon</t>
  </si>
  <si>
    <t>LORENA HAJJ BATISTA</t>
  </si>
  <si>
    <t>28/07/2017</t>
  </si>
  <si>
    <t>Alergia a soja + ovo</t>
  </si>
  <si>
    <t>PIETRO VENANCIO LEITE MIGUEL</t>
  </si>
  <si>
    <t>SOPHIA VENANCIO LEITE MIGUEL</t>
  </si>
  <si>
    <t>EMEF BR. DE MAUÁ - (TERCEI.)</t>
  </si>
  <si>
    <t>VALQUIRIA SANTICIOLI DE OLIVEIRA</t>
  </si>
  <si>
    <t>02/09/2010</t>
  </si>
  <si>
    <t>Soprebeso e Obesidade</t>
  </si>
  <si>
    <t>APLV (bebida de arroz)</t>
  </si>
  <si>
    <t>VITORIA DIAS DA SILVA</t>
  </si>
  <si>
    <t>05/10/2001</t>
  </si>
  <si>
    <t>APLV + carne suina (fórmula de soja)</t>
  </si>
  <si>
    <t>CHRISTIAN IAMARINO BENINO JUNIOR</t>
  </si>
  <si>
    <t>25/06/2015</t>
  </si>
  <si>
    <t>Dieta pastosa liquidificada - Christian Iamarino</t>
  </si>
  <si>
    <t>Intolerância à Lactose; Intolerância Alimentar - Ovo; Intolerância Alimentar - Trigo</t>
  </si>
  <si>
    <t>Intolerância à lactose + ovo + trigo l(leite sem lactose)</t>
  </si>
  <si>
    <t>SOPHIA SANTOS DE OLIVEIRA</t>
  </si>
  <si>
    <t>19/11/2016</t>
  </si>
  <si>
    <t>Intolerância alimentar a ovo</t>
  </si>
  <si>
    <t>THIAGO LUIZ RODRIGUES UEDA</t>
  </si>
  <si>
    <t>20/08/2014</t>
  </si>
  <si>
    <t>LAYS DA SILVA ANGELI TEIXEIRA</t>
  </si>
  <si>
    <t>Autismo - sem gluten e sem leite (suco de fruta)</t>
  </si>
  <si>
    <t>LAURA SILVA ALVES</t>
  </si>
  <si>
    <t>09/02/2018</t>
  </si>
  <si>
    <t>Baixo peso (Aptamil 2 )</t>
  </si>
  <si>
    <t>LOUISE NOVAES ALVES VIEIRA</t>
  </si>
  <si>
    <t>MANUELLA LIRA DA SILVA SOUSA</t>
  </si>
  <si>
    <t>Síndrome nefrótica- hipossódica + hipogordurosa</t>
  </si>
  <si>
    <t>ANA CLARA PEREIRA TEIXEIRA</t>
  </si>
  <si>
    <t>15/06/2017</t>
  </si>
  <si>
    <t>Baixo Peso; Intolerância Alimentar a Hortifruti - Tomate; Intolerância Alimentar - Feijão Carioca/Feijão Preto; Intolerância Alimentar a Hortifruti - Cenoura</t>
  </si>
  <si>
    <t>Intolerância alim,entar ( feijão, tomate e cenoura) + Baixo peso (sustain ) Clara Calvo da Silva</t>
  </si>
  <si>
    <t>ABRAAO MARCONDES LUCIANO</t>
  </si>
  <si>
    <t>Intolerância à alctos (leite sem lactose)</t>
  </si>
  <si>
    <t>PIETRO HENRIQUE AMORIM SILVA</t>
  </si>
  <si>
    <t>Intolerância alimentar - feijão</t>
  </si>
  <si>
    <t>28/06/2008</t>
  </si>
  <si>
    <t>18/09/2010</t>
  </si>
  <si>
    <t>Hipercolesterolemia - queijo branco + leite desnatado</t>
  </si>
  <si>
    <t>10/04/2008</t>
  </si>
  <si>
    <t>refluxo Gastroesofagico (Aptamil AR)</t>
  </si>
  <si>
    <t>03/02/2008</t>
  </si>
  <si>
    <t>12/10/2003</t>
  </si>
  <si>
    <t>sobrepeso e obesidade + resistência a insulina Victor Castro de souza</t>
  </si>
  <si>
    <t>24/06/2006</t>
  </si>
  <si>
    <t>Dieta Branda bem cozida Ana Beatriz Rodrigues Pereira</t>
  </si>
  <si>
    <t>19/03/2008</t>
  </si>
  <si>
    <t>07/08/2005</t>
  </si>
  <si>
    <t>Diabetes Mellitus (leite desnatado ou semidesnatado + queijo branco e ricota + requeijão light + iogurte diet-light)</t>
  </si>
  <si>
    <t>22/11/2006</t>
  </si>
  <si>
    <t>Sobrepeso e Obesidade - hipocalórica hipogordurosa Julia Soares de Souza</t>
  </si>
  <si>
    <t>15/11/2008</t>
  </si>
  <si>
    <t>alergia à proteína do leite de vaca (alimento a base de soja) Davi Almeida Ferreira</t>
  </si>
  <si>
    <t>13/07/2009</t>
  </si>
  <si>
    <t>Alergia alimentar - corantes + embutidos</t>
  </si>
  <si>
    <t>29/06/2006</t>
  </si>
  <si>
    <t>23/09/2008</t>
  </si>
  <si>
    <t>Constipação intestinal - Maria Eduarda da Silva</t>
  </si>
  <si>
    <t>25/02/2005</t>
  </si>
  <si>
    <t>24/09/2007</t>
  </si>
  <si>
    <t>02/05/2007</t>
  </si>
  <si>
    <t>hipercolesterolemia - leite e derivados desnatados e restrição a chocolate - achocolatado</t>
  </si>
  <si>
    <t>09/03/2009</t>
  </si>
  <si>
    <t>18/03/2005</t>
  </si>
  <si>
    <t>09/04/2007</t>
  </si>
  <si>
    <t>20/01/2009</t>
  </si>
  <si>
    <t>Alergia alimentar - conservante + frutas cítricas</t>
  </si>
  <si>
    <t>05/09/2008</t>
  </si>
  <si>
    <t>alergia à proteína do leite de vaca - enfamil soja premium</t>
  </si>
  <si>
    <t>Intolerância à lactose (substituto soja) + Hipertrigliceridemia</t>
  </si>
  <si>
    <t>20/12/2007</t>
  </si>
  <si>
    <t>Refluxo Gastroesofagico (Aptamil AR)</t>
  </si>
  <si>
    <t>30/03/2009</t>
  </si>
  <si>
    <t>Sobrepeso + Obesidade</t>
  </si>
  <si>
    <t>21/02/2009</t>
  </si>
  <si>
    <t>13/11/2011</t>
  </si>
  <si>
    <t>03/06/2008</t>
  </si>
  <si>
    <t>dieta pastosa - Marya Clara da Silva</t>
  </si>
  <si>
    <t>12/01/2007</t>
  </si>
  <si>
    <t>Dieta pastosa homogenea - liquidificada</t>
  </si>
  <si>
    <t>13/02/2004</t>
  </si>
  <si>
    <t>Dieta Pastosa Amassada</t>
  </si>
  <si>
    <t>07/11/2006</t>
  </si>
  <si>
    <t>dieta enteral gastrostomia normocalorica, normoproteica, normolipidica, normoglicidica. Tempo de administraçã = 40 minutos. 1x por dia na escola. Volume da dieta = 250ml. Via de administração equipo. Volume de hidratação 100 ml 1x por dia na escola</t>
  </si>
  <si>
    <t>11/09/2008</t>
  </si>
  <si>
    <t>07/07/2008</t>
  </si>
  <si>
    <t>Síndrome Nefrótica - Hipossódica + Hipogordurosa Luana Coutinho Bispo Luiz</t>
  </si>
  <si>
    <t>30/12/2011</t>
  </si>
  <si>
    <t>Alergia alimentar - corantes + temperos artificiais + enlatados + embutidos</t>
  </si>
  <si>
    <t>10/11/2014</t>
  </si>
  <si>
    <t>Intolerância a fórmula infantil + baixo peso (prescrição médica aptamil)</t>
  </si>
  <si>
    <t>05/04/2005</t>
  </si>
  <si>
    <t>Síndrome metabólica (hipocalórica, hipogordurosa, hipoglicidica)</t>
  </si>
  <si>
    <t>27/11/2005</t>
  </si>
  <si>
    <t>05/06/2006</t>
  </si>
  <si>
    <t>26/07/2009</t>
  </si>
  <si>
    <t>Fenilcetonúria - Ana Luiza dos Santos Dias</t>
  </si>
  <si>
    <t>15/05/2009</t>
  </si>
  <si>
    <t>Fenilcetonúria - qualitativa</t>
  </si>
  <si>
    <t>14/08/2009</t>
  </si>
  <si>
    <t>Alergia à proteína do leite de vaca (alimento a base de soja) permitido alimentos com traços de leite</t>
  </si>
  <si>
    <t>12/07/2008</t>
  </si>
  <si>
    <t>Diabetes Mellitus - leite semidesnatado</t>
  </si>
  <si>
    <t>Fenilcetonúria - Ralison Fernando Pereira da Cruz</t>
  </si>
  <si>
    <t>07/07/2011</t>
  </si>
  <si>
    <t>12/06/2006</t>
  </si>
  <si>
    <t>Litiase Renal + dislipidemia</t>
  </si>
  <si>
    <t>10/06/2005</t>
  </si>
  <si>
    <t>Dislipidemia (prescrição médica pouco açúcar)</t>
  </si>
  <si>
    <t>06/03/2010</t>
  </si>
  <si>
    <t>Intolerância Alimentar - Fórmula Infantil Nestogeno (indicação médica Fórmula Infantil NAN)</t>
  </si>
  <si>
    <t>Intolerância a lactose (leite sem lactose) + alergia a corantes e conservantes</t>
  </si>
  <si>
    <t>09/03/2008</t>
  </si>
  <si>
    <t>Dieta Pastosa homogenea liquidificada Pedro Henrique Pereira de Jesus</t>
  </si>
  <si>
    <t>Diabetes Melitus (arroz integral e stévia)</t>
  </si>
  <si>
    <t>Dislipidemia - leite ninho levinho</t>
  </si>
  <si>
    <t>04/02/2010</t>
  </si>
  <si>
    <t>HIPERCOLESTEROLEMIA - PADRÃO</t>
  </si>
  <si>
    <t>03/09/2003</t>
  </si>
  <si>
    <t>DIABETES MELLITUS - ARROZ E MACARRÃO INTEGRAL + LEITE E DERIVADOS SEMIDESNATADOS</t>
  </si>
  <si>
    <t>11/07/2006</t>
  </si>
  <si>
    <t>OBESIDADE + ARROZ E MACARRÃO INTEGRAL + LEITE SEMIDESNATADO OU DESNATADO + ADOÇANTE</t>
  </si>
  <si>
    <t>05/09/2009</t>
  </si>
  <si>
    <t>Alergia alimentar - corantes + frutas cítricas</t>
  </si>
  <si>
    <t>31/05/2009</t>
  </si>
  <si>
    <t>Galactosemia - Mateus Fernandes Portugal</t>
  </si>
  <si>
    <t>31/12/2005</t>
  </si>
  <si>
    <t>20/10/2013</t>
  </si>
  <si>
    <t>26/09/2011</t>
  </si>
  <si>
    <t>Hipercolesterolemia + obesidade - (leite semidesnatado, arroz integral)</t>
  </si>
  <si>
    <t>19/12/2009</t>
  </si>
  <si>
    <t>Diarreia - restrição de leite (substituto alimento a base de soja)</t>
  </si>
  <si>
    <t>Intolerância alimentar - alimentos cítricos</t>
  </si>
  <si>
    <t>Sobrepeso e obesidade - sem açúcar leite desnatado</t>
  </si>
  <si>
    <t>07/12/1999</t>
  </si>
  <si>
    <t>30/09/2003</t>
  </si>
  <si>
    <t>02/08/2009</t>
  </si>
  <si>
    <t>14/12/2014</t>
  </si>
  <si>
    <t>Constipação intestinal + intolerância à lactose - Mickaelly</t>
  </si>
  <si>
    <t>31/08/2014</t>
  </si>
  <si>
    <t>Intolerância alimentar - frutas cítricas</t>
  </si>
  <si>
    <t>Alergia à proteína do leite de vaca (fórmula de aminoácidos livres)</t>
  </si>
  <si>
    <t>04/03/2012</t>
  </si>
  <si>
    <t>12/04/2007</t>
  </si>
  <si>
    <t>01/06/2005</t>
  </si>
  <si>
    <t>Síndrome nefrótica + sobrepeso e obesidade - Rhaissa Barbosa de Almeida</t>
  </si>
  <si>
    <t>11/11/2004</t>
  </si>
  <si>
    <t>Sobrepeso e obesidade - hipogordurosa + integrais</t>
  </si>
  <si>
    <t>15/01/2009</t>
  </si>
  <si>
    <t>Esteatose hepática</t>
  </si>
  <si>
    <t>21/11/2007</t>
  </si>
  <si>
    <t>21/06/2009</t>
  </si>
  <si>
    <t>Alergia alimentar - ovo + peixe + camarão + aveia + coco</t>
  </si>
  <si>
    <t>Dieta Pastossa + intolerância à lactose (liberado bolo, biscoito, pães) Guilherme Barros de Lima</t>
  </si>
  <si>
    <t>02/05/2015</t>
  </si>
  <si>
    <t>28/11/2009</t>
  </si>
  <si>
    <t>27/12/2011</t>
  </si>
  <si>
    <t>Alergia à proteína do leite de vaca (bebida de soja, aveia, coco ou amêndoa)</t>
  </si>
  <si>
    <t>Constipação intestinal - banana e maçã</t>
  </si>
  <si>
    <t>17/12/2007</t>
  </si>
  <si>
    <t>Esteatose hepática + obesidade</t>
  </si>
  <si>
    <t>21/02/2015</t>
  </si>
  <si>
    <t>25/06/2007</t>
  </si>
  <si>
    <t>30/01/2007</t>
  </si>
  <si>
    <t>06/05/2014</t>
  </si>
  <si>
    <t>09/08/2011</t>
  </si>
  <si>
    <t>31/01/2007</t>
  </si>
  <si>
    <t>22/11/2009</t>
  </si>
  <si>
    <t>30/12/2007</t>
  </si>
  <si>
    <t>02/04/2015</t>
  </si>
  <si>
    <t>Alergia alimentar - corante + cacau + carne suína + ovo + amendoim + dislipidemia</t>
  </si>
  <si>
    <t>25/11/2003</t>
  </si>
  <si>
    <t>11/04/2009</t>
  </si>
  <si>
    <t>Diabetes melitus + anemia</t>
  </si>
  <si>
    <t>06/04/2009</t>
  </si>
  <si>
    <t>Intolerância à lactose (leite baixo teor ou sem lactose) + refluxo gastroesofágico</t>
  </si>
  <si>
    <t>05/01/2005</t>
  </si>
  <si>
    <t>Dislipidemia + obesidade + hipertensão</t>
  </si>
  <si>
    <t>20/12/2008</t>
  </si>
  <si>
    <t>Alergia alimentar - Leite de vaca + ovo</t>
  </si>
  <si>
    <t>20/06/2005</t>
  </si>
  <si>
    <t>19/07/2004</t>
  </si>
  <si>
    <t>Diabetes Mellitus (arroz integral)</t>
  </si>
  <si>
    <t>16/02/2012</t>
  </si>
  <si>
    <t>Siobrepeso e obesidade + hipercolesterolemia</t>
  </si>
  <si>
    <t>Dieta enteral normocalórica, normoproteica, 230ml de 4 em 4 horas. Tempo de administração? 1h. Administrar 50ml de água após a dieta (a cada 4 horas).</t>
  </si>
  <si>
    <t>25/02/2010</t>
  </si>
  <si>
    <t>13/11/2003</t>
  </si>
  <si>
    <t>25/06/2004</t>
  </si>
  <si>
    <t>sobrepeso e obesidade + dislipidemia</t>
  </si>
  <si>
    <t>08/04/2004</t>
  </si>
  <si>
    <t>Alergia a peixe e amendoim</t>
  </si>
  <si>
    <t>07/06/2001</t>
  </si>
  <si>
    <t>26/02/2005</t>
  </si>
  <si>
    <t>05/02/2003</t>
  </si>
  <si>
    <t>Síndrome nefrótica</t>
  </si>
  <si>
    <t>05/04/2004</t>
  </si>
  <si>
    <t>28/05/2002</t>
  </si>
  <si>
    <t>22/03/2003</t>
  </si>
  <si>
    <t>diabetes mellitus</t>
  </si>
  <si>
    <t>20/08/2004</t>
  </si>
  <si>
    <t>28/06/2005</t>
  </si>
  <si>
    <t>27/06/2005</t>
  </si>
  <si>
    <t>dislipidemia + gastrite</t>
  </si>
  <si>
    <t>05/04/2002</t>
  </si>
  <si>
    <t>09/02/2004</t>
  </si>
  <si>
    <t>10/04/2004</t>
  </si>
  <si>
    <t>reação adversa corantes e conservantes + Diabetes Mellitus</t>
  </si>
  <si>
    <t>31/05/2005</t>
  </si>
  <si>
    <t>13/08/2008</t>
  </si>
  <si>
    <t>Alergia ao ovo e amendoim</t>
  </si>
  <si>
    <t>01/09/2006</t>
  </si>
  <si>
    <t>Alergia alimentar - Ovo</t>
  </si>
  <si>
    <t>07/08/2001</t>
  </si>
  <si>
    <t>05/01/2006</t>
  </si>
  <si>
    <t>04/02/2007</t>
  </si>
  <si>
    <t>Sobrepeso e Obesidade - Ester da Silva Rodrigues</t>
  </si>
  <si>
    <t>12/10/2004</t>
  </si>
  <si>
    <t>30/06/2004</t>
  </si>
  <si>
    <t>alergia alimentar - banana</t>
  </si>
  <si>
    <t>19/09/2006</t>
  </si>
  <si>
    <t>10/07/2006</t>
  </si>
  <si>
    <t>27/07/2006</t>
  </si>
  <si>
    <t>04/10/1998</t>
  </si>
  <si>
    <t>30/07/1999</t>
  </si>
  <si>
    <t>24/01/2007</t>
  </si>
  <si>
    <t>27/02/2007</t>
  </si>
  <si>
    <t>dieta pastosa</t>
  </si>
  <si>
    <t>10/08/2000</t>
  </si>
  <si>
    <t>14/08/2006</t>
  </si>
  <si>
    <t>Litíase Renal+ alimentos ácidos (vinagre, abacaxi, maracuja)</t>
  </si>
  <si>
    <t>20/03/2008</t>
  </si>
  <si>
    <t>Alergia alimentar peixes + frutos do mar</t>
  </si>
  <si>
    <t>Baixo Peso - alimentação a cada 3h.</t>
  </si>
  <si>
    <t>10/11/2005</t>
  </si>
  <si>
    <t>04/09/2007</t>
  </si>
  <si>
    <t>Alergia alimentar - corantes + conservantes + chocolate + embutidos</t>
  </si>
  <si>
    <t>Refluxo gastroesofagico (leite com baixo teor de lactose ou sem lactose)</t>
  </si>
  <si>
    <t>21/07/2004</t>
  </si>
  <si>
    <t>Dislipidemia + Constipação Intestinal</t>
  </si>
  <si>
    <t>Síndrome Nefrótica + Hipossodica + Litiase Renal</t>
  </si>
  <si>
    <t>28/08/2006</t>
  </si>
  <si>
    <t>18/02/2004</t>
  </si>
  <si>
    <t>14/05/2006</t>
  </si>
  <si>
    <t>27/10/2010</t>
  </si>
  <si>
    <t>Intestino Curto - Guilherme Borges Alves</t>
  </si>
  <si>
    <t>20/08/2015</t>
  </si>
  <si>
    <t>30/01/2014</t>
  </si>
  <si>
    <t>Intolerância alimentar - leite, demais alimentos liberados (bebida de soja)</t>
  </si>
  <si>
    <t>Diarreia - leite sem lactose</t>
  </si>
  <si>
    <t>Dieta pastosa homogênea e liquidificada - Miguel Evaristo Sena</t>
  </si>
  <si>
    <t>19/12/2015</t>
  </si>
  <si>
    <t>APLV + ovo (neoforte)</t>
  </si>
  <si>
    <t>APLV + soja + corantes (Neocate)</t>
  </si>
  <si>
    <t>Intolerância à Lactose + embutidos (leite sem lactose)</t>
  </si>
  <si>
    <t>08/05/2014</t>
  </si>
  <si>
    <t>21/08/2010</t>
  </si>
  <si>
    <t>13/01/2005</t>
  </si>
  <si>
    <t>25/06/2010</t>
  </si>
  <si>
    <t>Nefrocalcinose - Arthur José</t>
  </si>
  <si>
    <t>Galactosemia - Lucas Fernandes</t>
  </si>
  <si>
    <t>11/09/2007</t>
  </si>
  <si>
    <t>14/10/2010</t>
  </si>
  <si>
    <t>07/04/2011</t>
  </si>
  <si>
    <t>APLV + ovo + corantes + amendoim + castanhas (suco de frutas)</t>
  </si>
  <si>
    <t>08/09/2005</t>
  </si>
  <si>
    <t>20/04/2012</t>
  </si>
  <si>
    <t>Dieta pastosa amassada - Nicolas Araujo</t>
  </si>
  <si>
    <t>01/08/2010</t>
  </si>
  <si>
    <t>Dieta enteral - Ana Clara da Rocha</t>
  </si>
  <si>
    <t>30/03/2008</t>
  </si>
  <si>
    <t>15/03/2008</t>
  </si>
  <si>
    <t>Autismo - sem leite (bebida de soja)</t>
  </si>
  <si>
    <t>06/08/2011</t>
  </si>
  <si>
    <t>Intolerância à Lactose + ovo (suco de fruta)</t>
  </si>
  <si>
    <t>21/10/2010</t>
  </si>
  <si>
    <t>19/01/2015</t>
  </si>
  <si>
    <t>Alergia - embutidos + café</t>
  </si>
  <si>
    <t>29/11/2012</t>
  </si>
  <si>
    <t>15/03/2015</t>
  </si>
  <si>
    <t>29/12/2010</t>
  </si>
  <si>
    <t>Intolerância à Lactose + corante (bebida de soja)</t>
  </si>
  <si>
    <t>23/05/2014</t>
  </si>
  <si>
    <t>Alergia - ovo + amendoim + coco + castanha + amêndoa</t>
  </si>
  <si>
    <t>13/02/2013</t>
  </si>
  <si>
    <t>01/08/2007</t>
  </si>
  <si>
    <t>30/09/2016</t>
  </si>
  <si>
    <t>24/05/2010</t>
  </si>
  <si>
    <t>Refluxo gastroesofágico - Laura Abrão</t>
  </si>
  <si>
    <t>APLV + ovo + banana (bebida de soja)</t>
  </si>
  <si>
    <t>01/10/2008</t>
  </si>
  <si>
    <t>Intolerância à Lactose + ovo (leite sem lactose)</t>
  </si>
  <si>
    <t>15/12/2008</t>
  </si>
  <si>
    <t>APLV (suco de frutas) liberado pães, bolos e biscoitos</t>
  </si>
  <si>
    <t>25/08/2010</t>
  </si>
  <si>
    <t>Dieta Pastosa Liquidificada - Yasmin de Souza</t>
  </si>
  <si>
    <t>Dieta pastosa - Flavio de Jesus</t>
  </si>
  <si>
    <t>25/10/2015</t>
  </si>
  <si>
    <t>Intolerância alimentar - leite em pó (leite fluido Italac)</t>
  </si>
  <si>
    <t>Intolerância alimentar - salsicha</t>
  </si>
  <si>
    <t>25/07/2014</t>
  </si>
  <si>
    <t>19/05/2015</t>
  </si>
  <si>
    <t>Alergia - salsicha + embutidos</t>
  </si>
  <si>
    <t>17/08/2006</t>
  </si>
  <si>
    <t>24/11/2014</t>
  </si>
  <si>
    <t>19/02/2008</t>
  </si>
  <si>
    <t>Dieta enteral - Lucas Neves de Barros</t>
  </si>
  <si>
    <t>13/01/2011</t>
  </si>
  <si>
    <t>Dieta pastosa liquidificada - Artur Ferreira Silva</t>
  </si>
  <si>
    <t>04/10/2010</t>
  </si>
  <si>
    <t>21/04/2012</t>
  </si>
  <si>
    <t>03/06/2014</t>
  </si>
  <si>
    <t>Alergia - Caroline Leandro 2</t>
  </si>
  <si>
    <t>30/09/2010</t>
  </si>
  <si>
    <t>Deficiência de G6PD - Carlos Yago</t>
  </si>
  <si>
    <t>22/07/2008</t>
  </si>
  <si>
    <t>Dieta pastosa liquidificada - Leticia Carollin Prieto</t>
  </si>
  <si>
    <t>Dieta pastosa liquidificada - Vitor Gabriel dos Santos</t>
  </si>
  <si>
    <t>15/07/2016</t>
  </si>
  <si>
    <t>Intolerância à Lactose (fórmula sem lactose)</t>
  </si>
  <si>
    <t>24/01/2015</t>
  </si>
  <si>
    <t>Intolerância à Lactose + peixe (suco de fruta)</t>
  </si>
  <si>
    <t>Hipercolesterolemia - Cesar R. S. Oliveira</t>
  </si>
  <si>
    <t>17/09/2006</t>
  </si>
  <si>
    <t>23/02/2012</t>
  </si>
  <si>
    <t>Intolerância alimentar - ovo + soja + peixe + trigo + amendoim</t>
  </si>
  <si>
    <t>10/01/2016</t>
  </si>
  <si>
    <t>Constipação intestinal - Manuela Alves</t>
  </si>
  <si>
    <t>15/12/2016</t>
  </si>
  <si>
    <t>Refluxo Gastroesofágico (fórmula com engrossante)</t>
  </si>
  <si>
    <t>21/12/2003</t>
  </si>
  <si>
    <t>Dieta enteral - Diogo Queiroz dos Santos</t>
  </si>
  <si>
    <t>Alergia - corantes + chocolate + amendoim + carne suína + enlatados + embutidos</t>
  </si>
  <si>
    <t>10/09/2015</t>
  </si>
  <si>
    <t>Sobrepeso e Obesidade + dislipidemia</t>
  </si>
  <si>
    <t>01/02/2008</t>
  </si>
  <si>
    <t>Intolerância à lactose ( bebida de soja ou leite sem alctose)</t>
  </si>
  <si>
    <t>Intolerância alimentar- café</t>
  </si>
  <si>
    <t>04/08/2007</t>
  </si>
  <si>
    <t>Refluxo gastroesofágico (leite sem lactose)</t>
  </si>
  <si>
    <t>10/11/2010</t>
  </si>
  <si>
    <t>09/11/2014</t>
  </si>
  <si>
    <t>Dieta Pastosa Amassada - Isabella Gomes</t>
  </si>
  <si>
    <t>09/11/2011</t>
  </si>
  <si>
    <t>Intolerancia a Lactose (leite e derivados sem lactose ou com teor reduzido de lactose)</t>
  </si>
  <si>
    <t>Síndrome de Alagille - Flavio Junior</t>
  </si>
  <si>
    <t>24/01/2010</t>
  </si>
  <si>
    <t>Intolerância à lactose  + corante (leite sem lactose)</t>
  </si>
  <si>
    <t>22/10/2010</t>
  </si>
  <si>
    <t>24/12/2008</t>
  </si>
  <si>
    <t>23/01/2008</t>
  </si>
  <si>
    <t>03/10/2015</t>
  </si>
  <si>
    <t>26/02/2008</t>
  </si>
  <si>
    <t>Alergia alimentar - corantes (liberado salsicha)</t>
  </si>
  <si>
    <t>23/12/2014</t>
  </si>
  <si>
    <t>Diarreia (neslac)</t>
  </si>
  <si>
    <t>Intolerância À lactose (suco de frutas)</t>
  </si>
  <si>
    <t>Alergia chocolate+acrne suína</t>
  </si>
  <si>
    <t>26/08/2011</t>
  </si>
  <si>
    <t>Rinite Alérgica - corantes</t>
  </si>
  <si>
    <t>APLV + ovo + frango + pera + chocolate + laranja + mamão + ameixa (bebida de soja)</t>
  </si>
  <si>
    <t>18/04/2015</t>
  </si>
  <si>
    <t>APLV +corantes + conservantes + sucos e temperos artificiais + enlatados + embutidos (suco de frutas)</t>
  </si>
  <si>
    <t>23/04/2016</t>
  </si>
  <si>
    <t>09/05/2012</t>
  </si>
  <si>
    <t>01/01/2016</t>
  </si>
  <si>
    <t>29/10/2004</t>
  </si>
  <si>
    <t>Hipertensão + obesidade - João Victor Albuquerque</t>
  </si>
  <si>
    <t>04/02/2005</t>
  </si>
  <si>
    <t>30/04/2009</t>
  </si>
  <si>
    <t>Sobrepeso e Obesidade - leite semi desnatado</t>
  </si>
  <si>
    <t>13/04/2015</t>
  </si>
  <si>
    <t>Constipação Intestinal - batata, banana prata, goiaba e maçã. Com arroz e macarrão integral</t>
  </si>
  <si>
    <t>Intolerância a lactose (suco de frutas)</t>
  </si>
  <si>
    <t>Alergia - carne suína + aves + peixe + feijão + lentilha + tomate + frutas cítricas</t>
  </si>
  <si>
    <t>APLV + ovo + peixe e frutos do mar (suco de fruta)</t>
  </si>
  <si>
    <t>19/11/2014</t>
  </si>
  <si>
    <t>06/10/2016</t>
  </si>
  <si>
    <t>Gastrite - João Paulo Garcia</t>
  </si>
  <si>
    <t>06/02/2011</t>
  </si>
  <si>
    <t>12/07/2007</t>
  </si>
  <si>
    <t>Refluxo Gastroesofágico - sem corantes e conservantes</t>
  </si>
  <si>
    <t>Síncope - sem leite (suco de fruta)</t>
  </si>
  <si>
    <t>APLV + ovo + feijão + alho + bacalhau + amendoim (suco de fruta)</t>
  </si>
  <si>
    <t>Alergia - corantes + carne suína</t>
  </si>
  <si>
    <t>Intolerância à lactose + ovo + amendoim + abacaxi (leite sem lactose)</t>
  </si>
  <si>
    <t>Dieta pastosa - Miguel Martinez Tavares</t>
  </si>
  <si>
    <t>08/04/2017</t>
  </si>
  <si>
    <t>07/04/2017</t>
  </si>
  <si>
    <t>08/06/2010</t>
  </si>
  <si>
    <t>24/01/2014</t>
  </si>
  <si>
    <t>APLV + ovo + amendoim (suco de fruta prescrito)</t>
  </si>
  <si>
    <t>Galactosemia - Bernardo do Carmo</t>
  </si>
  <si>
    <t>08/10/2011</t>
  </si>
  <si>
    <t>Intlerância à lactose (bebida de soja)</t>
  </si>
  <si>
    <t>IntolerÂncia À lactose (leite sem lactose)</t>
  </si>
  <si>
    <t>31/08/2011</t>
  </si>
  <si>
    <t>APLV + ovo + milho + peixe (bebida de soja)</t>
  </si>
  <si>
    <t>Alergia a ovo + carne suina + abacaxi</t>
  </si>
  <si>
    <t>Síndrome Nefrótica- hipossódica + hipogordurosa</t>
  </si>
  <si>
    <t>APLV + soja + corante + banana + kiwi (suco de fruta)</t>
  </si>
  <si>
    <t>01/03/2012</t>
  </si>
  <si>
    <t>03/05/2016</t>
  </si>
  <si>
    <t>Alergia - ovo + trigo + amendoim + laranja + tomate</t>
  </si>
  <si>
    <t>Alergias - Sophia Lopes</t>
  </si>
  <si>
    <t>01/05/2016</t>
  </si>
  <si>
    <t>Constipação Intestinal - leite em pó (leite fluido)</t>
  </si>
  <si>
    <t>19/08/2017</t>
  </si>
  <si>
    <t>Intolerância alimentar a fórmula + carne suína (Aptamil I)</t>
  </si>
  <si>
    <t>Doença renal - Miguel da Cruz</t>
  </si>
  <si>
    <t>Constipação intestinal - banana prata, caju, goiaba, amido de milho, farinha de mandioca, creme de arroz, limonada</t>
  </si>
  <si>
    <t>Alergia a chocolate + peixe</t>
  </si>
  <si>
    <t>Alergia a abacaxi + morango</t>
  </si>
  <si>
    <t>13/06/2017</t>
  </si>
  <si>
    <t>Dieta Pastosa Amassada - Lucas Pereira</t>
  </si>
  <si>
    <t>27/04/2008</t>
  </si>
  <si>
    <t>31/05/2004</t>
  </si>
  <si>
    <t>Dieta pastosa amassada - victor ferreira</t>
  </si>
  <si>
    <t>23/11/2016</t>
  </si>
  <si>
    <t>APLV + soja (neocate ou hidrolisado proteico)</t>
  </si>
  <si>
    <t>APLV + ovo + banana + abacaxi + maçã (suco de fruta)</t>
  </si>
  <si>
    <t>16/08/2015</t>
  </si>
  <si>
    <t>17/01/2017</t>
  </si>
  <si>
    <t>04/06/2015</t>
  </si>
  <si>
    <t>25/10/2017</t>
  </si>
  <si>
    <t>Intolerância alimentar - fórmula (Nan Supreme)</t>
  </si>
  <si>
    <t>Desnutrição - Mariah Isabelly</t>
  </si>
  <si>
    <t>31/07/2013</t>
  </si>
  <si>
    <t>APLV + hipercolesterolemia (bebida de soja)</t>
  </si>
  <si>
    <t>24/12/2015</t>
  </si>
  <si>
    <t>12/02/2006</t>
  </si>
  <si>
    <t>15/08/2012</t>
  </si>
  <si>
    <t>Doença Renal - Davi Felipe</t>
  </si>
  <si>
    <t>Deficiência de G6PD  - sem corantes + feijão fava</t>
  </si>
  <si>
    <t>Alergia a ovo - liberados alimentos que contem ovo</t>
  </si>
  <si>
    <t>Malformação Congênita (Aptamil 3)</t>
  </si>
  <si>
    <t>APLV + trigo (bebida de soja)</t>
  </si>
  <si>
    <t>05/11/2008</t>
  </si>
  <si>
    <t>Dieta pastosa liquidificada - Ruan de Oliveira Dias</t>
  </si>
  <si>
    <t>17/08/2011</t>
  </si>
  <si>
    <t>Dieta Pastosa amassada - Shaffira Nascimento 2</t>
  </si>
  <si>
    <t>13/07/2013</t>
  </si>
  <si>
    <t>APLV + hipertrigliceridemia (suco de fruta)</t>
  </si>
  <si>
    <t>30/03/2005</t>
  </si>
  <si>
    <t>02/01/2013</t>
  </si>
  <si>
    <t>10/03/2011</t>
  </si>
  <si>
    <t>Alergia - corantes + conservantes + peixe</t>
  </si>
  <si>
    <t>APLV + ovo + corante (suco de fruta)</t>
  </si>
  <si>
    <t>17/11/2016</t>
  </si>
  <si>
    <t>Baixo Peso (milnutri)</t>
  </si>
  <si>
    <t>07/04/2010</t>
  </si>
  <si>
    <t>Dieta pastosa liquidificada + enteral - Nathalia de Souza</t>
  </si>
  <si>
    <t>YASMIM SILVA PUTINI</t>
  </si>
  <si>
    <t>24/08/2013</t>
  </si>
  <si>
    <t>Dieta pastosa - Nicolly Vitória</t>
  </si>
  <si>
    <t>Constipação intestinal - sem leite em pó (suco de fruta)</t>
  </si>
  <si>
    <t>10/10/2008</t>
  </si>
  <si>
    <t>Alergia - soja + trigo + ovo + milho + banana + frutos do mar</t>
  </si>
  <si>
    <t>Intolerância à lactose (suco de fruta) - derivados liberados</t>
  </si>
  <si>
    <t>Alergia a goiaba</t>
  </si>
  <si>
    <t>APLV + ovo + trigo = peixe = frutos do amr + cacau + castanhas + amendoim (suco de fruta)</t>
  </si>
  <si>
    <t>APLV + soja + ovo + peixe + amendoim (Suco de fruta)</t>
  </si>
  <si>
    <t>09/12/2013</t>
  </si>
  <si>
    <t>24/08/2012</t>
  </si>
  <si>
    <t>Intolerância à lactose (Nan sem lactose)</t>
  </si>
  <si>
    <t>10/03/2010</t>
  </si>
  <si>
    <t>Tirosinemia - Matheus Leonardo</t>
  </si>
  <si>
    <t>Doença Renal (hipossódica)</t>
  </si>
  <si>
    <t>17/06/2008</t>
  </si>
  <si>
    <t>16/06/2009</t>
  </si>
  <si>
    <t>APLV (suco de fruta prescrito) - derivados liberados - Lorenzo Joaquim Tavares Cipriano</t>
  </si>
  <si>
    <t>08/07/2014</t>
  </si>
  <si>
    <t>APLV + ovo + frango + pera + laranja (suco de fruta) -derivados liberados</t>
  </si>
  <si>
    <t>17/05/2008</t>
  </si>
  <si>
    <t>06/03/2015</t>
  </si>
  <si>
    <t>15/10/2013</t>
  </si>
  <si>
    <t>20/04/2008</t>
  </si>
  <si>
    <t>Intolerância à lactose + diabetes mellitus (suco de frutas)</t>
  </si>
  <si>
    <t>21/07/2005</t>
  </si>
  <si>
    <t>Dieta Pastosa amassada - João pedro Silva</t>
  </si>
  <si>
    <t>16/08/2017</t>
  </si>
  <si>
    <t>APLV (hidrolisado proteico com vitalon ou fruta)</t>
  </si>
  <si>
    <t>17/07/2011</t>
  </si>
  <si>
    <t>Dieta pastosa liquidificada - Esaú José</t>
  </si>
  <si>
    <t>23/09/2009</t>
  </si>
  <si>
    <t>Intolerância à lactose (leite sme lactose ou bebida de soja)</t>
  </si>
  <si>
    <t>APLV + corante (bebida de soja)</t>
  </si>
  <si>
    <t>10/09/2011</t>
  </si>
  <si>
    <t>22/09/2015</t>
  </si>
  <si>
    <t>Constipação Intestinal _ bernardo dos santos</t>
  </si>
  <si>
    <t>04/06/2016</t>
  </si>
  <si>
    <t>29/02/2016</t>
  </si>
  <si>
    <t>09/06/2017</t>
  </si>
  <si>
    <t>Dislipidemia + anemia + obesidade</t>
  </si>
  <si>
    <t>31/03/2007</t>
  </si>
  <si>
    <t>09/06/2013</t>
  </si>
  <si>
    <t>Transtorno de Alimentação na Infância - Miguel Chaves</t>
  </si>
  <si>
    <t>Dieta Enteral - Kézia Santos</t>
  </si>
  <si>
    <t>12/04/2016</t>
  </si>
  <si>
    <t>Intolerância à lactose (leite sme lactose)</t>
  </si>
  <si>
    <t>25/05/2017</t>
  </si>
  <si>
    <t>18/01/2016</t>
  </si>
  <si>
    <t>Alergia a ovo + carne suína</t>
  </si>
  <si>
    <t>Intolerância alimentar - cenoura + leite (milnutri)</t>
  </si>
  <si>
    <t>14/04/2011</t>
  </si>
  <si>
    <t>Dieta Pastosa - Daniel Araujo</t>
  </si>
  <si>
    <t>Dieta Pastosa liquidificada - Edson Camilo</t>
  </si>
  <si>
    <t>13/01/2018</t>
  </si>
  <si>
    <t>17/12/2017</t>
  </si>
  <si>
    <t>APLV (bebida vegetal)</t>
  </si>
  <si>
    <t>23/01/2015</t>
  </si>
  <si>
    <t>Fenilcetonúria - Davi Pyetro Dias</t>
  </si>
  <si>
    <t>Intolerância à alctose (leite sem lactose)</t>
  </si>
  <si>
    <t>19/07/2014</t>
  </si>
  <si>
    <t>Intolerância à lactose + Refluxo Gastroesofágico - Matheus Enrique 2</t>
  </si>
  <si>
    <t>06/06/2009</t>
  </si>
  <si>
    <t>MATHEUS HENRIQUE DOS REIS PEREIRA</t>
  </si>
  <si>
    <t>BEATRIZ DOS SANTOS DA SILVA</t>
  </si>
  <si>
    <t>28/03/2015</t>
  </si>
  <si>
    <t>HEITOR ALEXANDRE NOVAIS</t>
  </si>
  <si>
    <t>18/07/2017</t>
  </si>
  <si>
    <t>MARYSOL MIKOSKI FURQUIM</t>
  </si>
  <si>
    <t>ARTHUR MATIAS BRAZ</t>
  </si>
  <si>
    <t>26/03/2012</t>
  </si>
  <si>
    <t>04/12/2008</t>
  </si>
  <si>
    <t>Hipercolesterolemia; Alergia a Corantes; Alergia a Frutos do Mar</t>
  </si>
  <si>
    <t>Alergia - corante + hipercolesterolemia + frutos do mar</t>
  </si>
  <si>
    <t>06/08/2004</t>
  </si>
  <si>
    <t>Doença cardíaca - hipossódica + hipogordurosa</t>
  </si>
  <si>
    <t>PYETRO BONTEMPO ASTIGARRAGA</t>
  </si>
  <si>
    <t>02/12/2013</t>
  </si>
  <si>
    <t>GABRIEL ARAUJO ROCHA</t>
  </si>
  <si>
    <t>ZAYON OTAVIO RIBEIRO</t>
  </si>
  <si>
    <t>14/06/2017</t>
  </si>
  <si>
    <t>EMEI VICENTE DE CARVALHO - (TERCEI.)</t>
  </si>
  <si>
    <t>BRENDA NICOLI SILVA SOARES</t>
  </si>
  <si>
    <t>RYAN ARAUJO SILVA SANTOS</t>
  </si>
  <si>
    <t>11/05/2014</t>
  </si>
  <si>
    <t>CINTIA VITAL GARCIA</t>
  </si>
  <si>
    <t>Alergia a Ovo; Dislipidemia</t>
  </si>
  <si>
    <t>Dislipidemia + Alergia ovo</t>
  </si>
  <si>
    <t>EVELYN LUCIANA DIAS DOS ANJOS</t>
  </si>
  <si>
    <t>EMANUELLA APARECIDA MENDONCA</t>
  </si>
  <si>
    <t>CEI MUN. JD. ROSELY - (TERCEI.)</t>
  </si>
  <si>
    <t>LUCAS HENRIQUE PATRICIO SILVA</t>
  </si>
  <si>
    <t>SARAH REBECA VIANA COIMBRA</t>
  </si>
  <si>
    <t>Leucemia - Sarah Rebeca</t>
  </si>
  <si>
    <t>JOAO VITOR DOS SANTOS VIEIRA</t>
  </si>
  <si>
    <t>MURILO KEVINI MATIAS DA SILVA</t>
  </si>
  <si>
    <t>10/04/2009</t>
  </si>
  <si>
    <t>Alergia a Fruta - Abacaxi; Alergia a Chocolate/Cacau; Alergia a Fruta - Morango; Alergia a Gelatina; Alergia a Geleia; Alergia a Sucos Artificiais</t>
  </si>
  <si>
    <t>Alergia a chocolate + abacaxi + morango + gelatina + geleia + biscoito recheado + sucos artifciais</t>
  </si>
  <si>
    <t>FELIPE CORREIA DA SILVA</t>
  </si>
  <si>
    <t>Hipertrigliceridemia + obesidade - hipocalórica</t>
  </si>
  <si>
    <t>28/07/2006</t>
  </si>
  <si>
    <t>Dieta Enteral - Nathan Willian Gianutti 3</t>
  </si>
  <si>
    <t>GABRIEL DE OLIVEIRA SILVA</t>
  </si>
  <si>
    <t>LEONARDO SILVA DE REZENDE</t>
  </si>
  <si>
    <t>JASMIM ALEXANDRE DA CRUZ</t>
  </si>
  <si>
    <t>Alergia a Ovo; Alergia a Proteína do Leite de Vaca; Alergia ao Trigo; Alergia a Peixe; Alergia a Frutos do Mar; Alergia a Fruta - Banana</t>
  </si>
  <si>
    <t>APLV + ovo + trigo + peixe + frutos do mar + banana (suco de fruta)</t>
  </si>
  <si>
    <t>MARISA LOPES PINHEIRO, PROFA</t>
  </si>
  <si>
    <t>MARECHAL TITO</t>
  </si>
  <si>
    <t>PARQUE BRASIL</t>
  </si>
  <si>
    <t xml:space="preserve">Dias </t>
  </si>
  <si>
    <t>emeicidadetiradentes4@sme.prefeitura.sp.gov.br</t>
  </si>
  <si>
    <t>RUA EDUARDO REUTER</t>
  </si>
  <si>
    <t>CJ. HAB. BARRO BRANCO</t>
  </si>
  <si>
    <t>RUA EDUARDO REUTER, 410 - CJ. HAB. BARRO BRANCO</t>
  </si>
  <si>
    <t>08473-533</t>
  </si>
  <si>
    <t>2016-1414</t>
  </si>
  <si>
    <t>LAJEADO II</t>
  </si>
  <si>
    <t>emeilajeado2@sme.prefeitura.sp.gov.br</t>
  </si>
  <si>
    <t>RUA JOÃO SILVA AGUIAR</t>
  </si>
  <si>
    <t>RUA JOÃO SILVA AGUIAR, 150 - LAJEADO</t>
  </si>
  <si>
    <t>08452-350</t>
  </si>
  <si>
    <t>PACHECO GATO</t>
  </si>
  <si>
    <t>SÃO MATEUS II</t>
  </si>
  <si>
    <t>cintiasales255@gmail.com</t>
  </si>
  <si>
    <t>RUA PACHECO GATO</t>
  </si>
  <si>
    <t>JD. NOVE DE JULHO</t>
  </si>
  <si>
    <t>RUA PACHECO GATO, 50 - JD. NOVE DE JULHO</t>
  </si>
  <si>
    <t>03951-060</t>
  </si>
  <si>
    <t>IPIRANGA I</t>
  </si>
  <si>
    <t>RUA JOÃO PEDRO LECOR</t>
  </si>
  <si>
    <t>JARDIM AVELINO</t>
  </si>
  <si>
    <t>RUA JOÃO PEDRO LECOR, 141 - JARDIM AVELINO</t>
  </si>
  <si>
    <t>03227-190</t>
  </si>
  <si>
    <t>cemeiceuvilaalpina@sme.prefeitura.sp.gov.br</t>
  </si>
  <si>
    <t>CEMEI CEU</t>
  </si>
  <si>
    <t>RUA GASPAR DA SILVA</t>
  </si>
  <si>
    <t>JARDIM IDEAL</t>
  </si>
  <si>
    <t>emeijardimideal@sme.prefeitura.sp.gov.br</t>
  </si>
  <si>
    <t>RUA MAJOR JOSÉ LOPES</t>
  </si>
  <si>
    <t>ceucemeinovomundo@sme.prefeitura.sp.gov.br</t>
  </si>
  <si>
    <t>RUA ERNESTO AUGUSTO LOPES</t>
  </si>
  <si>
    <t>PQ NOVO MUNDO</t>
  </si>
  <si>
    <t>DOMINGOS DELGADO</t>
  </si>
  <si>
    <t>cemeidomingosdelgado@sme.prefeitura.sp.gov.br</t>
  </si>
  <si>
    <t>RUA DOMINGOS DELGADO</t>
  </si>
  <si>
    <t>RUA DOMINGOS DELGADO,S/N - VILA FRANCOS</t>
  </si>
  <si>
    <t>RUA MARIO DALLARI</t>
  </si>
  <si>
    <t>JD SÃO VICENTE</t>
  </si>
  <si>
    <t>cemeiceujbonifacio@sme.prefeitura.sp.gov.br</t>
  </si>
  <si>
    <t>RUA PROFESSORA LUCILA CERQUEIRA</t>
  </si>
  <si>
    <t>JD SÃO PEDRO</t>
  </si>
  <si>
    <t>ceucemeifreguesia@sme.prefeitura.sp.gov.br</t>
  </si>
  <si>
    <t>PQ SÃO LUIZ</t>
  </si>
  <si>
    <t>RUA JACUTIBA</t>
  </si>
  <si>
    <t>RUA JACUTIBA,167 - PQ SÃO LUIZ</t>
  </si>
  <si>
    <t>RUA MARIO CALAZANS MACHADO</t>
  </si>
  <si>
    <t>ARTHUR ALVIM</t>
  </si>
  <si>
    <t>cemeiceubarrobranco@sme.prefeitura.sp.gov.br</t>
  </si>
  <si>
    <t>RUA SALVADOR VIGANO</t>
  </si>
  <si>
    <t>BARRO BRANCO</t>
  </si>
  <si>
    <t>RUA INDOCHINA</t>
  </si>
  <si>
    <t>JARDIM IPORANGA</t>
  </si>
  <si>
    <t xml:space="preserve">u </t>
  </si>
  <si>
    <t>RUA ADAUTO BEZERRA DELGADO</t>
  </si>
  <si>
    <t>PQ. CASA DE PEDRA</t>
  </si>
  <si>
    <t>RUA ADAUTO BEZERRA DELGADO, 94 - PQ. CASA DE PEDRA</t>
  </si>
  <si>
    <t>02320-110</t>
  </si>
  <si>
    <t>SÃO BENTO</t>
  </si>
  <si>
    <t>LARGO SÃO BENTO</t>
  </si>
  <si>
    <t>CENTRO</t>
  </si>
  <si>
    <t>01029-010</t>
  </si>
  <si>
    <r>
      <rPr>
        <b/>
        <sz val="7"/>
        <color rgb="FF0000FF"/>
        <rFont val="Calibri"/>
        <family val="2"/>
        <scheme val="minor"/>
      </rPr>
      <t xml:space="preserve">3 - </t>
    </r>
    <r>
      <rPr>
        <b/>
        <sz val="7"/>
        <rFont val="Calibri"/>
        <family val="2"/>
        <scheme val="minor"/>
      </rPr>
      <t xml:space="preserve">INFORMAR A QUANTIDADE DE ALIMENTAÇÃO FORNECIDA POR DIA E POR </t>
    </r>
    <r>
      <rPr>
        <b/>
        <sz val="7"/>
        <color rgb="FFFF0000"/>
        <rFont val="Calibri"/>
        <family val="2"/>
        <scheme val="minor"/>
      </rPr>
      <t>DIETA ESPECIAL AUTORIZADA</t>
    </r>
  </si>
  <si>
    <t>FB</t>
  </si>
  <si>
    <t>cemeijdiporanga@sme.prefeitura.sp.gov.br</t>
  </si>
  <si>
    <t>RUA INDOCHINA, 125 - JARDIM IPORANGA</t>
  </si>
  <si>
    <t>cemeijardimkioto@sme.prefeitura.sp.gov.br</t>
  </si>
  <si>
    <t>MARCIA KUMBREVICIUS DE MOURA</t>
  </si>
  <si>
    <t>cemeimarciakmoura@sme.prefeitura.sp.gov.br</t>
  </si>
  <si>
    <t>VILA FRANCS</t>
  </si>
  <si>
    <t>SUZANA CAMPOS TAUIL</t>
  </si>
  <si>
    <t xml:space="preserve">IP </t>
  </si>
  <si>
    <t>cemeisuzanacampostauil@sme.prefeitura.sp.gov.br</t>
  </si>
  <si>
    <t>RUA LOEFGREN</t>
  </si>
  <si>
    <t xml:space="preserve">SM </t>
  </si>
  <si>
    <t xml:space="preserve">JARDIM TREMEMBÉ - ACELINO SCALQUETTE, PROFº </t>
  </si>
  <si>
    <t>CORETO DE TAIPAS</t>
  </si>
  <si>
    <t>PIRITUBA/JARAGUÁ</t>
  </si>
  <si>
    <t>PJ</t>
  </si>
  <si>
    <t>RUA JOÃO AMADO COUTINHO</t>
  </si>
  <si>
    <t>CJ. RESIDENCIAL ELÍSIO</t>
  </si>
  <si>
    <t>RUA JOÃO AMADO COUTINHO,240 - CL. RESIDENCIAL ELÍSIO</t>
  </si>
  <si>
    <t>02815-000</t>
  </si>
  <si>
    <t>PINHEIRINHO D´ÁGUA</t>
  </si>
  <si>
    <t>RUA CAMILLO ZANOTTI</t>
  </si>
  <si>
    <t>CITY JARAGUÁ</t>
  </si>
  <si>
    <t>RUA CAMILLO ZANOTTI, 92 - CITY JARAGUÁ</t>
  </si>
  <si>
    <t>02998-080</t>
  </si>
  <si>
    <t>CEU CEMEI</t>
  </si>
  <si>
    <t>BARRO BRANCO III</t>
  </si>
  <si>
    <t>RUA SALVADOR VIGANO, 100 - BARRO BRANCO</t>
  </si>
  <si>
    <t>JOSE BONIFÁCIO</t>
  </si>
  <si>
    <t>RUA PROFESSORA LUCILA CERQUEIRA, 194 - JD SÃO PEDRO</t>
  </si>
  <si>
    <t>PARQUE DO CARMO</t>
  </si>
  <si>
    <t>abia.gomes@sme.prefeitura.sp.gov.br</t>
  </si>
  <si>
    <t>JD. NSA. SRA. DO CARMO</t>
  </si>
  <si>
    <t>RUA GASPAR DA SILVA, 240 - JD. NSA. SRA. DO CARMO</t>
  </si>
  <si>
    <t>NOVO MUNDO</t>
  </si>
  <si>
    <t>RUA ERNESTO AUGUSTO LOPES, 100 - PQ NOVO MUNDO</t>
  </si>
  <si>
    <t xml:space="preserve">MP </t>
  </si>
  <si>
    <t>RUA MARIO DALLARI, 170 - JD SÃO VICENTE</t>
  </si>
  <si>
    <t>HORIZONTE AZUL</t>
  </si>
  <si>
    <t xml:space="preserve">PE </t>
  </si>
  <si>
    <t>RUA MARIO CALAZANS MACHADO, 166 - ARTHUR ALVIM</t>
  </si>
  <si>
    <t>MONTE SERRAT</t>
  </si>
  <si>
    <t>RUA MONTE SERRAT</t>
  </si>
  <si>
    <t>RUA MONTE SERRAT, 230 - TATUAPÉ</t>
  </si>
  <si>
    <t>emeimsantos@SME.PREFEITURA.SP.GOV.BR</t>
  </si>
  <si>
    <t>5668-1921</t>
  </si>
  <si>
    <t>emeiceunavegantes@SME.PREFEITURA.SP.GOV.BR</t>
  </si>
  <si>
    <t>5976-5507</t>
  </si>
  <si>
    <t>emeiceuparelheiros@SME.PREFEITURA.SP.GOV.BR</t>
  </si>
  <si>
    <t>5921-7131</t>
  </si>
  <si>
    <t>emeiceutreslagos@SME.PREFEITURA.SP.GOV.BR</t>
  </si>
  <si>
    <t>5976-5621</t>
  </si>
  <si>
    <t>emeiceuvrubi@SME.PREFEITURA.SP.GOV.BR</t>
  </si>
  <si>
    <t>5661-2915</t>
  </si>
  <si>
    <t>emeiceujdpaulistano@SME.PREFEITURA.SP.GOV.BR</t>
  </si>
  <si>
    <t>3397-5437</t>
  </si>
  <si>
    <t>emeiceupaz@SME.PREFEITURA.SP.GOV.BR</t>
  </si>
  <si>
    <t>3986-3418</t>
  </si>
  <si>
    <t>EDNA ALVES DE SOUSA PROFA</t>
  </si>
  <si>
    <t>emeiceulajeado@SME.PREFEITURA.SP.GOV.BR</t>
  </si>
  <si>
    <t>2153-9562</t>
  </si>
  <si>
    <t>emeiceuinaciomonteiro@SME.PREFEITURA.SP.GOV.BR</t>
  </si>
  <si>
    <t>2518-9030</t>
  </si>
  <si>
    <t>emeiceuirenemanke@SME.PREFEITURA.SP.GOV.BR</t>
  </si>
  <si>
    <t>emeiceutheresinhassilva@SME.PREFEITURA.SP.GOV.BR</t>
  </si>
  <si>
    <t>2960-2021</t>
  </si>
  <si>
    <t>2945-2519</t>
  </si>
  <si>
    <t>LUCIANA AZEVEDO POMPERMAYER, PROFA.</t>
  </si>
  <si>
    <t>emeiceupqbristol@SME.PREFEITURA.SP.GOV.BR</t>
  </si>
  <si>
    <t>emeiceuformosa@SME.PREFEITURA.SP.GOV.BR</t>
  </si>
  <si>
    <t>emeijosegaspar@SME.PREFEITURA.SP.GOV.BR</t>
  </si>
  <si>
    <t>JACANA</t>
  </si>
  <si>
    <t>emeiceijacana@SME.PREFEITURA.SP.GOV.BR</t>
  </si>
  <si>
    <t>emeiceuantonmakarenko@SME.PREFEITURA.SP.GOV.BR</t>
  </si>
  <si>
    <t>2563-6224</t>
  </si>
  <si>
    <t>APPARECIDO DOMINGUES, PROF.</t>
  </si>
  <si>
    <t>emeicvcuruca@SME.PREFEITURA.SP.GOV.BR</t>
  </si>
  <si>
    <t>2563-6132</t>
  </si>
  <si>
    <t>emeiceucarlososlmuniz@prefeitura.sp.gov.br</t>
  </si>
  <si>
    <t>2045-4231</t>
  </si>
  <si>
    <t>emeiceutrêspontes@SME.PREFEITURA.SP.GOV.BR</t>
  </si>
  <si>
    <t>3397-6417</t>
  </si>
  <si>
    <t>emeipfreire@SME.PREFEITURA.SP.GOV.BR</t>
  </si>
  <si>
    <t>2092-7043</t>
  </si>
  <si>
    <t>emeiceualtoalegre@SME.PREFEITURA.SP.GOV.BR</t>
  </si>
  <si>
    <t>2075-1023</t>
  </si>
  <si>
    <t>ERIKA DE SOUZA BRITO MATOS, PROFA.</t>
  </si>
  <si>
    <t>emeiceuesbmatos@SME.PREFEITURA.SP.GOV.BR</t>
  </si>
  <si>
    <t>emeiceuroquesmbarros@SME.PREFEITURA.SP.GOV.BR</t>
  </si>
  <si>
    <t>2752-1015</t>
  </si>
  <si>
    <t>emeiceurosadachina@SME.PREFEITURA.SP.GOV.BR</t>
  </si>
  <si>
    <t>2701-2330</t>
  </si>
  <si>
    <t>emeiceusaomateus@SME.PREFEITURA.SP.GOV.BR</t>
  </si>
  <si>
    <t>2732-8129</t>
  </si>
  <si>
    <t>emeialbertsabin@SME.PREFEITURA.SP.GOV.BR</t>
  </si>
  <si>
    <t>5667-3744</t>
  </si>
  <si>
    <t>emeiakreta@SME.PREFEITURA.SP.GOV.BR</t>
  </si>
  <si>
    <t>5662-4465</t>
  </si>
  <si>
    <t>emeianogueira@SME.PREFEITURA.SP.GOV.BR</t>
  </si>
  <si>
    <t>5528-1873</t>
  </si>
  <si>
    <t>emeiabhferreira@SME.PREFEITURA.SP.GOV.BR</t>
  </si>
  <si>
    <t>5939-4789</t>
  </si>
  <si>
    <t>emeicaminhodosmartins@SME.PREFEITURA.SP.GOV.BR</t>
  </si>
  <si>
    <t>97094-2923</t>
  </si>
  <si>
    <t>96762-4003</t>
  </si>
  <si>
    <t>emeicandrade@SME.PREFEITURA.SP.GOV.BR</t>
  </si>
  <si>
    <t>5521-8789</t>
  </si>
  <si>
    <t>emeicalves@SME.PREFEITURA.SP.GOV.BR</t>
  </si>
  <si>
    <t>5939-4987</t>
  </si>
  <si>
    <t>emeicnunes@SME.PREFEITURA.SP.GOV.BR</t>
  </si>
  <si>
    <t>5522-4183</t>
  </si>
  <si>
    <t>emeigrajau@SME.PREFEITURA.SP.GOV.BR</t>
  </si>
  <si>
    <t>5929-1534</t>
  </si>
  <si>
    <t>JD SHANGRILÁ</t>
  </si>
  <si>
    <t>RUA MAJOR JOSÉ LOPES, 284 - JD SHANGRILÁ</t>
  </si>
  <si>
    <t>emeijmyrna@SME.PREFEITURA.SP.GOV.BR</t>
  </si>
  <si>
    <t>5527-3132</t>
  </si>
  <si>
    <t>emeiparelheiros@SME.PREFEITURA.SP.GOV.BR</t>
  </si>
  <si>
    <t>5920-4002</t>
  </si>
  <si>
    <t>JARDIM SAO BERNARDO</t>
  </si>
  <si>
    <t>yamarasofy@hotmail.com</t>
  </si>
  <si>
    <t>97111-5620</t>
  </si>
  <si>
    <t>emeijcandido@SME.PREFEITURA.SP.GOV.BR</t>
  </si>
  <si>
    <t>5528-1467</t>
  </si>
  <si>
    <t>emeijltorrre@SME.PREFEITURA.SP.GOV.BR</t>
  </si>
  <si>
    <t>5920-8156</t>
  </si>
  <si>
    <t>emeijrchristi@prefeitura.sp.gov.br</t>
  </si>
  <si>
    <t>emeiltravassos@SME.PREFEITURA.SP.GOV.BR</t>
  </si>
  <si>
    <t>5971-8809</t>
  </si>
  <si>
    <t>emeilgnascimento@SME.PREFEITURA.SP.GOV.BR</t>
  </si>
  <si>
    <t>5921-1616</t>
  </si>
  <si>
    <t>emeimefakhoury@SME.PREFEITURA.SP.GOV.BR</t>
  </si>
  <si>
    <t>5526-3674</t>
  </si>
  <si>
    <t>emeimmforacchi@SME.PREFEITURA.SP.GOV.BR</t>
  </si>
  <si>
    <t>5528-5666</t>
  </si>
  <si>
    <t>ODILEA BOTTA DE MATTOS, PROFA</t>
  </si>
  <si>
    <t>emeiodileabmattos@SME.PREFEITURA.SP.GOV.BR</t>
  </si>
  <si>
    <t>5924-9326</t>
  </si>
  <si>
    <t>emeivboas@SME.PREFEITURA.SP.GOV.BR</t>
  </si>
  <si>
    <t>5662-2426</t>
  </si>
  <si>
    <t>emeiocfarias@SME.PREFEITURA.SP.GOV.BR</t>
  </si>
  <si>
    <t>5528-0296</t>
  </si>
  <si>
    <t>emeicocaia@SME.PREFEITURA.SP.GOV.BR</t>
  </si>
  <si>
    <t>RECANTO CAMPO BELO - DIRCE ZILLESG BORGES DOS SANTOS, PROFA</t>
  </si>
  <si>
    <t>emeireccbelo@SME.PREFEITURA.SP.GOV.BR</t>
  </si>
  <si>
    <t>5921-5480</t>
  </si>
  <si>
    <t>emeibrbranco@SME.PREFEITURA.SP.GOV.BR</t>
  </si>
  <si>
    <t>5528-0231</t>
  </si>
  <si>
    <t>emeiscardoso@SME.PREFEITURA.SP.GOV.BR</t>
  </si>
  <si>
    <t>5666-6106</t>
  </si>
  <si>
    <t>emeivargemgrande@SME.PREFEITURA.SP.GOV.BR</t>
  </si>
  <si>
    <t>5921-6416</t>
  </si>
  <si>
    <t>emeivnatal@SME.PREFEITURA.SP.GOV.BR</t>
  </si>
  <si>
    <t>99324-1307</t>
  </si>
  <si>
    <t>emeivcorreia@SME.PREFEITURA.SP.GOV.BR</t>
  </si>
  <si>
    <t>5667-2549</t>
  </si>
  <si>
    <t>emeizpalmares@SME.PREFEITURA.SP.GOV.BR</t>
  </si>
  <si>
    <t>5971-8664</t>
  </si>
  <si>
    <t>emei25dejaneiro@SME.PREFEITURA.SP.GOV.BR</t>
  </si>
  <si>
    <t>3975-2738</t>
  </si>
  <si>
    <t>emei7desetembro@SME.PREFEITURA.SP.GOV.BR</t>
  </si>
  <si>
    <t>3951-0799</t>
  </si>
  <si>
    <t>emeiabgaldino@SME.PREFEITURA.SP.GOV.BR</t>
  </si>
  <si>
    <t>3955-0167</t>
  </si>
  <si>
    <t>emeialexfreua@SME.PREFEITURA.SP.GOV.BR</t>
  </si>
  <si>
    <t>emeiagama@SME.PREFEITURA.SP.GOV.BR</t>
  </si>
  <si>
    <t>3921-6872</t>
  </si>
  <si>
    <t>3851-5611</t>
  </si>
  <si>
    <t>emeiacallado@SME.PREFEITURA.SP.GOV.BR</t>
  </si>
  <si>
    <t>3955-1199</t>
  </si>
  <si>
    <t>emeiavsantos@SME.PREFEITURA.SP.GOV.BR</t>
  </si>
  <si>
    <t>3851-8885</t>
  </si>
  <si>
    <t>emeibernardinopmendes@SME.PREFEITURA.SP.GOV.BR</t>
  </si>
  <si>
    <t>emeibilac@SME.PREFEITURA.SP.GOV.BR</t>
  </si>
  <si>
    <t>emeicgprado@prefeitura.sp.gov.br</t>
  </si>
  <si>
    <t>3851-2035</t>
  </si>
  <si>
    <t>3851-2970</t>
  </si>
  <si>
    <t>emeiegomes@SME.PREFEITURA.SP.GOV.BR</t>
  </si>
  <si>
    <t>3966-0434</t>
  </si>
  <si>
    <t>emeifmestrejou@SME.PREFEITURA.SP.GOV.BR</t>
  </si>
  <si>
    <t>emeijardimmonjolo@SME.PREFEITURA.SP.GOV.BR</t>
  </si>
  <si>
    <t>jcanavo@SME.PREFEITURA.SP.GOV.BR</t>
  </si>
  <si>
    <t>3921-3260</t>
  </si>
  <si>
    <t>emeijrcaraujo@SME.PREFEITURA.SP.GOV.BR</t>
  </si>
  <si>
    <t>3983-3434</t>
  </si>
  <si>
    <t>emeijmesquita@SME.PREFEITURA.SP.GOV.BR</t>
  </si>
  <si>
    <t>3851-4943</t>
  </si>
  <si>
    <t>emeilngarcez@SME.PREFEITURA.SP.GOV.BR</t>
  </si>
  <si>
    <t>3851-2560</t>
  </si>
  <si>
    <t>emeimpreto@SME.PREFEITURA.SP.GOV.BR</t>
  </si>
  <si>
    <t>3931-3871</t>
  </si>
  <si>
    <t>emeimbandeira@SME.PREFEITURA.SP.GOV.BR</t>
  </si>
  <si>
    <t>3978-2337</t>
  </si>
  <si>
    <t>emeimlpsilva@prefeitura.sp.gov.br</t>
  </si>
  <si>
    <t>emeincbuarque@SME.PREFEITURA.SP.GOV.BR</t>
  </si>
  <si>
    <t>emeiglopes@SME.PREFEITURA.SP.GOV.BR</t>
  </si>
  <si>
    <t>emeiodenys@SME.PREFEITURA.SP.GOV.BR</t>
  </si>
  <si>
    <t>obilac@SME.PREFEITURA.SP.GOV.BR</t>
  </si>
  <si>
    <t>emeiportonacional@SME.PREFEITURA.SP.GOV.BR</t>
  </si>
  <si>
    <t>3922-5578</t>
  </si>
  <si>
    <t>emeircagazzi@SME.PREFEITURA.SP.GOV.BR</t>
  </si>
  <si>
    <t>emeitlferreira@prefeitura.sp.gov.br</t>
  </si>
  <si>
    <t>3921-6630</t>
  </si>
  <si>
    <t>emeivipsilva@SME.PREFEITURA.SP.GOV.BR</t>
  </si>
  <si>
    <t>emeiabarbosa@SME.PREFEITURA.SP.GOV.BR</t>
  </si>
  <si>
    <t>2282-2123</t>
  </si>
  <si>
    <t>emeiamazzaropi@SME.PREFEITURA.SP.GOV.BR</t>
  </si>
  <si>
    <t>2555-8437</t>
  </si>
  <si>
    <t>ANA PAULA APARECIDA DINIZ PRIMO, PROFA</t>
  </si>
  <si>
    <t>emeilajeado1@SME.PREFEITURA.SP.GOV.BR</t>
  </si>
  <si>
    <t>2513-7300</t>
  </si>
  <si>
    <t>emeiaplima@SME.PREFEITURA.SP.GOV.BR</t>
  </si>
  <si>
    <t>2035-1874</t>
  </si>
  <si>
    <t>emeicpqueiroz@SME.PREFEITURA.SP.GOV.BR</t>
  </si>
  <si>
    <t>2282-2115</t>
  </si>
  <si>
    <t>DORACI DOS SANTOS RAMOS, PROFA</t>
  </si>
  <si>
    <t>emeicidadetiradentes2@SME.PREFEITURA.SP.GOV.BR</t>
  </si>
  <si>
    <t>2964-7311</t>
  </si>
  <si>
    <t>emeidsferraz@prefeitura.sp.gov.br</t>
  </si>
  <si>
    <t>2964-8128</t>
  </si>
  <si>
    <t>emeiekmello@prefeitura.sp.gov.br</t>
  </si>
  <si>
    <t>2282-1490</t>
  </si>
  <si>
    <t>emeiekabramovich@SME.PREFEITURA.SP.GOV.BR</t>
  </si>
  <si>
    <t>2282-0978</t>
  </si>
  <si>
    <t>emeiersouza@prefeitura.sp.gov.br</t>
  </si>
  <si>
    <t>2964-8646</t>
  </si>
  <si>
    <t>emeielizamtorres@SME.PREFEITURA.SP.GOV.BR</t>
  </si>
  <si>
    <t>2513-7684</t>
  </si>
  <si>
    <t>FULVIA ROSEMBERG, PROFA</t>
  </si>
  <si>
    <t>emeifulviarosemberg@SME.PREFEITURA.SP.GOV.BR</t>
  </si>
  <si>
    <t>2153-3282</t>
  </si>
  <si>
    <t>emeiggebara@SME.PREFEITURA.SP.GOV.BR</t>
  </si>
  <si>
    <t>2555-4165</t>
  </si>
  <si>
    <t>emeigporta@SME.PREFEITURA.SP.GOV.BR</t>
  </si>
  <si>
    <t>2557-0634</t>
  </si>
  <si>
    <t>emeihlssilva@prefeitura.sp.gov.br</t>
  </si>
  <si>
    <t>2557-1909</t>
  </si>
  <si>
    <t>emeijrcribeiro@prefeitura.sp.gov.br</t>
  </si>
  <si>
    <t>2282-0199</t>
  </si>
  <si>
    <t>emeikreinach@SME.PREFEITURA.SP.GOV.BR</t>
  </si>
  <si>
    <t>2964-8046</t>
  </si>
  <si>
    <t>emeiaferreira@SME.PREFEITURA.SP.GOV.BR</t>
  </si>
  <si>
    <t>2282-4326</t>
  </si>
  <si>
    <t>emeimtagliaferro@SME.PREFEITURA.SP.GOV.BR</t>
  </si>
  <si>
    <t>2035-1662</t>
  </si>
  <si>
    <t>emeimalves@SME.PREFEITURA.SP.GOV.BR</t>
  </si>
  <si>
    <t>2964-9384</t>
  </si>
  <si>
    <t>emeimaplcoiado@SME.PREFEITURA.SP.GOV.BR</t>
  </si>
  <si>
    <t>2016-5605</t>
  </si>
  <si>
    <t>emeimbeni@prefeitura.sp.gov.br</t>
  </si>
  <si>
    <t>2282-2136</t>
  </si>
  <si>
    <t>emeiviana@SME.PREFEITURA.SP.GOV.BR</t>
  </si>
  <si>
    <t>2555-2111</t>
  </si>
  <si>
    <t>emeiobprestes@prefeitura.sp.gov.br</t>
  </si>
  <si>
    <t>2555-2615</t>
  </si>
  <si>
    <t>PAULO CAMILHIER FLORENCANO</t>
  </si>
  <si>
    <t>emeipcflorencano@SME.PREFEITURA.SP.GOV.BR</t>
  </si>
  <si>
    <t>2557-8348</t>
  </si>
  <si>
    <t>emeiraulnemenz@SME.PREFEITURA.SP.GOV.BR</t>
  </si>
  <si>
    <t>2282-3477</t>
  </si>
  <si>
    <t>emeirabreu@SME.PREFEITURA.SP.GOV.BR</t>
  </si>
  <si>
    <t>2557-8187</t>
  </si>
  <si>
    <t>emeiswainer@SME.PREFEITURA.SP.GOV.BR</t>
  </si>
  <si>
    <t>2282-1223</t>
  </si>
  <si>
    <t>emeitgalhardo@SME.PREFEITURA.SP.GOV.BR</t>
  </si>
  <si>
    <t>2555-2757</t>
  </si>
  <si>
    <t>emeivazevedo@SME.PREFEITURA.SP.GOV.BR</t>
  </si>
  <si>
    <t>2555-2124</t>
  </si>
  <si>
    <t>emeiwrsantos@SME.PREFEITURA.SP.GOV.BR</t>
  </si>
  <si>
    <t>2963-8426</t>
  </si>
  <si>
    <t>emeiafcelso@SME.PREFEITURA.SP.GOV.BR</t>
  </si>
  <si>
    <t>2917-2429</t>
  </si>
  <si>
    <t>emeialbertooliveira@SME.PREFEITURA.SP.GOV.BR</t>
  </si>
  <si>
    <t>3208-7982</t>
  </si>
  <si>
    <t>emeiamaraujo@SME.PREFEITURA.SP.GOV.BR</t>
  </si>
  <si>
    <t>3221-9134</t>
  </si>
  <si>
    <t>ANA ROSA DE ARAUJO, DA</t>
  </si>
  <si>
    <t>emeiarraujo@SME.PREFEITURA.SP.GOV.BR</t>
  </si>
  <si>
    <t>5573-4615</t>
  </si>
  <si>
    <t>emeiamartino@SME.PREFEITURA.SP.GOV.BR</t>
  </si>
  <si>
    <t>3115-1766</t>
  </si>
  <si>
    <t>3310-1633</t>
  </si>
  <si>
    <t>emeianitacosta@SME.PREFEITURA.SP.GOV.BR</t>
  </si>
  <si>
    <t>5052-2979</t>
  </si>
  <si>
    <t>emeiafmaral@prefeitura.sp.gov.br</t>
  </si>
  <si>
    <t>3392-1898</t>
  </si>
  <si>
    <t>emeiaflisboa@SME.PREFEITURA.SP.GOV.BR</t>
  </si>
  <si>
    <t>2946-3392</t>
  </si>
  <si>
    <t>emeiarmuller@SME.PREFEITURA.SP.GOV.BR</t>
  </si>
  <si>
    <t>2918-7032</t>
  </si>
  <si>
    <t>3221-3892</t>
  </si>
  <si>
    <t>emeibcepelos@SME.PREFEITURA.SP.GOV.BR</t>
  </si>
  <si>
    <t>2273-3381</t>
  </si>
  <si>
    <t>emeibfmaral@SME.PREFEITURA.SP.GOV.BR</t>
  </si>
  <si>
    <t>6211-7933</t>
  </si>
  <si>
    <t>6104-3284</t>
  </si>
  <si>
    <t>emeicecaranha@SME.PREFEITURA.SP.GOV.BR</t>
  </si>
  <si>
    <t>5073-4333</t>
  </si>
  <si>
    <t>emeicarvalho@SME.PREFEITURA.SP.GOV.BR</t>
  </si>
  <si>
    <t>2703-4446</t>
  </si>
  <si>
    <t>emeiciddosol@prefeitura.sp.gov.br</t>
  </si>
  <si>
    <t>2215-4246</t>
  </si>
  <si>
    <t>emeidazevedo@SME.PREFEITURA.SP.GOV.BR</t>
  </si>
  <si>
    <t>2273-3470</t>
  </si>
  <si>
    <t>FATIMA REGINA DA CRUZ SABINO CALACA, PROFA</t>
  </si>
  <si>
    <t>emeipqbristol@SME.PREFEITURA.SP.GOV.BR</t>
  </si>
  <si>
    <t>2334-5368</t>
  </si>
  <si>
    <t>emeifeijo@SME.PREFEITURA.SP.GOV.BR</t>
  </si>
  <si>
    <t>3208-7804</t>
  </si>
  <si>
    <t>emeigprestes@SME.PREFEITURA.SP.GOV.BR</t>
  </si>
  <si>
    <t>3256-7260</t>
  </si>
  <si>
    <t>emeihvlobos@SME.PREFEITURA.SP.GOV.BR</t>
  </si>
  <si>
    <t>3884+1363</t>
  </si>
  <si>
    <t>emeihromeiro@SME.PREFEITURA.SP.GOV.BR</t>
  </si>
  <si>
    <t>5044-6652</t>
  </si>
  <si>
    <t>emeiprincisabel@SME.PREFEITURA.SP.GOV.BR</t>
  </si>
  <si>
    <t>2273-2570</t>
  </si>
  <si>
    <t>emeiisolinaleonel@SME.PREFEITURA.SP.GOV.BR</t>
  </si>
  <si>
    <t>9 9412-1039</t>
  </si>
  <si>
    <t>emeijtheodoro@SME.PREFEITURA.SP.GOV.BR</t>
  </si>
  <si>
    <t>3326-4632</t>
  </si>
  <si>
    <t>emeijarocha@SME.PREFEITURA.SP.GOV.BR</t>
  </si>
  <si>
    <t>2061-8944</t>
  </si>
  <si>
    <t>emeijverissimo@SME.PREFEITURA.SP.GOV.BR</t>
  </si>
  <si>
    <t>2216-8138</t>
  </si>
  <si>
    <t>emeijmescriva@SME.PREFEITURA.SP.GOV.BR</t>
  </si>
  <si>
    <t>2335-0900</t>
  </si>
  <si>
    <t>emeilgsalgado@SME.PREFEITURA.SP.GOV.BR</t>
  </si>
  <si>
    <t>5044-4196</t>
  </si>
  <si>
    <t>emeimsneiva@SME.PREFEITURA.SP.GOV.BR</t>
  </si>
  <si>
    <t>5062-2288</t>
  </si>
  <si>
    <t>emeimlmgentile@prefeitura.sp.gov.br</t>
  </si>
  <si>
    <t>2341-3511</t>
  </si>
  <si>
    <t>emeimmserra@SME.PREFEITURA.SP.GOV.BR</t>
  </si>
  <si>
    <t>2335-5243</t>
  </si>
  <si>
    <t>emeimarisaricca@SME.PREFEITURA.SP.GOV.BR</t>
  </si>
  <si>
    <t>2036-2569</t>
  </si>
  <si>
    <t>emeimimprota@SME.PREFEITURA.SP.GOV.BR</t>
  </si>
  <si>
    <t>5061-5204</t>
  </si>
  <si>
    <t>emeimlobato@SME.PREFEITURA.SP.GOV.BR</t>
  </si>
  <si>
    <t>3661-3685</t>
  </si>
  <si>
    <t>emeimontese@SME.PREFEITURA.SP.GOV.BR</t>
  </si>
  <si>
    <t>5061-3090</t>
  </si>
  <si>
    <t>emeiocruz@SME.PREFEITURA.SP.GOV.BR</t>
  </si>
  <si>
    <t>5573-2558</t>
  </si>
  <si>
    <t>emeiojsilva@prefeitura.sp.gov.br</t>
  </si>
  <si>
    <t>2273-2456</t>
  </si>
  <si>
    <t>emeipgalvao@SME.PREFEITURA.SP.GOV.BR</t>
  </si>
  <si>
    <t>3256-7859</t>
  </si>
  <si>
    <t>emeipalves@SME.PREFEITURA.SP.GOV.BR</t>
  </si>
  <si>
    <t>2275-9575</t>
  </si>
  <si>
    <t>emeidompedro1@SME.PREFEITURA.SP.GOV.BR</t>
  </si>
  <si>
    <t>2273-1980</t>
  </si>
  <si>
    <t>emeiqpaineiras@SME.PREFEITURA.SP.GOV.BR</t>
  </si>
  <si>
    <t>2347-2891</t>
  </si>
  <si>
    <t>emeisdsilva@SME.PREFEITURA.SP.GOV.BR</t>
  </si>
  <si>
    <t>2947-5077</t>
  </si>
  <si>
    <t>5084-4157</t>
  </si>
  <si>
    <t>SEBASTIAO SANCHES MARTINES, PROF</t>
  </si>
  <si>
    <t>emeisebastiaosanchesmartines@SME.PREFEITURA.SP.GOV.BR</t>
  </si>
  <si>
    <t>2104-3239</t>
  </si>
  <si>
    <t>2331-8619</t>
  </si>
  <si>
    <t>emeitbpettan@SME.PREFEITURA.SP.GOV.BR</t>
  </si>
  <si>
    <t>5062-3102</t>
  </si>
  <si>
    <t>emeivilaema@SME.PREFEITURA.SP.GOV.BR</t>
  </si>
  <si>
    <t>2024-3694</t>
  </si>
  <si>
    <t>emeizgrandini@SME.PREFEITURA.SP.GOV.BR</t>
  </si>
  <si>
    <t>2917-3033</t>
  </si>
  <si>
    <t>emeiamcamargo@SME.PREFEITURA.SP.GOV.BR</t>
  </si>
  <si>
    <t>2296-1400</t>
  </si>
  <si>
    <t>emeiagdias@SME.PREFEITURA.SP.GOV.BR</t>
  </si>
  <si>
    <t>2205-9184</t>
  </si>
  <si>
    <t>emeiapmmendonca@SME.PREFEITURA.SP.GOV.BR</t>
  </si>
  <si>
    <t>2286-3885</t>
  </si>
  <si>
    <t>emeibegoniareal@SME.PREFEITURA.SP.GOV.BR</t>
  </si>
  <si>
    <t>2285-8486</t>
  </si>
  <si>
    <t>emeibazevedo@SME.PREFEITURA.SP.GOV.BR</t>
  </si>
  <si>
    <t>2521-6044</t>
  </si>
  <si>
    <t>emeicjereissati@SME.PREFEITURA.SP.GOV.BR</t>
  </si>
  <si>
    <t>2521-0496</t>
  </si>
  <si>
    <t>emeicssouza@SME.PREFEITURA.SP.GOV.BR</t>
  </si>
  <si>
    <t>emeicidadeaecarvalho@SME.PREFEITURA.SP.GOV.BR</t>
  </si>
  <si>
    <t>emeicgoiti@SME.PREFEITURA.SP.GOV.BR</t>
  </si>
  <si>
    <t>2049-2478</t>
  </si>
  <si>
    <t>emeidmraguiar@SME.PREFEITURA.SP.GOV.BR</t>
  </si>
  <si>
    <t>emeiesbruno@SME.PREFEITURA.SP.GOV.BR</t>
  </si>
  <si>
    <t>emeifpeixoto@SME.PREFEITURA.SP.GOV.BR</t>
  </si>
  <si>
    <t>emeifrqcastro@SME.PREFEITURA.SP.GOV.BR</t>
  </si>
  <si>
    <t>2557-9374</t>
  </si>
  <si>
    <t>emeifroquetti@SME.PREFEITURA.SP.GOV.BR</t>
  </si>
  <si>
    <t>2004-5184</t>
  </si>
  <si>
    <t>emeigrocha@SME.PREFEITURA.SP.GOV.BR</t>
  </si>
  <si>
    <t>emeigpessego@SME.PREFEITURA.SP.GOV.BR</t>
  </si>
  <si>
    <t>2522-6487</t>
  </si>
  <si>
    <t>emeijmerilia@SME.PREFEITURA.SP.GOV.BR</t>
  </si>
  <si>
    <t>2747-2444</t>
  </si>
  <si>
    <t>emeijvnova@SME.PREFEITURA.SP.GOV.BR</t>
  </si>
  <si>
    <t>3397-9040</t>
  </si>
  <si>
    <t>emeiortale@SME.PREFEITURA.SP.GOV.BR</t>
  </si>
  <si>
    <t>2674-2062</t>
  </si>
  <si>
    <t>emeirmarcelo@SME.PREFEITURA.SP.GOV.BR</t>
  </si>
  <si>
    <t>2783-7455</t>
  </si>
  <si>
    <t>meijduarte@SME.PREFEITURA.SP.GOV.BR</t>
  </si>
  <si>
    <t>2747-1555</t>
  </si>
  <si>
    <t>emeilvacker@SME.PREFEITURA.SP.GOV.BR</t>
  </si>
  <si>
    <t>2521-5541</t>
  </si>
  <si>
    <t>emeilbiraghi@SME.PREFEITURA.SP.GOV.BR</t>
  </si>
  <si>
    <t>2524-9860</t>
  </si>
  <si>
    <t>emeilaperreira@SME.PREFEITURA.SP.GOV.BR</t>
  </si>
  <si>
    <t>emeimnobrega@SME.PREFEITURA.SP.GOV.BR</t>
  </si>
  <si>
    <t>emeimhbmartins@SME.PREFEITURA.SP.GOV.BR</t>
  </si>
  <si>
    <t>emeimlscampos@SME.PREFEITURA.SP.GOV.BR</t>
  </si>
  <si>
    <t>emeimmontessori@SME.PREFEITURA.SP.GOV.BR</t>
  </si>
  <si>
    <t>emeimsilveira@SME.PREFEITURA.SP.GOV.BR</t>
  </si>
  <si>
    <t>emeinajlacuriizar@SME.PREFEITURA.SP.GOV.BR</t>
  </si>
  <si>
    <t>emeingmartin@SME.PREFEITURA.SP.GOV.BR</t>
  </si>
  <si>
    <t>2004-1057</t>
  </si>
  <si>
    <t>emeinamaral@SME.PREFEITURA.SP.GOV.BR</t>
  </si>
  <si>
    <t>emeiopribeiro@SME.PREFEITURA.SP.GOV.BR</t>
  </si>
  <si>
    <t>emeipchaves@SME.PREFEITURA.SP.GOV.BR</t>
  </si>
  <si>
    <t>2521-3574</t>
  </si>
  <si>
    <t>emeipiratininga@SME.PREFEITURA.SP.GOV.BR</t>
  </si>
  <si>
    <t>emeircarvalho@SME.PREFEITURA.SP.GOV.BR</t>
  </si>
  <si>
    <t>2557-9738</t>
  </si>
  <si>
    <t>emeisefelippe@SME.PREFEITURA.SP.GOV.BR</t>
  </si>
  <si>
    <t>2941-1368</t>
  </si>
  <si>
    <t>emeisvcastro@SME.PREFEITURA.SP.GOV.BR</t>
  </si>
  <si>
    <t>2205-5325</t>
  </si>
  <si>
    <t>emeittcarvalho@SME.PREFEITURA.SP.GOV.BR</t>
  </si>
  <si>
    <t>2005-8205</t>
  </si>
  <si>
    <t>emeivmatheus@prefeitura.sp.gov.br</t>
  </si>
  <si>
    <t>emeivilaverde@SME.PREFEITURA.SP.GOV.BR</t>
  </si>
  <si>
    <t>emei9dejulho@SME.PREFEITURA.SP.GOV.BR</t>
  </si>
  <si>
    <t>2996-1551</t>
  </si>
  <si>
    <t>emeiananeri@SME.PREFEITURA.SP.GOV.BR</t>
  </si>
  <si>
    <t>2967-5166</t>
  </si>
  <si>
    <t>emeianchieta@SME.PREFEITURA.SP.GOV.BR</t>
  </si>
  <si>
    <t>2909-2266</t>
  </si>
  <si>
    <t>emeiaetzel@SME.PREFEITURA.SP.GOV.BR</t>
  </si>
  <si>
    <t>2973-5970</t>
  </si>
  <si>
    <t>emeicgomes@SME.PREFEITURA.SP.GOV.BR</t>
  </si>
  <si>
    <t>2982-3111</t>
  </si>
  <si>
    <t>emeicsoliveira@prefeitura.sp.gov.br</t>
  </si>
  <si>
    <t>2241-1533</t>
  </si>
  <si>
    <t>emeicfdias@SME.PREFEITURA.SP.GOV.BR</t>
  </si>
  <si>
    <t>2931-7209</t>
  </si>
  <si>
    <t>emeicmsantos@SME.PREFEITURA.SP.GOV.BR</t>
  </si>
  <si>
    <t>2231-5201</t>
  </si>
  <si>
    <t>emeidksouza@prefeitura.sp.gov.br</t>
  </si>
  <si>
    <t>2203-5927</t>
  </si>
  <si>
    <t>emeiesliporoni@SME.PREFEITURA.SP.GOV.BR</t>
  </si>
  <si>
    <t>2955-5910</t>
  </si>
  <si>
    <t>emeiechaves@SME.PREFEITURA.SP.GOV.BR</t>
  </si>
  <si>
    <t>2242-9979</t>
  </si>
  <si>
    <t>emeiecpereira@SME.PREFEITURA.SP.GOV.BR</t>
  </si>
  <si>
    <t>2954-4340</t>
  </si>
  <si>
    <t>emeiecorrea@SME.PREFEITURA.SP.GOV.BR</t>
  </si>
  <si>
    <t>2258-6173</t>
  </si>
  <si>
    <t>emeiebarros@SME.PREFEITURA.SP.GOV.BR</t>
  </si>
  <si>
    <t>2953-4388</t>
  </si>
  <si>
    <t>emeifcsoares@SME.PREFEITURA.SP.GOV.BR</t>
  </si>
  <si>
    <t>2636-3447</t>
  </si>
  <si>
    <t>emeifimperio@SME.PREFEITURA.SP.GOV.BR</t>
  </si>
  <si>
    <t>2241-7490</t>
  </si>
  <si>
    <t>emeigmartino@SME.PREFEITURA.SP.GOV.BR</t>
  </si>
  <si>
    <t>2203-8990</t>
  </si>
  <si>
    <t>emeiibettarello@SME.PREFEITURA.SP.GOV.BR</t>
  </si>
  <si>
    <t>2212-6181</t>
  </si>
  <si>
    <t>emeijquadros@prefeitura.sp.gov.br</t>
  </si>
  <si>
    <t>2953-5889</t>
  </si>
  <si>
    <t>emeijmfonseca@SME.PREFEITURA.SP.GOV.BR</t>
  </si>
  <si>
    <t>2242-2749</t>
  </si>
  <si>
    <t>emeiacesar@SME.PREFEITURA.SP.GOV.BR</t>
  </si>
  <si>
    <t>2976-8057</t>
  </si>
  <si>
    <t>emeijbsilva@SME.PREFEITURA.SP.GOV.BR</t>
  </si>
  <si>
    <t>2978-4772</t>
  </si>
  <si>
    <t>emeijjsilva@prefeitura.sp.gov.br</t>
  </si>
  <si>
    <t>2951-1298</t>
  </si>
  <si>
    <t>emeilfsueur@SME.PREFEITURA.SP.GOV.BR</t>
  </si>
  <si>
    <t>2931-5739</t>
  </si>
  <si>
    <t>emeilourenco@SME.PREFEITURA.SP.GOV.BR</t>
  </si>
  <si>
    <t>2954-0239</t>
  </si>
  <si>
    <t>emeilgama@SME.PREFEITURA.SP.GOV.BR</t>
  </si>
  <si>
    <t>2201-2330</t>
  </si>
  <si>
    <t>emeimfmazevedo@SME.PREFEITURA.SP.GOV.BR</t>
  </si>
  <si>
    <t>2995-4370</t>
  </si>
  <si>
    <t>MARIA ISABEL PACHECO DE ALMEIDA RIBEIRO</t>
  </si>
  <si>
    <t>emeimipribeiro@SME.PREFEITURA.SP.GOV.BR</t>
  </si>
  <si>
    <t>2201-8166</t>
  </si>
  <si>
    <t>MARIA YOLANDA DE SOUZA PINTO HAHNE, DA.</t>
  </si>
  <si>
    <t>emeimyspahne@SME.PREFEITURA.SP.GOV.BR</t>
  </si>
  <si>
    <t>2967-6624</t>
  </si>
  <si>
    <t>emeimnsmartins@prefeitura.sp.gov.br</t>
  </si>
  <si>
    <t>emeiojpires@SME.PREFEITURA.SP.GOV.BR</t>
  </si>
  <si>
    <t>2249-4206</t>
  </si>
  <si>
    <t>emeipacmoraes@SME.PREFEITURA.SP.GOV.BR</t>
  </si>
  <si>
    <t>2909-7200</t>
  </si>
  <si>
    <t>emeispopovic@prefeitura.sp.gov.br</t>
  </si>
  <si>
    <t>2232-3509</t>
  </si>
  <si>
    <t>emeitdkurban@SME.PREFEITURA.SP.GOV.BR</t>
  </si>
  <si>
    <t>2203-7669</t>
  </si>
  <si>
    <t>VERA ARNONI SCALQUETTI, PROFA.</t>
  </si>
  <si>
    <t>emeivascalquetti@SME.PREFEITURA.SP.GOV.BR</t>
  </si>
  <si>
    <t>2248-2791</t>
  </si>
  <si>
    <t>emeiwcarvalho@SME.PREFEITURA.SP.GOV.BR</t>
  </si>
  <si>
    <t>2995-6872</t>
  </si>
  <si>
    <t>emeiyozaki@SME.PREFEITURA.SP.GOV.BR</t>
  </si>
  <si>
    <t>2201-0316</t>
  </si>
  <si>
    <t>emeiapeixoto@SME.PREFEITURA.SP.GOV.BR</t>
  </si>
  <si>
    <t>2053-7250</t>
  </si>
  <si>
    <t>emeiamendesjr@SME.PREFEITURA.SP.GOV.BR</t>
  </si>
  <si>
    <t>2567-8404</t>
  </si>
  <si>
    <t>emeiagiannini@SME.PREFEITURA.SP.GOV.BR</t>
  </si>
  <si>
    <t>2943-0715</t>
  </si>
  <si>
    <t>2581-1818</t>
  </si>
  <si>
    <t>emeialapenna@SME.PREFEITURA.SP.GOV.BR</t>
  </si>
  <si>
    <t>2297-0178</t>
  </si>
  <si>
    <t>emeiarabraga@prefeitura.sp.gov.br</t>
  </si>
  <si>
    <t>2051-7300</t>
  </si>
  <si>
    <t>APARECIDA DE LOURDES CARRILHO JARDIM, PROFA</t>
  </si>
  <si>
    <t>emeiaplcarrilho@SME.PREFEITURA.SP.GOV.BR</t>
  </si>
  <si>
    <t>2051-3277</t>
  </si>
  <si>
    <t>emeicrlandim@SME.PREFEITURA.SP.GOV.BR</t>
  </si>
  <si>
    <t>2581-3764</t>
  </si>
  <si>
    <t>emeiclefsilva@SME.PREFEITURA.SP.GOV.BR</t>
  </si>
  <si>
    <t>2297-1303</t>
  </si>
  <si>
    <t>emeidmachado@SME.PREFEITURA.SP.GOV.BR</t>
  </si>
  <si>
    <t>2567-3089</t>
  </si>
  <si>
    <t>emeidfunaro@SME.PREFEITURA.SP.GOV.BR</t>
  </si>
  <si>
    <t>2051-7852</t>
  </si>
  <si>
    <t>emeiddbenicio@prefeitura.sp.gov.br</t>
  </si>
  <si>
    <t>2567-6570</t>
  </si>
  <si>
    <t>emeicidadekemel@SME.PREFEITURA.SP.GOV.BR</t>
  </si>
  <si>
    <t>2572-0822</t>
  </si>
  <si>
    <t>emeiepessoa@SME.PREFEITURA.SP.GOV.BR</t>
  </si>
  <si>
    <t>2280-9888</t>
  </si>
  <si>
    <t>emeifrsilva@@prefeitura.sp.gov.br</t>
  </si>
  <si>
    <t>2035-2297</t>
  </si>
  <si>
    <t>2956-6180</t>
  </si>
  <si>
    <t>emeigramos@SME.PREFEITURA.SP.GOV.BR</t>
  </si>
  <si>
    <t>2035-4949</t>
  </si>
  <si>
    <t>emeihpmarin@SME.PREFEITURA.SP.GOV.BR</t>
  </si>
  <si>
    <t>2037-5037</t>
  </si>
  <si>
    <t>emeijgajorge@SME.PREFEITURA.SP.GOV.BR</t>
  </si>
  <si>
    <t>2963-3403</t>
  </si>
  <si>
    <t>emeijpjnunes@SME.PREFEITURA.SP.GOV.BR</t>
  </si>
  <si>
    <t>2037-0819</t>
  </si>
  <si>
    <t>emeijalencar@SME.PREFEITURA.SP.GOV.BR</t>
  </si>
  <si>
    <t>2561-3788</t>
  </si>
  <si>
    <t>LAURA DA CONCEICAO PEREIRA QUINTAES, PROFA.</t>
  </si>
  <si>
    <t>lauraconceicao@SME.PREFEITURA.SP.GOV.BR</t>
  </si>
  <si>
    <t>2561-5553</t>
  </si>
  <si>
    <t>emeildiniz@SME.PREFEITURA.SP.GOV.BR</t>
  </si>
  <si>
    <t>2035-3633</t>
  </si>
  <si>
    <t>emeilourorosa@SME.PREFEITURA.SP.GOV.BR</t>
  </si>
  <si>
    <t>2025-3216</t>
  </si>
  <si>
    <t>emeilhbarros@SME.PREFEITURA.SP.GOV.BR</t>
  </si>
  <si>
    <t>2035-3777</t>
  </si>
  <si>
    <t>emeimcpereira@SME.PREFEITURA.SP.GOV.BR</t>
  </si>
  <si>
    <t>2963-3404</t>
  </si>
  <si>
    <t>emeimlsoliveira@SME.PREFEITURA.SP.GOV.BR</t>
  </si>
  <si>
    <t>2586-5562</t>
  </si>
  <si>
    <t>emeimquiteria@SME.PREFEITURA.SP.GOV.BR</t>
  </si>
  <si>
    <t>2581-0422</t>
  </si>
  <si>
    <t>emeicdhuitaima1@SME.PREFEITURA.SP.GOV.BR</t>
  </si>
  <si>
    <t>emeiodecroly@SME.PREFEITURA.SP.GOV.BR</t>
  </si>
  <si>
    <t>2963-2541</t>
  </si>
  <si>
    <t>santarita@SME.PREFEITURA.SP.GOV.BR</t>
  </si>
  <si>
    <t>2035- 8153</t>
  </si>
  <si>
    <t>emeidompedro2@SME.PREFEITURA.SP.GOV.BR</t>
  </si>
  <si>
    <t>2581-4043</t>
  </si>
  <si>
    <t>emeisacoliveira@prefeitura.sp.gov.br</t>
  </si>
  <si>
    <t>2963-3452</t>
  </si>
  <si>
    <t>emeisramo@prefeitura.sp.gov.br</t>
  </si>
  <si>
    <t>2035-1871</t>
  </si>
  <si>
    <t>emeitneves@SME.PREFEITURA.SP.GOV.BR</t>
  </si>
  <si>
    <t>2963-3405</t>
  </si>
  <si>
    <t>UNIAO DE VILA NOVA I</t>
  </si>
  <si>
    <t>emeiuniaovilanova@SME.PREFEITURA.SP.GOV.BR</t>
  </si>
  <si>
    <t>emeivasilva@SME.PREFEITURA.SP.GOV.BR</t>
  </si>
  <si>
    <t>2581-0128</t>
  </si>
  <si>
    <t>emeiybassi@prefeitura.sp.gov.br</t>
  </si>
  <si>
    <t>2546-0815</t>
  </si>
  <si>
    <t>emeiarviana@SME.PREFEITURA.SP.GOV.BR</t>
  </si>
  <si>
    <t>2957-8588</t>
  </si>
  <si>
    <t>emeiaazevedo@SME.PREFEITURA.SP.GOV.BR</t>
  </si>
  <si>
    <t>2028-3768</t>
  </si>
  <si>
    <t>emeiafroebel@SME.PREFEITURA.SP.GOV.BR</t>
  </si>
  <si>
    <t>2943-6562</t>
  </si>
  <si>
    <t>emeiclibero@SME.PREFEITURA.SP.GOV.BR</t>
  </si>
  <si>
    <t>3228-3514</t>
  </si>
  <si>
    <t>emeicoperamezza@SME.PREFEITURA.SP.GOV.BR</t>
  </si>
  <si>
    <t>2742-8070</t>
  </si>
  <si>
    <t>emeicpires@SME.PREFEITURA.SP.GOV.BR</t>
  </si>
  <si>
    <t>2965-0372</t>
  </si>
  <si>
    <t>emeidfcosta@SME.PREFEITURA.SP.GOV.BR</t>
  </si>
  <si>
    <t>2042-3028</t>
  </si>
  <si>
    <t>DINAH GALVAO, PROFA.</t>
  </si>
  <si>
    <t>emeigalvao@SME.PREFEITURA.SP.GOV.BR</t>
  </si>
  <si>
    <t>2546-7997</t>
  </si>
  <si>
    <t>emeilsírio@prefeitura.sp.gov.br</t>
  </si>
  <si>
    <t>emeidutra@SME.PREFEITURA.SP.GOV.BR</t>
  </si>
  <si>
    <t>emeiepbifone@SME.PREFEITURA.SP.GOV.BR</t>
  </si>
  <si>
    <t>emeieveiga@SME.PREFEITURA.SP.GOV.BR</t>
  </si>
  <si>
    <t>2048-3062</t>
  </si>
  <si>
    <t>emeifsabino@SME.PREFEITURA.SP.GOV.BR</t>
  </si>
  <si>
    <t>2545-5990</t>
  </si>
  <si>
    <t>emeigcardim@SME.PREFEITURA.SP.GOV.BR</t>
  </si>
  <si>
    <t>2295-7940</t>
  </si>
  <si>
    <t>emeigoulart@SME.PREFEITURA.SP.GOV.BR</t>
  </si>
  <si>
    <t>2621-7131</t>
  </si>
  <si>
    <t>emeigrudge@SME.PREFEITURA.SP.GOV.BR</t>
  </si>
  <si>
    <t>2292-9783</t>
  </si>
  <si>
    <t>emeimartins@SME.PREFEITURA.SP.GOV.BR</t>
  </si>
  <si>
    <t>2742-3055</t>
  </si>
  <si>
    <t>emeiflopes@SME.PREFEITURA.SP.GOV.BR</t>
  </si>
  <si>
    <t>2296-0970</t>
  </si>
  <si>
    <t>emeiisasleal@SME.PREFEITURA.SP.GOV.BR</t>
  </si>
  <si>
    <t>2280-8281</t>
  </si>
  <si>
    <t>emeijmfalcao@SME.PREFEITURA.SP.GOV.BR</t>
  </si>
  <si>
    <t>3208-4208</t>
  </si>
  <si>
    <t>emeiarcorrea@SME.PREFEITURA.SP.GOV.BR</t>
  </si>
  <si>
    <t>2965-6477</t>
  </si>
  <si>
    <t>emeijrpfernandes@SME.PREFEITURA.SP.GOV.BR</t>
  </si>
  <si>
    <t>2641-4958</t>
  </si>
  <si>
    <t>LEILA MARIA FONTELES FARIAS, PROFA</t>
  </si>
  <si>
    <t>emeijdkeralux@SME.PREFEITURA.SP.GOV.BR</t>
  </si>
  <si>
    <t>2214-3501</t>
  </si>
  <si>
    <t>2742-6405</t>
  </si>
  <si>
    <t>emeilroberto@SME.PREFEITURA.SP.GOV.BR</t>
  </si>
  <si>
    <t>2741-6413</t>
  </si>
  <si>
    <t>emeilgcsangirardi@SME.PREFEITURA.SP.GOV.BR</t>
  </si>
  <si>
    <t>MARCIANO VASQUES PEREIRA, PROF</t>
  </si>
  <si>
    <t>emeimarcianovasques@SME.PREFEITURA.SP.GOV.BR</t>
  </si>
  <si>
    <t>97336-1559</t>
  </si>
  <si>
    <t>emeimdias@SME.PREFEITURA.SP.GOV.BR</t>
  </si>
  <si>
    <t>2694-2458</t>
  </si>
  <si>
    <t>emeimlmoura@SME.PREFEITURA.SP.GOV.BR</t>
  </si>
  <si>
    <t>emeimvcunha@SME.PREFEITURA.SP.GOV.BR</t>
  </si>
  <si>
    <t>2741-7293</t>
  </si>
  <si>
    <t>emeimacarvalho@SME.PREFEITURA.SP.GOV.BR</t>
  </si>
  <si>
    <t>2671-2684</t>
  </si>
  <si>
    <t>emeimgraciotti@SME.PREFEITURA.SP.GOV.BR</t>
  </si>
  <si>
    <t>2957-7264</t>
  </si>
  <si>
    <t>emeimbuarque@SME.PREFEITURA.SP.GOV.BR</t>
  </si>
  <si>
    <t>2295-2298</t>
  </si>
  <si>
    <t>emeimaxwolf@SME.PREFEITURA.SP.GOV.BR</t>
  </si>
  <si>
    <t>2943-2869</t>
  </si>
  <si>
    <t>emeimcosta@SME.PREFEITURA.SP.GOV.BR</t>
  </si>
  <si>
    <t>emeinamanha@SME.PREFEITURA.SP.GOV.BR</t>
  </si>
  <si>
    <t>2647-7490</t>
  </si>
  <si>
    <t>emeincstinchi@SME.PREFEITURA.SP.GOV.BR</t>
  </si>
  <si>
    <t>2621 7888</t>
  </si>
  <si>
    <t>emeipbbandecchi@SME.PREFEITURA.SP.GOV.BR</t>
  </si>
  <si>
    <t>emeiqbocaiuva@SME.PREFEITURA.SP.GOV.BR</t>
  </si>
  <si>
    <t>2295-3555</t>
  </si>
  <si>
    <t>2958-8611</t>
  </si>
  <si>
    <t>emeirvcordeiro@SME.PREFEITURA.SP.GOV.BR</t>
  </si>
  <si>
    <t>2742-8270</t>
  </si>
  <si>
    <t>emeirsoaresjr@SME.PREFEITURA.SP.GOV.BR</t>
  </si>
  <si>
    <t>2546-0814</t>
  </si>
  <si>
    <t>emeirgcsiqueira@prefeitura.sp.gov.br</t>
  </si>
  <si>
    <t>2546-6868</t>
  </si>
  <si>
    <t>emeisromero@SME.PREFEITURA.SP.GOV.BR</t>
  </si>
  <si>
    <t>2295-2470</t>
  </si>
  <si>
    <t>TAMANDARE, ALM</t>
  </si>
  <si>
    <t>emeitamandare@SME.PREFEITURA.SP.GOV.BR</t>
  </si>
  <si>
    <t>2796-6928</t>
  </si>
  <si>
    <t>emeiagonzaga@SME.PREFEITURA.SP.GOV.BR</t>
  </si>
  <si>
    <t>2280-4895</t>
  </si>
  <si>
    <t>AFONSO SARDINHA</t>
  </si>
  <si>
    <t>emeiasardinha@pref.sp.gov.br</t>
  </si>
  <si>
    <t>AVENIDA MUTINGA</t>
  </si>
  <si>
    <t>PIRITUBA</t>
  </si>
  <si>
    <t>3904-5459</t>
  </si>
  <si>
    <t>ANTONIO MUNHOZ BONILHA</t>
  </si>
  <si>
    <t>emeiambonilha@pref.sp.gov.br</t>
  </si>
  <si>
    <t>RUA VICENTE ANTONIO DE OLIVEIRA</t>
  </si>
  <si>
    <t>3974-9528</t>
  </si>
  <si>
    <t xml:space="preserve">ANTONIO RAPOSO TAVARES </t>
  </si>
  <si>
    <t>emeiartavares@sme.prefeitura.sp.gov.br</t>
  </si>
  <si>
    <t>VILA PIAUI</t>
  </si>
  <si>
    <t>3621-9460</t>
  </si>
  <si>
    <t>RUA JULIO DE OLIVEIRA</t>
  </si>
  <si>
    <t>PERUS</t>
  </si>
  <si>
    <t>3917-1985</t>
  </si>
  <si>
    <t>CLEMENTE SEGUNDO PINHO</t>
  </si>
  <si>
    <t>emeicspinho@sme.prefeitura.sp.gov.br</t>
  </si>
  <si>
    <t>RUA VIRGINIA GALILEI</t>
  </si>
  <si>
    <t>3941-0593</t>
  </si>
  <si>
    <t>CONJ. RES. ELISIO TEIXEIRA LEITE</t>
  </si>
  <si>
    <t>emeicratleite@sme.prefeitura.sp.gov.br</t>
  </si>
  <si>
    <t>RUA EGÍDIO FELINI</t>
  </si>
  <si>
    <t>PARADA DE TAIPAS</t>
  </si>
  <si>
    <t>3971-4784</t>
  </si>
  <si>
    <t>DONA ALICE FEITOSA</t>
  </si>
  <si>
    <t>emeiafeitosa@pref.sp.gov.br</t>
  </si>
  <si>
    <t>RUA TARCON</t>
  </si>
  <si>
    <t>JARDIM ADELFIORE</t>
  </si>
  <si>
    <t>3915-3482</t>
  </si>
  <si>
    <t>DONA LEOPOLDINA</t>
  </si>
  <si>
    <t>emeileopoldina@sme.prefeitura.sp.gov.br</t>
  </si>
  <si>
    <t>RUA PERIBEBUE</t>
  </si>
  <si>
    <t>ALTO DA LAPA</t>
  </si>
  <si>
    <t>3832-3632</t>
  </si>
  <si>
    <t>ESTR. TURÍSTICA DO JARAGUÁ</t>
  </si>
  <si>
    <t>estrtur@sme.prefeitura.sp.gov.br</t>
  </si>
  <si>
    <t>RUA CACHOEIRO DO ITAPEMIRIM</t>
  </si>
  <si>
    <t>3906-6614</t>
  </si>
  <si>
    <t>ESTRADA DO CORREDOR</t>
  </si>
  <si>
    <t>emeiestradacorredor@sme.prefeitura.sp.gov.br</t>
  </si>
  <si>
    <t>RUA ESTRADA DO CORREDOR</t>
  </si>
  <si>
    <t>JARAGUÁ</t>
  </si>
  <si>
    <t>FERNANDO DE AZEVEDO</t>
  </si>
  <si>
    <t>emeifazevedo@pref.sp.gov.br</t>
  </si>
  <si>
    <t>RUA BARRA DA FORQUILHA</t>
  </si>
  <si>
    <t>JARDIM PANAMERICANO</t>
  </si>
  <si>
    <t>3941-2362</t>
  </si>
  <si>
    <t>JAGUARÉ</t>
  </si>
  <si>
    <t xml:space="preserve">emeijaguare@sme.prefeitura.sp.gov.br </t>
  </si>
  <si>
    <t>AVENIDA PRESIDENTE ALTINO</t>
  </si>
  <si>
    <t>JAGUARE</t>
  </si>
  <si>
    <t>3766-3016</t>
  </si>
  <si>
    <t>JANE VERZINHASSE PERES ZANFRA, PROFª</t>
  </si>
  <si>
    <t>emeipqnacoes@sme.prefeitura.sp.gov.br</t>
  </si>
  <si>
    <t>RUA FERNANDO SABINO</t>
  </si>
  <si>
    <t>PARQUE DAS NAÇÕES UNIDAS</t>
  </si>
  <si>
    <t>02996-195</t>
  </si>
  <si>
    <t>JARDIM DA FELICIDADE</t>
  </si>
  <si>
    <t>emeijfelicidade@pref.sp.gov.br</t>
  </si>
  <si>
    <t>RUA JULIO NICOLAU</t>
  </si>
  <si>
    <t>JARDIM FELICIDADE</t>
  </si>
  <si>
    <t>3832-0212</t>
  </si>
  <si>
    <t>JARDIM MONTE BELO</t>
  </si>
  <si>
    <t>emeijmbelo@pref.sp.gov.br</t>
  </si>
  <si>
    <t>RUA PALMEIROPOLIS</t>
  </si>
  <si>
    <t>3911-7589</t>
  </si>
  <si>
    <t xml:space="preserve">JD. DA CONQUISTA </t>
  </si>
  <si>
    <t>emeijconquista@pref.sp.gov.br</t>
  </si>
  <si>
    <t>RUA RECANTO DOS HUMILDES</t>
  </si>
  <si>
    <t>3917-8297</t>
  </si>
  <si>
    <t xml:space="preserve">JEAN PIAGET </t>
  </si>
  <si>
    <t>emeijpiaget@sme.prefeitura.sp.gov.br</t>
  </si>
  <si>
    <t>RUA SALDANHA DA GAMA</t>
  </si>
  <si>
    <t>3831-5290</t>
  </si>
  <si>
    <t>JÚLIO ALVES PEREIRA</t>
  </si>
  <si>
    <t>emeijapereira@pref.sp.gov.br</t>
  </si>
  <si>
    <t>RUA CAROLINA CARVALHO</t>
  </si>
  <si>
    <t>3941-9699</t>
  </si>
  <si>
    <t>MARIA JOSÉ DUPRÉ</t>
  </si>
  <si>
    <t>emeimjdupre@sme.prefeitura.sp.gov.br</t>
  </si>
  <si>
    <t>RUA PASTOR JOÃO GRECCHI</t>
  </si>
  <si>
    <t>PARQUE ANHANGUERA</t>
  </si>
  <si>
    <t>3916-6440</t>
  </si>
  <si>
    <t>MORRO DOCE</t>
  </si>
  <si>
    <t>emeimdoce@sme.prefeitura.sp.gov.br</t>
  </si>
  <si>
    <t>RUA ELISA DINA</t>
  </si>
  <si>
    <t>JARDIM BRITÂNIA</t>
  </si>
  <si>
    <t>3911-2218</t>
  </si>
  <si>
    <t>NOÊMIA HIPPOLITO</t>
  </si>
  <si>
    <t>emeinippolito@sme.prefeitura.sp.gov.br</t>
  </si>
  <si>
    <t>ALFREDO WEISZFLOG</t>
  </si>
  <si>
    <t>VILA ROMANA</t>
  </si>
  <si>
    <t>3672-6095</t>
  </si>
  <si>
    <t>OLGA CALIL MENAH</t>
  </si>
  <si>
    <t>emeiocmenah@sme.prefeitura.sp.gov.br</t>
  </si>
  <si>
    <t>RUA URATINGA</t>
  </si>
  <si>
    <t>VILA CATUPIÁ</t>
  </si>
  <si>
    <t>3976-7523</t>
  </si>
  <si>
    <t>OLIVEIRA LIMA</t>
  </si>
  <si>
    <t>emeiolima@sme.prefeitura.sp.gov.br</t>
  </si>
  <si>
    <t>RUA ANTONIO MAIA</t>
  </si>
  <si>
    <t>3917-0758</t>
  </si>
  <si>
    <t>PAPA JOAO PAULO II (CITY JARAGUA I)</t>
  </si>
  <si>
    <t>emeijpaulo2@sme.prefeitura.sp.gov.br</t>
  </si>
  <si>
    <t>RUA PAULO ARENTINO</t>
  </si>
  <si>
    <t>3949-6814</t>
  </si>
  <si>
    <t>emeiptaipas@sme.prefeitura.sp.gov.br</t>
  </si>
  <si>
    <t>RUA DONA JANUÁRIA MARIA</t>
  </si>
  <si>
    <t>PARQUE DE TAIPAS</t>
  </si>
  <si>
    <t>3946-5681</t>
  </si>
  <si>
    <t>PAULO VI</t>
  </si>
  <si>
    <t>emeipaulo6@sme.prefeitura.sp.gov.br</t>
  </si>
  <si>
    <t>RUA CARLO PERINELLO</t>
  </si>
  <si>
    <t>VILA MANGALOT</t>
  </si>
  <si>
    <t>3904-0555</t>
  </si>
  <si>
    <t>PE. CHARBONNEAU</t>
  </si>
  <si>
    <t>emeicharbonneau@pref.sp.gov.br</t>
  </si>
  <si>
    <t>RUA FÁBIO DE ALMEIDA MAGALHÃES</t>
  </si>
  <si>
    <t>JARDIM STO ELIAS</t>
  </si>
  <si>
    <t>3906-7055</t>
  </si>
  <si>
    <t>PEDRO DE TOLEDO</t>
  </si>
  <si>
    <t>emeiptoledo@sme.prefeitura.sp.gov.br</t>
  </si>
  <si>
    <t>RUA PAUVA</t>
  </si>
  <si>
    <t>VILA JAGUARA</t>
  </si>
  <si>
    <t>3625-1791</t>
  </si>
  <si>
    <t>PÉROLA ELLIS BYINGTON</t>
  </si>
  <si>
    <t>emeipebyington@pref.sp.gov.br</t>
  </si>
  <si>
    <t>RUA MAJOR ALFREDO ROMÃO</t>
  </si>
  <si>
    <t>VILA CLARICE</t>
  </si>
  <si>
    <t>3901-5006</t>
  </si>
  <si>
    <t>PROF. EURÍPEDES SIMÕES DE PAULA</t>
  </si>
  <si>
    <t>emeiespaula@sme.prefeitura.sp.gov.br</t>
  </si>
  <si>
    <t>RUA BARRA DO JACARE</t>
  </si>
  <si>
    <t>VILA HERMINIA</t>
  </si>
  <si>
    <t>3971-2338</t>
  </si>
  <si>
    <t>PROF. MARIA DAILCE MONTEIRO DA SILVA GOMES</t>
  </si>
  <si>
    <t>emeimdmsgomes@sme.prefeitura.sp.gov.br</t>
  </si>
  <si>
    <t>RUA MARTINO ARÓSIO</t>
  </si>
  <si>
    <t>3941-5366</t>
  </si>
  <si>
    <t>PROFA. ANA MARIA POPPOVIC</t>
  </si>
  <si>
    <t>emeiapoppovic@sme.prefeitura.sp.gov.br</t>
  </si>
  <si>
    <t>RUA JARICUNAS</t>
  </si>
  <si>
    <t>3868-3511</t>
  </si>
  <si>
    <t>PROFA. ANTONIETA DE BARROS</t>
  </si>
  <si>
    <t>emeiantonietadebarros@pref.sp.gov.</t>
  </si>
  <si>
    <t>ESTRADA DE TAIPAS</t>
  </si>
  <si>
    <t>JARDIM RINCÃO</t>
  </si>
  <si>
    <t>3941-7165</t>
  </si>
  <si>
    <t>PROFA. EUNICE DOS SANTOS</t>
  </si>
  <si>
    <t>emeiesantos@sme.prefeitura.sp.gov.br</t>
  </si>
  <si>
    <t>RUA SILVINO DE GODOI</t>
  </si>
  <si>
    <t>JARDIM CIDADE PIRITUBA</t>
  </si>
  <si>
    <t>3979-3456</t>
  </si>
  <si>
    <t>PROFA. MARIA DO CARMO GODOY RAMOS</t>
  </si>
  <si>
    <t>emeimcgramos@pref.sp.gov.br</t>
  </si>
  <si>
    <t>RUA MIGUEL PEREIRA LANDIM</t>
  </si>
  <si>
    <t>JARDIM JARAGUÁ</t>
  </si>
  <si>
    <t>3904-9242</t>
  </si>
  <si>
    <t>PROFA. MARIA THEREZA FUMAGALLI</t>
  </si>
  <si>
    <t>mariatfumagalli@sme.prefeitura.sp.gov.br</t>
  </si>
  <si>
    <t>RUA VALE DO LUAR</t>
  </si>
  <si>
    <t>VILA BRASILÂNDIA</t>
  </si>
  <si>
    <t>3972-6007</t>
  </si>
  <si>
    <t>PROFA. NEYDE GUZZI DE CHIACCHIO</t>
  </si>
  <si>
    <t>emeingchiacchio@pref.sp.gov.br</t>
  </si>
  <si>
    <t>LARGO DA LAPA</t>
  </si>
  <si>
    <t>LAPA DE BAIXO</t>
  </si>
  <si>
    <t>3611-6215</t>
  </si>
  <si>
    <t>PROFA. OLGA MARIA GERMANO MARTINS DOMINGOS</t>
  </si>
  <si>
    <t>emeiolgadomingos@pref.sp.gov.br</t>
  </si>
  <si>
    <t>PRAÇA BALTAZAR DE GODOY</t>
  </si>
  <si>
    <t>3975-5315</t>
  </si>
  <si>
    <t>PROFA. SARITA CAMARGO</t>
  </si>
  <si>
    <t>emeiscamargo@sme.prefeitura.sp.gov.br</t>
  </si>
  <si>
    <t>RUA CAIAPOS</t>
  </si>
  <si>
    <t>VILA ANASTACIO</t>
  </si>
  <si>
    <t>3832-4061</t>
  </si>
  <si>
    <t>PROFA. THAIS MOTTA DE OLIVEIRA E SILVA RODRIGUES (PARADA DE TAIPAS II)</t>
  </si>
  <si>
    <t>emeitrodrigues@sme.prefeitura.sp.gov.br</t>
  </si>
  <si>
    <t>RUA DIOGENES DOURADO</t>
  </si>
  <si>
    <t>CONJUNTO RESIDENCIAL ELISIO TEIXEIRA LEI</t>
  </si>
  <si>
    <t>RECANTO DOS HUMILDES</t>
  </si>
  <si>
    <t>emeirecantohumildes@sme.prefeitura.sp.gov.br</t>
  </si>
  <si>
    <t>CONJ. HABIT. RECANTO DOS HUMILDES</t>
  </si>
  <si>
    <t>3917-7962</t>
  </si>
  <si>
    <t>RICARDO GONÇALVES</t>
  </si>
  <si>
    <t>emeirgoncalves@sme.prefeitura.sp.gov.br</t>
  </si>
  <si>
    <t>PRACA TCHECO</t>
  </si>
  <si>
    <t>VILA IPOJUCA</t>
  </si>
  <si>
    <t>3832-2198</t>
  </si>
  <si>
    <t>RODOLFO TREVISAN</t>
  </si>
  <si>
    <t>emeirtrevisan@pref.sp.gov.br</t>
  </si>
  <si>
    <t>RUA SILVA AIROSA, DR.</t>
  </si>
  <si>
    <t>VILA RIBEIRO BARROS</t>
  </si>
  <si>
    <t>3836-5027</t>
  </si>
  <si>
    <t xml:space="preserve">SANTOS DUMONT </t>
  </si>
  <si>
    <t>emeisdumont@sme.prefeitura.sp.gov.br</t>
  </si>
  <si>
    <t>RUA DIANA</t>
  </si>
  <si>
    <t>PERDIZES</t>
  </si>
  <si>
    <t>3672-4529</t>
  </si>
  <si>
    <t>ZÉLIA GATTAI (CITY JARAGUA IV)</t>
  </si>
  <si>
    <t>emeizeliagattai@pref.sp.gov.br</t>
  </si>
  <si>
    <t>RUA HENRIQUE SALVATORI</t>
  </si>
  <si>
    <t>3949-7600</t>
  </si>
  <si>
    <t>emeiapanzan@SME.PREFEITURA.SP.GOV.BR</t>
  </si>
  <si>
    <t>2731-3663</t>
  </si>
  <si>
    <t>emeiamoraes@SME.PREFEITURA.SP.GOV.BR</t>
  </si>
  <si>
    <t>2702-0526</t>
  </si>
  <si>
    <t>emeiavolpi@SME.PREFEITURA.SP.GOV.BR</t>
  </si>
  <si>
    <t>2012-1055</t>
  </si>
  <si>
    <t>emeiaomaraujo@SME.PREFEITURA.SP.GOV.BR</t>
  </si>
  <si>
    <t>2751-3177</t>
  </si>
  <si>
    <t>ANTONIO CARLOS BRASILEIRO DE ALMEIDA JOBIM - TOM JOBIM</t>
  </si>
  <si>
    <t>emeiacbjobim@SME.PREFEITURA.SP.GOV.BR</t>
  </si>
  <si>
    <t>2704-3135</t>
  </si>
  <si>
    <t>emeiapcsantos@SME.PREFEITURA.SP.GOV.BR</t>
  </si>
  <si>
    <t>2962-4441</t>
  </si>
  <si>
    <t>emeiaalves@SME.PREFEITURA.SP.GOV.BR</t>
  </si>
  <si>
    <t>2919-1689</t>
  </si>
  <si>
    <t>emeibconstant@SME.PREFEITURA.SP.GOV.BR</t>
  </si>
  <si>
    <t>2143-3699</t>
  </si>
  <si>
    <t>emeicvolpon@SME.PREFEITURA.SP.GOV.BR</t>
  </si>
  <si>
    <t>2919-6446</t>
  </si>
  <si>
    <t>emeicmiranda@SME.PREFEITURA.SP.GOV.BR</t>
  </si>
  <si>
    <t>emeicmeirelles@SME.PREFEITURA.SP.GOV.BR</t>
  </si>
  <si>
    <t>2919-3090</t>
  </si>
  <si>
    <t>emeiccpelias@SME.PREFEITURA.SP.GOV.BR</t>
  </si>
  <si>
    <t>emeicchaplin@SME.PREFEITURA.SP.GOV.BR</t>
  </si>
  <si>
    <t>2704-9025</t>
  </si>
  <si>
    <t>emeicgonzaga@SME.PREFEITURA.SP.GOV.BR</t>
  </si>
  <si>
    <t>emeicbevilacqua@SME.PREFEITURA.SP.GOV.BR</t>
  </si>
  <si>
    <t>emeicsfrancisco@SME.PREFEITURA.SP.GOV.BR</t>
  </si>
  <si>
    <t>2753-7908</t>
  </si>
  <si>
    <t>emeidccabral@SME.PREFEITURA.SP.GOV.BR</t>
  </si>
  <si>
    <t>2703 - 4767</t>
  </si>
  <si>
    <t>emeiesader@prefeitura.sp.gov.br</t>
  </si>
  <si>
    <t>2015-3182</t>
  </si>
  <si>
    <t>emeielisregina@SME.PREFEITURA.SP.GOV.BR</t>
  </si>
  <si>
    <t>2919-9960</t>
  </si>
  <si>
    <t>FELIPE DOLIVEIRA</t>
  </si>
  <si>
    <t>emeifoliveira@SME.PREFEITURA.SP.GOV.BR</t>
  </si>
  <si>
    <t>2731-3522</t>
  </si>
  <si>
    <t>emeifarodrigues@SME.PREFEITURA.SP.GOV.BR</t>
  </si>
  <si>
    <t>2731-1877</t>
  </si>
  <si>
    <t>emeihricchetti@prefeitura.sp.gov.br</t>
  </si>
  <si>
    <t>2019-8300</t>
  </si>
  <si>
    <t>emeiiguatemi@SME.PREFEITURA.SP.GOV.BR</t>
  </si>
  <si>
    <t>emeijardimdaconquistall@SME.PREFEITURA.SP.GOV.BR</t>
  </si>
  <si>
    <t>2734-8754</t>
  </si>
  <si>
    <t>emeijimperador@SME.PREFEITURA.SP.GOV.BR</t>
  </si>
  <si>
    <t>2721-6917</t>
  </si>
  <si>
    <t>emeijpremiano@SME.PREFEITURA.SP.GOV.BR</t>
  </si>
  <si>
    <t>2734-6887</t>
  </si>
  <si>
    <t>emeijnbarbosa@SME.PREFEITURA.SP.GOV.BR</t>
  </si>
  <si>
    <t>2919-3644</t>
  </si>
  <si>
    <t>emeicpereira@SME.PREFEITURA.SP.GOV.BR</t>
  </si>
  <si>
    <t>2702-2074</t>
  </si>
  <si>
    <t>emeijmvasconcelos@SME.PREFEITURA.SP.GOV.BR</t>
  </si>
  <si>
    <t>2015-3213</t>
  </si>
  <si>
    <t>ceirgpedrosa@SME.PREFEITURA.SP.GOV.BR</t>
  </si>
  <si>
    <t>2721-3214</t>
  </si>
  <si>
    <t>MANOEL DE ALVARENGA FREIRE JUNIOR PROF</t>
  </si>
  <si>
    <t>emeimafreire@SME.PREFEITURA.SP.GOV.BR</t>
  </si>
  <si>
    <t>2751-9954</t>
  </si>
  <si>
    <t>emeimfiel@SME.PREFEITURA.SP.GOV.BR</t>
  </si>
  <si>
    <t>2919-1512</t>
  </si>
  <si>
    <t>emeimcdrocha@SME.PREFEITURA.SP.GOV.BR</t>
  </si>
  <si>
    <t>2702-2288</t>
  </si>
  <si>
    <t>emeimlctorres@SME.PREFEITURA.SP.GOV.BR</t>
  </si>
  <si>
    <t>2012-6870</t>
  </si>
  <si>
    <t>emeimandrade@SME.PREFEITURA.SP.GOV.BR</t>
  </si>
  <si>
    <t>2919-3849</t>
  </si>
  <si>
    <t>emeinduarte@SME.PREFEITURA.SP.GOV.BR</t>
  </si>
  <si>
    <t>2704-9915</t>
  </si>
  <si>
    <t>emeiolessa@SME.PREFEITURA.SP.GOV.BR</t>
  </si>
  <si>
    <t>2154-7468</t>
  </si>
  <si>
    <t>PAULA CRISTINA RODRIGUES, PROFA</t>
  </si>
  <si>
    <t>emeiprodrigues@SME.PREFEITURA.SP.GOV.BR</t>
  </si>
  <si>
    <t>emeipestalozzi@SME.PREFEITURA.SP.GOV.BR</t>
  </si>
  <si>
    <t>2731-2774</t>
  </si>
  <si>
    <t>emeirmsoliveira@SME.PREFEITURA.SP.GOV.BR</t>
  </si>
  <si>
    <t>2703-1242</t>
  </si>
  <si>
    <t>RUMI OIKAWA, PROFA</t>
  </si>
  <si>
    <t>emeiroikawa@SME.PREFEITURA.SP.GOV.BR</t>
  </si>
  <si>
    <t>2753-3517</t>
  </si>
  <si>
    <t>emeivcarvalho@SME.PREFEITURA.SP.GOV.BR</t>
  </si>
  <si>
    <t>2919-1017</t>
  </si>
  <si>
    <t>emeivbrasil@SME.PREFEITURA.SP.GOV.BR</t>
  </si>
  <si>
    <t>2751-2289</t>
  </si>
  <si>
    <t>EMEI CEU</t>
  </si>
  <si>
    <t>CEU JAGUARÉ</t>
  </si>
  <si>
    <t>emeiceujaguare@sme.prefeitura.sp.gov.br</t>
  </si>
  <si>
    <t>AVENIDA KENKITI SHIMOMOTO</t>
  </si>
  <si>
    <t>3719-2407</t>
  </si>
  <si>
    <t>CEU JORGE AMADO (PERUS)</t>
  </si>
  <si>
    <t>emeijorgeamado@pref.sp.gov.br</t>
  </si>
  <si>
    <t>RUA BERNARDO JOSÉ DE LORENA</t>
  </si>
  <si>
    <t>VILA FANTON</t>
  </si>
  <si>
    <t>3915-8725</t>
  </si>
  <si>
    <t xml:space="preserve">CEU PERA MARMELO </t>
  </si>
  <si>
    <t>emeiceuperamarmelo@pref.sp.gov.br</t>
  </si>
  <si>
    <t>RUA PÊRA MARMELO</t>
  </si>
  <si>
    <t>3948-3923</t>
  </si>
  <si>
    <t>CEU PQ. ANHANGUERA</t>
  </si>
  <si>
    <t>emeiceupqanhanguera@sme.prefeitura.sp.gov.br</t>
  </si>
  <si>
    <t>RUA PEDRO JOSÉ DE LIMA</t>
  </si>
  <si>
    <t>JARDIM ANHANGUERA</t>
  </si>
  <si>
    <t>3911-4770</t>
  </si>
  <si>
    <t xml:space="preserve">CEU VILA ATLÂNTICA </t>
  </si>
  <si>
    <t>emeiceuvatlantica@pref.sp.gov.br</t>
  </si>
  <si>
    <t>RUA CORONEL JOSÉ VENANCIO DIAS</t>
  </si>
  <si>
    <t>JARDIM NARDINI</t>
  </si>
  <si>
    <t>3901-8732</t>
  </si>
  <si>
    <t>LANCHE EMERGENCIAL</t>
  </si>
  <si>
    <t>CARMEN DA SILVA</t>
  </si>
  <si>
    <t>emeicsilva@sme.prefeitura.sp.gov.br</t>
  </si>
  <si>
    <t>LICEU</t>
  </si>
  <si>
    <t>diretoria.cei@liceusp.com.br</t>
  </si>
  <si>
    <t>ALAMEDA DINO BUENO</t>
  </si>
  <si>
    <t>CAMPOS ELÍSEOS</t>
  </si>
  <si>
    <t>ALAMEDA DINO BUENO, 285 - CAMPOS ELÍSEOS</t>
  </si>
  <si>
    <t>01217-000</t>
  </si>
  <si>
    <t>EMEBS</t>
  </si>
  <si>
    <t>NEUSA BASSETTO, PROFA.</t>
  </si>
  <si>
    <t>emebsneusabassetto@sme.prefeitura.sp.gov.br</t>
  </si>
  <si>
    <t>RUA TAQUARI</t>
  </si>
  <si>
    <t>459</t>
  </si>
  <si>
    <t>MOOCA</t>
  </si>
  <si>
    <t>RUA TAQUARI, 459 - MOOCA</t>
  </si>
  <si>
    <t>03166000</t>
  </si>
  <si>
    <t>26946923</t>
  </si>
  <si>
    <t>AURELISA BOGNER GOUVEA SILVEIRA DE CARVALHO</t>
  </si>
  <si>
    <t>EMEF</t>
  </si>
  <si>
    <t>Angá Alimentação e Serviços Eireli</t>
  </si>
  <si>
    <t>MARIA LUIZA VALENTIM DA CRUZ, PROFª (EX JARDIM CASA GRANDE)</t>
  </si>
  <si>
    <t>Verde Mais Serviços de Alimentação Ltda</t>
  </si>
  <si>
    <t>MAGDA FERREIRA DA SILVA CARVALHO, PROFA. (ANTIGA PARELHEIROS)</t>
  </si>
  <si>
    <t>MARIA APARECIDA COELHO ALVES TEIXEIRA, PROFA. (ANTIGA VILA RUBI)</t>
  </si>
  <si>
    <t>emeisonataaoluar@sme.prefeitura.sp.gov.br</t>
  </si>
  <si>
    <t>SONATA AO LUAR</t>
  </si>
  <si>
    <t>RUA SONATA AO LUAR</t>
  </si>
  <si>
    <t>CONJUNTO HABITACIONAL SITIO CONCEIÇÃO</t>
  </si>
  <si>
    <t>08473-200</t>
  </si>
  <si>
    <t>2518-7434</t>
  </si>
  <si>
    <t>ENY MARISA MAIA</t>
  </si>
  <si>
    <t>lmpereira@sme.prefeitura.sp.gov.br</t>
  </si>
  <si>
    <t>RUA DOMINGOS RINALDELLI</t>
  </si>
  <si>
    <t>JARDIM CASTRO ALVES</t>
  </si>
  <si>
    <t>RUA DOMINGOS RINALDELLI, 173 - JARDIM CASTRO ALVES</t>
  </si>
  <si>
    <t>RUA SONATA AO LUAR,  S/N - CONJUNTO HABITACIONAL SITIO CONCEIÇÃO</t>
  </si>
  <si>
    <t>04842-100</t>
  </si>
  <si>
    <t>LIZELE ANGELINA FONTANA</t>
  </si>
  <si>
    <t>emeilizeleangelinafontana@sme.prefeitura.sp.gov.br</t>
  </si>
  <si>
    <t>RUA JOSÉ PINHEIRO BORGES, 60 - JARDIM HELENA</t>
  </si>
  <si>
    <t>08420-092</t>
  </si>
  <si>
    <t>11 96338 8238</t>
  </si>
  <si>
    <t>CRISTIANE CRUDE SANTOS, PROFA (ANTIGA JARDIM PEDRO JOSE NUNES)</t>
  </si>
  <si>
    <t>MADALENA CARAMURU</t>
  </si>
  <si>
    <t>RUA MIGUEL PEREIRA LANDIM, 193 - JD. JARAGUÁ</t>
  </si>
  <si>
    <t>RUA VIRGINIA GALILEI, 100 - JD. IPANEMA</t>
  </si>
  <si>
    <t>RUA SILVIA AIROSA, 60 - RIBEIRO DE BARROS</t>
  </si>
  <si>
    <t>RUA MARTINO AMBROSIO, 147 - VL. AURORA</t>
  </si>
  <si>
    <t>RUA TARCON, 253 - JD. ALDEFIORI</t>
  </si>
  <si>
    <t>RUA VICENTE ANTONIO DE OLIVEIRA, 668 - VL. MIRANTE</t>
  </si>
  <si>
    <t>RUA JULIO NICOLAU, S/N - JD. FELICIDADE</t>
  </si>
  <si>
    <t>RUA CAROLINA CARVALHO, 67 - PIRITUBA</t>
  </si>
  <si>
    <t>RUA PALMEIROPÓLIS S/N - JD. MONTE BELO</t>
  </si>
  <si>
    <t>ESTRADA DE TAIPAS, 1800 - JD. RINCÃO</t>
  </si>
  <si>
    <t>MARIA DO CARMO GODOY RAMOS, PROFA</t>
  </si>
  <si>
    <t>MARIA DAILCE MONTEIRO DA SILVA GOMES, PROFA</t>
  </si>
  <si>
    <t>ALICE FEITOSA, DNA.</t>
  </si>
  <si>
    <t>ANTONIETA DE BARROS, PROFA</t>
  </si>
  <si>
    <t>ZÉLIA GATTAI</t>
  </si>
  <si>
    <t>PAPA JOAO PAULO II</t>
  </si>
  <si>
    <t xml:space="preserve">PERA MARMELO </t>
  </si>
  <si>
    <t xml:space="preserve">VILA ATLÂNTICA </t>
  </si>
  <si>
    <t xml:space="preserve">JARDIM DA CONQUISTA </t>
  </si>
  <si>
    <t>JORGE AMADO</t>
  </si>
  <si>
    <t>MARIA APARECIDA COELHO ALVES TEIXEIRA, PROFA.</t>
  </si>
  <si>
    <t>PQ. ANHANGUERA</t>
  </si>
  <si>
    <t>MAGDA FERREIRA DA SILVA CARVALHO, PROFA.</t>
  </si>
  <si>
    <t>MARIA THEREZA FUMAGALLI, PROFA</t>
  </si>
  <si>
    <t>THAIS MOTTA DE OLIVEIRA E SILVA RODRIGUES, PROFA</t>
  </si>
  <si>
    <t>MARIA LUIZA VALENTIM DA CRUZ, PROFª</t>
  </si>
  <si>
    <t>TITO, MAL.</t>
  </si>
  <si>
    <t>LEOPOLDINA, DNA.</t>
  </si>
  <si>
    <t>SARITA CAMARGO, PROFA</t>
  </si>
  <si>
    <t>NEYDE GUZZI DE CHIACCHIO, PROFA</t>
  </si>
  <si>
    <t>ANA MARIA POPPOVIC, PROFA</t>
  </si>
  <si>
    <t>CRISTIANE CRUDE SANTOS, PROFA</t>
  </si>
  <si>
    <t>NELSON MANDELA</t>
  </si>
  <si>
    <t>OLGA MARIA GERMANO MARTINS DOMINGOS, PROFA</t>
  </si>
  <si>
    <t>EUNICE DOS SANTOS, PROFA</t>
  </si>
  <si>
    <t>EURÍPEDES SIMÕES DE PAULA, PROF.</t>
  </si>
  <si>
    <t>JO SOARES</t>
  </si>
  <si>
    <t>RUA JORGE JONES, 386 VILA CURUÇA</t>
  </si>
  <si>
    <t>08030-720</t>
  </si>
  <si>
    <t>03166-000</t>
  </si>
  <si>
    <t>GILBERTO DIMENSTEIN</t>
  </si>
  <si>
    <t>RUA MANUEL BASTOS, 113 - JD. NAZARETH</t>
  </si>
  <si>
    <t>08151-230</t>
  </si>
  <si>
    <t>DIA DA FAMÍLIA NA ESCOLA</t>
  </si>
  <si>
    <t>IQEIP</t>
  </si>
  <si>
    <t>ELENICE LOURENÇO BLUMTRITT</t>
  </si>
  <si>
    <t>714.101.7</t>
  </si>
  <si>
    <t>FRANCISCA MARIA DE LIMA</t>
  </si>
  <si>
    <t>884.090.3</t>
  </si>
  <si>
    <t>DAMIANA FERNANDES COELHO</t>
  </si>
  <si>
    <t>792.863.7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</si>
</sst>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00000"/>
    <numFmt numFmtId="165" formatCode="00000&quot;-&quot;000"/>
    <numFmt numFmtId="166" formatCode="0000&quot;-&quot;0000"/>
    <numFmt numFmtId="167" formatCode="d/m;@"/>
    <numFmt numFmtId="168" formatCode="h:mm;@"/>
    <numFmt numFmtId="169" formatCode="00"/>
    <numFmt numFmtId="170" formatCode="0000000000"/>
    <numFmt numFmtId="171" formatCode="dd\-mmm\-yy"/>
  </numFmts>
  <fonts count="90">
    <font>
      <sz val="11"/>
      <color theme="1"/>
      <name val="Calibri"/>
      <family val="2"/>
      <scheme val="minor"/>
    </font>
    <font>
      <sz val="8"/>
      <name val="Arial"/>
      <family val="2"/>
    </font>
    <font>
      <sz val="12"/>
      <name val="Times New Roman"/>
      <family val="1"/>
    </font>
    <font>
      <b/>
      <sz val="8"/>
      <name val="Arial"/>
      <family val="2"/>
    </font>
    <font>
      <u/>
      <sz val="9.5"/>
      <color indexed="12"/>
      <name val="Arial"/>
      <family val="2"/>
    </font>
    <font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0"/>
      <name val="MS Sans Serif"/>
      <family val="2"/>
    </font>
    <font>
      <sz val="8"/>
      <name val="Verdana"/>
      <family val="2"/>
    </font>
    <font>
      <b/>
      <sz val="8"/>
      <color indexed="10"/>
      <name val="Arial"/>
      <family val="2"/>
    </font>
    <font>
      <sz val="8"/>
      <color indexed="44"/>
      <name val="Arial"/>
      <family val="2"/>
    </font>
    <font>
      <sz val="8"/>
      <color indexed="63"/>
      <name val="Arial"/>
      <family val="2"/>
    </font>
    <font>
      <sz val="8"/>
      <name val="Calibri"/>
      <family val="2"/>
      <scheme val="minor"/>
    </font>
    <font>
      <sz val="20"/>
      <color theme="1"/>
      <name val="Arial"/>
      <family val="2"/>
    </font>
    <font>
      <sz val="72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indexed="22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name val="Calibri"/>
      <family val="2"/>
      <scheme val="minor"/>
    </font>
    <font>
      <b/>
      <u/>
      <sz val="10"/>
      <name val="Calibri"/>
      <family val="2"/>
      <scheme val="minor"/>
    </font>
    <font>
      <b/>
      <i/>
      <sz val="13"/>
      <name val="Calibri"/>
      <family val="2"/>
      <scheme val="minor"/>
    </font>
    <font>
      <b/>
      <i/>
      <sz val="10"/>
      <name val="Calibri"/>
      <family val="2"/>
      <scheme val="minor"/>
    </font>
    <font>
      <b/>
      <sz val="7.5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 tint="-0.14999847407452621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u/>
      <sz val="10"/>
      <color indexed="12"/>
      <name val="Arial"/>
      <family val="2"/>
    </font>
    <font>
      <sz val="10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7"/>
      <color theme="3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theme="6" tint="0.59999389629810485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</patternFill>
    </fill>
    <fill>
      <patternFill patternType="solid">
        <fgColor indexed="13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indexed="1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5" fillId="0" borderId="0"/>
    <xf numFmtId="0" fontId="55" fillId="0" borderId="0"/>
  </cellStyleXfs>
  <cellXfs count="1030">
    <xf numFmtId="0" fontId="0" fillId="0" borderId="0" xfId="0"/>
    <xf numFmtId="0" fontId="7" fillId="2" borderId="21" xfId="0" applyFont="1" applyFill="1" applyBorder="1" applyAlignment="1" applyProtection="1">
      <alignment vertical="center"/>
      <protection hidden="1"/>
    </xf>
    <xf numFmtId="0" fontId="7" fillId="2" borderId="20" xfId="0" applyFont="1" applyFill="1" applyBorder="1" applyAlignment="1" applyProtection="1">
      <alignment vertical="center"/>
      <protection hidden="1"/>
    </xf>
    <xf numFmtId="0" fontId="7" fillId="2" borderId="36" xfId="0" applyFont="1" applyFill="1" applyBorder="1" applyAlignment="1" applyProtection="1">
      <alignment vertical="center"/>
      <protection hidden="1"/>
    </xf>
    <xf numFmtId="0" fontId="1" fillId="2" borderId="37" xfId="0" applyFont="1" applyFill="1" applyBorder="1" applyAlignment="1" applyProtection="1">
      <alignment vertical="center"/>
      <protection hidden="1"/>
    </xf>
    <xf numFmtId="0" fontId="1" fillId="2" borderId="38" xfId="0" applyFont="1" applyFill="1" applyBorder="1" applyAlignment="1">
      <alignment vertical="center"/>
    </xf>
    <xf numFmtId="0" fontId="9" fillId="0" borderId="23" xfId="3" applyFont="1" applyBorder="1" applyAlignment="1" applyProtection="1">
      <alignment horizontal="center" vertical="center"/>
      <protection hidden="1"/>
    </xf>
    <xf numFmtId="0" fontId="9" fillId="0" borderId="25" xfId="3" applyFont="1" applyBorder="1" applyAlignment="1" applyProtection="1">
      <alignment horizontal="center" vertical="center"/>
      <protection hidden="1"/>
    </xf>
    <xf numFmtId="0" fontId="9" fillId="9" borderId="25" xfId="3" applyFont="1" applyFill="1" applyBorder="1" applyAlignment="1" applyProtection="1">
      <alignment horizontal="center" vertical="center"/>
      <protection hidden="1"/>
    </xf>
    <xf numFmtId="0" fontId="9" fillId="0" borderId="41" xfId="3" applyFont="1" applyBorder="1" applyAlignment="1" applyProtection="1">
      <alignment horizontal="center" vertical="center"/>
      <protection hidden="1"/>
    </xf>
    <xf numFmtId="0" fontId="9" fillId="0" borderId="0" xfId="3" applyFont="1" applyAlignment="1" applyProtection="1">
      <alignment horizontal="center" vertical="center"/>
      <protection hidden="1"/>
    </xf>
    <xf numFmtId="14" fontId="9" fillId="0" borderId="42" xfId="3" applyNumberFormat="1" applyFont="1" applyBorder="1" applyAlignment="1" applyProtection="1">
      <alignment horizontal="center" vertical="center" textRotation="90"/>
      <protection hidden="1"/>
    </xf>
    <xf numFmtId="14" fontId="9" fillId="0" borderId="43" xfId="3" applyNumberFormat="1" applyFont="1" applyBorder="1" applyAlignment="1" applyProtection="1">
      <alignment horizontal="center" vertical="center" textRotation="90"/>
      <protection hidden="1"/>
    </xf>
    <xf numFmtId="14" fontId="9" fillId="0" borderId="43" xfId="3" applyNumberFormat="1" applyFont="1" applyBorder="1" applyAlignment="1" applyProtection="1">
      <alignment horizontal="right" vertical="center" textRotation="90"/>
      <protection hidden="1"/>
    </xf>
    <xf numFmtId="0" fontId="9" fillId="0" borderId="43" xfId="3" applyFont="1" applyBorder="1" applyAlignment="1" applyProtection="1">
      <alignment horizontal="center" vertical="center" textRotation="90"/>
      <protection hidden="1"/>
    </xf>
    <xf numFmtId="0" fontId="9" fillId="0" borderId="44" xfId="3" applyFont="1" applyBorder="1" applyAlignment="1" applyProtection="1">
      <alignment horizontal="center" vertical="center" textRotation="90"/>
      <protection hidden="1"/>
    </xf>
    <xf numFmtId="0" fontId="9" fillId="0" borderId="43" xfId="3" applyFont="1" applyBorder="1" applyAlignment="1" applyProtection="1">
      <alignment horizontal="center" vertical="center"/>
      <protection hidden="1"/>
    </xf>
    <xf numFmtId="14" fontId="9" fillId="0" borderId="0" xfId="3" applyNumberFormat="1" applyFont="1" applyAlignment="1" applyProtection="1">
      <alignment horizontal="center" vertical="center"/>
      <protection hidden="1"/>
    </xf>
    <xf numFmtId="0" fontId="9" fillId="10" borderId="42" xfId="3" applyFont="1" applyFill="1" applyBorder="1" applyAlignment="1" applyProtection="1">
      <alignment horizontal="center" vertical="center"/>
      <protection hidden="1"/>
    </xf>
    <xf numFmtId="0" fontId="9" fillId="10" borderId="43" xfId="3" applyFont="1" applyFill="1" applyBorder="1" applyAlignment="1" applyProtection="1">
      <alignment horizontal="center" vertical="center"/>
      <protection hidden="1"/>
    </xf>
    <xf numFmtId="0" fontId="9" fillId="0" borderId="44" xfId="3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3" fillId="8" borderId="23" xfId="0" applyFont="1" applyFill="1" applyBorder="1" applyAlignment="1" applyProtection="1">
      <alignment horizontal="center"/>
      <protection hidden="1"/>
    </xf>
    <xf numFmtId="169" fontId="11" fillId="11" borderId="23" xfId="0" applyNumberFormat="1" applyFont="1" applyFill="1" applyBorder="1" applyAlignment="1" applyProtection="1">
      <alignment horizontal="center"/>
      <protection hidden="1"/>
    </xf>
    <xf numFmtId="0" fontId="11" fillId="11" borderId="23" xfId="0" applyFont="1" applyFill="1" applyBorder="1" applyAlignment="1" applyProtection="1">
      <alignment horizontal="center"/>
      <protection hidden="1"/>
    </xf>
    <xf numFmtId="0" fontId="12" fillId="2" borderId="0" xfId="0" applyFont="1" applyFill="1" applyProtection="1">
      <protection hidden="1"/>
    </xf>
    <xf numFmtId="169" fontId="1" fillId="0" borderId="0" xfId="0" applyNumberFormat="1" applyFont="1" applyProtection="1">
      <protection hidden="1"/>
    </xf>
    <xf numFmtId="0" fontId="5" fillId="0" borderId="3" xfId="0" applyFont="1" applyBorder="1"/>
    <xf numFmtId="0" fontId="5" fillId="0" borderId="4" xfId="0" applyFont="1" applyBorder="1" applyAlignment="1">
      <alignment horizontal="center"/>
    </xf>
    <xf numFmtId="0" fontId="5" fillId="0" borderId="0" xfId="0" applyFont="1"/>
    <xf numFmtId="0" fontId="5" fillId="0" borderId="6" xfId="0" applyFont="1" applyBorder="1" applyAlignment="1">
      <alignment horizontal="center"/>
    </xf>
    <xf numFmtId="0" fontId="5" fillId="0" borderId="1" xfId="0" applyFont="1" applyBorder="1"/>
    <xf numFmtId="0" fontId="5" fillId="0" borderId="8" xfId="0" applyFont="1" applyBorder="1" applyAlignment="1">
      <alignment horizontal="center"/>
    </xf>
    <xf numFmtId="0" fontId="3" fillId="0" borderId="13" xfId="0" applyFont="1" applyBorder="1" applyAlignment="1" applyProtection="1">
      <alignment vertical="center"/>
      <protection hidden="1"/>
    </xf>
    <xf numFmtId="0" fontId="6" fillId="8" borderId="10" xfId="0" applyFont="1" applyFill="1" applyBorder="1" applyAlignment="1" applyProtection="1">
      <alignment horizontal="center" vertical="center"/>
      <protection hidden="1"/>
    </xf>
    <xf numFmtId="0" fontId="13" fillId="7" borderId="2" xfId="0" applyFont="1" applyFill="1" applyBorder="1"/>
    <xf numFmtId="0" fontId="13" fillId="7" borderId="5" xfId="0" applyFont="1" applyFill="1" applyBorder="1"/>
    <xf numFmtId="0" fontId="13" fillId="7" borderId="7" xfId="0" applyFont="1" applyFill="1" applyBorder="1"/>
    <xf numFmtId="0" fontId="3" fillId="0" borderId="11" xfId="0" applyFont="1" applyBorder="1" applyAlignment="1" applyProtection="1">
      <alignment vertical="center"/>
      <protection hidden="1"/>
    </xf>
    <xf numFmtId="0" fontId="3" fillId="2" borderId="35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1" fillId="2" borderId="44" xfId="0" applyFont="1" applyFill="1" applyBorder="1" applyAlignment="1">
      <alignment horizontal="center" vertical="center"/>
    </xf>
    <xf numFmtId="0" fontId="7" fillId="2" borderId="41" xfId="0" applyFont="1" applyFill="1" applyBorder="1" applyAlignment="1" applyProtection="1">
      <alignment horizontal="center" vertical="center"/>
      <protection hidden="1"/>
    </xf>
    <xf numFmtId="0" fontId="7" fillId="2" borderId="51" xfId="0" applyFont="1" applyFill="1" applyBorder="1" applyAlignment="1" applyProtection="1">
      <alignment horizontal="center" vertical="center"/>
      <protection hidden="1"/>
    </xf>
    <xf numFmtId="0" fontId="1" fillId="2" borderId="44" xfId="0" applyFont="1" applyFill="1" applyBorder="1" applyAlignment="1" applyProtection="1">
      <alignment vertical="center"/>
      <protection hidden="1"/>
    </xf>
    <xf numFmtId="0" fontId="0" fillId="0" borderId="22" xfId="0" applyBorder="1"/>
    <xf numFmtId="0" fontId="0" fillId="12" borderId="24" xfId="0" applyFill="1" applyBorder="1"/>
    <xf numFmtId="0" fontId="7" fillId="2" borderId="4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vertical="center"/>
      <protection hidden="1"/>
    </xf>
    <xf numFmtId="0" fontId="0" fillId="0" borderId="27" xfId="0" applyBorder="1"/>
    <xf numFmtId="0" fontId="0" fillId="0" borderId="30" xfId="0" applyBorder="1"/>
    <xf numFmtId="0" fontId="17" fillId="2" borderId="0" xfId="0" applyFont="1" applyFill="1" applyAlignment="1" applyProtection="1">
      <alignment vertical="center" wrapText="1"/>
      <protection hidden="1"/>
    </xf>
    <xf numFmtId="0" fontId="17" fillId="2" borderId="0" xfId="0" applyFont="1" applyFill="1" applyAlignment="1" applyProtection="1">
      <alignment horizontal="center" vertical="center" wrapText="1"/>
      <protection hidden="1"/>
    </xf>
    <xf numFmtId="0" fontId="17" fillId="7" borderId="0" xfId="0" applyFont="1" applyFill="1" applyAlignment="1" applyProtection="1">
      <alignment horizontal="center" vertical="center" wrapText="1"/>
      <protection hidden="1"/>
    </xf>
    <xf numFmtId="0" fontId="17" fillId="2" borderId="0" xfId="0" applyFont="1" applyFill="1" applyAlignment="1" applyProtection="1">
      <alignment wrapText="1"/>
      <protection hidden="1"/>
    </xf>
    <xf numFmtId="0" fontId="17" fillId="0" borderId="0" xfId="0" applyFont="1" applyProtection="1">
      <protection hidden="1"/>
    </xf>
    <xf numFmtId="0" fontId="17" fillId="0" borderId="23" xfId="0" applyFont="1" applyBorder="1" applyAlignment="1" applyProtection="1">
      <alignment horizontal="center" vertical="center" wrapText="1"/>
      <protection hidden="1"/>
    </xf>
    <xf numFmtId="0" fontId="17" fillId="0" borderId="23" xfId="0" applyFont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2" borderId="23" xfId="0" applyFont="1" applyFill="1" applyBorder="1" applyAlignment="1" applyProtection="1">
      <alignment horizontal="center" vertical="center" wrapText="1"/>
      <protection hidden="1"/>
    </xf>
    <xf numFmtId="0" fontId="17" fillId="2" borderId="23" xfId="0" applyFont="1" applyFill="1" applyBorder="1" applyAlignment="1" applyProtection="1">
      <alignment horizontal="center"/>
      <protection hidden="1"/>
    </xf>
    <xf numFmtId="3" fontId="17" fillId="0" borderId="0" xfId="0" applyNumberFormat="1" applyFont="1" applyAlignment="1" applyProtection="1">
      <alignment horizontal="center"/>
      <protection hidden="1"/>
    </xf>
    <xf numFmtId="20" fontId="17" fillId="0" borderId="0" xfId="0" applyNumberFormat="1" applyFont="1" applyAlignment="1" applyProtection="1">
      <alignment horizontal="center"/>
      <protection hidden="1"/>
    </xf>
    <xf numFmtId="0" fontId="18" fillId="7" borderId="0" xfId="0" applyFont="1" applyFill="1" applyProtection="1">
      <protection hidden="1"/>
    </xf>
    <xf numFmtId="0" fontId="20" fillId="7" borderId="0" xfId="0" applyFont="1" applyFill="1" applyProtection="1">
      <protection hidden="1"/>
    </xf>
    <xf numFmtId="0" fontId="19" fillId="2" borderId="0" xfId="0" applyFont="1" applyFill="1" applyProtection="1">
      <protection hidden="1"/>
    </xf>
    <xf numFmtId="0" fontId="21" fillId="7" borderId="0" xfId="0" applyFont="1" applyFill="1" applyAlignment="1" applyProtection="1">
      <alignment vertical="center" wrapText="1"/>
      <protection hidden="1"/>
    </xf>
    <xf numFmtId="0" fontId="21" fillId="3" borderId="0" xfId="0" applyFont="1" applyFill="1" applyAlignment="1" applyProtection="1">
      <alignment horizontal="center" vertical="center" wrapText="1"/>
      <protection hidden="1"/>
    </xf>
    <xf numFmtId="0" fontId="21" fillId="4" borderId="0" xfId="0" applyFont="1" applyFill="1" applyAlignment="1" applyProtection="1">
      <alignment horizontal="center" vertical="center" wrapText="1"/>
      <protection hidden="1"/>
    </xf>
    <xf numFmtId="0" fontId="21" fillId="2" borderId="0" xfId="0" applyFont="1" applyFill="1" applyAlignment="1" applyProtection="1">
      <alignment vertical="center" wrapText="1"/>
      <protection hidden="1"/>
    </xf>
    <xf numFmtId="0" fontId="22" fillId="7" borderId="0" xfId="0" applyFont="1" applyFill="1" applyAlignment="1" applyProtection="1">
      <alignment vertical="center"/>
      <protection hidden="1"/>
    </xf>
    <xf numFmtId="0" fontId="22" fillId="7" borderId="0" xfId="0" applyFont="1" applyFill="1" applyAlignment="1" applyProtection="1">
      <alignment vertical="center" wrapText="1"/>
      <protection hidden="1"/>
    </xf>
    <xf numFmtId="0" fontId="21" fillId="2" borderId="0" xfId="0" applyFont="1" applyFill="1" applyAlignment="1" applyProtection="1">
      <alignment horizontal="center" vertical="center" wrapText="1"/>
      <protection hidden="1"/>
    </xf>
    <xf numFmtId="0" fontId="23" fillId="2" borderId="0" xfId="0" applyFont="1" applyFill="1" applyAlignment="1" applyProtection="1">
      <alignment horizontal="center" wrapText="1"/>
      <protection hidden="1"/>
    </xf>
    <xf numFmtId="0" fontId="23" fillId="0" borderId="0" xfId="0" applyFont="1" applyAlignment="1" applyProtection="1">
      <alignment horizontal="center" wrapText="1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0" fontId="21" fillId="2" borderId="3" xfId="0" applyFont="1" applyFill="1" applyBorder="1" applyAlignment="1" applyProtection="1">
      <alignment vertical="center" wrapText="1"/>
      <protection hidden="1"/>
    </xf>
    <xf numFmtId="0" fontId="21" fillId="0" borderId="0" xfId="1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/>
      <protection hidden="1"/>
    </xf>
    <xf numFmtId="0" fontId="19" fillId="7" borderId="0" xfId="0" applyFont="1" applyFill="1" applyProtection="1">
      <protection hidden="1"/>
    </xf>
    <xf numFmtId="0" fontId="19" fillId="6" borderId="0" xfId="0" applyFont="1" applyFill="1" applyProtection="1"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0" fontId="19" fillId="7" borderId="3" xfId="0" applyFont="1" applyFill="1" applyBorder="1" applyProtection="1">
      <protection hidden="1"/>
    </xf>
    <xf numFmtId="0" fontId="26" fillId="0" borderId="0" xfId="0" applyFont="1" applyProtection="1">
      <protection hidden="1"/>
    </xf>
    <xf numFmtId="0" fontId="19" fillId="7" borderId="1" xfId="0" applyFont="1" applyFill="1" applyBorder="1" applyAlignment="1" applyProtection="1">
      <alignment vertical="center" wrapText="1"/>
      <protection hidden="1"/>
    </xf>
    <xf numFmtId="0" fontId="28" fillId="2" borderId="0" xfId="0" applyFont="1" applyFill="1" applyAlignment="1" applyProtection="1">
      <alignment horizontal="center" vertical="center" wrapText="1"/>
      <protection hidden="1"/>
    </xf>
    <xf numFmtId="0" fontId="19" fillId="0" borderId="0" xfId="0" quotePrefix="1" applyFont="1" applyAlignment="1" applyProtection="1">
      <alignment horizontal="center"/>
      <protection hidden="1"/>
    </xf>
    <xf numFmtId="0" fontId="19" fillId="2" borderId="0" xfId="0" applyFont="1" applyFill="1" applyAlignment="1" applyProtection="1">
      <alignment vertical="center" wrapText="1"/>
      <protection hidden="1"/>
    </xf>
    <xf numFmtId="20" fontId="29" fillId="7" borderId="0" xfId="0" applyNumberFormat="1" applyFont="1" applyFill="1" applyAlignment="1" applyProtection="1">
      <alignment horizontal="center"/>
      <protection hidden="1"/>
    </xf>
    <xf numFmtId="20" fontId="30" fillId="7" borderId="0" xfId="0" applyNumberFormat="1" applyFont="1" applyFill="1" applyAlignment="1" applyProtection="1">
      <alignment horizontal="center"/>
      <protection hidden="1"/>
    </xf>
    <xf numFmtId="20" fontId="29" fillId="7" borderId="0" xfId="0" applyNumberFormat="1" applyFont="1" applyFill="1" applyAlignment="1" applyProtection="1">
      <alignment horizontal="center" vertical="center"/>
      <protection hidden="1"/>
    </xf>
    <xf numFmtId="0" fontId="21" fillId="3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vertical="center"/>
      <protection hidden="1"/>
    </xf>
    <xf numFmtId="0" fontId="18" fillId="0" borderId="0" xfId="0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20" fontId="21" fillId="7" borderId="0" xfId="0" applyNumberFormat="1" applyFont="1" applyFill="1" applyAlignment="1" applyProtection="1">
      <alignment horizontal="center" vertical="center"/>
      <protection hidden="1"/>
    </xf>
    <xf numFmtId="3" fontId="17" fillId="0" borderId="0" xfId="0" applyNumberFormat="1" applyFont="1" applyProtection="1">
      <protection hidden="1"/>
    </xf>
    <xf numFmtId="3" fontId="18" fillId="0" borderId="0" xfId="0" applyNumberFormat="1" applyFont="1" applyAlignment="1" applyProtection="1">
      <alignment horizontal="center"/>
      <protection hidden="1"/>
    </xf>
    <xf numFmtId="0" fontId="19" fillId="7" borderId="7" xfId="0" applyFont="1" applyFill="1" applyBorder="1" applyProtection="1">
      <protection hidden="1"/>
    </xf>
    <xf numFmtId="0" fontId="19" fillId="7" borderId="1" xfId="0" applyFont="1" applyFill="1" applyBorder="1" applyProtection="1">
      <protection hidden="1"/>
    </xf>
    <xf numFmtId="0" fontId="24" fillId="0" borderId="0" xfId="0" applyFont="1" applyProtection="1"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3" fontId="27" fillId="7" borderId="0" xfId="0" applyNumberFormat="1" applyFont="1" applyFill="1" applyAlignment="1" applyProtection="1">
      <alignment horizontal="center" vertical="center"/>
      <protection hidden="1"/>
    </xf>
    <xf numFmtId="0" fontId="21" fillId="8" borderId="23" xfId="0" applyFont="1" applyFill="1" applyBorder="1" applyAlignment="1" applyProtection="1">
      <alignment horizontal="center" vertical="center" wrapText="1"/>
      <protection hidden="1"/>
    </xf>
    <xf numFmtId="0" fontId="21" fillId="8" borderId="26" xfId="0" applyFont="1" applyFill="1" applyBorder="1" applyAlignment="1" applyProtection="1">
      <alignment horizontal="center" vertical="center" wrapText="1"/>
      <protection hidden="1"/>
    </xf>
    <xf numFmtId="18" fontId="19" fillId="0" borderId="0" xfId="0" applyNumberFormat="1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wrapText="1"/>
      <protection hidden="1"/>
    </xf>
    <xf numFmtId="0" fontId="28" fillId="0" borderId="0" xfId="0" applyFont="1" applyAlignment="1" applyProtection="1">
      <alignment horizontal="center" vertical="center" wrapText="1"/>
      <protection hidden="1"/>
    </xf>
    <xf numFmtId="0" fontId="18" fillId="7" borderId="0" xfId="0" applyFont="1" applyFill="1" applyAlignment="1" applyProtection="1">
      <alignment horizontal="center"/>
      <protection hidden="1"/>
    </xf>
    <xf numFmtId="3" fontId="19" fillId="0" borderId="0" xfId="0" applyNumberFormat="1" applyFont="1" applyAlignment="1" applyProtection="1">
      <alignment horizontal="center"/>
      <protection hidden="1"/>
    </xf>
    <xf numFmtId="0" fontId="19" fillId="0" borderId="23" xfId="0" applyFont="1" applyBorder="1" applyAlignment="1" applyProtection="1">
      <alignment horizontal="center"/>
      <protection hidden="1"/>
    </xf>
    <xf numFmtId="0" fontId="21" fillId="8" borderId="23" xfId="0" applyFont="1" applyFill="1" applyBorder="1" applyAlignment="1" applyProtection="1">
      <alignment horizontal="center"/>
      <protection hidden="1"/>
    </xf>
    <xf numFmtId="0" fontId="21" fillId="0" borderId="0" xfId="0" applyFont="1" applyProtection="1">
      <protection hidden="1"/>
    </xf>
    <xf numFmtId="0" fontId="21" fillId="0" borderId="0" xfId="0" applyFont="1" applyAlignment="1" applyProtection="1">
      <alignment horizontal="left"/>
      <protection hidden="1"/>
    </xf>
    <xf numFmtId="0" fontId="25" fillId="0" borderId="0" xfId="0" applyFont="1" applyAlignment="1" applyProtection="1">
      <alignment horizontal="center"/>
      <protection hidden="1"/>
    </xf>
    <xf numFmtId="3" fontId="21" fillId="0" borderId="0" xfId="0" applyNumberFormat="1" applyFont="1" applyAlignment="1" applyProtection="1">
      <alignment horizontal="center"/>
      <protection hidden="1"/>
    </xf>
    <xf numFmtId="3" fontId="33" fillId="0" borderId="0" xfId="0" applyNumberFormat="1" applyFont="1" applyAlignment="1" applyProtection="1">
      <alignment horizontal="center"/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justify" vertical="justify"/>
      <protection hidden="1"/>
    </xf>
    <xf numFmtId="0" fontId="33" fillId="0" borderId="0" xfId="0" applyFont="1" applyAlignment="1" applyProtection="1">
      <alignment horizontal="justify" vertical="justify"/>
      <protection hidden="1"/>
    </xf>
    <xf numFmtId="0" fontId="21" fillId="0" borderId="0" xfId="0" applyFont="1" applyAlignment="1" applyProtection="1">
      <alignment horizontal="center" vertical="justify"/>
      <protection hidden="1"/>
    </xf>
    <xf numFmtId="0" fontId="21" fillId="0" borderId="0" xfId="0" applyFont="1" applyAlignment="1" applyProtection="1">
      <alignment vertical="justify"/>
      <protection hidden="1"/>
    </xf>
    <xf numFmtId="20" fontId="21" fillId="0" borderId="0" xfId="0" applyNumberFormat="1" applyFont="1" applyAlignment="1" applyProtection="1">
      <alignment horizontal="center"/>
      <protection hidden="1"/>
    </xf>
    <xf numFmtId="3" fontId="25" fillId="0" borderId="0" xfId="0" applyNumberFormat="1" applyFont="1" applyAlignment="1" applyProtection="1">
      <alignment horizontal="center"/>
      <protection hidden="1"/>
    </xf>
    <xf numFmtId="168" fontId="25" fillId="0" borderId="0" xfId="0" applyNumberFormat="1" applyFont="1" applyProtection="1">
      <protection hidden="1"/>
    </xf>
    <xf numFmtId="0" fontId="40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wrapText="1"/>
      <protection hidden="1"/>
    </xf>
    <xf numFmtId="0" fontId="19" fillId="0" borderId="10" xfId="0" applyFont="1" applyBorder="1" applyProtection="1">
      <protection hidden="1"/>
    </xf>
    <xf numFmtId="0" fontId="40" fillId="0" borderId="10" xfId="0" applyFont="1" applyBorder="1" applyAlignment="1" applyProtection="1">
      <alignment vertical="center"/>
      <protection hidden="1"/>
    </xf>
    <xf numFmtId="0" fontId="44" fillId="0" borderId="3" xfId="0" applyFont="1" applyBorder="1" applyAlignment="1" applyProtection="1">
      <alignment vertical="top" wrapText="1"/>
      <protection hidden="1"/>
    </xf>
    <xf numFmtId="14" fontId="45" fillId="0" borderId="5" xfId="0" applyNumberFormat="1" applyFont="1" applyBorder="1" applyAlignment="1" applyProtection="1">
      <alignment horizontal="center"/>
      <protection hidden="1"/>
    </xf>
    <xf numFmtId="14" fontId="45" fillId="0" borderId="0" xfId="0" applyNumberFormat="1" applyFont="1" applyAlignment="1" applyProtection="1">
      <alignment horizontal="center"/>
      <protection hidden="1"/>
    </xf>
    <xf numFmtId="0" fontId="48" fillId="0" borderId="0" xfId="0" applyFont="1" applyAlignment="1" applyProtection="1">
      <alignment horizontal="center" shrinkToFit="1"/>
      <protection hidden="1"/>
    </xf>
    <xf numFmtId="0" fontId="27" fillId="0" borderId="7" xfId="0" applyFont="1" applyBorder="1" applyProtection="1">
      <protection hidden="1"/>
    </xf>
    <xf numFmtId="0" fontId="27" fillId="0" borderId="1" xfId="0" applyFont="1" applyBorder="1" applyProtection="1">
      <protection hidden="1"/>
    </xf>
    <xf numFmtId="0" fontId="28" fillId="0" borderId="0" xfId="0" applyFont="1" applyAlignment="1" applyProtection="1">
      <alignment horizontal="center" vertical="justify"/>
      <protection hidden="1"/>
    </xf>
    <xf numFmtId="0" fontId="19" fillId="0" borderId="10" xfId="0" applyFont="1" applyBorder="1" applyAlignment="1" applyProtection="1">
      <alignment horizontal="left"/>
      <protection hidden="1"/>
    </xf>
    <xf numFmtId="0" fontId="49" fillId="0" borderId="10" xfId="0" applyFont="1" applyBorder="1" applyAlignment="1" applyProtection="1">
      <alignment vertical="center"/>
      <protection hidden="1"/>
    </xf>
    <xf numFmtId="0" fontId="28" fillId="0" borderId="1" xfId="0" applyFont="1" applyBorder="1" applyProtection="1">
      <protection hidden="1"/>
    </xf>
    <xf numFmtId="0" fontId="51" fillId="0" borderId="9" xfId="0" applyFont="1" applyBorder="1" applyAlignment="1" applyProtection="1">
      <alignment vertical="center"/>
      <protection hidden="1"/>
    </xf>
    <xf numFmtId="0" fontId="35" fillId="2" borderId="1" xfId="0" applyFont="1" applyFill="1" applyBorder="1" applyAlignment="1" applyProtection="1">
      <alignment vertical="center" wrapText="1"/>
      <protection hidden="1"/>
    </xf>
    <xf numFmtId="0" fontId="19" fillId="2" borderId="2" xfId="0" applyFont="1" applyFill="1" applyBorder="1" applyProtection="1">
      <protection hidden="1"/>
    </xf>
    <xf numFmtId="0" fontId="19" fillId="2" borderId="7" xfId="0" applyFont="1" applyFill="1" applyBorder="1" applyProtection="1">
      <protection hidden="1"/>
    </xf>
    <xf numFmtId="0" fontId="19" fillId="7" borderId="2" xfId="0" applyFont="1" applyFill="1" applyBorder="1" applyProtection="1">
      <protection hidden="1"/>
    </xf>
    <xf numFmtId="0" fontId="26" fillId="7" borderId="8" xfId="2" applyFont="1" applyFill="1" applyBorder="1" applyAlignment="1" applyProtection="1">
      <alignment horizontal="left" vertical="center" wrapText="1"/>
      <protection hidden="1"/>
    </xf>
    <xf numFmtId="0" fontId="46" fillId="0" borderId="0" xfId="0" applyFont="1" applyAlignment="1" applyProtection="1">
      <alignment horizontal="center"/>
      <protection hidden="1"/>
    </xf>
    <xf numFmtId="0" fontId="27" fillId="8" borderId="8" xfId="0" applyFont="1" applyFill="1" applyBorder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vertical="center"/>
      <protection hidden="1"/>
    </xf>
    <xf numFmtId="2" fontId="29" fillId="0" borderId="0" xfId="0" applyNumberFormat="1" applyFont="1" applyAlignment="1" applyProtection="1">
      <alignment vertical="center"/>
      <protection hidden="1"/>
    </xf>
    <xf numFmtId="0" fontId="27" fillId="0" borderId="0" xfId="0" applyFont="1" applyAlignment="1" applyProtection="1">
      <alignment vertical="center" wrapText="1"/>
      <protection hidden="1"/>
    </xf>
    <xf numFmtId="3" fontId="28" fillId="0" borderId="3" xfId="0" applyNumberFormat="1" applyFont="1" applyBorder="1" applyAlignment="1" applyProtection="1">
      <alignment horizontal="center" vertical="center"/>
      <protection hidden="1"/>
    </xf>
    <xf numFmtId="0" fontId="44" fillId="0" borderId="2" xfId="0" applyFont="1" applyBorder="1" applyAlignment="1" applyProtection="1">
      <alignment vertical="top" wrapText="1"/>
      <protection hidden="1"/>
    </xf>
    <xf numFmtId="14" fontId="46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0" fontId="48" fillId="0" borderId="0" xfId="0" applyFont="1" applyAlignment="1" applyProtection="1">
      <alignment shrinkToFit="1"/>
      <protection hidden="1"/>
    </xf>
    <xf numFmtId="0" fontId="48" fillId="0" borderId="6" xfId="0" applyFont="1" applyBorder="1" applyAlignment="1" applyProtection="1">
      <alignment shrinkToFit="1"/>
      <protection hidden="1"/>
    </xf>
    <xf numFmtId="0" fontId="28" fillId="0" borderId="8" xfId="0" applyFont="1" applyBorder="1" applyProtection="1">
      <protection hidden="1"/>
    </xf>
    <xf numFmtId="0" fontId="49" fillId="0" borderId="9" xfId="0" applyFont="1" applyBorder="1" applyAlignment="1" applyProtection="1">
      <alignment vertical="center"/>
      <protection hidden="1"/>
    </xf>
    <xf numFmtId="0" fontId="49" fillId="0" borderId="11" xfId="0" applyFont="1" applyBorder="1" applyAlignment="1" applyProtection="1">
      <alignment vertical="center"/>
      <protection hidden="1"/>
    </xf>
    <xf numFmtId="0" fontId="41" fillId="0" borderId="3" xfId="0" applyFont="1" applyBorder="1" applyAlignment="1" applyProtection="1">
      <alignment vertical="center"/>
      <protection hidden="1"/>
    </xf>
    <xf numFmtId="0" fontId="44" fillId="0" borderId="0" xfId="0" applyFont="1" applyAlignment="1" applyProtection="1">
      <alignment vertical="top" wrapText="1"/>
      <protection hidden="1"/>
    </xf>
    <xf numFmtId="0" fontId="28" fillId="0" borderId="0" xfId="0" applyFont="1" applyProtection="1">
      <protection hidden="1"/>
    </xf>
    <xf numFmtId="0" fontId="35" fillId="0" borderId="0" xfId="0" applyFont="1" applyAlignment="1" applyProtection="1">
      <alignment vertical="center"/>
      <protection hidden="1"/>
    </xf>
    <xf numFmtId="0" fontId="19" fillId="0" borderId="9" xfId="0" applyFont="1" applyBorder="1" applyAlignment="1" applyProtection="1">
      <alignment horizontal="left"/>
      <protection hidden="1"/>
    </xf>
    <xf numFmtId="0" fontId="18" fillId="0" borderId="1" xfId="0" applyFont="1" applyBorder="1" applyProtection="1">
      <protection hidden="1"/>
    </xf>
    <xf numFmtId="0" fontId="28" fillId="0" borderId="6" xfId="0" applyFont="1" applyBorder="1" applyAlignment="1" applyProtection="1">
      <alignment horizontal="center" vertical="justify"/>
      <protection hidden="1"/>
    </xf>
    <xf numFmtId="0" fontId="56" fillId="17" borderId="23" xfId="4" applyFont="1" applyFill="1" applyBorder="1" applyAlignment="1">
      <alignment horizontal="center" vertical="center"/>
    </xf>
    <xf numFmtId="14" fontId="56" fillId="17" borderId="23" xfId="0" applyNumberFormat="1" applyFont="1" applyFill="1" applyBorder="1" applyAlignment="1">
      <alignment horizontal="center" vertical="center"/>
    </xf>
    <xf numFmtId="0" fontId="57" fillId="0" borderId="67" xfId="4" applyFont="1" applyBorder="1" applyAlignment="1">
      <alignment horizontal="right" vertical="center"/>
    </xf>
    <xf numFmtId="0" fontId="57" fillId="0" borderId="67" xfId="4" applyFont="1" applyBorder="1" applyAlignment="1">
      <alignment vertical="center"/>
    </xf>
    <xf numFmtId="14" fontId="57" fillId="0" borderId="67" xfId="4" applyNumberFormat="1" applyFont="1" applyBorder="1" applyAlignment="1">
      <alignment horizontal="right" vertical="center"/>
    </xf>
    <xf numFmtId="14" fontId="57" fillId="0" borderId="67" xfId="0" applyNumberFormat="1" applyFont="1" applyBorder="1" applyAlignment="1">
      <alignment horizontal="right" vertical="center"/>
    </xf>
    <xf numFmtId="2" fontId="57" fillId="0" borderId="67" xfId="0" applyNumberFormat="1" applyFont="1" applyBorder="1" applyAlignment="1">
      <alignment horizontal="right" vertical="center"/>
    </xf>
    <xf numFmtId="171" fontId="57" fillId="0" borderId="67" xfId="4" applyNumberFormat="1" applyFont="1" applyBorder="1" applyAlignment="1">
      <alignment horizontal="right" vertical="center"/>
    </xf>
    <xf numFmtId="0" fontId="57" fillId="0" borderId="67" xfId="4" applyFont="1" applyBorder="1" applyAlignment="1">
      <alignment horizontal="center" vertical="center"/>
    </xf>
    <xf numFmtId="14" fontId="0" fillId="0" borderId="67" xfId="0" applyNumberFormat="1" applyBorder="1"/>
    <xf numFmtId="14" fontId="0" fillId="0" borderId="0" xfId="0" applyNumberFormat="1"/>
    <xf numFmtId="14" fontId="57" fillId="0" borderId="0" xfId="0" applyNumberFormat="1" applyFont="1" applyAlignment="1">
      <alignment horizontal="right" vertical="center"/>
    </xf>
    <xf numFmtId="2" fontId="57" fillId="0" borderId="0" xfId="0" applyNumberFormat="1" applyFont="1" applyAlignment="1">
      <alignment horizontal="right" vertical="center"/>
    </xf>
    <xf numFmtId="0" fontId="57" fillId="3" borderId="67" xfId="4" applyFont="1" applyFill="1" applyBorder="1" applyAlignment="1">
      <alignment horizontal="right" vertical="center"/>
    </xf>
    <xf numFmtId="0" fontId="57" fillId="3" borderId="67" xfId="4" applyFont="1" applyFill="1" applyBorder="1" applyAlignment="1">
      <alignment vertical="center"/>
    </xf>
    <xf numFmtId="14" fontId="57" fillId="3" borderId="67" xfId="4" applyNumberFormat="1" applyFont="1" applyFill="1" applyBorder="1" applyAlignment="1">
      <alignment horizontal="right" vertical="center"/>
    </xf>
    <xf numFmtId="14" fontId="0" fillId="3" borderId="0" xfId="0" applyNumberFormat="1" applyFill="1"/>
    <xf numFmtId="171" fontId="57" fillId="3" borderId="67" xfId="4" applyNumberFormat="1" applyFont="1" applyFill="1" applyBorder="1" applyAlignment="1">
      <alignment horizontal="right" vertical="center"/>
    </xf>
    <xf numFmtId="0" fontId="57" fillId="3" borderId="67" xfId="4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left" vertical="center" wrapText="1"/>
      <protection hidden="1"/>
    </xf>
    <xf numFmtId="0" fontId="58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wrapText="1"/>
      <protection hidden="1"/>
    </xf>
    <xf numFmtId="0" fontId="1" fillId="0" borderId="0" xfId="0" applyFont="1" applyAlignment="1" applyProtection="1">
      <alignment horizontal="left" wrapText="1"/>
      <protection hidden="1"/>
    </xf>
    <xf numFmtId="0" fontId="1" fillId="7" borderId="0" xfId="0" applyFont="1" applyFill="1" applyAlignment="1" applyProtection="1">
      <alignment wrapText="1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 wrapText="1"/>
      <protection hidden="1"/>
    </xf>
    <xf numFmtId="165" fontId="19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27" fillId="2" borderId="3" xfId="0" applyFont="1" applyFill="1" applyBorder="1" applyAlignment="1" applyProtection="1">
      <alignment horizontal="center" vertical="center" wrapText="1"/>
      <protection hidden="1"/>
    </xf>
    <xf numFmtId="0" fontId="19" fillId="7" borderId="1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Alignment="1" applyProtection="1">
      <alignment horizontal="center"/>
      <protection hidden="1"/>
    </xf>
    <xf numFmtId="0" fontId="19" fillId="7" borderId="0" xfId="0" applyFont="1" applyFill="1" applyAlignment="1" applyProtection="1">
      <alignment horizontal="center"/>
      <protection hidden="1"/>
    </xf>
    <xf numFmtId="3" fontId="27" fillId="7" borderId="0" xfId="0" applyNumberFormat="1" applyFont="1" applyFill="1" applyAlignment="1" applyProtection="1">
      <alignment horizontal="right" vertical="center"/>
      <protection hidden="1"/>
    </xf>
    <xf numFmtId="3" fontId="29" fillId="7" borderId="0" xfId="0" applyNumberFormat="1" applyFont="1" applyFill="1" applyAlignment="1" applyProtection="1">
      <alignment horizontal="center" vertical="center"/>
      <protection hidden="1"/>
    </xf>
    <xf numFmtId="3" fontId="29" fillId="7" borderId="0" xfId="0" applyNumberFormat="1" applyFont="1" applyFill="1" applyAlignment="1" applyProtection="1">
      <alignment horizontal="right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1" fillId="7" borderId="0" xfId="0" applyFont="1" applyFill="1" applyAlignment="1" applyProtection="1">
      <alignment horizontal="right" vertical="center" wrapText="1"/>
      <protection hidden="1"/>
    </xf>
    <xf numFmtId="0" fontId="21" fillId="7" borderId="1" xfId="0" applyFont="1" applyFill="1" applyBorder="1" applyAlignment="1" applyProtection="1">
      <alignment horizontal="center" vertical="center" wrapText="1"/>
      <protection hidden="1"/>
    </xf>
    <xf numFmtId="0" fontId="21" fillId="2" borderId="3" xfId="0" applyFont="1" applyFill="1" applyBorder="1" applyAlignment="1" applyProtection="1">
      <alignment horizontal="right" vertical="center" wrapText="1"/>
      <protection hidden="1"/>
    </xf>
    <xf numFmtId="0" fontId="21" fillId="7" borderId="3" xfId="0" applyFont="1" applyFill="1" applyBorder="1" applyAlignment="1" applyProtection="1">
      <alignment horizontal="left" vertical="center" wrapText="1"/>
      <protection hidden="1"/>
    </xf>
    <xf numFmtId="0" fontId="21" fillId="7" borderId="0" xfId="0" applyFont="1" applyFill="1" applyAlignment="1" applyProtection="1">
      <alignment horizontal="center" vertical="center"/>
      <protection hidden="1"/>
    </xf>
    <xf numFmtId="0" fontId="21" fillId="3" borderId="0" xfId="0" applyFont="1" applyFill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/>
      <protection hidden="1"/>
    </xf>
    <xf numFmtId="0" fontId="21" fillId="2" borderId="3" xfId="0" applyFont="1" applyFill="1" applyBorder="1" applyAlignment="1" applyProtection="1">
      <alignment horizontal="center" vertical="center" wrapText="1"/>
      <protection hidden="1"/>
    </xf>
    <xf numFmtId="0" fontId="21" fillId="2" borderId="1" xfId="0" applyFont="1" applyFill="1" applyBorder="1" applyAlignment="1" applyProtection="1">
      <alignment horizontal="center" vertical="center" wrapText="1"/>
      <protection hidden="1"/>
    </xf>
    <xf numFmtId="0" fontId="21" fillId="2" borderId="3" xfId="0" applyFont="1" applyFill="1" applyBorder="1" applyAlignment="1" applyProtection="1">
      <alignment horizontal="left" vertical="center" wrapText="1"/>
      <protection hidden="1"/>
    </xf>
    <xf numFmtId="0" fontId="21" fillId="7" borderId="0" xfId="0" applyFont="1" applyFill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2" fontId="29" fillId="7" borderId="0" xfId="0" applyNumberFormat="1" applyFont="1" applyFill="1" applyAlignment="1" applyProtection="1">
      <alignment horizontal="left" vertical="center"/>
      <protection hidden="1"/>
    </xf>
    <xf numFmtId="2" fontId="21" fillId="7" borderId="0" xfId="0" applyNumberFormat="1" applyFont="1" applyFill="1" applyAlignment="1" applyProtection="1">
      <alignment horizontal="left" vertical="center"/>
      <protection hidden="1"/>
    </xf>
    <xf numFmtId="3" fontId="21" fillId="7" borderId="0" xfId="0" applyNumberFormat="1" applyFont="1" applyFill="1" applyAlignment="1" applyProtection="1">
      <alignment horizontal="center" vertical="center"/>
      <protection hidden="1"/>
    </xf>
    <xf numFmtId="20" fontId="21" fillId="7" borderId="0" xfId="0" applyNumberFormat="1" applyFont="1" applyFill="1" applyAlignment="1" applyProtection="1">
      <alignment horizontal="left" vertical="center"/>
      <protection hidden="1"/>
    </xf>
    <xf numFmtId="2" fontId="29" fillId="0" borderId="0" xfId="0" applyNumberFormat="1" applyFont="1" applyAlignment="1" applyProtection="1">
      <alignment horizontal="left" vertical="center"/>
      <protection hidden="1"/>
    </xf>
    <xf numFmtId="1" fontId="21" fillId="0" borderId="0" xfId="0" applyNumberFormat="1" applyFont="1" applyAlignment="1" applyProtection="1">
      <alignment vertical="center"/>
      <protection hidden="1"/>
    </xf>
    <xf numFmtId="0" fontId="18" fillId="7" borderId="0" xfId="0" applyFont="1" applyFill="1" applyAlignment="1" applyProtection="1">
      <alignment wrapText="1"/>
      <protection hidden="1"/>
    </xf>
    <xf numFmtId="0" fontId="17" fillId="0" borderId="40" xfId="0" applyFont="1" applyBorder="1" applyAlignment="1" applyProtection="1">
      <alignment horizontal="center" vertical="center" textRotation="90" wrapText="1"/>
      <protection hidden="1"/>
    </xf>
    <xf numFmtId="0" fontId="17" fillId="0" borderId="1" xfId="0" applyFont="1" applyBorder="1" applyAlignment="1" applyProtection="1">
      <alignment horizontal="center" vertical="center" textRotation="90" wrapText="1"/>
      <protection hidden="1"/>
    </xf>
    <xf numFmtId="0" fontId="17" fillId="0" borderId="55" xfId="0" applyFont="1" applyBorder="1" applyAlignment="1" applyProtection="1">
      <alignment horizontal="center" vertical="center" textRotation="90" wrapText="1"/>
      <protection hidden="1"/>
    </xf>
    <xf numFmtId="0" fontId="17" fillId="0" borderId="54" xfId="0" applyFont="1" applyBorder="1" applyAlignment="1" applyProtection="1">
      <alignment horizontal="center" vertical="center" textRotation="90" wrapText="1"/>
      <protection hidden="1"/>
    </xf>
    <xf numFmtId="0" fontId="17" fillId="0" borderId="54" xfId="0" applyFont="1" applyBorder="1" applyAlignment="1" applyProtection="1">
      <alignment vertical="center" textRotation="90" wrapText="1"/>
      <protection hidden="1"/>
    </xf>
    <xf numFmtId="0" fontId="17" fillId="0" borderId="0" xfId="0" applyFont="1" applyAlignment="1" applyProtection="1">
      <alignment wrapText="1"/>
      <protection hidden="1"/>
    </xf>
    <xf numFmtId="0" fontId="32" fillId="0" borderId="49" xfId="0" applyFont="1" applyBorder="1" applyProtection="1">
      <protection hidden="1"/>
    </xf>
    <xf numFmtId="0" fontId="17" fillId="0" borderId="59" xfId="0" applyFont="1" applyBorder="1" applyProtection="1">
      <protection hidden="1"/>
    </xf>
    <xf numFmtId="0" fontId="17" fillId="0" borderId="43" xfId="0" applyFont="1" applyBorder="1" applyProtection="1">
      <protection hidden="1"/>
    </xf>
    <xf numFmtId="0" fontId="17" fillId="0" borderId="42" xfId="0" applyFont="1" applyBorder="1" applyProtection="1">
      <protection hidden="1"/>
    </xf>
    <xf numFmtId="0" fontId="32" fillId="0" borderId="42" xfId="0" applyFont="1" applyBorder="1" applyProtection="1">
      <protection hidden="1"/>
    </xf>
    <xf numFmtId="0" fontId="17" fillId="7" borderId="0" xfId="0" applyFont="1" applyFill="1" applyProtection="1">
      <protection hidden="1"/>
    </xf>
    <xf numFmtId="0" fontId="17" fillId="0" borderId="58" xfId="0" applyFont="1" applyBorder="1" applyAlignment="1" applyProtection="1">
      <alignment horizontal="center" vertical="center" wrapText="1"/>
      <protection hidden="1"/>
    </xf>
    <xf numFmtId="0" fontId="43" fillId="0" borderId="10" xfId="0" applyFont="1" applyBorder="1" applyAlignment="1" applyProtection="1">
      <alignment vertical="center"/>
      <protection hidden="1"/>
    </xf>
    <xf numFmtId="0" fontId="32" fillId="0" borderId="10" xfId="0" applyFont="1" applyBorder="1" applyAlignment="1" applyProtection="1">
      <alignment vertical="center" wrapText="1"/>
      <protection hidden="1"/>
    </xf>
    <xf numFmtId="0" fontId="17" fillId="0" borderId="5" xfId="0" applyFont="1" applyBorder="1" applyProtection="1">
      <protection hidden="1"/>
    </xf>
    <xf numFmtId="0" fontId="27" fillId="0" borderId="50" xfId="0" applyFont="1" applyBorder="1" applyAlignment="1" applyProtection="1">
      <alignment vertical="center"/>
      <protection hidden="1"/>
    </xf>
    <xf numFmtId="0" fontId="40" fillId="8" borderId="0" xfId="0" applyFont="1" applyFill="1" applyAlignment="1" applyProtection="1">
      <alignment vertical="center"/>
      <protection hidden="1"/>
    </xf>
    <xf numFmtId="0" fontId="27" fillId="0" borderId="26" xfId="0" applyFont="1" applyBorder="1" applyAlignment="1" applyProtection="1">
      <alignment vertical="center"/>
      <protection hidden="1"/>
    </xf>
    <xf numFmtId="0" fontId="38" fillId="0" borderId="0" xfId="0" applyFont="1" applyAlignment="1" applyProtection="1">
      <alignment vertical="center" wrapText="1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27" fillId="0" borderId="46" xfId="0" applyFont="1" applyBorder="1" applyAlignment="1" applyProtection="1">
      <alignment vertical="center"/>
      <protection hidden="1"/>
    </xf>
    <xf numFmtId="14" fontId="46" fillId="14" borderId="0" xfId="0" applyNumberFormat="1" applyFont="1" applyFill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shrinkToFit="1"/>
      <protection hidden="1"/>
    </xf>
    <xf numFmtId="0" fontId="47" fillId="0" borderId="5" xfId="0" applyFont="1" applyBorder="1" applyAlignment="1" applyProtection="1">
      <alignment shrinkToFit="1"/>
      <protection hidden="1"/>
    </xf>
    <xf numFmtId="0" fontId="47" fillId="0" borderId="6" xfId="0" applyFont="1" applyBorder="1" applyAlignment="1" applyProtection="1">
      <alignment shrinkToFit="1"/>
      <protection hidden="1"/>
    </xf>
    <xf numFmtId="0" fontId="28" fillId="0" borderId="1" xfId="0" applyFont="1" applyBorder="1" applyAlignment="1" applyProtection="1">
      <alignment vertical="center"/>
      <protection hidden="1"/>
    </xf>
    <xf numFmtId="0" fontId="28" fillId="0" borderId="8" xfId="0" applyFont="1" applyBorder="1" applyAlignment="1" applyProtection="1">
      <alignment vertical="center"/>
      <protection hidden="1"/>
    </xf>
    <xf numFmtId="0" fontId="21" fillId="8" borderId="0" xfId="0" applyFont="1" applyFill="1" applyAlignment="1" applyProtection="1">
      <alignment horizontal="center" vertical="center" wrapText="1"/>
      <protection hidden="1"/>
    </xf>
    <xf numFmtId="0" fontId="17" fillId="0" borderId="23" xfId="0" applyFont="1" applyBorder="1" applyAlignment="1" applyProtection="1">
      <alignment horizontal="center"/>
      <protection locked="0"/>
    </xf>
    <xf numFmtId="0" fontId="17" fillId="0" borderId="68" xfId="0" applyFont="1" applyBorder="1" applyAlignment="1" applyProtection="1">
      <alignment horizontal="center"/>
      <protection hidden="1"/>
    </xf>
    <xf numFmtId="0" fontId="17" fillId="0" borderId="63" xfId="0" applyFont="1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0" fillId="3" borderId="0" xfId="0" applyFill="1"/>
    <xf numFmtId="0" fontId="18" fillId="7" borderId="0" xfId="0" applyFont="1" applyFill="1" applyProtection="1">
      <protection locked="0" hidden="1"/>
    </xf>
    <xf numFmtId="0" fontId="17" fillId="0" borderId="48" xfId="0" applyFont="1" applyBorder="1" applyAlignment="1" applyProtection="1">
      <alignment horizontal="center" vertical="center" textRotation="90" wrapText="1"/>
      <protection hidden="1"/>
    </xf>
    <xf numFmtId="0" fontId="17" fillId="0" borderId="5" xfId="0" applyFont="1" applyBorder="1" applyAlignment="1" applyProtection="1">
      <alignment horizontal="center" vertical="center"/>
      <protection hidden="1"/>
    </xf>
    <xf numFmtId="0" fontId="32" fillId="0" borderId="53" xfId="0" applyFont="1" applyBorder="1" applyAlignment="1" applyProtection="1">
      <alignment horizontal="center" vertical="center" textRotation="90" wrapText="1"/>
      <protection hidden="1"/>
    </xf>
    <xf numFmtId="0" fontId="17" fillId="0" borderId="25" xfId="0" applyFont="1" applyBorder="1" applyAlignment="1" applyProtection="1">
      <alignment horizontal="center"/>
      <protection locked="0"/>
    </xf>
    <xf numFmtId="0" fontId="17" fillId="0" borderId="20" xfId="0" applyFont="1" applyBorder="1" applyAlignment="1" applyProtection="1">
      <alignment horizontal="center"/>
      <protection locked="0"/>
    </xf>
    <xf numFmtId="0" fontId="17" fillId="0" borderId="23" xfId="0" applyFont="1" applyBorder="1" applyProtection="1">
      <protection hidden="1"/>
    </xf>
    <xf numFmtId="0" fontId="32" fillId="0" borderId="23" xfId="0" applyFont="1" applyBorder="1" applyProtection="1">
      <protection hidden="1"/>
    </xf>
    <xf numFmtId="0" fontId="17" fillId="0" borderId="25" xfId="0" applyFont="1" applyBorder="1" applyProtection="1">
      <protection hidden="1"/>
    </xf>
    <xf numFmtId="0" fontId="17" fillId="0" borderId="22" xfId="0" applyFont="1" applyBorder="1" applyProtection="1">
      <protection hidden="1"/>
    </xf>
    <xf numFmtId="0" fontId="17" fillId="0" borderId="24" xfId="0" applyFont="1" applyBorder="1" applyAlignment="1" applyProtection="1">
      <alignment horizontal="center"/>
      <protection hidden="1"/>
    </xf>
    <xf numFmtId="0" fontId="17" fillId="2" borderId="24" xfId="0" applyFont="1" applyFill="1" applyBorder="1" applyAlignment="1" applyProtection="1">
      <alignment horizontal="center"/>
      <protection locked="0"/>
    </xf>
    <xf numFmtId="0" fontId="18" fillId="7" borderId="19" xfId="0" applyFont="1" applyFill="1" applyBorder="1" applyProtection="1">
      <protection hidden="1"/>
    </xf>
    <xf numFmtId="0" fontId="21" fillId="7" borderId="19" xfId="0" applyFont="1" applyFill="1" applyBorder="1" applyAlignment="1" applyProtection="1">
      <alignment horizontal="center"/>
      <protection locked="0"/>
    </xf>
    <xf numFmtId="0" fontId="18" fillId="7" borderId="35" xfId="0" applyFont="1" applyFill="1" applyBorder="1" applyProtection="1">
      <protection hidden="1"/>
    </xf>
    <xf numFmtId="0" fontId="17" fillId="0" borderId="42" xfId="0" applyFont="1" applyBorder="1" applyAlignment="1" applyProtection="1">
      <alignment horizontal="center"/>
      <protection hidden="1"/>
    </xf>
    <xf numFmtId="0" fontId="17" fillId="0" borderId="59" xfId="0" applyFont="1" applyBorder="1" applyAlignment="1" applyProtection="1">
      <alignment horizontal="center"/>
      <protection hidden="1"/>
    </xf>
    <xf numFmtId="0" fontId="32" fillId="0" borderId="22" xfId="0" applyFont="1" applyBorder="1" applyProtection="1">
      <protection hidden="1"/>
    </xf>
    <xf numFmtId="0" fontId="17" fillId="0" borderId="24" xfId="0" applyFont="1" applyBorder="1" applyProtection="1">
      <protection hidden="1"/>
    </xf>
    <xf numFmtId="0" fontId="17" fillId="0" borderId="20" xfId="0" applyFont="1" applyBorder="1" applyProtection="1">
      <protection hidden="1"/>
    </xf>
    <xf numFmtId="0" fontId="17" fillId="0" borderId="49" xfId="0" applyFont="1" applyBorder="1" applyProtection="1">
      <protection hidden="1"/>
    </xf>
    <xf numFmtId="0" fontId="53" fillId="0" borderId="23" xfId="0" applyFont="1" applyBorder="1" applyAlignment="1" applyProtection="1">
      <alignment horizontal="center" vertical="center"/>
      <protection locked="0"/>
    </xf>
    <xf numFmtId="0" fontId="53" fillId="2" borderId="20" xfId="0" applyFont="1" applyFill="1" applyBorder="1" applyAlignment="1" applyProtection="1">
      <alignment horizontal="center" vertical="center"/>
      <protection locked="0"/>
    </xf>
    <xf numFmtId="0" fontId="53" fillId="0" borderId="24" xfId="0" applyFont="1" applyBorder="1" applyAlignment="1" applyProtection="1">
      <alignment horizontal="center" vertical="center"/>
      <protection locked="0"/>
    </xf>
    <xf numFmtId="0" fontId="53" fillId="0" borderId="22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/>
      <protection locked="0"/>
    </xf>
    <xf numFmtId="0" fontId="17" fillId="0" borderId="22" xfId="0" applyFont="1" applyBorder="1" applyAlignment="1" applyProtection="1">
      <alignment horizontal="center"/>
      <protection locked="0"/>
    </xf>
    <xf numFmtId="0" fontId="53" fillId="0" borderId="20" xfId="0" applyFont="1" applyBorder="1" applyAlignment="1" applyProtection="1">
      <alignment horizontal="center" vertical="center"/>
      <protection locked="0"/>
    </xf>
    <xf numFmtId="0" fontId="53" fillId="7" borderId="20" xfId="0" applyFont="1" applyFill="1" applyBorder="1" applyAlignment="1" applyProtection="1">
      <alignment horizontal="center" vertical="center"/>
      <protection locked="0"/>
    </xf>
    <xf numFmtId="0" fontId="16" fillId="0" borderId="20" xfId="0" applyFont="1" applyBorder="1" applyAlignment="1" applyProtection="1">
      <alignment horizontal="center" vertical="center"/>
      <protection locked="0"/>
    </xf>
    <xf numFmtId="0" fontId="21" fillId="7" borderId="62" xfId="0" applyFont="1" applyFill="1" applyBorder="1" applyAlignment="1" applyProtection="1">
      <alignment horizontal="center"/>
      <protection locked="0"/>
    </xf>
    <xf numFmtId="0" fontId="53" fillId="0" borderId="32" xfId="0" applyFont="1" applyBorder="1" applyAlignment="1" applyProtection="1">
      <alignment horizontal="center" vertical="center"/>
      <protection locked="0"/>
    </xf>
    <xf numFmtId="0" fontId="53" fillId="0" borderId="34" xfId="0" applyFont="1" applyBorder="1" applyAlignment="1" applyProtection="1">
      <alignment horizontal="center" vertical="center"/>
      <protection locked="0"/>
    </xf>
    <xf numFmtId="0" fontId="53" fillId="2" borderId="34" xfId="0" applyFont="1" applyFill="1" applyBorder="1" applyAlignment="1" applyProtection="1">
      <alignment horizontal="center" vertical="center"/>
      <protection locked="0"/>
    </xf>
    <xf numFmtId="0" fontId="53" fillId="0" borderId="33" xfId="0" applyFont="1" applyBorder="1" applyAlignment="1" applyProtection="1">
      <alignment horizontal="center" vertical="center"/>
      <protection locked="0"/>
    </xf>
    <xf numFmtId="0" fontId="53" fillId="0" borderId="31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Protection="1">
      <protection hidden="1"/>
    </xf>
    <xf numFmtId="0" fontId="32" fillId="0" borderId="44" xfId="0" applyFont="1" applyBorder="1" applyProtection="1">
      <protection hidden="1"/>
    </xf>
    <xf numFmtId="0" fontId="32" fillId="0" borderId="21" xfId="0" applyFont="1" applyBorder="1" applyProtection="1">
      <protection hidden="1"/>
    </xf>
    <xf numFmtId="0" fontId="32" fillId="0" borderId="41" xfId="0" applyFont="1" applyBorder="1" applyProtection="1">
      <protection hidden="1"/>
    </xf>
    <xf numFmtId="0" fontId="32" fillId="0" borderId="0" xfId="0" applyFont="1" applyAlignment="1" applyProtection="1">
      <alignment horizontal="center"/>
      <protection hidden="1"/>
    </xf>
    <xf numFmtId="0" fontId="32" fillId="0" borderId="49" xfId="0" applyFont="1" applyBorder="1" applyAlignment="1" applyProtection="1">
      <alignment horizontal="center"/>
      <protection hidden="1"/>
    </xf>
    <xf numFmtId="0" fontId="32" fillId="0" borderId="50" xfId="0" applyFont="1" applyBorder="1" applyAlignment="1" applyProtection="1">
      <alignment horizontal="center"/>
      <protection hidden="1"/>
    </xf>
    <xf numFmtId="0" fontId="53" fillId="0" borderId="38" xfId="0" applyFont="1" applyBorder="1" applyAlignment="1" applyProtection="1">
      <alignment horizontal="center" vertical="center"/>
      <protection locked="0"/>
    </xf>
    <xf numFmtId="0" fontId="53" fillId="2" borderId="38" xfId="0" applyFont="1" applyFill="1" applyBorder="1" applyAlignment="1" applyProtection="1">
      <alignment horizontal="center" vertical="center"/>
      <protection locked="0"/>
    </xf>
    <xf numFmtId="0" fontId="53" fillId="18" borderId="20" xfId="0" applyFont="1" applyFill="1" applyBorder="1" applyAlignment="1" applyProtection="1">
      <alignment horizontal="center" vertical="center"/>
      <protection locked="0"/>
    </xf>
    <xf numFmtId="0" fontId="16" fillId="2" borderId="20" xfId="0" applyFont="1" applyFill="1" applyBorder="1" applyAlignment="1" applyProtection="1">
      <alignment horizontal="center" vertical="center"/>
      <protection locked="0"/>
    </xf>
    <xf numFmtId="0" fontId="17" fillId="7" borderId="0" xfId="5" applyFont="1" applyFill="1" applyProtection="1">
      <protection hidden="1"/>
    </xf>
    <xf numFmtId="0" fontId="21" fillId="2" borderId="0" xfId="5" applyFont="1" applyFill="1" applyAlignment="1" applyProtection="1">
      <alignment vertical="center" wrapText="1"/>
      <protection hidden="1"/>
    </xf>
    <xf numFmtId="0" fontId="21" fillId="2" borderId="0" xfId="5" applyFont="1" applyFill="1" applyAlignment="1" applyProtection="1">
      <alignment vertical="top" wrapText="1"/>
      <protection hidden="1"/>
    </xf>
    <xf numFmtId="0" fontId="32" fillId="7" borderId="5" xfId="5" applyFont="1" applyFill="1" applyBorder="1" applyAlignment="1" applyProtection="1">
      <alignment horizontal="right"/>
      <protection hidden="1"/>
    </xf>
    <xf numFmtId="0" fontId="32" fillId="7" borderId="5" xfId="5" applyFont="1" applyFill="1" applyBorder="1" applyAlignment="1" applyProtection="1">
      <alignment horizontal="right" vertical="center"/>
      <protection hidden="1"/>
    </xf>
    <xf numFmtId="0" fontId="21" fillId="7" borderId="0" xfId="5" applyFont="1" applyFill="1" applyAlignment="1" applyProtection="1">
      <alignment wrapText="1"/>
      <protection hidden="1"/>
    </xf>
    <xf numFmtId="0" fontId="32" fillId="7" borderId="5" xfId="5" applyFont="1" applyFill="1" applyBorder="1" applyAlignment="1" applyProtection="1">
      <alignment horizontal="right" vertical="top"/>
      <protection hidden="1"/>
    </xf>
    <xf numFmtId="0" fontId="22" fillId="7" borderId="5" xfId="5" applyFont="1" applyFill="1" applyBorder="1" applyAlignment="1" applyProtection="1">
      <alignment horizontal="right" vertical="top"/>
      <protection hidden="1"/>
    </xf>
    <xf numFmtId="0" fontId="17" fillId="7" borderId="1" xfId="5" applyFont="1" applyFill="1" applyBorder="1" applyProtection="1">
      <protection hidden="1"/>
    </xf>
    <xf numFmtId="0" fontId="17" fillId="7" borderId="8" xfId="5" applyFont="1" applyFill="1" applyBorder="1" applyProtection="1">
      <protection hidden="1"/>
    </xf>
    <xf numFmtId="0" fontId="32" fillId="7" borderId="0" xfId="5" applyFont="1" applyFill="1" applyProtection="1">
      <protection hidden="1"/>
    </xf>
    <xf numFmtId="0" fontId="17" fillId="0" borderId="0" xfId="5" applyFont="1"/>
    <xf numFmtId="0" fontId="18" fillId="2" borderId="41" xfId="0" applyFont="1" applyFill="1" applyBorder="1" applyAlignment="1">
      <alignment horizontal="center" vertical="center"/>
    </xf>
    <xf numFmtId="0" fontId="19" fillId="13" borderId="70" xfId="0" applyFont="1" applyFill="1" applyBorder="1" applyAlignment="1" applyProtection="1">
      <alignment vertical="center"/>
      <protection hidden="1"/>
    </xf>
    <xf numFmtId="0" fontId="17" fillId="0" borderId="38" xfId="0" applyFont="1" applyBorder="1" applyAlignment="1" applyProtection="1">
      <alignment horizontal="center" vertical="center" textRotation="90" wrapText="1"/>
      <protection hidden="1"/>
    </xf>
    <xf numFmtId="0" fontId="27" fillId="2" borderId="10" xfId="0" applyFont="1" applyFill="1" applyBorder="1" applyAlignment="1" applyProtection="1">
      <alignment vertical="center"/>
      <protection hidden="1"/>
    </xf>
    <xf numFmtId="0" fontId="17" fillId="2" borderId="23" xfId="0" applyFont="1" applyFill="1" applyBorder="1" applyAlignment="1" applyProtection="1">
      <alignment horizontal="center"/>
      <protection locked="0"/>
    </xf>
    <xf numFmtId="0" fontId="17" fillId="2" borderId="22" xfId="0" applyFont="1" applyFill="1" applyBorder="1" applyAlignment="1" applyProtection="1">
      <alignment horizontal="center"/>
      <protection locked="0"/>
    </xf>
    <xf numFmtId="1" fontId="19" fillId="0" borderId="0" xfId="0" applyNumberFormat="1" applyFont="1" applyProtection="1"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 textRotation="90" wrapText="1"/>
      <protection hidden="1"/>
    </xf>
    <xf numFmtId="0" fontId="17" fillId="0" borderId="0" xfId="0" applyFont="1" applyAlignment="1" applyProtection="1">
      <alignment horizontal="center"/>
      <protection locked="0"/>
    </xf>
    <xf numFmtId="0" fontId="28" fillId="2" borderId="41" xfId="0" applyFont="1" applyFill="1" applyBorder="1" applyAlignment="1" applyProtection="1">
      <alignment vertical="center"/>
      <protection hidden="1"/>
    </xf>
    <xf numFmtId="20" fontId="29" fillId="0" borderId="0" xfId="0" applyNumberFormat="1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vertical="center"/>
      <protection hidden="1"/>
    </xf>
    <xf numFmtId="0" fontId="19" fillId="13" borderId="14" xfId="0" applyFont="1" applyFill="1" applyBorder="1" applyAlignment="1" applyProtection="1">
      <alignment horizontal="center" vertical="center"/>
      <protection hidden="1"/>
    </xf>
    <xf numFmtId="0" fontId="28" fillId="2" borderId="20" xfId="0" applyFont="1" applyFill="1" applyBorder="1" applyAlignment="1" applyProtection="1">
      <alignment horizontal="center" vertical="center" wrapText="1"/>
      <protection locked="0"/>
    </xf>
    <xf numFmtId="0" fontId="28" fillId="16" borderId="11" xfId="0" applyFont="1" applyFill="1" applyBorder="1" applyAlignment="1" applyProtection="1">
      <alignment vertical="center"/>
      <protection hidden="1"/>
    </xf>
    <xf numFmtId="0" fontId="19" fillId="2" borderId="21" xfId="0" applyFont="1" applyFill="1" applyBorder="1" applyAlignment="1" applyProtection="1">
      <alignment vertical="center"/>
      <protection hidden="1"/>
    </xf>
    <xf numFmtId="0" fontId="19" fillId="0" borderId="9" xfId="0" applyFont="1" applyBorder="1" applyProtection="1">
      <protection hidden="1"/>
    </xf>
    <xf numFmtId="0" fontId="19" fillId="16" borderId="9" xfId="0" applyFont="1" applyFill="1" applyBorder="1" applyAlignment="1" applyProtection="1">
      <alignment vertical="center"/>
      <protection hidden="1"/>
    </xf>
    <xf numFmtId="0" fontId="62" fillId="5" borderId="3" xfId="0" applyFont="1" applyFill="1" applyBorder="1" applyAlignment="1" applyProtection="1">
      <alignment vertical="center"/>
      <protection hidden="1"/>
    </xf>
    <xf numFmtId="0" fontId="62" fillId="5" borderId="1" xfId="0" applyFont="1" applyFill="1" applyBorder="1" applyAlignment="1" applyProtection="1">
      <alignment vertical="center"/>
      <protection hidden="1"/>
    </xf>
    <xf numFmtId="0" fontId="64" fillId="5" borderId="10" xfId="0" applyFont="1" applyFill="1" applyBorder="1" applyAlignment="1" applyProtection="1">
      <alignment vertical="center"/>
      <protection hidden="1"/>
    </xf>
    <xf numFmtId="0" fontId="56" fillId="17" borderId="23" xfId="0" applyFont="1" applyFill="1" applyBorder="1" applyAlignment="1">
      <alignment horizontal="center" vertical="center"/>
    </xf>
    <xf numFmtId="0" fontId="57" fillId="0" borderId="23" xfId="0" applyFont="1" applyBorder="1" applyAlignment="1">
      <alignment vertical="center" wrapText="1"/>
    </xf>
    <xf numFmtId="0" fontId="57" fillId="0" borderId="23" xfId="0" applyFont="1" applyBorder="1" applyAlignment="1">
      <alignment horizontal="right" vertical="center" wrapText="1"/>
    </xf>
    <xf numFmtId="0" fontId="66" fillId="20" borderId="0" xfId="0" applyFont="1" applyFill="1" applyAlignment="1">
      <alignment vertical="center"/>
    </xf>
    <xf numFmtId="0" fontId="67" fillId="20" borderId="0" xfId="0" applyFont="1" applyFill="1" applyAlignment="1">
      <alignment vertical="center" wrapText="1"/>
    </xf>
    <xf numFmtId="0" fontId="66" fillId="20" borderId="1" xfId="0" applyFont="1" applyFill="1" applyBorder="1" applyAlignment="1">
      <alignment vertical="center"/>
    </xf>
    <xf numFmtId="0" fontId="66" fillId="20" borderId="12" xfId="0" applyFont="1" applyFill="1" applyBorder="1" applyAlignment="1">
      <alignment vertical="center"/>
    </xf>
    <xf numFmtId="0" fontId="67" fillId="20" borderId="12" xfId="0" applyFont="1" applyFill="1" applyBorder="1" applyAlignment="1">
      <alignment vertical="center" wrapText="1"/>
    </xf>
    <xf numFmtId="0" fontId="32" fillId="7" borderId="2" xfId="5" applyFont="1" applyFill="1" applyBorder="1" applyProtection="1">
      <protection hidden="1"/>
    </xf>
    <xf numFmtId="0" fontId="32" fillId="7" borderId="5" xfId="5" applyFont="1" applyFill="1" applyBorder="1" applyProtection="1">
      <protection hidden="1"/>
    </xf>
    <xf numFmtId="0" fontId="32" fillId="7" borderId="7" xfId="5" applyFont="1" applyFill="1" applyBorder="1" applyProtection="1">
      <protection hidden="1"/>
    </xf>
    <xf numFmtId="0" fontId="59" fillId="7" borderId="0" xfId="0" applyFont="1" applyFill="1" applyProtection="1">
      <protection hidden="1"/>
    </xf>
    <xf numFmtId="0" fontId="59" fillId="0" borderId="0" xfId="0" applyFont="1" applyProtection="1">
      <protection hidden="1"/>
    </xf>
    <xf numFmtId="0" fontId="55" fillId="0" borderId="0" xfId="5"/>
    <xf numFmtId="0" fontId="55" fillId="3" borderId="0" xfId="5" applyFill="1"/>
    <xf numFmtId="0" fontId="4" fillId="3" borderId="0" xfId="2" applyFill="1" applyAlignment="1" applyProtection="1"/>
    <xf numFmtId="0" fontId="4" fillId="3" borderId="0" xfId="2" applyFill="1" applyAlignment="1" applyProtection="1">
      <alignment vertical="center"/>
    </xf>
    <xf numFmtId="0" fontId="55" fillId="3" borderId="0" xfId="5" applyFill="1" applyAlignment="1">
      <alignment horizontal="left"/>
    </xf>
    <xf numFmtId="14" fontId="57" fillId="0" borderId="23" xfId="0" applyNumberFormat="1" applyFont="1" applyBorder="1" applyAlignment="1">
      <alignment horizontal="right" vertical="center" wrapText="1"/>
    </xf>
    <xf numFmtId="171" fontId="57" fillId="0" borderId="23" xfId="0" applyNumberFormat="1" applyFont="1" applyBorder="1" applyAlignment="1">
      <alignment horizontal="right" vertical="center" wrapText="1"/>
    </xf>
    <xf numFmtId="0" fontId="19" fillId="0" borderId="0" xfId="0" applyFont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58" fillId="0" borderId="0" xfId="0" quotePrefix="1" applyFont="1" applyAlignment="1">
      <alignment horizontal="left"/>
    </xf>
    <xf numFmtId="0" fontId="19" fillId="0" borderId="0" xfId="0" applyFont="1" applyAlignment="1" applyProtection="1">
      <alignment horizontal="left"/>
      <protection hidden="1"/>
    </xf>
    <xf numFmtId="0" fontId="17" fillId="0" borderId="0" xfId="0" applyFont="1" applyAlignment="1" applyProtection="1">
      <alignment horizontal="left"/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19" fillId="19" borderId="0" xfId="0" applyFont="1" applyFill="1" applyAlignment="1" applyProtection="1">
      <alignment horizontal="left" vertical="center" wrapText="1"/>
      <protection hidden="1"/>
    </xf>
    <xf numFmtId="0" fontId="17" fillId="0" borderId="0" xfId="0" applyFont="1" applyAlignment="1">
      <alignment horizontal="left"/>
    </xf>
    <xf numFmtId="1" fontId="17" fillId="0" borderId="0" xfId="0" applyNumberFormat="1" applyFont="1" applyAlignment="1">
      <alignment horizontal="left"/>
    </xf>
    <xf numFmtId="0" fontId="58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>
      <alignment horizontal="left"/>
    </xf>
    <xf numFmtId="165" fontId="58" fillId="0" borderId="0" xfId="0" applyNumberFormat="1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 wrapText="1"/>
      <protection locked="0"/>
    </xf>
    <xf numFmtId="0" fontId="71" fillId="13" borderId="0" xfId="0" applyFont="1" applyFill="1" applyAlignment="1" applyProtection="1">
      <alignment textRotation="90" wrapText="1"/>
      <protection hidden="1"/>
    </xf>
    <xf numFmtId="0" fontId="71" fillId="13" borderId="0" xfId="0" applyFont="1" applyFill="1" applyAlignment="1" applyProtection="1">
      <alignment horizontal="center"/>
      <protection hidden="1"/>
    </xf>
    <xf numFmtId="0" fontId="71" fillId="13" borderId="0" xfId="0" applyFont="1" applyFill="1" applyProtection="1">
      <protection hidden="1"/>
    </xf>
    <xf numFmtId="0" fontId="72" fillId="13" borderId="0" xfId="0" applyFont="1" applyFill="1" applyAlignment="1" applyProtection="1">
      <alignment horizontal="center"/>
      <protection hidden="1"/>
    </xf>
    <xf numFmtId="0" fontId="71" fillId="13" borderId="5" xfId="0" applyFont="1" applyFill="1" applyBorder="1" applyAlignment="1" applyProtection="1">
      <alignment horizontal="center" vertical="center" textRotation="90" wrapText="1"/>
      <protection hidden="1"/>
    </xf>
    <xf numFmtId="0" fontId="71" fillId="13" borderId="5" xfId="0" applyFont="1" applyFill="1" applyBorder="1" applyAlignment="1" applyProtection="1">
      <alignment horizontal="center"/>
      <protection hidden="1"/>
    </xf>
    <xf numFmtId="0" fontId="71" fillId="13" borderId="6" xfId="0" applyFont="1" applyFill="1" applyBorder="1" applyProtection="1">
      <protection hidden="1"/>
    </xf>
    <xf numFmtId="0" fontId="71" fillId="13" borderId="5" xfId="0" applyFont="1" applyFill="1" applyBorder="1" applyAlignment="1" applyProtection="1">
      <alignment horizontal="center"/>
      <protection locked="0"/>
    </xf>
    <xf numFmtId="0" fontId="72" fillId="13" borderId="5" xfId="0" applyFont="1" applyFill="1" applyBorder="1" applyAlignment="1" applyProtection="1">
      <alignment horizontal="center" vertical="center"/>
      <protection hidden="1"/>
    </xf>
    <xf numFmtId="3" fontId="71" fillId="13" borderId="7" xfId="0" applyNumberFormat="1" applyFont="1" applyFill="1" applyBorder="1" applyAlignment="1" applyProtection="1">
      <alignment horizontal="center" vertical="center"/>
      <protection hidden="1"/>
    </xf>
    <xf numFmtId="3" fontId="71" fillId="13" borderId="1" xfId="0" applyNumberFormat="1" applyFont="1" applyFill="1" applyBorder="1" applyProtection="1">
      <protection hidden="1"/>
    </xf>
    <xf numFmtId="0" fontId="73" fillId="0" borderId="53" xfId="0" applyFont="1" applyBorder="1" applyAlignment="1" applyProtection="1">
      <alignment horizontal="center" vertical="center" textRotation="90" wrapText="1"/>
      <protection hidden="1"/>
    </xf>
    <xf numFmtId="0" fontId="73" fillId="0" borderId="54" xfId="0" applyFont="1" applyBorder="1" applyAlignment="1" applyProtection="1">
      <alignment vertical="center" textRotation="90" wrapText="1"/>
      <protection hidden="1"/>
    </xf>
    <xf numFmtId="0" fontId="73" fillId="0" borderId="54" xfId="0" applyFont="1" applyBorder="1" applyAlignment="1" applyProtection="1">
      <alignment horizontal="center" vertical="center" textRotation="90" wrapText="1"/>
      <protection hidden="1"/>
    </xf>
    <xf numFmtId="0" fontId="73" fillId="0" borderId="55" xfId="0" applyFont="1" applyBorder="1" applyAlignment="1" applyProtection="1">
      <alignment horizontal="center" vertical="center" textRotation="90" wrapText="1"/>
      <protection hidden="1"/>
    </xf>
    <xf numFmtId="0" fontId="32" fillId="0" borderId="12" xfId="0" applyFont="1" applyBorder="1" applyAlignment="1" applyProtection="1">
      <alignment horizontal="center" vertical="center"/>
      <protection hidden="1"/>
    </xf>
    <xf numFmtId="0" fontId="53" fillId="7" borderId="24" xfId="0" applyFont="1" applyFill="1" applyBorder="1" applyAlignment="1" applyProtection="1">
      <alignment horizontal="center" vertical="center"/>
      <protection locked="0"/>
    </xf>
    <xf numFmtId="0" fontId="53" fillId="7" borderId="23" xfId="0" applyFont="1" applyFill="1" applyBorder="1" applyAlignment="1" applyProtection="1">
      <alignment horizontal="center" vertical="center"/>
      <protection locked="0"/>
    </xf>
    <xf numFmtId="0" fontId="17" fillId="7" borderId="22" xfId="0" applyFont="1" applyFill="1" applyBorder="1" applyAlignment="1" applyProtection="1">
      <alignment horizontal="center"/>
      <protection locked="0"/>
    </xf>
    <xf numFmtId="0" fontId="17" fillId="7" borderId="23" xfId="0" applyFont="1" applyFill="1" applyBorder="1" applyAlignment="1" applyProtection="1">
      <alignment horizontal="center"/>
      <protection locked="0"/>
    </xf>
    <xf numFmtId="0" fontId="17" fillId="7" borderId="0" xfId="0" applyFont="1" applyFill="1" applyAlignment="1" applyProtection="1">
      <alignment horizontal="center"/>
      <protection locked="0"/>
    </xf>
    <xf numFmtId="0" fontId="17" fillId="7" borderId="23" xfId="0" applyFont="1" applyFill="1" applyBorder="1" applyAlignment="1" applyProtection="1">
      <alignment horizontal="center" vertical="center" wrapText="1"/>
      <protection hidden="1"/>
    </xf>
    <xf numFmtId="3" fontId="19" fillId="7" borderId="0" xfId="0" applyNumberFormat="1" applyFont="1" applyFill="1" applyAlignment="1" applyProtection="1">
      <alignment horizontal="center"/>
      <protection hidden="1"/>
    </xf>
    <xf numFmtId="0" fontId="17" fillId="7" borderId="0" xfId="0" applyFont="1" applyFill="1" applyAlignment="1">
      <alignment horizontal="left"/>
    </xf>
    <xf numFmtId="0" fontId="58" fillId="7" borderId="0" xfId="0" applyFont="1" applyFill="1" applyAlignment="1" applyProtection="1">
      <alignment vertical="center"/>
      <protection hidden="1"/>
    </xf>
    <xf numFmtId="0" fontId="0" fillId="7" borderId="0" xfId="0" applyFill="1" applyProtection="1">
      <protection hidden="1"/>
    </xf>
    <xf numFmtId="0" fontId="53" fillId="7" borderId="22" xfId="0" applyFont="1" applyFill="1" applyBorder="1" applyAlignment="1" applyProtection="1">
      <alignment horizontal="center" vertical="center"/>
      <protection locked="0"/>
    </xf>
    <xf numFmtId="0" fontId="19" fillId="7" borderId="23" xfId="0" applyFont="1" applyFill="1" applyBorder="1" applyAlignment="1" applyProtection="1">
      <alignment horizontal="center"/>
      <protection hidden="1"/>
    </xf>
    <xf numFmtId="0" fontId="26" fillId="7" borderId="0" xfId="0" applyFont="1" applyFill="1" applyProtection="1">
      <protection hidden="1"/>
    </xf>
    <xf numFmtId="1" fontId="17" fillId="7" borderId="0" xfId="0" applyNumberFormat="1" applyFont="1" applyFill="1" applyAlignment="1">
      <alignment horizontal="left"/>
    </xf>
    <xf numFmtId="0" fontId="58" fillId="7" borderId="0" xfId="0" applyFont="1" applyFill="1" applyAlignment="1" applyProtection="1">
      <alignment horizontal="left" vertical="center"/>
      <protection hidden="1"/>
    </xf>
    <xf numFmtId="0" fontId="58" fillId="7" borderId="0" xfId="0" applyFont="1" applyFill="1" applyAlignment="1">
      <alignment horizontal="left"/>
    </xf>
    <xf numFmtId="16" fontId="32" fillId="0" borderId="36" xfId="0" applyNumberFormat="1" applyFont="1" applyBorder="1" applyAlignment="1" applyProtection="1">
      <alignment horizontal="center" vertical="center"/>
      <protection hidden="1"/>
    </xf>
    <xf numFmtId="167" fontId="27" fillId="0" borderId="7" xfId="0" applyNumberFormat="1" applyFont="1" applyBorder="1" applyAlignment="1" applyProtection="1">
      <alignment vertical="center"/>
      <protection hidden="1"/>
    </xf>
    <xf numFmtId="0" fontId="27" fillId="0" borderId="69" xfId="0" applyFont="1" applyBorder="1" applyAlignment="1" applyProtection="1">
      <alignment horizontal="center" vertical="center"/>
      <protection hidden="1"/>
    </xf>
    <xf numFmtId="0" fontId="27" fillId="0" borderId="19" xfId="0" applyFont="1" applyBorder="1" applyAlignment="1" applyProtection="1">
      <alignment horizontal="center" vertical="center"/>
      <protection hidden="1"/>
    </xf>
    <xf numFmtId="0" fontId="27" fillId="7" borderId="19" xfId="0" applyFont="1" applyFill="1" applyBorder="1" applyAlignment="1" applyProtection="1">
      <alignment horizontal="center" vertical="center"/>
      <protection hidden="1"/>
    </xf>
    <xf numFmtId="0" fontId="21" fillId="0" borderId="19" xfId="0" applyFont="1" applyBorder="1" applyAlignment="1" applyProtection="1">
      <alignment horizontal="center" vertical="center"/>
      <protection hidden="1"/>
    </xf>
    <xf numFmtId="0" fontId="27" fillId="0" borderId="72" xfId="0" applyFont="1" applyBorder="1" applyAlignment="1" applyProtection="1">
      <alignment horizontal="center" vertical="center"/>
      <protection hidden="1"/>
    </xf>
    <xf numFmtId="0" fontId="27" fillId="8" borderId="7" xfId="0" applyFont="1" applyFill="1" applyBorder="1" applyAlignment="1" applyProtection="1">
      <alignment vertical="center"/>
      <protection hidden="1"/>
    </xf>
    <xf numFmtId="0" fontId="27" fillId="8" borderId="1" xfId="0" applyFont="1" applyFill="1" applyBorder="1" applyAlignment="1" applyProtection="1">
      <alignment vertical="center"/>
      <protection hidden="1"/>
    </xf>
    <xf numFmtId="0" fontId="27" fillId="8" borderId="8" xfId="0" applyFont="1" applyFill="1" applyBorder="1" applyAlignment="1" applyProtection="1">
      <alignment vertical="center"/>
      <protection hidden="1"/>
    </xf>
    <xf numFmtId="0" fontId="19" fillId="2" borderId="7" xfId="0" applyFont="1" applyFill="1" applyBorder="1" applyAlignment="1" applyProtection="1">
      <alignment vertical="center"/>
      <protection hidden="1"/>
    </xf>
    <xf numFmtId="0" fontId="28" fillId="16" borderId="10" xfId="0" applyFont="1" applyFill="1" applyBorder="1" applyAlignment="1" applyProtection="1">
      <alignment horizontal="center" vertical="center"/>
      <protection hidden="1"/>
    </xf>
    <xf numFmtId="0" fontId="35" fillId="0" borderId="0" xfId="0" applyFont="1" applyAlignment="1" applyProtection="1">
      <alignment horizontal="left"/>
      <protection hidden="1"/>
    </xf>
    <xf numFmtId="0" fontId="52" fillId="2" borderId="23" xfId="0" applyFont="1" applyFill="1" applyBorder="1" applyAlignment="1" applyProtection="1">
      <alignment horizontal="center" vertical="center"/>
      <protection locked="0"/>
    </xf>
    <xf numFmtId="0" fontId="52" fillId="2" borderId="24" xfId="0" applyFont="1" applyFill="1" applyBorder="1" applyAlignment="1" applyProtection="1">
      <alignment horizontal="center" vertical="center"/>
      <protection locked="0"/>
    </xf>
    <xf numFmtId="0" fontId="52" fillId="0" borderId="23" xfId="0" applyFont="1" applyBorder="1" applyAlignment="1" applyProtection="1">
      <alignment horizontal="center" vertical="center"/>
      <protection locked="0"/>
    </xf>
    <xf numFmtId="0" fontId="79" fillId="0" borderId="23" xfId="0" applyFont="1" applyBorder="1" applyAlignment="1" applyProtection="1">
      <alignment horizontal="center"/>
      <protection locked="0"/>
    </xf>
    <xf numFmtId="0" fontId="52" fillId="0" borderId="20" xfId="0" applyFont="1" applyBorder="1" applyAlignment="1" applyProtection="1">
      <alignment horizontal="center" vertical="center"/>
      <protection locked="0"/>
    </xf>
    <xf numFmtId="0" fontId="52" fillId="2" borderId="20" xfId="0" applyFont="1" applyFill="1" applyBorder="1" applyAlignment="1" applyProtection="1">
      <alignment horizontal="center" vertical="center"/>
      <protection locked="0"/>
    </xf>
    <xf numFmtId="0" fontId="52" fillId="0" borderId="24" xfId="0" applyFont="1" applyBorder="1" applyAlignment="1" applyProtection="1">
      <alignment horizontal="center" vertical="center"/>
      <protection locked="0"/>
    </xf>
    <xf numFmtId="0" fontId="52" fillId="7" borderId="20" xfId="0" applyFont="1" applyFill="1" applyBorder="1" applyAlignment="1" applyProtection="1">
      <alignment horizontal="center" vertical="center"/>
      <protection locked="0"/>
    </xf>
    <xf numFmtId="0" fontId="80" fillId="2" borderId="23" xfId="0" applyFont="1" applyFill="1" applyBorder="1" applyAlignment="1" applyProtection="1">
      <alignment horizontal="center" vertical="center"/>
      <protection locked="0"/>
    </xf>
    <xf numFmtId="0" fontId="80" fillId="0" borderId="23" xfId="0" applyFont="1" applyBorder="1" applyAlignment="1" applyProtection="1">
      <alignment horizontal="center" vertical="center"/>
      <protection locked="0"/>
    </xf>
    <xf numFmtId="0" fontId="80" fillId="2" borderId="24" xfId="0" applyFont="1" applyFill="1" applyBorder="1" applyAlignment="1" applyProtection="1">
      <alignment horizontal="center" vertical="center"/>
      <protection locked="0"/>
    </xf>
    <xf numFmtId="0" fontId="80" fillId="2" borderId="20" xfId="0" applyFont="1" applyFill="1" applyBorder="1" applyAlignment="1" applyProtection="1">
      <alignment horizontal="center" vertical="center"/>
      <protection locked="0"/>
    </xf>
    <xf numFmtId="0" fontId="81" fillId="2" borderId="23" xfId="0" applyFont="1" applyFill="1" applyBorder="1" applyAlignment="1" applyProtection="1">
      <alignment horizontal="center" vertical="center"/>
      <protection locked="0"/>
    </xf>
    <xf numFmtId="0" fontId="44" fillId="2" borderId="23" xfId="0" applyFont="1" applyFill="1" applyBorder="1" applyAlignment="1" applyProtection="1">
      <alignment horizontal="center" vertical="center"/>
      <protection locked="0"/>
    </xf>
    <xf numFmtId="0" fontId="44" fillId="2" borderId="24" xfId="0" applyFont="1" applyFill="1" applyBorder="1" applyAlignment="1" applyProtection="1">
      <alignment horizontal="center" vertic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52" fillId="2" borderId="32" xfId="0" applyFont="1" applyFill="1" applyBorder="1" applyAlignment="1" applyProtection="1">
      <alignment horizontal="center" vertical="center"/>
      <protection locked="0"/>
    </xf>
    <xf numFmtId="0" fontId="52" fillId="2" borderId="33" xfId="0" applyFont="1" applyFill="1" applyBorder="1" applyAlignment="1" applyProtection="1">
      <alignment horizontal="center" vertical="center"/>
      <protection locked="0"/>
    </xf>
    <xf numFmtId="0" fontId="52" fillId="0" borderId="32" xfId="0" applyFont="1" applyBorder="1" applyAlignment="1" applyProtection="1">
      <alignment horizontal="center" vertical="center"/>
      <protection locked="0"/>
    </xf>
    <xf numFmtId="0" fontId="79" fillId="0" borderId="32" xfId="0" applyFont="1" applyBorder="1" applyAlignment="1" applyProtection="1">
      <alignment horizontal="center"/>
      <protection locked="0"/>
    </xf>
    <xf numFmtId="0" fontId="52" fillId="0" borderId="34" xfId="0" applyFont="1" applyBorder="1" applyAlignment="1" applyProtection="1">
      <alignment horizontal="center" vertical="center"/>
      <protection locked="0"/>
    </xf>
    <xf numFmtId="0" fontId="52" fillId="2" borderId="34" xfId="0" applyFont="1" applyFill="1" applyBorder="1" applyAlignment="1" applyProtection="1">
      <alignment horizontal="center" vertical="center"/>
      <protection locked="0"/>
    </xf>
    <xf numFmtId="0" fontId="52" fillId="0" borderId="33" xfId="0" applyFont="1" applyBorder="1" applyAlignment="1" applyProtection="1">
      <alignment horizontal="center" vertical="center"/>
      <protection locked="0"/>
    </xf>
    <xf numFmtId="17" fontId="17" fillId="0" borderId="0" xfId="0" applyNumberFormat="1" applyFont="1" applyProtection="1">
      <protection hidden="1"/>
    </xf>
    <xf numFmtId="0" fontId="21" fillId="0" borderId="23" xfId="0" applyFont="1" applyBorder="1" applyAlignment="1" applyProtection="1">
      <alignment horizontal="center" vertical="center"/>
      <protection hidden="1"/>
    </xf>
    <xf numFmtId="0" fontId="19" fillId="0" borderId="23" xfId="0" applyFont="1" applyBorder="1" applyProtection="1">
      <protection hidden="1"/>
    </xf>
    <xf numFmtId="0" fontId="21" fillId="7" borderId="19" xfId="0" applyFont="1" applyFill="1" applyBorder="1" applyAlignment="1" applyProtection="1">
      <alignment horizontal="center" vertical="center"/>
      <protection hidden="1"/>
    </xf>
    <xf numFmtId="0" fontId="58" fillId="0" borderId="0" xfId="0" applyFont="1" applyAlignment="1" applyProtection="1">
      <alignment horizontal="left"/>
      <protection hidden="1"/>
    </xf>
    <xf numFmtId="0" fontId="70" fillId="0" borderId="0" xfId="2" applyFont="1" applyFill="1" applyBorder="1" applyAlignment="1" applyProtection="1">
      <alignment horizontal="left"/>
      <protection hidden="1"/>
    </xf>
    <xf numFmtId="0" fontId="82" fillId="0" borderId="0" xfId="2" applyFont="1" applyFill="1" applyBorder="1" applyAlignment="1" applyProtection="1">
      <alignment horizontal="left"/>
      <protection hidden="1"/>
    </xf>
    <xf numFmtId="0" fontId="83" fillId="0" borderId="0" xfId="0" applyFont="1" applyAlignment="1">
      <alignment horizontal="left"/>
    </xf>
    <xf numFmtId="0" fontId="82" fillId="0" borderId="0" xfId="2" applyFont="1" applyAlignment="1" applyProtection="1">
      <alignment horizontal="left"/>
    </xf>
    <xf numFmtId="0" fontId="83" fillId="0" borderId="0" xfId="0" applyFont="1" applyAlignment="1" applyProtection="1">
      <alignment horizontal="left"/>
      <protection hidden="1"/>
    </xf>
    <xf numFmtId="1" fontId="58" fillId="0" borderId="0" xfId="0" applyNumberFormat="1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 wrapText="1"/>
      <protection hidden="1"/>
    </xf>
    <xf numFmtId="0" fontId="82" fillId="0" borderId="0" xfId="2" applyFont="1" applyFill="1" applyBorder="1" applyAlignment="1" applyProtection="1">
      <alignment horizontal="left" vertical="center" wrapText="1"/>
      <protection hidden="1"/>
    </xf>
    <xf numFmtId="0" fontId="82" fillId="0" borderId="0" xfId="2" applyFont="1" applyBorder="1" applyAlignment="1" applyProtection="1">
      <alignment horizontal="left"/>
    </xf>
    <xf numFmtId="0" fontId="58" fillId="0" borderId="76" xfId="0" applyFont="1" applyBorder="1" applyAlignment="1">
      <alignment horizontal="left"/>
    </xf>
    <xf numFmtId="0" fontId="58" fillId="0" borderId="23" xfId="0" applyFont="1" applyBorder="1" applyAlignment="1">
      <alignment horizontal="left"/>
    </xf>
    <xf numFmtId="0" fontId="58" fillId="7" borderId="0" xfId="0" applyFont="1" applyFill="1" applyAlignment="1" applyProtection="1">
      <alignment horizontal="left"/>
      <protection hidden="1"/>
    </xf>
    <xf numFmtId="0" fontId="58" fillId="7" borderId="0" xfId="0" applyFont="1" applyFill="1" applyAlignment="1" applyProtection="1">
      <alignment horizontal="left" vertical="top"/>
      <protection hidden="1"/>
    </xf>
    <xf numFmtId="165" fontId="58" fillId="7" borderId="0" xfId="0" applyNumberFormat="1" applyFont="1" applyFill="1" applyAlignment="1" applyProtection="1">
      <alignment horizontal="left"/>
      <protection hidden="1"/>
    </xf>
    <xf numFmtId="0" fontId="58" fillId="0" borderId="0" xfId="0" applyFont="1" applyAlignment="1" applyProtection="1">
      <alignment horizontal="left" vertical="top"/>
      <protection hidden="1"/>
    </xf>
    <xf numFmtId="165" fontId="58" fillId="0" borderId="0" xfId="0" applyNumberFormat="1" applyFont="1" applyAlignment="1" applyProtection="1">
      <alignment horizontal="left"/>
      <protection hidden="1"/>
    </xf>
    <xf numFmtId="0" fontId="58" fillId="0" borderId="0" xfId="0" quotePrefix="1" applyFont="1" applyAlignment="1" applyProtection="1">
      <alignment horizontal="left" vertical="center"/>
      <protection hidden="1"/>
    </xf>
    <xf numFmtId="0" fontId="58" fillId="19" borderId="0" xfId="0" applyFont="1" applyFill="1" applyAlignment="1" applyProtection="1">
      <alignment horizontal="left" vertical="center"/>
      <protection hidden="1"/>
    </xf>
    <xf numFmtId="0" fontId="58" fillId="19" borderId="0" xfId="0" applyFont="1" applyFill="1" applyAlignment="1" applyProtection="1">
      <alignment horizontal="left" vertical="center" wrapText="1"/>
      <protection hidden="1"/>
    </xf>
    <xf numFmtId="165" fontId="58" fillId="19" borderId="0" xfId="0" applyNumberFormat="1" applyFont="1" applyFill="1" applyAlignment="1" applyProtection="1">
      <alignment horizontal="left" vertical="center"/>
      <protection hidden="1"/>
    </xf>
    <xf numFmtId="0" fontId="58" fillId="19" borderId="0" xfId="0" quotePrefix="1" applyFont="1" applyFill="1" applyAlignment="1" applyProtection="1">
      <alignment horizontal="left" vertical="center"/>
      <protection hidden="1"/>
    </xf>
    <xf numFmtId="1" fontId="58" fillId="0" borderId="0" xfId="0" applyNumberFormat="1" applyFont="1" applyAlignment="1">
      <alignment horizontal="left"/>
    </xf>
    <xf numFmtId="0" fontId="58" fillId="0" borderId="0" xfId="0" applyFont="1" applyAlignment="1" applyProtection="1">
      <alignment horizontal="left" vertical="center" wrapText="1"/>
      <protection locked="0" hidden="1"/>
    </xf>
    <xf numFmtId="0" fontId="84" fillId="0" borderId="0" xfId="0" applyFont="1" applyAlignment="1">
      <alignment horizontal="left"/>
    </xf>
    <xf numFmtId="0" fontId="58" fillId="7" borderId="23" xfId="0" applyFont="1" applyFill="1" applyBorder="1" applyAlignment="1" applyProtection="1">
      <alignment horizontal="left"/>
      <protection hidden="1"/>
    </xf>
    <xf numFmtId="0" fontId="58" fillId="7" borderId="23" xfId="0" applyFont="1" applyFill="1" applyBorder="1" applyAlignment="1" applyProtection="1">
      <alignment horizontal="left" vertical="center"/>
      <protection hidden="1"/>
    </xf>
    <xf numFmtId="0" fontId="58" fillId="7" borderId="23" xfId="0" applyFont="1" applyFill="1" applyBorder="1" applyAlignment="1" applyProtection="1">
      <alignment horizontal="left" vertical="top"/>
      <protection hidden="1"/>
    </xf>
    <xf numFmtId="165" fontId="58" fillId="7" borderId="23" xfId="0" applyNumberFormat="1" applyFont="1" applyFill="1" applyBorder="1" applyAlignment="1" applyProtection="1">
      <alignment horizontal="left"/>
      <protection hidden="1"/>
    </xf>
    <xf numFmtId="0" fontId="58" fillId="0" borderId="23" xfId="0" applyFont="1" applyBorder="1" applyAlignment="1" applyProtection="1">
      <alignment horizontal="left"/>
      <protection hidden="1"/>
    </xf>
    <xf numFmtId="0" fontId="58" fillId="0" borderId="0" xfId="0" quotePrefix="1" applyFont="1" applyAlignment="1" applyProtection="1">
      <alignment horizontal="left" vertical="center" wrapText="1"/>
      <protection hidden="1"/>
    </xf>
    <xf numFmtId="0" fontId="21" fillId="0" borderId="0" xfId="1" applyFont="1" applyProtection="1">
      <protection hidden="1"/>
    </xf>
    <xf numFmtId="0" fontId="21" fillId="0" borderId="23" xfId="0" applyFont="1" applyBorder="1" applyAlignment="1" applyProtection="1">
      <alignment vertical="center"/>
      <protection hidden="1"/>
    </xf>
    <xf numFmtId="0" fontId="58" fillId="19" borderId="0" xfId="0" quotePrefix="1" applyFont="1" applyFill="1" applyAlignment="1" applyProtection="1">
      <alignment horizontal="left" vertical="center" wrapText="1"/>
      <protection hidden="1"/>
    </xf>
    <xf numFmtId="0" fontId="4" fillId="7" borderId="0" xfId="2" applyFill="1" applyBorder="1" applyAlignment="1" applyProtection="1">
      <alignment horizontal="left"/>
      <protection hidden="1"/>
    </xf>
    <xf numFmtId="0" fontId="4" fillId="0" borderId="0" xfId="2" applyAlignment="1" applyProtection="1">
      <protection hidden="1"/>
    </xf>
    <xf numFmtId="1" fontId="0" fillId="0" borderId="0" xfId="0" applyNumberFormat="1" applyAlignment="1">
      <alignment horizontal="center"/>
    </xf>
    <xf numFmtId="0" fontId="0" fillId="21" borderId="0" xfId="0" applyFill="1"/>
    <xf numFmtId="0" fontId="58" fillId="0" borderId="76" xfId="0" applyFont="1" applyBorder="1" applyAlignment="1" applyProtection="1">
      <alignment horizontal="left"/>
      <protection hidden="1"/>
    </xf>
    <xf numFmtId="0" fontId="58" fillId="0" borderId="76" xfId="0" applyFont="1" applyBorder="1" applyAlignment="1" applyProtection="1">
      <alignment horizontal="left" vertical="center"/>
      <protection hidden="1"/>
    </xf>
    <xf numFmtId="165" fontId="58" fillId="0" borderId="76" xfId="0" applyNumberFormat="1" applyFont="1" applyBorder="1" applyAlignment="1" applyProtection="1">
      <alignment horizontal="left" vertical="center"/>
      <protection hidden="1"/>
    </xf>
    <xf numFmtId="0" fontId="32" fillId="7" borderId="12" xfId="0" applyFont="1" applyFill="1" applyBorder="1" applyAlignment="1" applyProtection="1">
      <alignment horizontal="center" vertical="center"/>
      <protection hidden="1"/>
    </xf>
    <xf numFmtId="0" fontId="71" fillId="13" borderId="0" xfId="0" applyFont="1" applyFill="1" applyAlignment="1" applyProtection="1">
      <alignment horizontal="center"/>
      <protection locked="0"/>
    </xf>
    <xf numFmtId="0" fontId="71" fillId="13" borderId="0" xfId="0" applyFont="1" applyFill="1" applyAlignment="1" applyProtection="1">
      <alignment horizontal="center" vertical="center" textRotation="90" wrapText="1"/>
      <protection hidden="1"/>
    </xf>
    <xf numFmtId="0" fontId="72" fillId="13" borderId="0" xfId="0" applyFont="1" applyFill="1" applyAlignment="1" applyProtection="1">
      <alignment horizontal="center" vertical="center"/>
      <protection hidden="1"/>
    </xf>
    <xf numFmtId="3" fontId="71" fillId="13" borderId="1" xfId="0" applyNumberFormat="1" applyFont="1" applyFill="1" applyBorder="1" applyAlignment="1" applyProtection="1">
      <alignment horizontal="center" vertical="center"/>
      <protection hidden="1"/>
    </xf>
    <xf numFmtId="0" fontId="19" fillId="7" borderId="13" xfId="0" applyFont="1" applyFill="1" applyBorder="1" applyAlignment="1" applyProtection="1">
      <alignment horizontal="center"/>
      <protection hidden="1"/>
    </xf>
    <xf numFmtId="0" fontId="17" fillId="7" borderId="34" xfId="0" applyFont="1" applyFill="1" applyBorder="1" applyAlignment="1" applyProtection="1">
      <alignment horizont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Protection="1">
      <protection hidden="1"/>
    </xf>
    <xf numFmtId="170" fontId="17" fillId="7" borderId="0" xfId="0" applyNumberFormat="1" applyFont="1" applyFill="1" applyProtection="1">
      <protection hidden="1"/>
    </xf>
    <xf numFmtId="0" fontId="58" fillId="7" borderId="0" xfId="0" quotePrefix="1" applyFont="1" applyFill="1" applyAlignment="1" applyProtection="1">
      <alignment horizontal="left" vertical="center" wrapText="1"/>
      <protection hidden="1"/>
    </xf>
    <xf numFmtId="0" fontId="58" fillId="7" borderId="0" xfId="0" applyFont="1" applyFill="1" applyAlignment="1" applyProtection="1">
      <alignment horizontal="left" vertical="center" wrapText="1"/>
      <protection hidden="1"/>
    </xf>
    <xf numFmtId="165" fontId="58" fillId="7" borderId="0" xfId="0" applyNumberFormat="1" applyFont="1" applyFill="1" applyAlignment="1" applyProtection="1">
      <alignment horizontal="left" vertical="center"/>
      <protection hidden="1"/>
    </xf>
    <xf numFmtId="0" fontId="83" fillId="7" borderId="0" xfId="0" applyFont="1" applyFill="1" applyAlignment="1">
      <alignment horizontal="left"/>
    </xf>
    <xf numFmtId="0" fontId="58" fillId="7" borderId="0" xfId="0" quotePrefix="1" applyFont="1" applyFill="1" applyAlignment="1" applyProtection="1">
      <alignment horizontal="left" vertical="center"/>
      <protection hidden="1"/>
    </xf>
    <xf numFmtId="0" fontId="19" fillId="2" borderId="70" xfId="0" applyFont="1" applyFill="1" applyBorder="1" applyAlignment="1" applyProtection="1">
      <alignment vertical="center"/>
      <protection hidden="1"/>
    </xf>
    <xf numFmtId="0" fontId="19" fillId="2" borderId="15" xfId="0" applyFont="1" applyFill="1" applyBorder="1" applyAlignment="1" applyProtection="1">
      <alignment vertical="center"/>
      <protection hidden="1"/>
    </xf>
    <xf numFmtId="0" fontId="28" fillId="2" borderId="51" xfId="0" applyFont="1" applyFill="1" applyBorder="1" applyAlignment="1" applyProtection="1">
      <alignment vertical="center"/>
      <protection hidden="1"/>
    </xf>
    <xf numFmtId="0" fontId="28" fillId="2" borderId="45" xfId="0" applyFont="1" applyFill="1" applyBorder="1" applyAlignment="1" applyProtection="1">
      <alignment horizontal="center" vertical="center" wrapText="1"/>
      <protection locked="0"/>
    </xf>
    <xf numFmtId="0" fontId="18" fillId="2" borderId="51" xfId="0" applyFont="1" applyFill="1" applyBorder="1" applyAlignment="1">
      <alignment horizontal="center" vertical="center"/>
    </xf>
    <xf numFmtId="0" fontId="19" fillId="2" borderId="57" xfId="0" applyFont="1" applyFill="1" applyBorder="1" applyAlignment="1" applyProtection="1">
      <alignment vertical="center"/>
      <protection hidden="1"/>
    </xf>
    <xf numFmtId="3" fontId="86" fillId="7" borderId="56" xfId="0" applyNumberFormat="1" applyFont="1" applyFill="1" applyBorder="1" applyAlignment="1" applyProtection="1">
      <alignment horizontal="center" vertical="center"/>
      <protection hidden="1"/>
    </xf>
    <xf numFmtId="3" fontId="86" fillId="7" borderId="48" xfId="0" applyNumberFormat="1" applyFont="1" applyFill="1" applyBorder="1" applyAlignment="1" applyProtection="1">
      <alignment horizontal="center" vertical="center"/>
      <protection hidden="1"/>
    </xf>
    <xf numFmtId="3" fontId="86" fillId="7" borderId="48" xfId="0" applyNumberFormat="1" applyFont="1" applyFill="1" applyBorder="1" applyAlignment="1" applyProtection="1">
      <alignment vertical="center"/>
      <protection hidden="1"/>
    </xf>
    <xf numFmtId="3" fontId="86" fillId="7" borderId="40" xfId="0" applyNumberFormat="1" applyFont="1" applyFill="1" applyBorder="1" applyAlignment="1" applyProtection="1">
      <alignment horizontal="center" vertical="center"/>
      <protection hidden="1"/>
    </xf>
    <xf numFmtId="3" fontId="54" fillId="7" borderId="48" xfId="0" applyNumberFormat="1" applyFont="1" applyFill="1" applyBorder="1" applyProtection="1">
      <protection hidden="1"/>
    </xf>
    <xf numFmtId="3" fontId="86" fillId="7" borderId="10" xfId="0" applyNumberFormat="1" applyFont="1" applyFill="1" applyBorder="1" applyAlignment="1" applyProtection="1">
      <alignment horizontal="center" vertical="center"/>
      <protection hidden="1"/>
    </xf>
    <xf numFmtId="3" fontId="86" fillId="7" borderId="13" xfId="0" applyNumberFormat="1" applyFont="1" applyFill="1" applyBorder="1" applyAlignment="1" applyProtection="1">
      <alignment horizontal="center" vertical="center"/>
      <protection hidden="1"/>
    </xf>
    <xf numFmtId="0" fontId="54" fillId="7" borderId="48" xfId="0" applyFont="1" applyFill="1" applyBorder="1" applyProtection="1">
      <protection hidden="1"/>
    </xf>
    <xf numFmtId="0" fontId="40" fillId="7" borderId="9" xfId="0" applyFont="1" applyFill="1" applyBorder="1" applyAlignment="1" applyProtection="1">
      <alignment horizontal="center" vertical="center"/>
      <protection hidden="1"/>
    </xf>
    <xf numFmtId="0" fontId="87" fillId="7" borderId="10" xfId="0" applyFont="1" applyFill="1" applyBorder="1" applyProtection="1">
      <protection hidden="1"/>
    </xf>
    <xf numFmtId="0" fontId="40" fillId="7" borderId="10" xfId="0" applyFont="1" applyFill="1" applyBorder="1" applyAlignment="1" applyProtection="1">
      <alignment horizontal="center" vertical="center"/>
      <protection hidden="1"/>
    </xf>
    <xf numFmtId="0" fontId="40" fillId="7" borderId="11" xfId="0" applyFont="1" applyFill="1" applyBorder="1" applyAlignment="1" applyProtection="1">
      <alignment horizontal="center" vertical="center"/>
      <protection hidden="1"/>
    </xf>
    <xf numFmtId="0" fontId="58" fillId="0" borderId="0" xfId="0" applyFont="1" applyAlignment="1">
      <alignment horizontal="left" wrapText="1"/>
    </xf>
    <xf numFmtId="17" fontId="17" fillId="0" borderId="23" xfId="0" applyNumberFormat="1" applyFont="1" applyBorder="1" applyAlignment="1" applyProtection="1">
      <alignment horizontal="center" vertical="center" wrapText="1"/>
      <protection hidden="1"/>
    </xf>
    <xf numFmtId="0" fontId="17" fillId="13" borderId="22" xfId="0" applyFont="1" applyFill="1" applyBorder="1" applyAlignment="1" applyProtection="1">
      <alignment horizontal="center"/>
      <protection locked="0"/>
    </xf>
    <xf numFmtId="0" fontId="17" fillId="13" borderId="23" xfId="0" applyFont="1" applyFill="1" applyBorder="1" applyAlignment="1" applyProtection="1">
      <alignment horizontal="center"/>
      <protection locked="0"/>
    </xf>
    <xf numFmtId="0" fontId="17" fillId="13" borderId="0" xfId="0" applyFont="1" applyFill="1" applyProtection="1">
      <protection hidden="1"/>
    </xf>
    <xf numFmtId="0" fontId="17" fillId="13" borderId="0" xfId="0" applyFont="1" applyFill="1" applyAlignment="1" applyProtection="1">
      <alignment horizontal="center"/>
      <protection locked="0"/>
    </xf>
    <xf numFmtId="0" fontId="17" fillId="13" borderId="23" xfId="0" applyFont="1" applyFill="1" applyBorder="1" applyAlignment="1" applyProtection="1">
      <alignment horizontal="center" vertical="center" wrapText="1"/>
      <protection hidden="1"/>
    </xf>
    <xf numFmtId="0" fontId="17" fillId="13" borderId="23" xfId="0" applyFont="1" applyFill="1" applyBorder="1" applyAlignment="1" applyProtection="1">
      <alignment horizontal="center"/>
      <protection hidden="1"/>
    </xf>
    <xf numFmtId="0" fontId="21" fillId="13" borderId="0" xfId="0" applyFont="1" applyFill="1" applyAlignment="1" applyProtection="1">
      <alignment horizontal="center" vertical="center" wrapText="1"/>
      <protection hidden="1"/>
    </xf>
    <xf numFmtId="0" fontId="19" fillId="13" borderId="0" xfId="0" applyFont="1" applyFill="1" applyAlignment="1" applyProtection="1">
      <alignment horizontal="center"/>
      <protection hidden="1"/>
    </xf>
    <xf numFmtId="3" fontId="19" fillId="13" borderId="0" xfId="0" applyNumberFormat="1" applyFont="1" applyFill="1" applyAlignment="1" applyProtection="1">
      <alignment horizontal="center"/>
      <protection hidden="1"/>
    </xf>
    <xf numFmtId="0" fontId="58" fillId="13" borderId="0" xfId="0" applyFont="1" applyFill="1" applyAlignment="1">
      <alignment horizontal="left"/>
    </xf>
    <xf numFmtId="0" fontId="58" fillId="13" borderId="0" xfId="0" applyFont="1" applyFill="1" applyAlignment="1" applyProtection="1">
      <alignment horizontal="left"/>
      <protection hidden="1"/>
    </xf>
    <xf numFmtId="0" fontId="17" fillId="13" borderId="0" xfId="0" applyFont="1" applyFill="1" applyAlignment="1">
      <alignment horizontal="left"/>
    </xf>
    <xf numFmtId="0" fontId="58" fillId="13" borderId="0" xfId="0" applyFont="1" applyFill="1" applyAlignment="1" applyProtection="1">
      <alignment vertical="center"/>
      <protection hidden="1"/>
    </xf>
    <xf numFmtId="0" fontId="0" fillId="13" borderId="0" xfId="0" applyFill="1" applyProtection="1">
      <protection hidden="1"/>
    </xf>
    <xf numFmtId="0" fontId="1" fillId="13" borderId="0" xfId="0" applyFont="1" applyFill="1" applyAlignment="1" applyProtection="1">
      <alignment wrapText="1"/>
      <protection hidden="1"/>
    </xf>
    <xf numFmtId="0" fontId="4" fillId="0" borderId="0" xfId="2" applyFill="1" applyBorder="1" applyAlignment="1" applyProtection="1">
      <alignment horizontal="left"/>
      <protection hidden="1"/>
    </xf>
    <xf numFmtId="0" fontId="82" fillId="0" borderId="76" xfId="2" applyFont="1" applyFill="1" applyBorder="1" applyAlignment="1" applyProtection="1">
      <alignment horizontal="left"/>
      <protection hidden="1"/>
    </xf>
    <xf numFmtId="0" fontId="52" fillId="2" borderId="31" xfId="0" applyFont="1" applyFill="1" applyBorder="1" applyAlignment="1" applyProtection="1">
      <alignment horizontal="center" vertical="center"/>
      <protection locked="0"/>
    </xf>
    <xf numFmtId="0" fontId="52" fillId="2" borderId="22" xfId="0" applyFont="1" applyFill="1" applyBorder="1" applyAlignment="1" applyProtection="1">
      <alignment horizontal="center" vertical="center"/>
      <protection locked="0"/>
    </xf>
    <xf numFmtId="0" fontId="80" fillId="2" borderId="22" xfId="0" applyFont="1" applyFill="1" applyBorder="1" applyAlignment="1" applyProtection="1">
      <alignment horizontal="center" vertical="center"/>
      <protection locked="0"/>
    </xf>
    <xf numFmtId="1" fontId="19" fillId="7" borderId="0" xfId="0" applyNumberFormat="1" applyFont="1" applyFill="1" applyProtection="1">
      <protection hidden="1"/>
    </xf>
    <xf numFmtId="1" fontId="58" fillId="7" borderId="0" xfId="0" applyNumberFormat="1" applyFont="1" applyFill="1" applyAlignment="1">
      <alignment horizontal="left"/>
    </xf>
    <xf numFmtId="0" fontId="58" fillId="7" borderId="0" xfId="0" quotePrefix="1" applyFont="1" applyFill="1" applyAlignment="1">
      <alignment horizontal="left"/>
    </xf>
    <xf numFmtId="0" fontId="0" fillId="7" borderId="0" xfId="0" applyFill="1"/>
    <xf numFmtId="0" fontId="17" fillId="7" borderId="24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8" fillId="0" borderId="0" xfId="0" applyFont="1" applyAlignment="1">
      <alignment horizontal="center"/>
    </xf>
    <xf numFmtId="0" fontId="58" fillId="0" borderId="0" xfId="0" applyFont="1" applyAlignment="1" applyProtection="1">
      <alignment horizontal="center"/>
      <protection hidden="1"/>
    </xf>
    <xf numFmtId="0" fontId="58" fillId="0" borderId="0" xfId="0" quotePrefix="1" applyFont="1" applyAlignment="1" applyProtection="1">
      <alignment horizontal="center" vertical="center" wrapText="1"/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58" fillId="0" borderId="0" xfId="0" applyFont="1" applyAlignment="1" applyProtection="1">
      <alignment horizontal="center" vertical="center" wrapText="1"/>
      <protection hidden="1"/>
    </xf>
    <xf numFmtId="165" fontId="58" fillId="0" borderId="0" xfId="0" applyNumberFormat="1" applyFont="1" applyAlignment="1" applyProtection="1">
      <alignment horizontal="center" vertical="center"/>
      <protection hidden="1"/>
    </xf>
    <xf numFmtId="0" fontId="83" fillId="0" borderId="0" xfId="0" applyFont="1" applyAlignment="1">
      <alignment horizontal="center"/>
    </xf>
    <xf numFmtId="0" fontId="58" fillId="0" borderId="0" xfId="0" quotePrefix="1" applyFont="1" applyAlignment="1" applyProtection="1">
      <alignment horizontal="center" vertical="center"/>
      <protection hidden="1"/>
    </xf>
    <xf numFmtId="165" fontId="58" fillId="0" borderId="0" xfId="0" applyNumberFormat="1" applyFont="1" applyAlignment="1" applyProtection="1">
      <alignment horizontal="center"/>
      <protection hidden="1"/>
    </xf>
    <xf numFmtId="1" fontId="58" fillId="0" borderId="0" xfId="0" applyNumberFormat="1" applyFont="1" applyAlignment="1">
      <alignment horizontal="center"/>
    </xf>
    <xf numFmtId="0" fontId="58" fillId="0" borderId="0" xfId="0" quotePrefix="1" applyFont="1" applyAlignment="1">
      <alignment horizontal="center"/>
    </xf>
    <xf numFmtId="0" fontId="58" fillId="0" borderId="0" xfId="0" applyFont="1" applyAlignment="1" applyProtection="1">
      <alignment horizontal="center" vertical="center" wrapText="1"/>
      <protection locked="0" hidden="1"/>
    </xf>
    <xf numFmtId="0" fontId="58" fillId="0" borderId="0" xfId="0" applyFont="1" applyAlignment="1" applyProtection="1">
      <alignment horizontal="center" vertical="center" wrapText="1"/>
      <protection locked="0"/>
    </xf>
    <xf numFmtId="0" fontId="82" fillId="0" borderId="0" xfId="2" applyFont="1" applyFill="1" applyBorder="1" applyAlignment="1" applyProtection="1">
      <alignment horizontal="center"/>
      <protection hidden="1"/>
    </xf>
    <xf numFmtId="0" fontId="70" fillId="0" borderId="0" xfId="2" applyFont="1" applyFill="1" applyBorder="1" applyAlignment="1" applyProtection="1">
      <alignment horizontal="center"/>
      <protection hidden="1"/>
    </xf>
    <xf numFmtId="0" fontId="82" fillId="0" borderId="0" xfId="2" applyFont="1" applyFill="1" applyBorder="1" applyAlignment="1" applyProtection="1">
      <alignment horizontal="center"/>
    </xf>
    <xf numFmtId="0" fontId="83" fillId="0" borderId="0" xfId="0" applyFont="1" applyAlignment="1" applyProtection="1">
      <alignment horizontal="center"/>
      <protection hidden="1"/>
    </xf>
    <xf numFmtId="1" fontId="58" fillId="0" borderId="0" xfId="0" applyNumberFormat="1" applyFont="1" applyAlignment="1" applyProtection="1">
      <alignment horizontal="center" vertical="center"/>
      <protection hidden="1"/>
    </xf>
    <xf numFmtId="0" fontId="82" fillId="0" borderId="0" xfId="2" applyFont="1" applyFill="1" applyBorder="1" applyAlignment="1" applyProtection="1">
      <alignment horizontal="center" vertical="center" wrapText="1"/>
      <protection hidden="1"/>
    </xf>
    <xf numFmtId="0" fontId="4" fillId="0" borderId="0" xfId="2" applyFill="1" applyBorder="1" applyAlignment="1" applyProtection="1">
      <alignment horizontal="center"/>
      <protection hidden="1"/>
    </xf>
    <xf numFmtId="0" fontId="58" fillId="0" borderId="0" xfId="0" applyFont="1" applyAlignment="1">
      <alignment horizontal="center" wrapText="1"/>
    </xf>
    <xf numFmtId="0" fontId="32" fillId="0" borderId="69" xfId="0" applyFont="1" applyBorder="1" applyAlignment="1" applyProtection="1">
      <alignment horizontal="center" vertical="center"/>
      <protection hidden="1"/>
    </xf>
    <xf numFmtId="0" fontId="32" fillId="0" borderId="19" xfId="0" applyFont="1" applyBorder="1" applyAlignment="1" applyProtection="1">
      <alignment horizontal="center" vertical="center"/>
      <protection hidden="1"/>
    </xf>
    <xf numFmtId="0" fontId="32" fillId="0" borderId="72" xfId="0" applyFont="1" applyBorder="1" applyAlignment="1" applyProtection="1">
      <alignment horizontal="center" vertical="center"/>
      <protection hidden="1"/>
    </xf>
    <xf numFmtId="0" fontId="40" fillId="2" borderId="12" xfId="0" applyFont="1" applyFill="1" applyBorder="1" applyAlignment="1" applyProtection="1">
      <alignment horizontal="center" vertical="center"/>
      <protection locked="0"/>
    </xf>
    <xf numFmtId="0" fontId="40" fillId="2" borderId="13" xfId="0" applyFont="1" applyFill="1" applyBorder="1" applyAlignment="1" applyProtection="1">
      <alignment vertical="center"/>
      <protection locked="0"/>
    </xf>
    <xf numFmtId="0" fontId="40" fillId="2" borderId="66" xfId="0" applyFont="1" applyFill="1" applyBorder="1" applyAlignment="1" applyProtection="1">
      <alignment horizontal="center" vertical="center"/>
      <protection locked="0"/>
    </xf>
    <xf numFmtId="0" fontId="19" fillId="2" borderId="69" xfId="0" applyFont="1" applyFill="1" applyBorder="1" applyAlignment="1" applyProtection="1">
      <alignment horizontal="center" vertical="center"/>
      <protection locked="0"/>
    </xf>
    <xf numFmtId="0" fontId="40" fillId="2" borderId="19" xfId="0" quotePrefix="1" applyFont="1" applyFill="1" applyBorder="1" applyAlignment="1" applyProtection="1">
      <alignment vertical="center"/>
      <protection locked="0"/>
    </xf>
    <xf numFmtId="0" fontId="19" fillId="2" borderId="72" xfId="0" applyFont="1" applyFill="1" applyBorder="1" applyAlignment="1" applyProtection="1">
      <alignment vertical="center"/>
      <protection locked="0"/>
    </xf>
    <xf numFmtId="0" fontId="32" fillId="20" borderId="9" xfId="0" applyFont="1" applyFill="1" applyBorder="1" applyAlignment="1">
      <alignment vertical="center" wrapText="1"/>
    </xf>
    <xf numFmtId="0" fontId="32" fillId="20" borderId="10" xfId="0" applyFont="1" applyFill="1" applyBorder="1" applyAlignment="1">
      <alignment vertical="center" wrapText="1"/>
    </xf>
    <xf numFmtId="0" fontId="32" fillId="20" borderId="11" xfId="0" applyFont="1" applyFill="1" applyBorder="1" applyAlignment="1">
      <alignment vertical="center" wrapText="1"/>
    </xf>
    <xf numFmtId="0" fontId="67" fillId="20" borderId="0" xfId="0" applyFont="1" applyFill="1" applyAlignment="1">
      <alignment vertical="center" wrapText="1"/>
    </xf>
    <xf numFmtId="0" fontId="67" fillId="20" borderId="75" xfId="0" applyFont="1" applyFill="1" applyBorder="1" applyAlignment="1">
      <alignment vertical="center" wrapText="1"/>
    </xf>
    <xf numFmtId="0" fontId="67" fillId="20" borderId="0" xfId="0" applyFont="1" applyFill="1" applyAlignment="1">
      <alignment vertical="center"/>
    </xf>
    <xf numFmtId="0" fontId="66" fillId="20" borderId="0" xfId="0" applyFont="1" applyFill="1" applyAlignment="1">
      <alignment vertical="center"/>
    </xf>
    <xf numFmtId="0" fontId="67" fillId="20" borderId="6" xfId="0" applyFont="1" applyFill="1" applyBorder="1" applyAlignment="1">
      <alignment vertical="center" wrapText="1"/>
    </xf>
    <xf numFmtId="0" fontId="66" fillId="20" borderId="6" xfId="0" applyFont="1" applyFill="1" applyBorder="1" applyAlignment="1">
      <alignment vertical="center"/>
    </xf>
    <xf numFmtId="0" fontId="66" fillId="20" borderId="9" xfId="0" applyFont="1" applyFill="1" applyBorder="1" applyAlignment="1">
      <alignment vertical="center" wrapText="1"/>
    </xf>
    <xf numFmtId="0" fontId="66" fillId="20" borderId="10" xfId="0" applyFont="1" applyFill="1" applyBorder="1" applyAlignment="1">
      <alignment vertical="center" wrapText="1"/>
    </xf>
    <xf numFmtId="0" fontId="66" fillId="20" borderId="11" xfId="0" applyFont="1" applyFill="1" applyBorder="1" applyAlignment="1">
      <alignment vertical="center" wrapText="1"/>
    </xf>
    <xf numFmtId="0" fontId="17" fillId="20" borderId="9" xfId="0" applyFont="1" applyFill="1" applyBorder="1" applyAlignment="1">
      <alignment vertical="center" wrapText="1"/>
    </xf>
    <xf numFmtId="0" fontId="17" fillId="20" borderId="10" xfId="0" applyFont="1" applyFill="1" applyBorder="1" applyAlignment="1">
      <alignment vertical="center" wrapText="1"/>
    </xf>
    <xf numFmtId="0" fontId="17" fillId="20" borderId="11" xfId="0" applyFont="1" applyFill="1" applyBorder="1" applyAlignment="1">
      <alignment vertical="center" wrapText="1"/>
    </xf>
    <xf numFmtId="0" fontId="66" fillId="20" borderId="3" xfId="0" applyFont="1" applyFill="1" applyBorder="1" applyAlignment="1">
      <alignment vertical="center"/>
    </xf>
    <xf numFmtId="0" fontId="32" fillId="20" borderId="0" xfId="0" applyFont="1" applyFill="1" applyAlignment="1">
      <alignment vertical="center"/>
    </xf>
    <xf numFmtId="0" fontId="66" fillId="20" borderId="0" xfId="0" applyFont="1" applyFill="1" applyAlignment="1">
      <alignment vertical="center" wrapText="1"/>
    </xf>
    <xf numFmtId="0" fontId="66" fillId="20" borderId="75" xfId="0" applyFont="1" applyFill="1" applyBorder="1" applyAlignment="1">
      <alignment vertical="center" wrapText="1"/>
    </xf>
    <xf numFmtId="0" fontId="32" fillId="20" borderId="0" xfId="0" applyFont="1" applyFill="1" applyAlignment="1">
      <alignment vertical="center" wrapText="1"/>
    </xf>
    <xf numFmtId="0" fontId="32" fillId="20" borderId="75" xfId="0" applyFont="1" applyFill="1" applyBorder="1" applyAlignment="1">
      <alignment vertical="center" wrapText="1"/>
    </xf>
    <xf numFmtId="0" fontId="32" fillId="20" borderId="0" xfId="0" applyFont="1" applyFill="1" applyAlignment="1">
      <alignment horizontal="center" vertical="center" wrapText="1"/>
    </xf>
    <xf numFmtId="0" fontId="32" fillId="20" borderId="75" xfId="0" applyFont="1" applyFill="1" applyBorder="1" applyAlignment="1">
      <alignment horizontal="center" vertical="center" wrapText="1"/>
    </xf>
    <xf numFmtId="0" fontId="32" fillId="20" borderId="6" xfId="0" applyFont="1" applyFill="1" applyBorder="1" applyAlignment="1">
      <alignment vertical="center" wrapText="1"/>
    </xf>
    <xf numFmtId="0" fontId="22" fillId="3" borderId="0" xfId="0" applyFont="1" applyFill="1" applyAlignment="1">
      <alignment vertical="center" wrapText="1"/>
    </xf>
    <xf numFmtId="0" fontId="22" fillId="3" borderId="75" xfId="0" applyFont="1" applyFill="1" applyBorder="1" applyAlignment="1">
      <alignment vertical="center" wrapText="1"/>
    </xf>
    <xf numFmtId="0" fontId="32" fillId="20" borderId="1" xfId="0" applyFont="1" applyFill="1" applyBorder="1" applyAlignment="1">
      <alignment vertical="center"/>
    </xf>
    <xf numFmtId="0" fontId="67" fillId="20" borderId="1" xfId="0" applyFont="1" applyFill="1" applyBorder="1" applyAlignment="1">
      <alignment vertical="center" wrapText="1"/>
    </xf>
    <xf numFmtId="0" fontId="66" fillId="20" borderId="4" xfId="0" applyFont="1" applyFill="1" applyBorder="1" applyAlignment="1">
      <alignment vertical="center"/>
    </xf>
    <xf numFmtId="0" fontId="66" fillId="20" borderId="1" xfId="0" applyFont="1" applyFill="1" applyBorder="1" applyAlignment="1">
      <alignment vertical="center"/>
    </xf>
    <xf numFmtId="0" fontId="66" fillId="20" borderId="8" xfId="0" applyFont="1" applyFill="1" applyBorder="1" applyAlignment="1">
      <alignment vertical="center"/>
    </xf>
    <xf numFmtId="0" fontId="22" fillId="20" borderId="0" xfId="0" applyFont="1" applyFill="1" applyAlignment="1">
      <alignment vertical="center"/>
    </xf>
    <xf numFmtId="0" fontId="32" fillId="0" borderId="66" xfId="0" applyFont="1" applyBorder="1" applyAlignment="1" applyProtection="1">
      <alignment horizontal="center" vertical="center"/>
      <protection hidden="1"/>
    </xf>
    <xf numFmtId="0" fontId="32" fillId="0" borderId="12" xfId="0" applyFont="1" applyBorder="1" applyAlignment="1" applyProtection="1">
      <alignment horizontal="center" vertical="center"/>
      <protection hidden="1"/>
    </xf>
    <xf numFmtId="0" fontId="32" fillId="7" borderId="66" xfId="0" applyFont="1" applyFill="1" applyBorder="1" applyAlignment="1" applyProtection="1">
      <alignment horizontal="center" vertical="center"/>
      <protection hidden="1"/>
    </xf>
    <xf numFmtId="0" fontId="32" fillId="7" borderId="77" xfId="0" applyFont="1" applyFill="1" applyBorder="1" applyAlignment="1" applyProtection="1">
      <alignment horizontal="center" vertical="center"/>
      <protection hidden="1"/>
    </xf>
    <xf numFmtId="0" fontId="32" fillId="7" borderId="12" xfId="0" applyFont="1" applyFill="1" applyBorder="1" applyAlignment="1" applyProtection="1">
      <alignment horizontal="center" vertical="center"/>
      <protection hidden="1"/>
    </xf>
    <xf numFmtId="0" fontId="32" fillId="0" borderId="77" xfId="0" applyFont="1" applyBorder="1" applyAlignment="1" applyProtection="1">
      <alignment horizontal="center" vertical="center"/>
      <protection hidden="1"/>
    </xf>
    <xf numFmtId="0" fontId="17" fillId="2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0" fontId="17" fillId="0" borderId="34" xfId="0" applyFont="1" applyBorder="1" applyAlignment="1" applyProtection="1">
      <alignment horizontal="center"/>
      <protection locked="0"/>
    </xf>
    <xf numFmtId="0" fontId="17" fillId="0" borderId="36" xfId="0" applyFont="1" applyBorder="1" applyAlignment="1" applyProtection="1">
      <alignment horizontal="center"/>
      <protection locked="0"/>
    </xf>
    <xf numFmtId="0" fontId="17" fillId="0" borderId="52" xfId="0" applyFont="1" applyBorder="1" applyAlignment="1" applyProtection="1">
      <alignment horizontal="center"/>
      <protection locked="0"/>
    </xf>
    <xf numFmtId="0" fontId="71" fillId="13" borderId="0" xfId="0" applyFont="1" applyFill="1" applyAlignment="1" applyProtection="1">
      <alignment horizontal="center"/>
      <protection locked="0"/>
    </xf>
    <xf numFmtId="0" fontId="71" fillId="13" borderId="6" xfId="0" applyFont="1" applyFill="1" applyBorder="1" applyAlignment="1" applyProtection="1">
      <alignment horizontal="center"/>
      <protection locked="0"/>
    </xf>
    <xf numFmtId="0" fontId="17" fillId="0" borderId="26" xfId="0" applyFont="1" applyBorder="1" applyAlignment="1" applyProtection="1">
      <alignment horizontal="center"/>
      <protection locked="0"/>
    </xf>
    <xf numFmtId="0" fontId="17" fillId="0" borderId="20" xfId="0" applyFont="1" applyBorder="1" applyAlignment="1" applyProtection="1">
      <alignment horizontal="center"/>
      <protection locked="0"/>
    </xf>
    <xf numFmtId="0" fontId="17" fillId="0" borderId="25" xfId="0" applyFont="1" applyBorder="1" applyAlignment="1" applyProtection="1">
      <alignment horizontal="center"/>
      <protection locked="0"/>
    </xf>
    <xf numFmtId="16" fontId="32" fillId="0" borderId="21" xfId="0" applyNumberFormat="1" applyFont="1" applyBorder="1" applyAlignment="1" applyProtection="1">
      <alignment horizontal="center"/>
      <protection hidden="1"/>
    </xf>
    <xf numFmtId="0" fontId="32" fillId="2" borderId="41" xfId="0" applyFont="1" applyFill="1" applyBorder="1" applyAlignment="1" applyProtection="1">
      <alignment horizontal="center"/>
      <protection hidden="1"/>
    </xf>
    <xf numFmtId="0" fontId="17" fillId="2" borderId="25" xfId="0" applyFont="1" applyFill="1" applyBorder="1" applyAlignment="1" applyProtection="1">
      <alignment horizontal="center"/>
      <protection locked="0"/>
    </xf>
    <xf numFmtId="0" fontId="17" fillId="2" borderId="21" xfId="0" applyFont="1" applyFill="1" applyBorder="1" applyAlignment="1" applyProtection="1">
      <alignment horizontal="center"/>
      <protection locked="0"/>
    </xf>
    <xf numFmtId="0" fontId="80" fillId="2" borderId="22" xfId="0" applyFont="1" applyFill="1" applyBorder="1" applyAlignment="1" applyProtection="1">
      <alignment horizontal="center" vertical="center"/>
      <protection locked="0"/>
    </xf>
    <xf numFmtId="0" fontId="80" fillId="0" borderId="23" xfId="0" applyFont="1" applyBorder="1" applyAlignment="1" applyProtection="1">
      <alignment horizontal="center" vertical="center"/>
      <protection locked="0"/>
    </xf>
    <xf numFmtId="0" fontId="81" fillId="0" borderId="22" xfId="0" applyFont="1" applyBorder="1" applyAlignment="1" applyProtection="1">
      <alignment horizontal="center" vertical="center"/>
      <protection locked="0"/>
    </xf>
    <xf numFmtId="0" fontId="81" fillId="0" borderId="23" xfId="0" applyFont="1" applyBorder="1" applyAlignment="1" applyProtection="1">
      <alignment horizontal="center" vertical="center"/>
      <protection locked="0"/>
    </xf>
    <xf numFmtId="0" fontId="80" fillId="0" borderId="22" xfId="0" applyFont="1" applyBorder="1" applyAlignment="1" applyProtection="1">
      <alignment horizontal="center" vertical="center"/>
      <protection locked="0"/>
    </xf>
    <xf numFmtId="0" fontId="80" fillId="2" borderId="23" xfId="0" applyFont="1" applyFill="1" applyBorder="1" applyAlignment="1" applyProtection="1">
      <alignment horizontal="center" vertical="center"/>
      <protection locked="0"/>
    </xf>
    <xf numFmtId="0" fontId="52" fillId="2" borderId="23" xfId="0" applyFont="1" applyFill="1" applyBorder="1" applyAlignment="1" applyProtection="1">
      <alignment horizontal="center" vertical="center"/>
      <protection locked="0"/>
    </xf>
    <xf numFmtId="0" fontId="52" fillId="0" borderId="24" xfId="0" applyFont="1" applyBorder="1" applyAlignment="1" applyProtection="1">
      <alignment horizontal="center" vertical="center"/>
      <protection locked="0"/>
    </xf>
    <xf numFmtId="0" fontId="52" fillId="0" borderId="23" xfId="0" applyFont="1" applyBorder="1" applyAlignment="1" applyProtection="1">
      <alignment horizontal="center" vertical="center"/>
      <protection locked="0"/>
    </xf>
    <xf numFmtId="0" fontId="52" fillId="2" borderId="22" xfId="0" applyFont="1" applyFill="1" applyBorder="1" applyAlignment="1" applyProtection="1">
      <alignment horizontal="center" vertical="center"/>
      <protection locked="0"/>
    </xf>
    <xf numFmtId="0" fontId="52" fillId="7" borderId="24" xfId="0" applyFont="1" applyFill="1" applyBorder="1" applyAlignment="1" applyProtection="1">
      <alignment horizontal="center" vertical="center"/>
      <protection locked="0"/>
    </xf>
    <xf numFmtId="0" fontId="52" fillId="7" borderId="23" xfId="0" applyFont="1" applyFill="1" applyBorder="1" applyAlignment="1" applyProtection="1">
      <alignment horizontal="center" vertical="center"/>
      <protection locked="0"/>
    </xf>
    <xf numFmtId="3" fontId="86" fillId="7" borderId="39" xfId="0" applyNumberFormat="1" applyFont="1" applyFill="1" applyBorder="1" applyAlignment="1" applyProtection="1">
      <alignment horizontal="center" vertical="center"/>
      <protection hidden="1"/>
    </xf>
    <xf numFmtId="3" fontId="86" fillId="7" borderId="40" xfId="0" applyNumberFormat="1" applyFont="1" applyFill="1" applyBorder="1" applyAlignment="1" applyProtection="1">
      <alignment horizontal="center" vertical="center"/>
      <protection hidden="1"/>
    </xf>
    <xf numFmtId="0" fontId="19" fillId="16" borderId="56" xfId="0" applyFont="1" applyFill="1" applyBorder="1" applyAlignment="1" applyProtection="1">
      <alignment horizontal="center" vertical="center"/>
      <protection hidden="1"/>
    </xf>
    <xf numFmtId="0" fontId="19" fillId="16" borderId="48" xfId="0" applyFont="1" applyFill="1" applyBorder="1" applyAlignment="1" applyProtection="1">
      <alignment horizontal="center" vertical="center"/>
      <protection hidden="1"/>
    </xf>
    <xf numFmtId="0" fontId="19" fillId="16" borderId="40" xfId="0" applyFont="1" applyFill="1" applyBorder="1" applyAlignment="1" applyProtection="1">
      <alignment horizontal="center" vertical="center"/>
      <protection hidden="1"/>
    </xf>
    <xf numFmtId="0" fontId="21" fillId="2" borderId="2" xfId="0" applyFont="1" applyFill="1" applyBorder="1" applyAlignment="1" applyProtection="1">
      <alignment horizontal="center" vertical="center" wrapText="1"/>
      <protection hidden="1"/>
    </xf>
    <xf numFmtId="0" fontId="21" fillId="2" borderId="3" xfId="0" applyFont="1" applyFill="1" applyBorder="1" applyAlignment="1" applyProtection="1">
      <alignment horizontal="center" vertical="center" wrapText="1"/>
      <protection hidden="1"/>
    </xf>
    <xf numFmtId="0" fontId="21" fillId="2" borderId="4" xfId="0" applyFont="1" applyFill="1" applyBorder="1" applyAlignment="1" applyProtection="1">
      <alignment horizontal="center" vertical="center" wrapText="1"/>
      <protection hidden="1"/>
    </xf>
    <xf numFmtId="0" fontId="19" fillId="2" borderId="7" xfId="0" applyFont="1" applyFill="1" applyBorder="1" applyAlignment="1" applyProtection="1">
      <alignment horizontal="center" vertical="center" wrapText="1"/>
      <protection hidden="1"/>
    </xf>
    <xf numFmtId="0" fontId="19" fillId="2" borderId="1" xfId="0" applyFont="1" applyFill="1" applyBorder="1" applyAlignment="1" applyProtection="1">
      <alignment horizontal="center" vertical="center" wrapText="1"/>
      <protection hidden="1"/>
    </xf>
    <xf numFmtId="0" fontId="19" fillId="2" borderId="8" xfId="0" applyFont="1" applyFill="1" applyBorder="1" applyAlignment="1" applyProtection="1">
      <alignment horizontal="center" vertical="center" wrapText="1"/>
      <protection hidden="1"/>
    </xf>
    <xf numFmtId="0" fontId="45" fillId="2" borderId="1" xfId="0" applyFont="1" applyFill="1" applyBorder="1" applyAlignment="1" applyProtection="1">
      <alignment horizontal="center" vertical="center" wrapText="1"/>
      <protection hidden="1"/>
    </xf>
    <xf numFmtId="0" fontId="45" fillId="2" borderId="8" xfId="0" applyFont="1" applyFill="1" applyBorder="1" applyAlignment="1" applyProtection="1">
      <alignment horizontal="center" vertical="center" wrapText="1"/>
      <protection hidden="1"/>
    </xf>
    <xf numFmtId="0" fontId="21" fillId="2" borderId="3" xfId="0" applyFont="1" applyFill="1" applyBorder="1" applyAlignment="1" applyProtection="1">
      <alignment horizontal="left" vertical="center" wrapText="1"/>
      <protection hidden="1"/>
    </xf>
    <xf numFmtId="0" fontId="21" fillId="2" borderId="4" xfId="0" applyFont="1" applyFill="1" applyBorder="1" applyAlignment="1" applyProtection="1">
      <alignment horizontal="left" vertical="center" wrapText="1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61" fillId="7" borderId="0" xfId="0" applyFont="1" applyFill="1" applyAlignment="1" applyProtection="1">
      <alignment horizontal="center" vertical="center" wrapText="1"/>
      <protection hidden="1"/>
    </xf>
    <xf numFmtId="0" fontId="36" fillId="0" borderId="3" xfId="0" applyFont="1" applyBorder="1" applyAlignment="1" applyProtection="1">
      <alignment horizontal="center" vertical="center" wrapText="1"/>
      <protection hidden="1"/>
    </xf>
    <xf numFmtId="0" fontId="36" fillId="0" borderId="4" xfId="0" applyFont="1" applyBorder="1" applyAlignment="1" applyProtection="1">
      <alignment horizontal="center" vertical="center" wrapText="1"/>
      <protection hidden="1"/>
    </xf>
    <xf numFmtId="0" fontId="62" fillId="5" borderId="2" xfId="0" applyFont="1" applyFill="1" applyBorder="1" applyAlignment="1" applyProtection="1">
      <alignment horizontal="center" vertical="center" wrapText="1"/>
      <protection hidden="1"/>
    </xf>
    <xf numFmtId="0" fontId="62" fillId="5" borderId="3" xfId="0" applyFont="1" applyFill="1" applyBorder="1" applyAlignment="1" applyProtection="1">
      <alignment horizontal="center" vertical="center" wrapText="1"/>
      <protection hidden="1"/>
    </xf>
    <xf numFmtId="0" fontId="62" fillId="5" borderId="4" xfId="0" applyFont="1" applyFill="1" applyBorder="1" applyAlignment="1" applyProtection="1">
      <alignment horizontal="center" vertical="center" wrapText="1"/>
      <protection hidden="1"/>
    </xf>
    <xf numFmtId="0" fontId="62" fillId="5" borderId="7" xfId="0" applyFont="1" applyFill="1" applyBorder="1" applyAlignment="1" applyProtection="1">
      <alignment horizontal="center" vertical="center" wrapText="1"/>
      <protection hidden="1"/>
    </xf>
    <xf numFmtId="0" fontId="62" fillId="5" borderId="1" xfId="0" applyFont="1" applyFill="1" applyBorder="1" applyAlignment="1" applyProtection="1">
      <alignment horizontal="center" vertical="center" wrapText="1"/>
      <protection hidden="1"/>
    </xf>
    <xf numFmtId="0" fontId="62" fillId="5" borderId="8" xfId="0" applyFont="1" applyFill="1" applyBorder="1" applyAlignment="1" applyProtection="1">
      <alignment horizontal="center" vertical="center" wrapText="1"/>
      <protection hidden="1"/>
    </xf>
    <xf numFmtId="0" fontId="62" fillId="5" borderId="39" xfId="0" applyFont="1" applyFill="1" applyBorder="1" applyAlignment="1" applyProtection="1">
      <alignment horizontal="center"/>
      <protection hidden="1"/>
    </xf>
    <xf numFmtId="0" fontId="62" fillId="5" borderId="48" xfId="0" applyFont="1" applyFill="1" applyBorder="1" applyAlignment="1" applyProtection="1">
      <alignment horizontal="center"/>
      <protection hidden="1"/>
    </xf>
    <xf numFmtId="0" fontId="62" fillId="5" borderId="40" xfId="0" applyFont="1" applyFill="1" applyBorder="1" applyAlignment="1" applyProtection="1">
      <alignment horizontal="center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38" fillId="2" borderId="57" xfId="0" applyFont="1" applyFill="1" applyBorder="1" applyAlignment="1" applyProtection="1">
      <alignment horizontal="left" vertical="center" wrapText="1"/>
      <protection hidden="1"/>
    </xf>
    <xf numFmtId="0" fontId="38" fillId="2" borderId="45" xfId="0" applyFont="1" applyFill="1" applyBorder="1" applyAlignment="1" applyProtection="1">
      <alignment horizontal="left" vertical="center" wrapText="1"/>
      <protection hidden="1"/>
    </xf>
    <xf numFmtId="0" fontId="38" fillId="2" borderId="21" xfId="0" applyFont="1" applyFill="1" applyBorder="1" applyAlignment="1" applyProtection="1">
      <alignment horizontal="left" vertical="center" wrapText="1"/>
      <protection hidden="1"/>
    </xf>
    <xf numFmtId="0" fontId="38" fillId="2" borderId="20" xfId="0" applyFont="1" applyFill="1" applyBorder="1" applyAlignment="1" applyProtection="1">
      <alignment horizontal="left" vertical="center" wrapText="1"/>
      <protection hidden="1"/>
    </xf>
    <xf numFmtId="0" fontId="37" fillId="2" borderId="15" xfId="0" applyFont="1" applyFill="1" applyBorder="1" applyAlignment="1" applyProtection="1">
      <alignment horizontal="left" vertical="center" wrapText="1"/>
      <protection hidden="1"/>
    </xf>
    <xf numFmtId="0" fontId="37" fillId="2" borderId="14" xfId="0" applyFont="1" applyFill="1" applyBorder="1" applyAlignment="1" applyProtection="1">
      <alignment horizontal="left" vertical="center" wrapText="1"/>
      <protection hidden="1"/>
    </xf>
    <xf numFmtId="0" fontId="19" fillId="2" borderId="20" xfId="0" applyFont="1" applyFill="1" applyBorder="1" applyAlignment="1" applyProtection="1">
      <alignment horizontal="center" vertical="center"/>
      <protection locked="0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41" xfId="0" applyFont="1" applyBorder="1" applyAlignment="1" applyProtection="1">
      <alignment horizontal="center" vertical="center"/>
      <protection locked="0"/>
    </xf>
    <xf numFmtId="166" fontId="19" fillId="2" borderId="1" xfId="0" applyNumberFormat="1" applyFont="1" applyFill="1" applyBorder="1" applyAlignment="1" applyProtection="1">
      <alignment horizontal="center" vertical="center" wrapText="1"/>
      <protection hidden="1"/>
    </xf>
    <xf numFmtId="166" fontId="19" fillId="2" borderId="8" xfId="0" applyNumberFormat="1" applyFont="1" applyFill="1" applyBorder="1" applyAlignment="1" applyProtection="1">
      <alignment horizontal="center" vertical="center" wrapText="1"/>
      <protection hidden="1"/>
    </xf>
    <xf numFmtId="0" fontId="21" fillId="2" borderId="7" xfId="0" applyFont="1" applyFill="1" applyBorder="1" applyAlignment="1" applyProtection="1">
      <alignment horizontal="center" vertical="center" wrapText="1"/>
      <protection hidden="1"/>
    </xf>
    <xf numFmtId="0" fontId="21" fillId="2" borderId="1" xfId="0" applyFont="1" applyFill="1" applyBorder="1" applyAlignment="1" applyProtection="1">
      <alignment horizontal="center" vertical="center" wrapText="1"/>
      <protection hidden="1"/>
    </xf>
    <xf numFmtId="0" fontId="21" fillId="2" borderId="8" xfId="0" applyFont="1" applyFill="1" applyBorder="1" applyAlignment="1" applyProtection="1">
      <alignment horizontal="center" vertical="center" wrapText="1"/>
      <protection hidden="1"/>
    </xf>
    <xf numFmtId="0" fontId="36" fillId="2" borderId="1" xfId="0" applyFont="1" applyFill="1" applyBorder="1" applyAlignment="1" applyProtection="1">
      <alignment horizontal="center" vertical="center" wrapText="1"/>
      <protection hidden="1"/>
    </xf>
    <xf numFmtId="0" fontId="19" fillId="0" borderId="3" xfId="0" applyFont="1" applyBorder="1" applyAlignment="1" applyProtection="1">
      <alignment horizontal="center" vertical="center" wrapText="1"/>
      <protection hidden="1"/>
    </xf>
    <xf numFmtId="0" fontId="19" fillId="0" borderId="4" xfId="0" applyFont="1" applyBorder="1" applyAlignment="1" applyProtection="1">
      <alignment horizontal="center" vertical="center" wrapText="1"/>
      <protection hidden="1"/>
    </xf>
    <xf numFmtId="0" fontId="19" fillId="2" borderId="45" xfId="0" applyFont="1" applyFill="1" applyBorder="1" applyAlignment="1" applyProtection="1">
      <alignment horizontal="center" vertical="center"/>
      <protection locked="0"/>
    </xf>
    <xf numFmtId="0" fontId="19" fillId="0" borderId="45" xfId="0" applyFont="1" applyBorder="1" applyAlignment="1" applyProtection="1">
      <alignment horizontal="center" vertical="center"/>
      <protection locked="0"/>
    </xf>
    <xf numFmtId="0" fontId="19" fillId="0" borderId="51" xfId="0" applyFont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1" fillId="3" borderId="0" xfId="0" applyFont="1" applyFill="1" applyAlignment="1" applyProtection="1">
      <alignment horizontal="center" vertical="center"/>
      <protection hidden="1"/>
    </xf>
    <xf numFmtId="0" fontId="21" fillId="7" borderId="16" xfId="0" applyFont="1" applyFill="1" applyBorder="1" applyAlignment="1" applyProtection="1">
      <alignment horizontal="center" vertical="center" wrapText="1"/>
      <protection hidden="1"/>
    </xf>
    <xf numFmtId="0" fontId="21" fillId="7" borderId="17" xfId="0" applyFont="1" applyFill="1" applyBorder="1" applyAlignment="1" applyProtection="1">
      <alignment horizontal="center" vertical="center" wrapText="1"/>
      <protection hidden="1"/>
    </xf>
    <xf numFmtId="0" fontId="21" fillId="7" borderId="27" xfId="0" applyFont="1" applyFill="1" applyBorder="1" applyAlignment="1" applyProtection="1">
      <alignment horizontal="center" vertical="center" wrapText="1"/>
      <protection hidden="1"/>
    </xf>
    <xf numFmtId="0" fontId="21" fillId="7" borderId="28" xfId="0" applyFont="1" applyFill="1" applyBorder="1" applyAlignment="1" applyProtection="1">
      <alignment horizontal="center" vertical="center" wrapText="1"/>
      <protection hidden="1"/>
    </xf>
    <xf numFmtId="0" fontId="19" fillId="7" borderId="17" xfId="0" applyFont="1" applyFill="1" applyBorder="1" applyAlignment="1" applyProtection="1">
      <alignment horizontal="center" vertical="center"/>
      <protection locked="0"/>
    </xf>
    <xf numFmtId="0" fontId="19" fillId="7" borderId="18" xfId="0" applyFont="1" applyFill="1" applyBorder="1" applyAlignment="1" applyProtection="1">
      <alignment horizontal="center" vertical="center"/>
      <protection locked="0"/>
    </xf>
    <xf numFmtId="0" fontId="19" fillId="7" borderId="28" xfId="0" applyFont="1" applyFill="1" applyBorder="1" applyAlignment="1" applyProtection="1">
      <alignment horizontal="center" vertical="center"/>
      <protection locked="0"/>
    </xf>
    <xf numFmtId="0" fontId="19" fillId="7" borderId="30" xfId="0" applyFont="1" applyFill="1" applyBorder="1" applyAlignment="1" applyProtection="1">
      <alignment horizontal="center" vertical="center"/>
      <protection locked="0"/>
    </xf>
    <xf numFmtId="0" fontId="19" fillId="2" borderId="74" xfId="0" applyFont="1" applyFill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9" fillId="0" borderId="18" xfId="0" applyFont="1" applyBorder="1" applyAlignment="1" applyProtection="1">
      <alignment horizontal="center" vertical="center"/>
      <protection locked="0"/>
    </xf>
    <xf numFmtId="0" fontId="19" fillId="2" borderId="25" xfId="0" applyFont="1" applyFill="1" applyBorder="1" applyAlignment="1" applyProtection="1">
      <alignment horizontal="center" vertical="center"/>
      <protection locked="0"/>
    </xf>
    <xf numFmtId="0" fontId="19" fillId="0" borderId="23" xfId="0" applyFont="1" applyBorder="1" applyAlignment="1" applyProtection="1">
      <alignment horizontal="center" vertical="center"/>
      <protection locked="0"/>
    </xf>
    <xf numFmtId="0" fontId="19" fillId="0" borderId="24" xfId="0" applyFont="1" applyBorder="1" applyAlignment="1" applyProtection="1">
      <alignment horizontal="center" vertical="center"/>
      <protection locked="0"/>
    </xf>
    <xf numFmtId="0" fontId="19" fillId="2" borderId="73" xfId="0" applyFont="1" applyFill="1" applyBorder="1" applyAlignment="1" applyProtection="1">
      <alignment horizontal="center" vertical="center"/>
      <protection locked="0"/>
    </xf>
    <xf numFmtId="0" fontId="19" fillId="0" borderId="28" xfId="0" applyFont="1" applyBorder="1" applyAlignment="1" applyProtection="1">
      <alignment horizontal="center" vertical="center"/>
      <protection locked="0"/>
    </xf>
    <xf numFmtId="0" fontId="19" fillId="0" borderId="30" xfId="0" applyFont="1" applyBorder="1" applyAlignment="1" applyProtection="1">
      <alignment horizontal="center" vertical="center"/>
      <protection locked="0"/>
    </xf>
    <xf numFmtId="0" fontId="63" fillId="5" borderId="2" xfId="0" applyFont="1" applyFill="1" applyBorder="1" applyAlignment="1" applyProtection="1">
      <alignment horizontal="center" vertical="center" wrapText="1"/>
      <protection hidden="1"/>
    </xf>
    <xf numFmtId="0" fontId="63" fillId="5" borderId="3" xfId="0" applyFont="1" applyFill="1" applyBorder="1" applyAlignment="1" applyProtection="1">
      <alignment horizontal="center" vertical="center" wrapText="1"/>
      <protection hidden="1"/>
    </xf>
    <xf numFmtId="0" fontId="63" fillId="5" borderId="4" xfId="0" applyFont="1" applyFill="1" applyBorder="1" applyAlignment="1" applyProtection="1">
      <alignment horizontal="center" vertical="center" wrapText="1"/>
      <protection hidden="1"/>
    </xf>
    <xf numFmtId="0" fontId="63" fillId="5" borderId="7" xfId="0" applyFont="1" applyFill="1" applyBorder="1" applyAlignment="1" applyProtection="1">
      <alignment horizontal="center" vertical="center" wrapText="1"/>
      <protection hidden="1"/>
    </xf>
    <xf numFmtId="0" fontId="63" fillId="5" borderId="1" xfId="0" applyFont="1" applyFill="1" applyBorder="1" applyAlignment="1" applyProtection="1">
      <alignment horizontal="center" vertical="center" wrapText="1"/>
      <protection hidden="1"/>
    </xf>
    <xf numFmtId="0" fontId="63" fillId="5" borderId="8" xfId="0" applyFont="1" applyFill="1" applyBorder="1" applyAlignment="1" applyProtection="1">
      <alignment horizontal="center" vertical="center" wrapText="1"/>
      <protection hidden="1"/>
    </xf>
    <xf numFmtId="0" fontId="60" fillId="7" borderId="3" xfId="0" applyFont="1" applyFill="1" applyBorder="1" applyAlignment="1" applyProtection="1">
      <alignment horizontal="center" wrapText="1"/>
      <protection hidden="1"/>
    </xf>
    <xf numFmtId="0" fontId="60" fillId="7" borderId="0" xfId="0" applyFont="1" applyFill="1" applyAlignment="1" applyProtection="1">
      <alignment horizontal="center" wrapText="1"/>
      <protection hidden="1"/>
    </xf>
    <xf numFmtId="170" fontId="85" fillId="15" borderId="9" xfId="0" applyNumberFormat="1" applyFont="1" applyFill="1" applyBorder="1" applyAlignment="1" applyProtection="1">
      <alignment horizontal="left"/>
      <protection hidden="1"/>
    </xf>
    <xf numFmtId="0" fontId="85" fillId="15" borderId="10" xfId="0" applyFont="1" applyFill="1" applyBorder="1" applyAlignment="1" applyProtection="1">
      <alignment horizontal="left"/>
      <protection hidden="1"/>
    </xf>
    <xf numFmtId="0" fontId="85" fillId="15" borderId="11" xfId="0" applyFont="1" applyFill="1" applyBorder="1" applyAlignment="1" applyProtection="1">
      <alignment horizontal="left"/>
      <protection hidden="1"/>
    </xf>
    <xf numFmtId="0" fontId="44" fillId="0" borderId="3" xfId="0" applyFont="1" applyBorder="1" applyAlignment="1" applyProtection="1">
      <alignment horizontal="center" vertical="top" wrapText="1"/>
      <protection hidden="1"/>
    </xf>
    <xf numFmtId="0" fontId="28" fillId="0" borderId="1" xfId="0" applyFont="1" applyBorder="1" applyAlignment="1" applyProtection="1">
      <alignment horizontal="center"/>
      <protection hidden="1"/>
    </xf>
    <xf numFmtId="0" fontId="51" fillId="0" borderId="2" xfId="0" applyFont="1" applyBorder="1" applyAlignment="1" applyProtection="1">
      <alignment horizontal="right" vertical="top"/>
      <protection hidden="1"/>
    </xf>
    <xf numFmtId="0" fontId="51" fillId="0" borderId="3" xfId="0" applyFont="1" applyBorder="1" applyAlignment="1" applyProtection="1">
      <alignment horizontal="right" vertical="top"/>
      <protection hidden="1"/>
    </xf>
    <xf numFmtId="14" fontId="46" fillId="14" borderId="0" xfId="0" applyNumberFormat="1" applyFont="1" applyFill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/>
      <protection hidden="1"/>
    </xf>
    <xf numFmtId="0" fontId="28" fillId="0" borderId="5" xfId="0" applyFont="1" applyBorder="1" applyAlignment="1" applyProtection="1">
      <alignment horizontal="center" vertical="justify"/>
      <protection hidden="1"/>
    </xf>
    <xf numFmtId="0" fontId="28" fillId="0" borderId="0" xfId="0" applyFont="1" applyAlignment="1" applyProtection="1">
      <alignment horizontal="center" vertical="justify"/>
      <protection hidden="1"/>
    </xf>
    <xf numFmtId="0" fontId="35" fillId="0" borderId="5" xfId="0" applyFont="1" applyBorder="1" applyAlignment="1" applyProtection="1">
      <alignment horizontal="center" vertical="center"/>
      <protection hidden="1"/>
    </xf>
    <xf numFmtId="0" fontId="35" fillId="0" borderId="0" xfId="0" applyFont="1" applyAlignment="1" applyProtection="1">
      <alignment horizontal="center" vertical="center"/>
      <protection hidden="1"/>
    </xf>
    <xf numFmtId="0" fontId="35" fillId="0" borderId="6" xfId="0" applyFont="1" applyBorder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horizontal="center" vertical="top" wrapText="1"/>
      <protection hidden="1"/>
    </xf>
    <xf numFmtId="0" fontId="44" fillId="0" borderId="6" xfId="0" applyFont="1" applyBorder="1" applyAlignment="1" applyProtection="1">
      <alignment horizontal="center" vertical="top" wrapText="1"/>
      <protection hidden="1"/>
    </xf>
    <xf numFmtId="0" fontId="28" fillId="2" borderId="34" xfId="0" applyFont="1" applyFill="1" applyBorder="1" applyAlignment="1" applyProtection="1">
      <alignment horizontal="center" vertical="center"/>
      <protection locked="0"/>
    </xf>
    <xf numFmtId="0" fontId="28" fillId="0" borderId="34" xfId="0" applyFont="1" applyBorder="1" applyAlignment="1" applyProtection="1">
      <alignment horizontal="center" vertical="center"/>
      <protection locked="0"/>
    </xf>
    <xf numFmtId="0" fontId="28" fillId="0" borderId="52" xfId="0" applyFont="1" applyBorder="1" applyAlignment="1" applyProtection="1">
      <alignment horizontal="center" vertical="center"/>
      <protection locked="0"/>
    </xf>
    <xf numFmtId="0" fontId="27" fillId="0" borderId="37" xfId="0" applyFont="1" applyBorder="1" applyAlignment="1" applyProtection="1">
      <alignment horizontal="center" vertical="center"/>
      <protection hidden="1"/>
    </xf>
    <xf numFmtId="0" fontId="27" fillId="0" borderId="38" xfId="0" applyFont="1" applyBorder="1" applyAlignment="1" applyProtection="1">
      <alignment horizontal="center" vertical="center"/>
      <protection hidden="1"/>
    </xf>
    <xf numFmtId="0" fontId="27" fillId="18" borderId="38" xfId="0" applyFont="1" applyFill="1" applyBorder="1" applyAlignment="1" applyProtection="1">
      <alignment horizontal="center" vertical="center"/>
      <protection hidden="1"/>
    </xf>
    <xf numFmtId="0" fontId="27" fillId="0" borderId="21" xfId="0" applyFont="1" applyBorder="1" applyAlignment="1" applyProtection="1">
      <alignment horizontal="center" vertical="center"/>
      <protection hidden="1"/>
    </xf>
    <xf numFmtId="0" fontId="27" fillId="0" borderId="20" xfId="0" applyFont="1" applyBorder="1" applyAlignment="1" applyProtection="1">
      <alignment horizontal="center" vertical="center"/>
      <protection hidden="1"/>
    </xf>
    <xf numFmtId="0" fontId="27" fillId="18" borderId="20" xfId="0" applyFont="1" applyFill="1" applyBorder="1" applyAlignment="1" applyProtection="1">
      <alignment horizontal="center" vertical="center"/>
      <protection hidden="1"/>
    </xf>
    <xf numFmtId="0" fontId="27" fillId="0" borderId="36" xfId="0" applyFont="1" applyBorder="1" applyAlignment="1" applyProtection="1">
      <alignment horizontal="center" vertical="center"/>
      <protection hidden="1"/>
    </xf>
    <xf numFmtId="0" fontId="27" fillId="0" borderId="34" xfId="0" applyFont="1" applyBorder="1" applyAlignment="1" applyProtection="1">
      <alignment horizontal="center" vertical="center"/>
      <protection hidden="1"/>
    </xf>
    <xf numFmtId="0" fontId="27" fillId="18" borderId="34" xfId="0" applyFont="1" applyFill="1" applyBorder="1" applyAlignment="1" applyProtection="1">
      <alignment horizontal="center" vertical="center"/>
      <protection hidden="1"/>
    </xf>
    <xf numFmtId="0" fontId="27" fillId="2" borderId="38" xfId="0" applyFont="1" applyFill="1" applyBorder="1" applyAlignment="1" applyProtection="1">
      <alignment horizontal="center" vertical="center"/>
      <protection locked="0"/>
    </xf>
    <xf numFmtId="0" fontId="27" fillId="0" borderId="38" xfId="0" applyFont="1" applyBorder="1" applyAlignment="1" applyProtection="1">
      <alignment horizontal="center" vertical="center"/>
      <protection locked="0"/>
    </xf>
    <xf numFmtId="0" fontId="27" fillId="18" borderId="38" xfId="0" applyFont="1" applyFill="1" applyBorder="1" applyAlignment="1" applyProtection="1">
      <alignment horizontal="center" vertical="center"/>
      <protection locked="0"/>
    </xf>
    <xf numFmtId="0" fontId="27" fillId="2" borderId="20" xfId="0" applyFont="1" applyFill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7" fillId="18" borderId="20" xfId="0" applyFont="1" applyFill="1" applyBorder="1" applyAlignment="1" applyProtection="1">
      <alignment horizontal="center" vertical="center"/>
      <protection locked="0"/>
    </xf>
    <xf numFmtId="0" fontId="27" fillId="2" borderId="34" xfId="0" applyFont="1" applyFill="1" applyBorder="1" applyAlignment="1" applyProtection="1">
      <alignment horizontal="center" vertical="center"/>
      <protection locked="0"/>
    </xf>
    <xf numFmtId="0" fontId="27" fillId="0" borderId="34" xfId="0" applyFont="1" applyBorder="1" applyAlignment="1" applyProtection="1">
      <alignment horizontal="center" vertical="center"/>
      <protection locked="0"/>
    </xf>
    <xf numFmtId="0" fontId="27" fillId="18" borderId="34" xfId="0" applyFont="1" applyFill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left" vertical="center"/>
      <protection hidden="1"/>
    </xf>
    <xf numFmtId="0" fontId="16" fillId="0" borderId="4" xfId="0" applyFont="1" applyBorder="1" applyAlignment="1" applyProtection="1">
      <alignment horizontal="left" vertical="center"/>
      <protection hidden="1"/>
    </xf>
    <xf numFmtId="0" fontId="16" fillId="0" borderId="23" xfId="0" applyFont="1" applyBorder="1" applyAlignment="1" applyProtection="1">
      <alignment horizontal="left" vertical="center" wrapText="1"/>
      <protection hidden="1"/>
    </xf>
    <xf numFmtId="0" fontId="16" fillId="0" borderId="24" xfId="0" applyFont="1" applyBorder="1" applyAlignment="1" applyProtection="1">
      <alignment horizontal="left" vertical="center" wrapText="1"/>
      <protection hidden="1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28" fillId="0" borderId="38" xfId="0" applyFont="1" applyBorder="1" applyAlignment="1" applyProtection="1">
      <alignment horizontal="center" vertical="center"/>
      <protection locked="0"/>
    </xf>
    <xf numFmtId="0" fontId="28" fillId="0" borderId="44" xfId="0" applyFont="1" applyBorder="1" applyAlignment="1" applyProtection="1">
      <alignment horizontal="center" vertical="center"/>
      <protection locked="0"/>
    </xf>
    <xf numFmtId="0" fontId="28" fillId="2" borderId="20" xfId="0" applyFont="1" applyFill="1" applyBorder="1" applyAlignment="1" applyProtection="1">
      <alignment horizontal="center" vertical="center"/>
      <protection locked="0"/>
    </xf>
    <xf numFmtId="0" fontId="28" fillId="0" borderId="20" xfId="0" applyFont="1" applyBorder="1" applyAlignment="1" applyProtection="1">
      <alignment horizontal="center" vertical="center"/>
      <protection locked="0"/>
    </xf>
    <xf numFmtId="0" fontId="28" fillId="0" borderId="4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left" vertical="center" wrapText="1"/>
      <protection hidden="1"/>
    </xf>
    <xf numFmtId="0" fontId="16" fillId="0" borderId="8" xfId="0" applyFont="1" applyBorder="1" applyAlignment="1" applyProtection="1">
      <alignment horizontal="left" vertical="center" wrapText="1"/>
      <protection hidden="1"/>
    </xf>
    <xf numFmtId="0" fontId="19" fillId="2" borderId="66" xfId="0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 applyProtection="1">
      <alignment horizontal="center" vertical="center" wrapText="1"/>
      <protection hidden="1"/>
    </xf>
    <xf numFmtId="0" fontId="19" fillId="0" borderId="7" xfId="0" applyFont="1" applyBorder="1" applyAlignment="1" applyProtection="1">
      <alignment horizontal="center" vertical="center" wrapText="1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19" fillId="0" borderId="8" xfId="0" applyFont="1" applyBorder="1" applyAlignment="1" applyProtection="1">
      <alignment horizontal="center" vertical="center" wrapText="1"/>
      <protection hidden="1"/>
    </xf>
    <xf numFmtId="0" fontId="28" fillId="0" borderId="9" xfId="0" applyFont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1" xfId="0" applyFont="1" applyBorder="1" applyAlignment="1" applyProtection="1">
      <alignment horizontal="left" vertical="center"/>
      <protection hidden="1"/>
    </xf>
    <xf numFmtId="0" fontId="19" fillId="7" borderId="69" xfId="0" applyFont="1" applyFill="1" applyBorder="1" applyAlignment="1" applyProtection="1">
      <alignment horizontal="center" vertical="center" wrapText="1"/>
      <protection hidden="1"/>
    </xf>
    <xf numFmtId="0" fontId="19" fillId="7" borderId="72" xfId="0" applyFont="1" applyFill="1" applyBorder="1" applyAlignment="1" applyProtection="1">
      <alignment horizontal="center" vertical="center" wrapText="1"/>
      <protection hidden="1"/>
    </xf>
    <xf numFmtId="0" fontId="21" fillId="0" borderId="60" xfId="0" applyFont="1" applyBorder="1" applyAlignment="1" applyProtection="1">
      <alignment horizontal="center" vertical="center" wrapText="1"/>
      <protection hidden="1"/>
    </xf>
    <xf numFmtId="0" fontId="43" fillId="0" borderId="54" xfId="0" applyFont="1" applyBorder="1" applyAlignment="1" applyProtection="1">
      <alignment horizontal="center" vertical="center" wrapText="1"/>
      <protection hidden="1"/>
    </xf>
    <xf numFmtId="0" fontId="43" fillId="2" borderId="54" xfId="0" applyFont="1" applyFill="1" applyBorder="1" applyAlignment="1" applyProtection="1">
      <alignment horizontal="center" vertical="center" wrapText="1"/>
      <protection hidden="1"/>
    </xf>
    <xf numFmtId="0" fontId="43" fillId="0" borderId="48" xfId="0" applyFont="1" applyBorder="1" applyAlignment="1" applyProtection="1">
      <alignment horizontal="center" vertical="center" wrapText="1"/>
      <protection hidden="1"/>
    </xf>
    <xf numFmtId="0" fontId="43" fillId="2" borderId="48" xfId="0" applyFont="1" applyFill="1" applyBorder="1" applyAlignment="1" applyProtection="1">
      <alignment horizontal="center" vertical="center" wrapText="1"/>
      <protection hidden="1"/>
    </xf>
    <xf numFmtId="0" fontId="43" fillId="0" borderId="55" xfId="0" applyFont="1" applyBorder="1" applyAlignment="1" applyProtection="1">
      <alignment horizontal="center" vertical="center" wrapText="1"/>
      <protection hidden="1"/>
    </xf>
    <xf numFmtId="0" fontId="43" fillId="0" borderId="7" xfId="0" applyFont="1" applyBorder="1" applyAlignment="1" applyProtection="1">
      <alignment horizontal="center" vertical="center" wrapText="1"/>
      <protection hidden="1"/>
    </xf>
    <xf numFmtId="0" fontId="43" fillId="0" borderId="1" xfId="0" applyFont="1" applyBorder="1" applyAlignment="1" applyProtection="1">
      <alignment horizontal="center" vertical="center" wrapText="1"/>
      <protection hidden="1"/>
    </xf>
    <xf numFmtId="0" fontId="43" fillId="0" borderId="10" xfId="0" applyFont="1" applyBorder="1" applyAlignment="1" applyProtection="1">
      <alignment horizontal="center" vertical="center" wrapText="1"/>
      <protection hidden="1"/>
    </xf>
    <xf numFmtId="0" fontId="43" fillId="0" borderId="11" xfId="0" applyFont="1" applyBorder="1" applyAlignment="1" applyProtection="1">
      <alignment horizontal="center" vertical="center" wrapText="1"/>
      <protection hidden="1"/>
    </xf>
    <xf numFmtId="0" fontId="43" fillId="0" borderId="2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38" fillId="16" borderId="9" xfId="0" applyFont="1" applyFill="1" applyBorder="1" applyAlignment="1" applyProtection="1">
      <alignment horizontal="left" vertical="center" wrapText="1"/>
      <protection hidden="1"/>
    </xf>
    <xf numFmtId="0" fontId="38" fillId="16" borderId="10" xfId="0" applyFont="1" applyFill="1" applyBorder="1" applyAlignment="1" applyProtection="1">
      <alignment horizontal="left" vertical="center" wrapText="1"/>
      <protection hidden="1"/>
    </xf>
    <xf numFmtId="0" fontId="19" fillId="16" borderId="10" xfId="0" applyFont="1" applyFill="1" applyBorder="1" applyAlignment="1" applyProtection="1">
      <alignment horizontal="center" vertical="center"/>
      <protection hidden="1"/>
    </xf>
    <xf numFmtId="0" fontId="19" fillId="16" borderId="11" xfId="0" applyFont="1" applyFill="1" applyBorder="1" applyAlignment="1" applyProtection="1">
      <alignment horizontal="center" vertical="center"/>
      <protection hidden="1"/>
    </xf>
    <xf numFmtId="0" fontId="28" fillId="7" borderId="60" xfId="0" applyFont="1" applyFill="1" applyBorder="1" applyAlignment="1" applyProtection="1">
      <alignment horizontal="center" vertical="center" wrapText="1"/>
      <protection hidden="1"/>
    </xf>
    <xf numFmtId="0" fontId="28" fillId="7" borderId="54" xfId="0" applyFont="1" applyFill="1" applyBorder="1" applyAlignment="1" applyProtection="1">
      <alignment horizontal="center" vertical="center" wrapText="1"/>
      <protection hidden="1"/>
    </xf>
    <xf numFmtId="0" fontId="28" fillId="7" borderId="55" xfId="0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32" fillId="0" borderId="39" xfId="0" applyFont="1" applyBorder="1" applyAlignment="1" applyProtection="1">
      <alignment horizontal="center" vertical="center" wrapText="1"/>
      <protection hidden="1"/>
    </xf>
    <xf numFmtId="0" fontId="32" fillId="0" borderId="48" xfId="0" applyFont="1" applyBorder="1" applyAlignment="1" applyProtection="1">
      <alignment horizontal="center" vertical="center" wrapText="1"/>
      <protection hidden="1"/>
    </xf>
    <xf numFmtId="0" fontId="32" fillId="0" borderId="40" xfId="0" applyFont="1" applyBorder="1" applyAlignment="1" applyProtection="1">
      <alignment horizontal="center" vertical="center" wrapText="1"/>
      <protection hidden="1"/>
    </xf>
    <xf numFmtId="0" fontId="42" fillId="0" borderId="53" xfId="0" applyFont="1" applyBorder="1" applyAlignment="1" applyProtection="1">
      <alignment horizontal="center" vertical="center" textRotation="90" wrapText="1"/>
      <protection hidden="1"/>
    </xf>
    <xf numFmtId="0" fontId="42" fillId="0" borderId="54" xfId="0" applyFont="1" applyBorder="1" applyAlignment="1" applyProtection="1">
      <alignment horizontal="center" vertical="center" textRotation="90" wrapText="1"/>
      <protection hidden="1"/>
    </xf>
    <xf numFmtId="0" fontId="52" fillId="2" borderId="16" xfId="0" applyFont="1" applyFill="1" applyBorder="1" applyAlignment="1" applyProtection="1">
      <alignment horizontal="center" vertical="center"/>
      <protection locked="0"/>
    </xf>
    <xf numFmtId="0" fontId="52" fillId="0" borderId="17" xfId="0" applyFont="1" applyBorder="1" applyAlignment="1" applyProtection="1">
      <alignment horizontal="center" vertical="center"/>
      <protection locked="0"/>
    </xf>
    <xf numFmtId="0" fontId="52" fillId="2" borderId="17" xfId="0" applyFont="1" applyFill="1" applyBorder="1" applyAlignment="1" applyProtection="1">
      <alignment horizontal="center" vertical="center"/>
      <protection locked="0"/>
    </xf>
    <xf numFmtId="0" fontId="17" fillId="0" borderId="54" xfId="0" applyFont="1" applyBorder="1" applyAlignment="1" applyProtection="1">
      <alignment horizontal="center" vertical="center" textRotation="90" wrapText="1"/>
      <protection hidden="1"/>
    </xf>
    <xf numFmtId="0" fontId="21" fillId="7" borderId="0" xfId="0" applyFont="1" applyFill="1" applyAlignment="1" applyProtection="1">
      <alignment horizontal="right" vertical="center" wrapText="1"/>
      <protection hidden="1"/>
    </xf>
    <xf numFmtId="0" fontId="34" fillId="7" borderId="0" xfId="0" applyFont="1" applyFill="1" applyAlignment="1" applyProtection="1">
      <alignment horizontal="center" vertical="center" wrapText="1"/>
      <protection hidden="1"/>
    </xf>
    <xf numFmtId="0" fontId="21" fillId="7" borderId="1" xfId="0" applyFont="1" applyFill="1" applyBorder="1" applyAlignment="1" applyProtection="1">
      <alignment horizontal="center" vertical="center" wrapText="1"/>
      <protection hidden="1"/>
    </xf>
    <xf numFmtId="0" fontId="26" fillId="7" borderId="1" xfId="2" applyFont="1" applyFill="1" applyBorder="1" applyAlignment="1" applyProtection="1">
      <alignment horizontal="left" vertical="center" wrapText="1"/>
      <protection hidden="1"/>
    </xf>
    <xf numFmtId="0" fontId="88" fillId="2" borderId="3" xfId="0" applyFont="1" applyFill="1" applyBorder="1" applyAlignment="1" applyProtection="1">
      <alignment horizontal="right" vertical="center" wrapText="1"/>
      <protection hidden="1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0" fontId="19" fillId="2" borderId="78" xfId="0" applyFont="1" applyFill="1" applyBorder="1" applyAlignment="1" applyProtection="1">
      <alignment horizontal="center" vertical="center"/>
      <protection locked="0"/>
    </xf>
    <xf numFmtId="0" fontId="19" fillId="2" borderId="26" xfId="0" applyFont="1" applyFill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 wrapText="1"/>
      <protection hidden="1"/>
    </xf>
    <xf numFmtId="0" fontId="19" fillId="0" borderId="11" xfId="0" applyFont="1" applyBorder="1" applyAlignment="1" applyProtection="1">
      <alignment horizontal="center" vertical="center" wrapText="1"/>
      <protection hidden="1"/>
    </xf>
    <xf numFmtId="0" fontId="19" fillId="0" borderId="14" xfId="0" applyFont="1" applyBorder="1" applyAlignment="1" applyProtection="1">
      <alignment horizontal="center" vertical="center"/>
      <protection locked="0"/>
    </xf>
    <xf numFmtId="0" fontId="19" fillId="0" borderId="70" xfId="0" applyFont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left" vertical="center" wrapText="1"/>
      <protection hidden="1"/>
    </xf>
    <xf numFmtId="0" fontId="21" fillId="7" borderId="4" xfId="0" applyFont="1" applyFill="1" applyBorder="1" applyAlignment="1" applyProtection="1">
      <alignment horizontal="left" vertical="center" wrapText="1"/>
      <protection hidden="1"/>
    </xf>
    <xf numFmtId="0" fontId="34" fillId="2" borderId="0" xfId="0" applyFont="1" applyFill="1" applyAlignment="1" applyProtection="1">
      <alignment horizontal="center" wrapText="1"/>
      <protection hidden="1"/>
    </xf>
    <xf numFmtId="0" fontId="34" fillId="2" borderId="0" xfId="0" applyFont="1" applyFill="1" applyAlignment="1" applyProtection="1">
      <alignment horizontal="center" vertical="center" wrapText="1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11" xfId="0" applyFont="1" applyBorder="1" applyAlignment="1" applyProtection="1">
      <alignment horizontal="center" vertical="center"/>
      <protection hidden="1"/>
    </xf>
    <xf numFmtId="0" fontId="21" fillId="7" borderId="0" xfId="0" applyFont="1" applyFill="1" applyAlignment="1" applyProtection="1">
      <alignment horizontal="center" vertical="center"/>
      <protection hidden="1"/>
    </xf>
    <xf numFmtId="164" fontId="89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27" fillId="2" borderId="3" xfId="0" applyFont="1" applyFill="1" applyBorder="1" applyAlignment="1" applyProtection="1">
      <alignment horizontal="center" vertical="center" wrapText="1"/>
      <protection hidden="1"/>
    </xf>
    <xf numFmtId="0" fontId="27" fillId="2" borderId="4" xfId="0" applyFont="1" applyFill="1" applyBorder="1" applyAlignment="1" applyProtection="1">
      <alignment horizontal="center" vertical="center" wrapText="1"/>
      <protection hidden="1"/>
    </xf>
    <xf numFmtId="0" fontId="27" fillId="2" borderId="2" xfId="0" applyFont="1" applyFill="1" applyBorder="1" applyAlignment="1" applyProtection="1">
      <alignment horizontal="center" vertical="center" wrapText="1"/>
      <protection hidden="1"/>
    </xf>
    <xf numFmtId="3" fontId="27" fillId="7" borderId="0" xfId="0" applyNumberFormat="1" applyFont="1" applyFill="1" applyAlignment="1" applyProtection="1">
      <alignment horizontal="right" vertical="center"/>
      <protection hidden="1"/>
    </xf>
    <xf numFmtId="3" fontId="29" fillId="7" borderId="0" xfId="0" applyNumberFormat="1" applyFont="1" applyFill="1" applyAlignment="1" applyProtection="1">
      <alignment horizontal="center" vertical="center"/>
      <protection hidden="1"/>
    </xf>
    <xf numFmtId="3" fontId="29" fillId="7" borderId="0" xfId="0" applyNumberFormat="1" applyFont="1" applyFill="1" applyAlignment="1" applyProtection="1">
      <alignment horizontal="right" vertical="center"/>
      <protection hidden="1"/>
    </xf>
    <xf numFmtId="1" fontId="21" fillId="0" borderId="0" xfId="0" applyNumberFormat="1" applyFont="1" applyAlignment="1" applyProtection="1">
      <alignment horizontal="center" vertical="center"/>
      <protection hidden="1"/>
    </xf>
    <xf numFmtId="0" fontId="32" fillId="0" borderId="56" xfId="0" applyFont="1" applyBorder="1" applyAlignment="1" applyProtection="1">
      <alignment horizontal="center" vertical="center" textRotation="90" wrapText="1"/>
      <protection hidden="1"/>
    </xf>
    <xf numFmtId="0" fontId="32" fillId="0" borderId="48" xfId="0" applyFont="1" applyBorder="1" applyAlignment="1" applyProtection="1">
      <alignment horizontal="center" vertical="center" textRotation="90" wrapText="1"/>
      <protection hidden="1"/>
    </xf>
    <xf numFmtId="0" fontId="27" fillId="2" borderId="39" xfId="0" applyFont="1" applyFill="1" applyBorder="1" applyAlignment="1" applyProtection="1">
      <alignment horizontal="center" vertical="center"/>
      <protection hidden="1"/>
    </xf>
    <xf numFmtId="0" fontId="27" fillId="2" borderId="48" xfId="0" applyFont="1" applyFill="1" applyBorder="1" applyAlignment="1" applyProtection="1">
      <alignment horizontal="center" vertical="center"/>
      <protection hidden="1"/>
    </xf>
    <xf numFmtId="0" fontId="42" fillId="0" borderId="39" xfId="0" applyFont="1" applyBorder="1" applyAlignment="1" applyProtection="1">
      <alignment horizontal="center" vertical="center" wrapText="1"/>
      <protection hidden="1"/>
    </xf>
    <xf numFmtId="0" fontId="42" fillId="0" borderId="48" xfId="0" applyFont="1" applyBorder="1" applyAlignment="1" applyProtection="1">
      <alignment horizontal="center" vertical="center" wrapText="1"/>
      <protection hidden="1"/>
    </xf>
    <xf numFmtId="0" fontId="42" fillId="0" borderId="40" xfId="0" applyFont="1" applyBorder="1" applyAlignment="1" applyProtection="1">
      <alignment horizontal="center" vertical="center" wrapText="1"/>
      <protection hidden="1"/>
    </xf>
    <xf numFmtId="0" fontId="27" fillId="2" borderId="40" xfId="0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88" fillId="2" borderId="3" xfId="0" applyFont="1" applyFill="1" applyBorder="1" applyAlignment="1" applyProtection="1">
      <alignment horizontal="left" vertical="center" wrapText="1"/>
      <protection hidden="1"/>
    </xf>
    <xf numFmtId="0" fontId="88" fillId="2" borderId="4" xfId="0" applyFont="1" applyFill="1" applyBorder="1" applyAlignment="1" applyProtection="1">
      <alignment horizontal="left" vertical="center" wrapText="1"/>
      <protection hidden="1"/>
    </xf>
    <xf numFmtId="0" fontId="17" fillId="0" borderId="0" xfId="0" applyFont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9" fillId="2" borderId="7" xfId="0" applyNumberFormat="1" applyFont="1" applyFill="1" applyBorder="1" applyAlignment="1" applyProtection="1">
      <alignment horizontal="center" vertical="center" wrapText="1"/>
      <protection hidden="1"/>
    </xf>
    <xf numFmtId="165" fontId="19" fillId="2" borderId="1" xfId="0" applyNumberFormat="1" applyFont="1" applyFill="1" applyBorder="1" applyAlignment="1" applyProtection="1">
      <alignment horizontal="center" vertical="center" wrapText="1"/>
      <protection hidden="1"/>
    </xf>
    <xf numFmtId="165" fontId="19" fillId="2" borderId="8" xfId="0" applyNumberFormat="1" applyFont="1" applyFill="1" applyBorder="1" applyAlignment="1" applyProtection="1">
      <alignment horizontal="center" vertical="center" wrapText="1"/>
      <protection hidden="1"/>
    </xf>
    <xf numFmtId="0" fontId="19" fillId="7" borderId="1" xfId="0" applyFont="1" applyFill="1" applyBorder="1" applyAlignment="1" applyProtection="1">
      <alignment horizontal="left" vertical="center" wrapText="1"/>
      <protection hidden="1"/>
    </xf>
    <xf numFmtId="0" fontId="19" fillId="7" borderId="8" xfId="0" applyFont="1" applyFill="1" applyBorder="1" applyAlignment="1" applyProtection="1">
      <alignment horizontal="left" vertical="center" wrapText="1"/>
      <protection hidden="1"/>
    </xf>
    <xf numFmtId="2" fontId="29" fillId="0" borderId="0" xfId="0" applyNumberFormat="1" applyFont="1" applyAlignment="1" applyProtection="1">
      <alignment horizontal="center" vertical="center"/>
      <protection hidden="1"/>
    </xf>
    <xf numFmtId="1" fontId="62" fillId="5" borderId="47" xfId="0" applyNumberFormat="1" applyFont="1" applyFill="1" applyBorder="1" applyAlignment="1" applyProtection="1">
      <alignment horizontal="center" vertical="center"/>
      <protection hidden="1"/>
    </xf>
    <xf numFmtId="1" fontId="62" fillId="5" borderId="10" xfId="0" applyNumberFormat="1" applyFont="1" applyFill="1" applyBorder="1" applyAlignment="1" applyProtection="1">
      <alignment horizontal="center" vertical="center"/>
      <protection hidden="1"/>
    </xf>
    <xf numFmtId="1" fontId="62" fillId="5" borderId="11" xfId="0" applyNumberFormat="1" applyFont="1" applyFill="1" applyBorder="1" applyAlignment="1" applyProtection="1">
      <alignment horizontal="center" vertical="center"/>
      <protection hidden="1"/>
    </xf>
    <xf numFmtId="0" fontId="63" fillId="5" borderId="9" xfId="0" applyFont="1" applyFill="1" applyBorder="1" applyAlignment="1" applyProtection="1">
      <alignment horizontal="left" vertical="center"/>
      <protection hidden="1"/>
    </xf>
    <xf numFmtId="0" fontId="63" fillId="5" borderId="10" xfId="0" applyFont="1" applyFill="1" applyBorder="1" applyAlignment="1" applyProtection="1">
      <alignment horizontal="left" vertical="center"/>
      <protection hidden="1"/>
    </xf>
    <xf numFmtId="0" fontId="63" fillId="5" borderId="56" xfId="0" applyFont="1" applyFill="1" applyBorder="1" applyAlignment="1" applyProtection="1">
      <alignment horizontal="left" vertical="center"/>
      <protection hidden="1"/>
    </xf>
    <xf numFmtId="0" fontId="19" fillId="2" borderId="29" xfId="0" applyFont="1" applyFill="1" applyBorder="1" applyAlignment="1" applyProtection="1">
      <alignment horizontal="center" vertical="center"/>
      <protection locked="0"/>
    </xf>
    <xf numFmtId="0" fontId="21" fillId="0" borderId="10" xfId="0" applyFont="1" applyBorder="1" applyAlignment="1" applyProtection="1">
      <alignment horizontal="center" vertical="center" wrapText="1"/>
      <protection hidden="1"/>
    </xf>
    <xf numFmtId="0" fontId="28" fillId="7" borderId="53" xfId="0" applyFont="1" applyFill="1" applyBorder="1" applyAlignment="1" applyProtection="1">
      <alignment horizontal="center" vertical="center" wrapText="1"/>
      <protection hidden="1"/>
    </xf>
    <xf numFmtId="0" fontId="28" fillId="7" borderId="1" xfId="0" applyFont="1" applyFill="1" applyBorder="1" applyAlignment="1" applyProtection="1">
      <alignment horizontal="center" vertical="center" wrapText="1"/>
      <protection hidden="1"/>
    </xf>
    <xf numFmtId="0" fontId="28" fillId="7" borderId="61" xfId="0" applyFont="1" applyFill="1" applyBorder="1" applyAlignment="1" applyProtection="1">
      <alignment horizontal="center" vertical="center" wrapText="1"/>
      <protection hidden="1"/>
    </xf>
    <xf numFmtId="0" fontId="27" fillId="2" borderId="41" xfId="0" applyFont="1" applyFill="1" applyBorder="1" applyAlignment="1" applyProtection="1">
      <alignment horizontal="center" vertical="center"/>
      <protection hidden="1"/>
    </xf>
    <xf numFmtId="0" fontId="27" fillId="7" borderId="21" xfId="0" applyFont="1" applyFill="1" applyBorder="1" applyAlignment="1" applyProtection="1">
      <alignment horizontal="center" vertical="center"/>
      <protection hidden="1"/>
    </xf>
    <xf numFmtId="0" fontId="52" fillId="2" borderId="27" xfId="0" applyFont="1" applyFill="1" applyBorder="1" applyAlignment="1" applyProtection="1">
      <alignment horizontal="center" vertical="center"/>
      <protection locked="0"/>
    </xf>
    <xf numFmtId="0" fontId="52" fillId="0" borderId="28" xfId="0" applyFont="1" applyBorder="1" applyAlignment="1" applyProtection="1">
      <alignment horizontal="center" vertical="center"/>
      <protection locked="0"/>
    </xf>
    <xf numFmtId="0" fontId="44" fillId="2" borderId="22" xfId="0" applyFont="1" applyFill="1" applyBorder="1" applyAlignment="1" applyProtection="1">
      <alignment horizontal="center" vertical="center"/>
      <protection locked="0"/>
    </xf>
    <xf numFmtId="0" fontId="44" fillId="0" borderId="23" xfId="0" applyFont="1" applyBorder="1" applyAlignment="1" applyProtection="1">
      <alignment horizontal="center" vertical="center"/>
      <protection locked="0"/>
    </xf>
    <xf numFmtId="0" fontId="52" fillId="2" borderId="28" xfId="0" applyFont="1" applyFill="1" applyBorder="1" applyAlignment="1" applyProtection="1">
      <alignment horizontal="center" vertical="center"/>
      <protection locked="0"/>
    </xf>
    <xf numFmtId="0" fontId="44" fillId="2" borderId="23" xfId="0" applyFont="1" applyFill="1" applyBorder="1" applyAlignment="1" applyProtection="1">
      <alignment horizontal="center" vertical="center"/>
      <protection locked="0"/>
    </xf>
    <xf numFmtId="0" fontId="17" fillId="0" borderId="55" xfId="0" applyFont="1" applyBorder="1" applyAlignment="1" applyProtection="1">
      <alignment horizontal="center" vertical="center" textRotation="90" wrapText="1"/>
      <protection hidden="1"/>
    </xf>
    <xf numFmtId="0" fontId="79" fillId="2" borderId="23" xfId="0" applyFont="1" applyFill="1" applyBorder="1" applyAlignment="1" applyProtection="1">
      <alignment horizontal="center"/>
      <protection locked="0"/>
    </xf>
    <xf numFmtId="0" fontId="79" fillId="0" borderId="26" xfId="0" applyFont="1" applyBorder="1" applyAlignment="1" applyProtection="1">
      <alignment horizontal="center"/>
      <protection locked="0"/>
    </xf>
    <xf numFmtId="0" fontId="52" fillId="7" borderId="26" xfId="0" applyFont="1" applyFill="1" applyBorder="1" applyAlignment="1" applyProtection="1">
      <alignment horizontal="center" vertical="center"/>
      <protection locked="0"/>
    </xf>
    <xf numFmtId="0" fontId="52" fillId="0" borderId="26" xfId="0" applyFont="1" applyBorder="1" applyAlignment="1" applyProtection="1">
      <alignment horizontal="center" vertical="center"/>
      <protection locked="0"/>
    </xf>
    <xf numFmtId="0" fontId="79" fillId="2" borderId="17" xfId="0" applyFont="1" applyFill="1" applyBorder="1" applyAlignment="1" applyProtection="1">
      <alignment horizontal="center"/>
      <protection locked="0"/>
    </xf>
    <xf numFmtId="0" fontId="79" fillId="0" borderId="78" xfId="0" applyFont="1" applyBorder="1" applyAlignment="1" applyProtection="1">
      <alignment horizontal="center"/>
      <protection locked="0"/>
    </xf>
    <xf numFmtId="0" fontId="79" fillId="2" borderId="28" xfId="0" applyFont="1" applyFill="1" applyBorder="1" applyAlignment="1" applyProtection="1">
      <alignment horizontal="center"/>
      <protection locked="0"/>
    </xf>
    <xf numFmtId="0" fontId="79" fillId="0" borderId="29" xfId="0" applyFont="1" applyBorder="1" applyAlignment="1" applyProtection="1">
      <alignment horizontal="center"/>
      <protection locked="0"/>
    </xf>
    <xf numFmtId="3" fontId="86" fillId="0" borderId="53" xfId="0" applyNumberFormat="1" applyFont="1" applyBorder="1" applyAlignment="1" applyProtection="1">
      <alignment horizontal="center" vertical="center"/>
      <protection hidden="1"/>
    </xf>
    <xf numFmtId="3" fontId="86" fillId="0" borderId="54" xfId="0" applyNumberFormat="1" applyFont="1" applyBorder="1" applyAlignment="1" applyProtection="1">
      <alignment horizontal="center" vertical="center"/>
      <protection hidden="1"/>
    </xf>
    <xf numFmtId="3" fontId="86" fillId="2" borderId="54" xfId="0" applyNumberFormat="1" applyFont="1" applyFill="1" applyBorder="1" applyAlignment="1" applyProtection="1">
      <alignment horizontal="center" vertical="center"/>
      <protection hidden="1"/>
    </xf>
    <xf numFmtId="3" fontId="86" fillId="0" borderId="61" xfId="0" applyNumberFormat="1" applyFont="1" applyBorder="1" applyAlignment="1" applyProtection="1">
      <alignment horizontal="center" vertical="center"/>
      <protection hidden="1"/>
    </xf>
    <xf numFmtId="0" fontId="52" fillId="0" borderId="18" xfId="0" applyFont="1" applyBorder="1" applyAlignment="1" applyProtection="1">
      <alignment horizontal="center" vertical="center"/>
      <protection locked="0"/>
    </xf>
    <xf numFmtId="0" fontId="52" fillId="0" borderId="21" xfId="0" applyFont="1" applyBorder="1" applyAlignment="1" applyProtection="1">
      <alignment horizontal="center" vertical="center"/>
      <protection locked="0"/>
    </xf>
    <xf numFmtId="0" fontId="52" fillId="0" borderId="41" xfId="0" applyFont="1" applyBorder="1" applyAlignment="1" applyProtection="1">
      <alignment horizontal="center" vertical="center"/>
      <protection locked="0"/>
    </xf>
    <xf numFmtId="0" fontId="52" fillId="0" borderId="20" xfId="0" applyFont="1" applyBorder="1" applyAlignment="1" applyProtection="1">
      <alignment horizontal="center" vertical="center"/>
      <protection locked="0"/>
    </xf>
    <xf numFmtId="0" fontId="52" fillId="0" borderId="30" xfId="0" applyFont="1" applyBorder="1" applyAlignment="1" applyProtection="1">
      <alignment horizontal="center" vertical="center"/>
      <protection locked="0"/>
    </xf>
    <xf numFmtId="3" fontId="86" fillId="0" borderId="55" xfId="0" applyNumberFormat="1" applyFont="1" applyBorder="1" applyAlignment="1" applyProtection="1">
      <alignment horizontal="center" vertical="center"/>
      <protection hidden="1"/>
    </xf>
    <xf numFmtId="0" fontId="52" fillId="7" borderId="21" xfId="0" applyFont="1" applyFill="1" applyBorder="1" applyAlignment="1" applyProtection="1">
      <alignment horizontal="center" vertical="center"/>
      <protection locked="0"/>
    </xf>
    <xf numFmtId="0" fontId="52" fillId="7" borderId="41" xfId="0" applyFont="1" applyFill="1" applyBorder="1" applyAlignment="1" applyProtection="1">
      <alignment horizontal="center" vertical="center"/>
      <protection locked="0"/>
    </xf>
    <xf numFmtId="0" fontId="52" fillId="7" borderId="20" xfId="0" applyFont="1" applyFill="1" applyBorder="1" applyAlignment="1" applyProtection="1">
      <alignment horizontal="center" vertical="center"/>
      <protection locked="0"/>
    </xf>
    <xf numFmtId="0" fontId="52" fillId="0" borderId="57" xfId="0" applyFont="1" applyBorder="1" applyAlignment="1" applyProtection="1">
      <alignment horizontal="center" vertical="center"/>
      <protection locked="0"/>
    </xf>
    <xf numFmtId="0" fontId="52" fillId="0" borderId="51" xfId="0" applyFont="1" applyBorder="1" applyAlignment="1" applyProtection="1">
      <alignment horizontal="center" vertical="center"/>
      <protection locked="0"/>
    </xf>
    <xf numFmtId="0" fontId="52" fillId="0" borderId="45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52" fillId="0" borderId="15" xfId="0" applyFont="1" applyBorder="1" applyAlignment="1" applyProtection="1">
      <alignment horizontal="center" vertical="center"/>
      <protection locked="0"/>
    </xf>
    <xf numFmtId="0" fontId="52" fillId="0" borderId="70" xfId="0" applyFont="1" applyBorder="1" applyAlignment="1" applyProtection="1">
      <alignment horizontal="center" vertical="center"/>
      <protection locked="0"/>
    </xf>
    <xf numFmtId="0" fontId="52" fillId="0" borderId="14" xfId="0" applyFont="1" applyBorder="1" applyAlignment="1" applyProtection="1">
      <alignment horizontal="center" vertical="center"/>
      <protection locked="0"/>
    </xf>
    <xf numFmtId="3" fontId="86" fillId="0" borderId="1" xfId="0" applyNumberFormat="1" applyFont="1" applyBorder="1" applyAlignment="1" applyProtection="1">
      <alignment horizontal="center" vertical="center"/>
      <protection hidden="1"/>
    </xf>
    <xf numFmtId="3" fontId="86" fillId="2" borderId="7" xfId="0" applyNumberFormat="1" applyFont="1" applyFill="1" applyBorder="1" applyAlignment="1" applyProtection="1">
      <alignment horizontal="center" vertical="center"/>
      <protection hidden="1"/>
    </xf>
    <xf numFmtId="3" fontId="86" fillId="0" borderId="8" xfId="0" applyNumberFormat="1" applyFont="1" applyBorder="1" applyAlignment="1" applyProtection="1">
      <alignment horizontal="center" vertical="center"/>
      <protection hidden="1"/>
    </xf>
    <xf numFmtId="0" fontId="32" fillId="0" borderId="15" xfId="0" applyFont="1" applyBorder="1" applyAlignment="1" applyProtection="1">
      <alignment horizontal="center" vertical="center"/>
      <protection hidden="1"/>
    </xf>
    <xf numFmtId="0" fontId="32" fillId="0" borderId="70" xfId="0" applyFont="1" applyBorder="1" applyAlignment="1" applyProtection="1">
      <alignment horizontal="center" vertical="center"/>
      <protection hidden="1"/>
    </xf>
    <xf numFmtId="0" fontId="32" fillId="0" borderId="57" xfId="0" applyFont="1" applyBorder="1" applyAlignment="1" applyProtection="1">
      <alignment horizontal="center" vertical="center"/>
      <protection hidden="1"/>
    </xf>
    <xf numFmtId="0" fontId="32" fillId="0" borderId="51" xfId="0" applyFont="1" applyBorder="1" applyAlignment="1" applyProtection="1">
      <alignment horizontal="center" vertical="center"/>
      <protection hidden="1"/>
    </xf>
    <xf numFmtId="0" fontId="52" fillId="2" borderId="57" xfId="0" applyFont="1" applyFill="1" applyBorder="1" applyAlignment="1" applyProtection="1">
      <alignment horizontal="center" vertical="center"/>
      <protection locked="0"/>
    </xf>
    <xf numFmtId="0" fontId="52" fillId="2" borderId="73" xfId="0" applyFont="1" applyFill="1" applyBorder="1" applyAlignment="1" applyProtection="1">
      <alignment horizontal="center" vertical="center"/>
      <protection locked="0"/>
    </xf>
    <xf numFmtId="0" fontId="44" fillId="2" borderId="21" xfId="0" applyFont="1" applyFill="1" applyBorder="1" applyAlignment="1" applyProtection="1">
      <alignment horizontal="center" vertical="center"/>
      <protection locked="0"/>
    </xf>
    <xf numFmtId="0" fontId="44" fillId="2" borderId="25" xfId="0" applyFont="1" applyFill="1" applyBorder="1" applyAlignment="1" applyProtection="1">
      <alignment horizontal="center" vertical="center"/>
      <protection locked="0"/>
    </xf>
    <xf numFmtId="0" fontId="52" fillId="2" borderId="21" xfId="0" applyFont="1" applyFill="1" applyBorder="1" applyAlignment="1" applyProtection="1">
      <alignment horizontal="center" vertical="center"/>
      <protection locked="0"/>
    </xf>
    <xf numFmtId="0" fontId="52" fillId="2" borderId="25" xfId="0" applyFont="1" applyFill="1" applyBorder="1" applyAlignment="1" applyProtection="1">
      <alignment horizontal="center" vertical="center"/>
      <protection locked="0"/>
    </xf>
    <xf numFmtId="0" fontId="52" fillId="7" borderId="25" xfId="0" applyFont="1" applyFill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 textRotation="90" wrapText="1"/>
      <protection hidden="1"/>
    </xf>
    <xf numFmtId="0" fontId="32" fillId="0" borderId="54" xfId="0" applyFont="1" applyBorder="1" applyAlignment="1" applyProtection="1">
      <alignment horizontal="center" vertical="center" textRotation="90" wrapText="1"/>
      <protection hidden="1"/>
    </xf>
    <xf numFmtId="0" fontId="43" fillId="0" borderId="2" xfId="0" applyFont="1" applyBorder="1" applyAlignment="1" applyProtection="1">
      <alignment horizontal="center" vertical="center"/>
      <protection hidden="1"/>
    </xf>
    <xf numFmtId="0" fontId="43" fillId="0" borderId="3" xfId="0" applyFont="1" applyBorder="1" applyAlignment="1" applyProtection="1">
      <alignment horizontal="center" vertical="center"/>
      <protection hidden="1"/>
    </xf>
    <xf numFmtId="0" fontId="43" fillId="0" borderId="4" xfId="0" applyFont="1" applyBorder="1" applyAlignment="1" applyProtection="1">
      <alignment horizontal="center" vertical="center"/>
      <protection hidden="1"/>
    </xf>
    <xf numFmtId="3" fontId="86" fillId="7" borderId="10" xfId="0" applyNumberFormat="1" applyFont="1" applyFill="1" applyBorder="1" applyAlignment="1" applyProtection="1">
      <alignment horizontal="center" vertical="center"/>
      <protection hidden="1"/>
    </xf>
    <xf numFmtId="3" fontId="86" fillId="7" borderId="11" xfId="0" applyNumberFormat="1" applyFont="1" applyFill="1" applyBorder="1" applyAlignment="1" applyProtection="1">
      <alignment horizontal="center" vertical="center"/>
      <protection hidden="1"/>
    </xf>
    <xf numFmtId="167" fontId="27" fillId="7" borderId="9" xfId="0" applyNumberFormat="1" applyFont="1" applyFill="1" applyBorder="1" applyAlignment="1" applyProtection="1">
      <alignment horizontal="center" vertical="center"/>
      <protection hidden="1"/>
    </xf>
    <xf numFmtId="167" fontId="27" fillId="7" borderId="11" xfId="0" applyNumberFormat="1" applyFont="1" applyFill="1" applyBorder="1" applyAlignment="1" applyProtection="1">
      <alignment horizontal="center" vertical="center"/>
      <protection hidden="1"/>
    </xf>
    <xf numFmtId="0" fontId="27" fillId="2" borderId="52" xfId="0" applyFont="1" applyFill="1" applyBorder="1" applyAlignment="1" applyProtection="1">
      <alignment horizontal="center" vertical="center"/>
      <protection hidden="1"/>
    </xf>
    <xf numFmtId="0" fontId="21" fillId="0" borderId="21" xfId="0" applyFont="1" applyBorder="1" applyAlignment="1" applyProtection="1">
      <alignment horizontal="center" vertical="center"/>
      <protection hidden="1"/>
    </xf>
    <xf numFmtId="0" fontId="21" fillId="2" borderId="41" xfId="0" applyFont="1" applyFill="1" applyBorder="1" applyAlignment="1" applyProtection="1">
      <alignment horizontal="center" vertical="center"/>
      <protection hidden="1"/>
    </xf>
    <xf numFmtId="0" fontId="21" fillId="7" borderId="21" xfId="0" applyFont="1" applyFill="1" applyBorder="1" applyAlignment="1" applyProtection="1">
      <alignment horizontal="center" vertical="center"/>
      <protection hidden="1"/>
    </xf>
    <xf numFmtId="0" fontId="21" fillId="7" borderId="41" xfId="0" applyFont="1" applyFill="1" applyBorder="1" applyAlignment="1" applyProtection="1">
      <alignment horizontal="center" vertical="center"/>
      <protection hidden="1"/>
    </xf>
    <xf numFmtId="0" fontId="27" fillId="2" borderId="71" xfId="0" applyFont="1" applyFill="1" applyBorder="1" applyAlignment="1" applyProtection="1">
      <alignment horizontal="center" vertical="center"/>
      <protection hidden="1"/>
    </xf>
    <xf numFmtId="0" fontId="27" fillId="2" borderId="64" xfId="0" applyFont="1" applyFill="1" applyBorder="1" applyAlignment="1" applyProtection="1">
      <alignment horizontal="center" vertical="center"/>
      <protection hidden="1"/>
    </xf>
    <xf numFmtId="0" fontId="27" fillId="2" borderId="65" xfId="0" applyFont="1" applyFill="1" applyBorder="1" applyAlignment="1" applyProtection="1">
      <alignment horizontal="center" vertical="center"/>
      <protection hidden="1"/>
    </xf>
    <xf numFmtId="0" fontId="71" fillId="13" borderId="0" xfId="0" applyFont="1" applyFill="1" applyAlignment="1" applyProtection="1">
      <alignment horizontal="center" vertical="center" textRotation="90" wrapText="1"/>
      <protection hidden="1"/>
    </xf>
    <xf numFmtId="0" fontId="71" fillId="13" borderId="6" xfId="0" applyFont="1" applyFill="1" applyBorder="1" applyAlignment="1" applyProtection="1">
      <alignment horizontal="center" vertical="center" textRotation="90" wrapText="1"/>
      <protection hidden="1"/>
    </xf>
    <xf numFmtId="0" fontId="72" fillId="13" borderId="0" xfId="0" applyFont="1" applyFill="1" applyAlignment="1" applyProtection="1">
      <alignment horizontal="center" vertical="center"/>
      <protection hidden="1"/>
    </xf>
    <xf numFmtId="0" fontId="72" fillId="13" borderId="6" xfId="0" applyFont="1" applyFill="1" applyBorder="1" applyAlignment="1" applyProtection="1">
      <alignment horizontal="center" vertical="center"/>
      <protection hidden="1"/>
    </xf>
    <xf numFmtId="0" fontId="52" fillId="2" borderId="32" xfId="0" applyFont="1" applyFill="1" applyBorder="1" applyAlignment="1" applyProtection="1">
      <alignment horizontal="center" vertical="center"/>
      <protection locked="0"/>
    </xf>
    <xf numFmtId="0" fontId="52" fillId="0" borderId="32" xfId="0" applyFont="1" applyBorder="1" applyAlignment="1" applyProtection="1">
      <alignment horizontal="center" vertical="center"/>
      <protection locked="0"/>
    </xf>
    <xf numFmtId="0" fontId="86" fillId="7" borderId="48" xfId="0" applyFont="1" applyFill="1" applyBorder="1" applyAlignment="1" applyProtection="1">
      <alignment horizontal="center" vertical="center"/>
      <protection hidden="1"/>
    </xf>
    <xf numFmtId="3" fontId="71" fillId="13" borderId="1" xfId="0" applyNumberFormat="1" applyFont="1" applyFill="1" applyBorder="1" applyAlignment="1" applyProtection="1">
      <alignment horizontal="center" vertical="center"/>
      <protection hidden="1"/>
    </xf>
    <xf numFmtId="3" fontId="71" fillId="13" borderId="8" xfId="0" applyNumberFormat="1" applyFont="1" applyFill="1" applyBorder="1" applyAlignment="1" applyProtection="1">
      <alignment horizontal="center" vertical="center"/>
      <protection hidden="1"/>
    </xf>
    <xf numFmtId="0" fontId="75" fillId="0" borderId="39" xfId="0" applyFont="1" applyBorder="1" applyAlignment="1" applyProtection="1">
      <alignment horizontal="center" vertical="center"/>
      <protection hidden="1"/>
    </xf>
    <xf numFmtId="0" fontId="75" fillId="0" borderId="48" xfId="0" applyFont="1" applyBorder="1" applyAlignment="1" applyProtection="1">
      <alignment horizontal="center" vertical="center"/>
      <protection hidden="1"/>
    </xf>
    <xf numFmtId="0" fontId="75" fillId="0" borderId="40" xfId="0" applyFont="1" applyBorder="1" applyAlignment="1" applyProtection="1">
      <alignment horizontal="center" vertical="center"/>
      <protection hidden="1"/>
    </xf>
    <xf numFmtId="0" fontId="32" fillId="0" borderId="3" xfId="0" applyFont="1" applyBorder="1" applyAlignment="1" applyProtection="1">
      <alignment horizontal="center" vertical="center" textRotation="90" wrapText="1"/>
      <protection hidden="1"/>
    </xf>
    <xf numFmtId="0" fontId="32" fillId="0" borderId="0" xfId="0" applyFont="1" applyAlignment="1" applyProtection="1">
      <alignment horizontal="center" vertical="center" textRotation="90" wrapText="1"/>
      <protection hidden="1"/>
    </xf>
    <xf numFmtId="0" fontId="32" fillId="0" borderId="1" xfId="0" applyFont="1" applyBorder="1" applyAlignment="1" applyProtection="1">
      <alignment horizontal="center" vertical="center" textRotation="90" wrapText="1"/>
      <protection hidden="1"/>
    </xf>
    <xf numFmtId="0" fontId="32" fillId="0" borderId="2" xfId="0" applyFont="1" applyBorder="1" applyAlignment="1" applyProtection="1">
      <alignment horizontal="center" vertical="center" textRotation="90" wrapText="1"/>
      <protection hidden="1"/>
    </xf>
    <xf numFmtId="0" fontId="32" fillId="0" borderId="4" xfId="0" applyFont="1" applyBorder="1" applyAlignment="1" applyProtection="1">
      <alignment horizontal="center" vertical="center" textRotation="90" wrapText="1"/>
      <protection hidden="1"/>
    </xf>
    <xf numFmtId="0" fontId="32" fillId="0" borderId="5" xfId="0" applyFont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center" vertical="center" textRotation="90" wrapText="1"/>
      <protection hidden="1"/>
    </xf>
    <xf numFmtId="0" fontId="32" fillId="0" borderId="7" xfId="0" applyFont="1" applyBorder="1" applyAlignment="1" applyProtection="1">
      <alignment horizontal="center" vertical="center" textRotation="90" wrapText="1"/>
      <protection hidden="1"/>
    </xf>
    <xf numFmtId="0" fontId="32" fillId="0" borderId="8" xfId="0" applyFont="1" applyBorder="1" applyAlignment="1" applyProtection="1">
      <alignment horizontal="center" vertical="center" textRotation="90" wrapText="1"/>
      <protection hidden="1"/>
    </xf>
    <xf numFmtId="0" fontId="69" fillId="13" borderId="2" xfId="0" applyFont="1" applyFill="1" applyBorder="1" applyAlignment="1" applyProtection="1">
      <alignment horizontal="center" vertical="center" wrapText="1"/>
      <protection hidden="1"/>
    </xf>
    <xf numFmtId="0" fontId="69" fillId="13" borderId="3" xfId="0" applyFont="1" applyFill="1" applyBorder="1" applyAlignment="1" applyProtection="1">
      <alignment horizontal="center" vertical="center" wrapText="1"/>
      <protection hidden="1"/>
    </xf>
    <xf numFmtId="0" fontId="69" fillId="13" borderId="4" xfId="0" applyFont="1" applyFill="1" applyBorder="1" applyAlignment="1" applyProtection="1">
      <alignment horizontal="center" vertical="center" wrapText="1"/>
      <protection hidden="1"/>
    </xf>
    <xf numFmtId="0" fontId="69" fillId="13" borderId="5" xfId="0" applyFont="1" applyFill="1" applyBorder="1" applyAlignment="1" applyProtection="1">
      <alignment horizontal="center" vertical="center" wrapText="1"/>
      <protection hidden="1"/>
    </xf>
    <xf numFmtId="0" fontId="69" fillId="13" borderId="0" xfId="0" applyFont="1" applyFill="1" applyAlignment="1" applyProtection="1">
      <alignment horizontal="center" vertical="center" wrapText="1"/>
      <protection hidden="1"/>
    </xf>
    <xf numFmtId="0" fontId="69" fillId="13" borderId="6" xfId="0" applyFont="1" applyFill="1" applyBorder="1" applyAlignment="1" applyProtection="1">
      <alignment horizontal="center" vertical="center" wrapText="1"/>
      <protection hidden="1"/>
    </xf>
    <xf numFmtId="0" fontId="52" fillId="2" borderId="31" xfId="0" applyFont="1" applyFill="1" applyBorder="1" applyAlignment="1" applyProtection="1">
      <alignment horizontal="center" vertical="center"/>
      <protection locked="0"/>
    </xf>
    <xf numFmtId="3" fontId="86" fillId="7" borderId="48" xfId="0" applyNumberFormat="1" applyFont="1" applyFill="1" applyBorder="1" applyAlignment="1" applyProtection="1">
      <alignment horizontal="center" vertical="center"/>
      <protection hidden="1"/>
    </xf>
    <xf numFmtId="0" fontId="54" fillId="0" borderId="2" xfId="0" applyFont="1" applyBorder="1" applyAlignment="1" applyProtection="1">
      <alignment horizontal="center" vertical="center" wrapText="1"/>
      <protection hidden="1"/>
    </xf>
    <xf numFmtId="0" fontId="54" fillId="0" borderId="3" xfId="0" applyFont="1" applyBorder="1" applyAlignment="1" applyProtection="1">
      <alignment horizontal="center" vertical="center" wrapText="1"/>
      <protection hidden="1"/>
    </xf>
    <xf numFmtId="0" fontId="54" fillId="0" borderId="4" xfId="0" applyFont="1" applyBorder="1" applyAlignment="1" applyProtection="1">
      <alignment horizontal="center" vertical="center" wrapText="1"/>
      <protection hidden="1"/>
    </xf>
    <xf numFmtId="0" fontId="54" fillId="0" borderId="5" xfId="0" applyFont="1" applyBorder="1" applyAlignment="1" applyProtection="1">
      <alignment horizontal="center" vertical="center" wrapText="1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54" fillId="0" borderId="6" xfId="0" applyFont="1" applyBorder="1" applyAlignment="1" applyProtection="1">
      <alignment horizontal="center" vertical="center" wrapText="1"/>
      <protection hidden="1"/>
    </xf>
    <xf numFmtId="0" fontId="54" fillId="0" borderId="7" xfId="0" applyFont="1" applyBorder="1" applyAlignment="1" applyProtection="1">
      <alignment horizontal="center" vertical="center" wrapText="1"/>
      <protection hidden="1"/>
    </xf>
    <xf numFmtId="0" fontId="54" fillId="0" borderId="1" xfId="0" applyFont="1" applyBorder="1" applyAlignment="1" applyProtection="1">
      <alignment horizontal="center" vertical="center" wrapText="1"/>
      <protection hidden="1"/>
    </xf>
    <xf numFmtId="0" fontId="54" fillId="0" borderId="8" xfId="0" applyFont="1" applyBorder="1" applyAlignment="1" applyProtection="1">
      <alignment horizontal="center" vertical="center" wrapText="1"/>
      <protection hidden="1"/>
    </xf>
    <xf numFmtId="49" fontId="16" fillId="2" borderId="22" xfId="0" applyNumberFormat="1" applyFont="1" applyFill="1" applyBorder="1" applyAlignment="1" applyProtection="1">
      <alignment horizontal="center" vertical="center"/>
      <protection locked="0"/>
    </xf>
    <xf numFmtId="49" fontId="16" fillId="7" borderId="23" xfId="0" applyNumberFormat="1" applyFont="1" applyFill="1" applyBorder="1" applyAlignment="1" applyProtection="1">
      <alignment horizontal="center" vertical="center"/>
      <protection locked="0"/>
    </xf>
    <xf numFmtId="49" fontId="16" fillId="7" borderId="24" xfId="0" applyNumberFormat="1" applyFont="1" applyFill="1" applyBorder="1" applyAlignment="1" applyProtection="1">
      <alignment horizontal="center" vertical="center"/>
      <protection locked="0"/>
    </xf>
    <xf numFmtId="49" fontId="16" fillId="7" borderId="22" xfId="0" applyNumberFormat="1" applyFont="1" applyFill="1" applyBorder="1" applyAlignment="1" applyProtection="1">
      <alignment horizontal="center" vertical="center"/>
      <protection locked="0"/>
    </xf>
    <xf numFmtId="49" fontId="16" fillId="2" borderId="27" xfId="0" applyNumberFormat="1" applyFont="1" applyFill="1" applyBorder="1" applyAlignment="1" applyProtection="1">
      <alignment horizontal="center" vertical="center"/>
      <protection locked="0"/>
    </xf>
    <xf numFmtId="49" fontId="16" fillId="7" borderId="28" xfId="0" applyNumberFormat="1" applyFont="1" applyFill="1" applyBorder="1" applyAlignment="1" applyProtection="1">
      <alignment horizontal="center" vertical="center"/>
      <protection locked="0"/>
    </xf>
    <xf numFmtId="49" fontId="16" fillId="7" borderId="30" xfId="0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/>
      <protection hidden="1"/>
    </xf>
    <xf numFmtId="0" fontId="21" fillId="7" borderId="2" xfId="0" applyFont="1" applyFill="1" applyBorder="1" applyAlignment="1" applyProtection="1">
      <alignment horizontal="center" vertical="center" wrapText="1"/>
      <protection hidden="1"/>
    </xf>
    <xf numFmtId="0" fontId="21" fillId="7" borderId="3" xfId="0" applyFont="1" applyFill="1" applyBorder="1" applyAlignment="1" applyProtection="1">
      <alignment horizontal="center" vertical="center" wrapText="1"/>
      <protection hidden="1"/>
    </xf>
    <xf numFmtId="0" fontId="21" fillId="7" borderId="4" xfId="0" applyFont="1" applyFill="1" applyBorder="1" applyAlignment="1" applyProtection="1">
      <alignment horizontal="center" vertical="center" wrapText="1"/>
      <protection hidden="1"/>
    </xf>
    <xf numFmtId="0" fontId="21" fillId="7" borderId="7" xfId="0" applyFont="1" applyFill="1" applyBorder="1" applyAlignment="1" applyProtection="1">
      <alignment horizontal="center" vertical="center" wrapText="1"/>
      <protection hidden="1"/>
    </xf>
    <xf numFmtId="0" fontId="21" fillId="7" borderId="8" xfId="0" applyFont="1" applyFill="1" applyBorder="1" applyAlignment="1" applyProtection="1">
      <alignment horizontal="center" vertical="center" wrapText="1"/>
      <protection hidden="1"/>
    </xf>
    <xf numFmtId="49" fontId="32" fillId="0" borderId="2" xfId="0" applyNumberFormat="1" applyFont="1" applyBorder="1" applyAlignment="1" applyProtection="1">
      <alignment horizontal="center"/>
      <protection locked="0"/>
    </xf>
    <xf numFmtId="49" fontId="32" fillId="0" borderId="3" xfId="0" applyNumberFormat="1" applyFont="1" applyBorder="1" applyAlignment="1" applyProtection="1">
      <alignment horizontal="center"/>
      <protection locked="0"/>
    </xf>
    <xf numFmtId="49" fontId="32" fillId="0" borderId="4" xfId="0" applyNumberFormat="1" applyFont="1" applyBorder="1" applyAlignment="1" applyProtection="1">
      <alignment horizontal="center"/>
      <protection locked="0"/>
    </xf>
    <xf numFmtId="49" fontId="32" fillId="0" borderId="7" xfId="0" applyNumberFormat="1" applyFont="1" applyBorder="1" applyAlignment="1" applyProtection="1">
      <alignment horizontal="center"/>
      <protection locked="0"/>
    </xf>
    <xf numFmtId="49" fontId="32" fillId="0" borderId="1" xfId="0" applyNumberFormat="1" applyFont="1" applyBorder="1" applyAlignment="1" applyProtection="1">
      <alignment horizontal="center"/>
      <protection locked="0"/>
    </xf>
    <xf numFmtId="49" fontId="32" fillId="0" borderId="8" xfId="0" applyNumberFormat="1" applyFont="1" applyBorder="1" applyAlignment="1" applyProtection="1">
      <alignment horizontal="center"/>
      <protection locked="0"/>
    </xf>
    <xf numFmtId="0" fontId="17" fillId="13" borderId="25" xfId="0" applyFont="1" applyFill="1" applyBorder="1" applyAlignment="1" applyProtection="1">
      <alignment horizontal="center"/>
      <protection locked="0"/>
    </xf>
    <xf numFmtId="0" fontId="17" fillId="13" borderId="23" xfId="0" applyFont="1" applyFill="1" applyBorder="1" applyAlignment="1" applyProtection="1">
      <alignment horizontal="center"/>
      <protection locked="0"/>
    </xf>
    <xf numFmtId="0" fontId="65" fillId="5" borderId="3" xfId="0" applyFont="1" applyFill="1" applyBorder="1" applyAlignment="1" applyProtection="1">
      <alignment horizontal="center" vertical="center"/>
      <protection hidden="1"/>
    </xf>
    <xf numFmtId="0" fontId="65" fillId="5" borderId="0" xfId="0" applyFont="1" applyFill="1" applyAlignment="1" applyProtection="1">
      <alignment horizontal="center" vertical="center"/>
      <protection hidden="1"/>
    </xf>
    <xf numFmtId="0" fontId="27" fillId="0" borderId="9" xfId="0" applyFont="1" applyBorder="1" applyAlignment="1" applyProtection="1">
      <alignment horizontal="center" vertical="center"/>
      <protection hidden="1"/>
    </xf>
    <xf numFmtId="0" fontId="27" fillId="0" borderId="10" xfId="0" applyFont="1" applyBorder="1" applyAlignment="1" applyProtection="1">
      <alignment horizontal="center" vertical="center"/>
      <protection hidden="1"/>
    </xf>
    <xf numFmtId="0" fontId="27" fillId="0" borderId="11" xfId="0" applyFont="1" applyBorder="1" applyAlignment="1" applyProtection="1">
      <alignment horizontal="center" vertical="center"/>
      <protection hidden="1"/>
    </xf>
    <xf numFmtId="0" fontId="81" fillId="2" borderId="23" xfId="0" applyFont="1" applyFill="1" applyBorder="1" applyAlignment="1" applyProtection="1">
      <alignment horizontal="center" vertical="center"/>
      <protection locked="0"/>
    </xf>
    <xf numFmtId="0" fontId="17" fillId="7" borderId="34" xfId="0" applyFont="1" applyFill="1" applyBorder="1" applyAlignment="1" applyProtection="1">
      <alignment horizontal="center"/>
      <protection hidden="1"/>
    </xf>
    <xf numFmtId="0" fontId="44" fillId="0" borderId="24" xfId="0" applyFont="1" applyBorder="1" applyAlignment="1" applyProtection="1">
      <alignment horizontal="center" vertical="center"/>
      <protection locked="0"/>
    </xf>
    <xf numFmtId="0" fontId="3" fillId="8" borderId="23" xfId="0" applyFont="1" applyFill="1" applyBorder="1" applyAlignment="1" applyProtection="1">
      <alignment horizontal="center"/>
      <protection hidden="1"/>
    </xf>
    <xf numFmtId="0" fontId="10" fillId="6" borderId="9" xfId="0" applyFont="1" applyFill="1" applyBorder="1" applyAlignment="1" applyProtection="1">
      <alignment horizontal="center" vertical="center"/>
      <protection locked="0"/>
    </xf>
    <xf numFmtId="0" fontId="10" fillId="6" borderId="11" xfId="0" applyFont="1" applyFill="1" applyBorder="1" applyAlignment="1" applyProtection="1">
      <alignment horizontal="center" vertical="center"/>
      <protection locked="0"/>
    </xf>
    <xf numFmtId="169" fontId="1" fillId="0" borderId="0" xfId="0" applyNumberFormat="1" applyFont="1" applyAlignment="1" applyProtection="1">
      <alignment horizontal="center"/>
      <protection hidden="1"/>
    </xf>
    <xf numFmtId="0" fontId="7" fillId="7" borderId="39" xfId="0" applyFont="1" applyFill="1" applyBorder="1" applyAlignment="1" applyProtection="1">
      <alignment horizontal="center" vertical="center" wrapText="1"/>
      <protection hidden="1"/>
    </xf>
    <xf numFmtId="0" fontId="7" fillId="7" borderId="10" xfId="0" applyFont="1" applyFill="1" applyBorder="1" applyAlignment="1" applyProtection="1">
      <alignment horizontal="center" vertical="center" wrapText="1"/>
      <protection hidden="1"/>
    </xf>
    <xf numFmtId="0" fontId="7" fillId="7" borderId="40" xfId="0" applyFont="1" applyFill="1" applyBorder="1" applyAlignment="1" applyProtection="1">
      <alignment horizontal="center" vertical="center" wrapText="1"/>
      <protection hidden="1"/>
    </xf>
    <xf numFmtId="0" fontId="1" fillId="2" borderId="22" xfId="0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center" vertical="center"/>
      <protection locked="0"/>
    </xf>
    <xf numFmtId="0" fontId="1" fillId="2" borderId="24" xfId="0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1" fillId="2" borderId="16" xfId="0" applyFont="1" applyFill="1" applyBorder="1" applyAlignment="1" applyProtection="1">
      <alignment horizontal="center" vertical="center"/>
      <protection locked="0"/>
    </xf>
    <xf numFmtId="0" fontId="1" fillId="2" borderId="14" xfId="0" applyFont="1" applyFill="1" applyBorder="1" applyAlignment="1" applyProtection="1">
      <alignment horizontal="center" vertical="center"/>
      <protection locked="0"/>
    </xf>
    <xf numFmtId="0" fontId="1" fillId="2" borderId="18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</cellXfs>
  <cellStyles count="6">
    <cellStyle name="Hyperlink" xfId="2" builtinId="8"/>
    <cellStyle name="Normal" xfId="0" builtinId="0"/>
    <cellStyle name="Normal 2" xfId="4" xr:uid="{00000000-0005-0000-0000-000002000000}"/>
    <cellStyle name="Normal 3" xfId="5" xr:uid="{00000000-0005-0000-0000-000003000000}"/>
    <cellStyle name="Normal_CAL-A4" xfId="3" xr:uid="{00000000-0005-0000-0000-000004000000}"/>
    <cellStyle name="Normal_MODELO I CADASTRO APM" xfId="1" xr:uid="{00000000-0005-0000-0000-000005000000}"/>
  </cellStyles>
  <dxfs count="35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ont>
        <b/>
        <i val="0"/>
        <condense val="0"/>
        <extend val="0"/>
        <color auto="1"/>
      </font>
      <fill>
        <patternFill>
          <bgColor indexed="9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63"/>
      </font>
      <fill>
        <patternFill>
          <bgColor indexed="9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5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b/>
        <i val="0"/>
        <condense val="0"/>
        <extend val="0"/>
        <color indexed="9"/>
      </font>
      <fill>
        <patternFill patternType="solid">
          <bgColor indexed="10"/>
        </patternFill>
      </fill>
    </dxf>
    <dxf>
      <font>
        <b/>
        <i val="0"/>
        <condense val="0"/>
        <extend val="0"/>
        <color indexed="9"/>
      </font>
      <fill>
        <patternFill patternType="solid">
          <bgColor indexed="10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50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117</xdr:row>
          <xdr:rowOff>114300</xdr:rowOff>
        </xdr:from>
        <xdr:to>
          <xdr:col>176</xdr:col>
          <xdr:colOff>152400</xdr:colOff>
          <xdr:row>123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Verificar campos antes de imprimir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166688</xdr:colOff>
      <xdr:row>1</xdr:row>
      <xdr:rowOff>35719</xdr:rowOff>
    </xdr:from>
    <xdr:to>
      <xdr:col>7</xdr:col>
      <xdr:colOff>194437</xdr:colOff>
      <xdr:row>4</xdr:row>
      <xdr:rowOff>154782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063" y="226219"/>
          <a:ext cx="1832396" cy="6905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ceucemeinovomundo@sme.prefeitura.sp.gov.br" TargetMode="External"/><Relationship Id="rId13" Type="http://schemas.openxmlformats.org/officeDocument/2006/relationships/hyperlink" Target="mailto:cemeimarciakmoura@sme.prefeitura.sp.gov.br" TargetMode="External"/><Relationship Id="rId18" Type="http://schemas.openxmlformats.org/officeDocument/2006/relationships/hyperlink" Target="mailto:emeijpiaget@prefeitura.sp.gov.br" TargetMode="External"/><Relationship Id="rId26" Type="http://schemas.openxmlformats.org/officeDocument/2006/relationships/vmlDrawing" Target="../drawings/vmlDrawing1.vml"/><Relationship Id="rId3" Type="http://schemas.openxmlformats.org/officeDocument/2006/relationships/hyperlink" Target="mailto:cintiasales255@gmail.com" TargetMode="External"/><Relationship Id="rId21" Type="http://schemas.openxmlformats.org/officeDocument/2006/relationships/hyperlink" Target="mailto:emeisonataaoluar@sme.prefeitura.sp.gov.br" TargetMode="External"/><Relationship Id="rId7" Type="http://schemas.openxmlformats.org/officeDocument/2006/relationships/hyperlink" Target="mailto:cemeiceubarrobranco@sme.prefeitura.sp.gov.br" TargetMode="External"/><Relationship Id="rId12" Type="http://schemas.openxmlformats.org/officeDocument/2006/relationships/hyperlink" Target="mailto:cemeijardimkioto@sme.prefeitura.sp.gov.br" TargetMode="External"/><Relationship Id="rId17" Type="http://schemas.openxmlformats.org/officeDocument/2006/relationships/hyperlink" Target="mailto:emeijardimideal@sme.prefeitura.sp.gov.br" TargetMode="External"/><Relationship Id="rId25" Type="http://schemas.openxmlformats.org/officeDocument/2006/relationships/drawing" Target="../drawings/drawing1.xml"/><Relationship Id="rId2" Type="http://schemas.openxmlformats.org/officeDocument/2006/relationships/hyperlink" Target="mailto:cemeiceuvilaalpina@sme.prefeitura.sp.gov.br" TargetMode="External"/><Relationship Id="rId16" Type="http://schemas.openxmlformats.org/officeDocument/2006/relationships/hyperlink" Target="mailto:emeilajeado2@sme.prefeitura.sp.gov.br" TargetMode="External"/><Relationship Id="rId20" Type="http://schemas.openxmlformats.org/officeDocument/2006/relationships/hyperlink" Target="mailto:diretoria.cei@liceusp.com.br" TargetMode="External"/><Relationship Id="rId1" Type="http://schemas.openxmlformats.org/officeDocument/2006/relationships/printerSettings" Target="../printerSettings/printerSettings2.bin"/><Relationship Id="rId6" Type="http://schemas.openxmlformats.org/officeDocument/2006/relationships/hyperlink" Target="mailto:ceucemeifreguesia@sme.prefeitura.sp.gov.br" TargetMode="External"/><Relationship Id="rId11" Type="http://schemas.openxmlformats.org/officeDocument/2006/relationships/hyperlink" Target="mailto:cemeijdiporanga@sme.prefeitura.sp.gov.br" TargetMode="External"/><Relationship Id="rId24" Type="http://schemas.openxmlformats.org/officeDocument/2006/relationships/printerSettings" Target="../printerSettings/printerSettings3.bin"/><Relationship Id="rId5" Type="http://schemas.openxmlformats.org/officeDocument/2006/relationships/hyperlink" Target="mailto:cemeiceujbonifacio@sme.prefeitura.sp.gov.br" TargetMode="External"/><Relationship Id="rId15" Type="http://schemas.openxmlformats.org/officeDocument/2006/relationships/hyperlink" Target="mailto:emeicidadetiradentes4@sme.prefeitura.sp.gov.br" TargetMode="External"/><Relationship Id="rId23" Type="http://schemas.openxmlformats.org/officeDocument/2006/relationships/hyperlink" Target="mailto:emeilizeleangelinafontana@sme.prefeitura.sp.gov.br" TargetMode="External"/><Relationship Id="rId10" Type="http://schemas.openxmlformats.org/officeDocument/2006/relationships/hyperlink" Target="mailto:cemeisuzanacampostauil@sme.prefeitura.sp.gov.br" TargetMode="External"/><Relationship Id="rId19" Type="http://schemas.openxmlformats.org/officeDocument/2006/relationships/hyperlink" Target="mailto:emeicsilva@sme.prefeitura.sp.gov.br" TargetMode="External"/><Relationship Id="rId4" Type="http://schemas.openxmlformats.org/officeDocument/2006/relationships/hyperlink" Target="mailto:cemeidomingosdelgado@sme.prefeitura.sp.gov.br" TargetMode="External"/><Relationship Id="rId9" Type="http://schemas.openxmlformats.org/officeDocument/2006/relationships/hyperlink" Target="mailto:abia.gomes@sme.prefeitura.sp.gov.br" TargetMode="External"/><Relationship Id="rId14" Type="http://schemas.openxmlformats.org/officeDocument/2006/relationships/hyperlink" Target="mailto:emeipscity@sme.prefeitura.sp.gov.br" TargetMode="External"/><Relationship Id="rId22" Type="http://schemas.openxmlformats.org/officeDocument/2006/relationships/hyperlink" Target="mailto:lmpereira@sme.prefeitura.sp.gov.br" TargetMode="External"/><Relationship Id="rId27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bia.gomes@sme.prefeitura.sp.gov.br" TargetMode="External"/><Relationship Id="rId13" Type="http://schemas.openxmlformats.org/officeDocument/2006/relationships/hyperlink" Target="mailto:emeipscity@sme.prefeitura.sp.gov.br" TargetMode="External"/><Relationship Id="rId18" Type="http://schemas.openxmlformats.org/officeDocument/2006/relationships/hyperlink" Target="mailto:emeicsilva@sme.prefeitura.sp.gov.br" TargetMode="External"/><Relationship Id="rId3" Type="http://schemas.openxmlformats.org/officeDocument/2006/relationships/hyperlink" Target="mailto:cemeidomingosdelgado@sme.prefeitura.sp.gov.br" TargetMode="External"/><Relationship Id="rId21" Type="http://schemas.openxmlformats.org/officeDocument/2006/relationships/hyperlink" Target="mailto:lmpereira@sme.prefeitura.sp.gov.br" TargetMode="External"/><Relationship Id="rId7" Type="http://schemas.openxmlformats.org/officeDocument/2006/relationships/hyperlink" Target="mailto:ceucemeinovomundo@sme.prefeitura.sp.gov.br" TargetMode="External"/><Relationship Id="rId12" Type="http://schemas.openxmlformats.org/officeDocument/2006/relationships/hyperlink" Target="mailto:cemeimarciakmoura@sme.prefeitura.sp.gov.br" TargetMode="External"/><Relationship Id="rId17" Type="http://schemas.openxmlformats.org/officeDocument/2006/relationships/hyperlink" Target="mailto:emeijpiaget@prefeitura.sp.gov.br" TargetMode="External"/><Relationship Id="rId2" Type="http://schemas.openxmlformats.org/officeDocument/2006/relationships/hyperlink" Target="mailto:cintiasales255@gmail.com" TargetMode="External"/><Relationship Id="rId16" Type="http://schemas.openxmlformats.org/officeDocument/2006/relationships/hyperlink" Target="mailto:emeijardimideal@sme.prefeitura.sp.gov.br" TargetMode="External"/><Relationship Id="rId20" Type="http://schemas.openxmlformats.org/officeDocument/2006/relationships/hyperlink" Target="mailto:emeisonataaoluar@sme.prefeitura.sp.gov.br" TargetMode="External"/><Relationship Id="rId1" Type="http://schemas.openxmlformats.org/officeDocument/2006/relationships/hyperlink" Target="mailto:cemeiceuvilaalpina@sme.prefeitura.sp.gov.br" TargetMode="External"/><Relationship Id="rId6" Type="http://schemas.openxmlformats.org/officeDocument/2006/relationships/hyperlink" Target="mailto:cemeiceubarrobranco@sme.prefeitura.sp.gov.br" TargetMode="External"/><Relationship Id="rId11" Type="http://schemas.openxmlformats.org/officeDocument/2006/relationships/hyperlink" Target="mailto:cemeijardimkioto@sme.prefeitura.sp.gov.br" TargetMode="External"/><Relationship Id="rId5" Type="http://schemas.openxmlformats.org/officeDocument/2006/relationships/hyperlink" Target="mailto:ceucemeifreguesia@sme.prefeitura.sp.gov.br" TargetMode="External"/><Relationship Id="rId15" Type="http://schemas.openxmlformats.org/officeDocument/2006/relationships/hyperlink" Target="mailto:emeilajeado2@sme.prefeitura.sp.gov.br" TargetMode="External"/><Relationship Id="rId10" Type="http://schemas.openxmlformats.org/officeDocument/2006/relationships/hyperlink" Target="mailto:cemeijdiporanga@sme.prefeitura.sp.gov.br" TargetMode="External"/><Relationship Id="rId19" Type="http://schemas.openxmlformats.org/officeDocument/2006/relationships/hyperlink" Target="mailto:diretoria.cei@liceusp.com.br" TargetMode="External"/><Relationship Id="rId4" Type="http://schemas.openxmlformats.org/officeDocument/2006/relationships/hyperlink" Target="mailto:cemeiceujbonifacio@sme.prefeitura.sp.gov.br" TargetMode="External"/><Relationship Id="rId9" Type="http://schemas.openxmlformats.org/officeDocument/2006/relationships/hyperlink" Target="mailto:cemeisuzanacampostauil@sme.prefeitura.sp.gov.br" TargetMode="External"/><Relationship Id="rId14" Type="http://schemas.openxmlformats.org/officeDocument/2006/relationships/hyperlink" Target="mailto:emeicidadetiradentes4@sme.prefeitura.sp.gov.br" TargetMode="External"/><Relationship Id="rId22" Type="http://schemas.openxmlformats.org/officeDocument/2006/relationships/hyperlink" Target="mailto:emeilizeleangelinafontana@sme.prefeitura.sp.gov.b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alimentacaoescolar.dreg@gmail.com" TargetMode="External"/><Relationship Id="rId3" Type="http://schemas.openxmlformats.org/officeDocument/2006/relationships/hyperlink" Target="mailto:alimentacaoescolar.cs@gmail.com" TargetMode="External"/><Relationship Id="rId7" Type="http://schemas.openxmlformats.org/officeDocument/2006/relationships/hyperlink" Target="mailto:alimentacaoiq@gmail.com" TargetMode="External"/><Relationship Id="rId12" Type="http://schemas.openxmlformats.org/officeDocument/2006/relationships/hyperlink" Target="mailto:apenasplanilha@gmail.com" TargetMode="External"/><Relationship Id="rId2" Type="http://schemas.openxmlformats.org/officeDocument/2006/relationships/hyperlink" Target="mailto:aterceirizadadrepenha@gmail.com" TargetMode="External"/><Relationship Id="rId1" Type="http://schemas.openxmlformats.org/officeDocument/2006/relationships/hyperlink" Target="mailto:apenasplanilha@gmail.com" TargetMode="External"/><Relationship Id="rId6" Type="http://schemas.openxmlformats.org/officeDocument/2006/relationships/hyperlink" Target="mailto:merendaipiranga@gmail.com" TargetMode="External"/><Relationship Id="rId11" Type="http://schemas.openxmlformats.org/officeDocument/2006/relationships/hyperlink" Target="mailto:merendaipiranga@gmail.com" TargetMode="External"/><Relationship Id="rId5" Type="http://schemas.openxmlformats.org/officeDocument/2006/relationships/hyperlink" Target="mailto:drempmerenda@gmail.com" TargetMode="External"/><Relationship Id="rId10" Type="http://schemas.openxmlformats.org/officeDocument/2006/relationships/hyperlink" Target="mailto:drempmerenda@gmail.com" TargetMode="External"/><Relationship Id="rId4" Type="http://schemas.openxmlformats.org/officeDocument/2006/relationships/hyperlink" Target="mailto:alimentcaoescolardrefb@gmail.com" TargetMode="External"/><Relationship Id="rId9" Type="http://schemas.openxmlformats.org/officeDocument/2006/relationships/hyperlink" Target="mailto:aterceirizadadrepenh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/>
  <dimension ref="A1:WVU66"/>
  <sheetViews>
    <sheetView workbookViewId="0">
      <selection activeCell="A3" sqref="A2:XFD3"/>
    </sheetView>
  </sheetViews>
  <sheetFormatPr baseColWidth="10" defaultColWidth="0" defaultRowHeight="14" zeroHeight="1"/>
  <cols>
    <col min="1" max="1" width="4.5" style="318" customWidth="1"/>
    <col min="2" max="2" width="5.6640625" style="308" customWidth="1"/>
    <col min="3" max="3" width="6" style="308" customWidth="1"/>
    <col min="4" max="4" width="9.1640625" style="308" customWidth="1"/>
    <col min="5" max="5" width="36.33203125" style="308" customWidth="1"/>
    <col min="6" max="6" width="9.1640625" style="308" customWidth="1"/>
    <col min="7" max="7" width="19.33203125" style="308" customWidth="1"/>
    <col min="8" max="8" width="18.1640625" style="308" customWidth="1"/>
    <col min="9" max="10" width="9.1640625" style="308" customWidth="1"/>
    <col min="11" max="11" width="11.83203125" style="308" customWidth="1"/>
    <col min="12" max="12" width="11" style="308" customWidth="1"/>
    <col min="13" max="13" width="1.83203125" style="308" customWidth="1"/>
    <col min="14" max="256" width="0" style="308" hidden="1"/>
    <col min="257" max="257" width="4.5" style="308" hidden="1" customWidth="1"/>
    <col min="258" max="258" width="3.5" style="308" hidden="1" customWidth="1"/>
    <col min="259" max="259" width="6" style="308" hidden="1" customWidth="1"/>
    <col min="260" max="266" width="9.1640625" style="308" hidden="1" customWidth="1"/>
    <col min="267" max="267" width="11.83203125" style="308" hidden="1" customWidth="1"/>
    <col min="268" max="268" width="11" style="308" hidden="1" customWidth="1"/>
    <col min="269" max="269" width="1.83203125" style="308" hidden="1" customWidth="1"/>
    <col min="270" max="512" width="0" style="308" hidden="1"/>
    <col min="513" max="513" width="4.5" style="308" hidden="1" customWidth="1"/>
    <col min="514" max="514" width="3.5" style="308" hidden="1" customWidth="1"/>
    <col min="515" max="515" width="6" style="308" hidden="1" customWidth="1"/>
    <col min="516" max="522" width="9.1640625" style="308" hidden="1" customWidth="1"/>
    <col min="523" max="523" width="11.83203125" style="308" hidden="1" customWidth="1"/>
    <col min="524" max="524" width="11" style="308" hidden="1" customWidth="1"/>
    <col min="525" max="525" width="1.83203125" style="308" hidden="1" customWidth="1"/>
    <col min="526" max="768" width="0" style="308" hidden="1"/>
    <col min="769" max="769" width="4.5" style="308" hidden="1" customWidth="1"/>
    <col min="770" max="770" width="3.5" style="308" hidden="1" customWidth="1"/>
    <col min="771" max="771" width="6" style="308" hidden="1" customWidth="1"/>
    <col min="772" max="778" width="9.1640625" style="308" hidden="1" customWidth="1"/>
    <col min="779" max="779" width="11.83203125" style="308" hidden="1" customWidth="1"/>
    <col min="780" max="780" width="11" style="308" hidden="1" customWidth="1"/>
    <col min="781" max="781" width="1.83203125" style="308" hidden="1" customWidth="1"/>
    <col min="782" max="1024" width="0" style="308" hidden="1"/>
    <col min="1025" max="1025" width="4.5" style="308" hidden="1" customWidth="1"/>
    <col min="1026" max="1026" width="3.5" style="308" hidden="1" customWidth="1"/>
    <col min="1027" max="1027" width="6" style="308" hidden="1" customWidth="1"/>
    <col min="1028" max="1034" width="9.1640625" style="308" hidden="1" customWidth="1"/>
    <col min="1035" max="1035" width="11.83203125" style="308" hidden="1" customWidth="1"/>
    <col min="1036" max="1036" width="11" style="308" hidden="1" customWidth="1"/>
    <col min="1037" max="1037" width="1.83203125" style="308" hidden="1" customWidth="1"/>
    <col min="1038" max="1280" width="0" style="308" hidden="1"/>
    <col min="1281" max="1281" width="4.5" style="308" hidden="1" customWidth="1"/>
    <col min="1282" max="1282" width="3.5" style="308" hidden="1" customWidth="1"/>
    <col min="1283" max="1283" width="6" style="308" hidden="1" customWidth="1"/>
    <col min="1284" max="1290" width="9.1640625" style="308" hidden="1" customWidth="1"/>
    <col min="1291" max="1291" width="11.83203125" style="308" hidden="1" customWidth="1"/>
    <col min="1292" max="1292" width="11" style="308" hidden="1" customWidth="1"/>
    <col min="1293" max="1293" width="1.83203125" style="308" hidden="1" customWidth="1"/>
    <col min="1294" max="1536" width="0" style="308" hidden="1"/>
    <col min="1537" max="1537" width="4.5" style="308" hidden="1" customWidth="1"/>
    <col min="1538" max="1538" width="3.5" style="308" hidden="1" customWidth="1"/>
    <col min="1539" max="1539" width="6" style="308" hidden="1" customWidth="1"/>
    <col min="1540" max="1546" width="9.1640625" style="308" hidden="1" customWidth="1"/>
    <col min="1547" max="1547" width="11.83203125" style="308" hidden="1" customWidth="1"/>
    <col min="1548" max="1548" width="11" style="308" hidden="1" customWidth="1"/>
    <col min="1549" max="1549" width="1.83203125" style="308" hidden="1" customWidth="1"/>
    <col min="1550" max="1792" width="0" style="308" hidden="1"/>
    <col min="1793" max="1793" width="4.5" style="308" hidden="1" customWidth="1"/>
    <col min="1794" max="1794" width="3.5" style="308" hidden="1" customWidth="1"/>
    <col min="1795" max="1795" width="6" style="308" hidden="1" customWidth="1"/>
    <col min="1796" max="1802" width="9.1640625" style="308" hidden="1" customWidth="1"/>
    <col min="1803" max="1803" width="11.83203125" style="308" hidden="1" customWidth="1"/>
    <col min="1804" max="1804" width="11" style="308" hidden="1" customWidth="1"/>
    <col min="1805" max="1805" width="1.83203125" style="308" hidden="1" customWidth="1"/>
    <col min="1806" max="2048" width="0" style="308" hidden="1"/>
    <col min="2049" max="2049" width="4.5" style="308" hidden="1" customWidth="1"/>
    <col min="2050" max="2050" width="3.5" style="308" hidden="1" customWidth="1"/>
    <col min="2051" max="2051" width="6" style="308" hidden="1" customWidth="1"/>
    <col min="2052" max="2058" width="9.1640625" style="308" hidden="1" customWidth="1"/>
    <col min="2059" max="2059" width="11.83203125" style="308" hidden="1" customWidth="1"/>
    <col min="2060" max="2060" width="11" style="308" hidden="1" customWidth="1"/>
    <col min="2061" max="2061" width="1.83203125" style="308" hidden="1" customWidth="1"/>
    <col min="2062" max="2304" width="0" style="308" hidden="1"/>
    <col min="2305" max="2305" width="4.5" style="308" hidden="1" customWidth="1"/>
    <col min="2306" max="2306" width="3.5" style="308" hidden="1" customWidth="1"/>
    <col min="2307" max="2307" width="6" style="308" hidden="1" customWidth="1"/>
    <col min="2308" max="2314" width="9.1640625" style="308" hidden="1" customWidth="1"/>
    <col min="2315" max="2315" width="11.83203125" style="308" hidden="1" customWidth="1"/>
    <col min="2316" max="2316" width="11" style="308" hidden="1" customWidth="1"/>
    <col min="2317" max="2317" width="1.83203125" style="308" hidden="1" customWidth="1"/>
    <col min="2318" max="2560" width="0" style="308" hidden="1"/>
    <col min="2561" max="2561" width="4.5" style="308" hidden="1" customWidth="1"/>
    <col min="2562" max="2562" width="3.5" style="308" hidden="1" customWidth="1"/>
    <col min="2563" max="2563" width="6" style="308" hidden="1" customWidth="1"/>
    <col min="2564" max="2570" width="9.1640625" style="308" hidden="1" customWidth="1"/>
    <col min="2571" max="2571" width="11.83203125" style="308" hidden="1" customWidth="1"/>
    <col min="2572" max="2572" width="11" style="308" hidden="1" customWidth="1"/>
    <col min="2573" max="2573" width="1.83203125" style="308" hidden="1" customWidth="1"/>
    <col min="2574" max="2816" width="0" style="308" hidden="1"/>
    <col min="2817" max="2817" width="4.5" style="308" hidden="1" customWidth="1"/>
    <col min="2818" max="2818" width="3.5" style="308" hidden="1" customWidth="1"/>
    <col min="2819" max="2819" width="6" style="308" hidden="1" customWidth="1"/>
    <col min="2820" max="2826" width="9.1640625" style="308" hidden="1" customWidth="1"/>
    <col min="2827" max="2827" width="11.83203125" style="308" hidden="1" customWidth="1"/>
    <col min="2828" max="2828" width="11" style="308" hidden="1" customWidth="1"/>
    <col min="2829" max="2829" width="1.83203125" style="308" hidden="1" customWidth="1"/>
    <col min="2830" max="3072" width="0" style="308" hidden="1"/>
    <col min="3073" max="3073" width="4.5" style="308" hidden="1" customWidth="1"/>
    <col min="3074" max="3074" width="3.5" style="308" hidden="1" customWidth="1"/>
    <col min="3075" max="3075" width="6" style="308" hidden="1" customWidth="1"/>
    <col min="3076" max="3082" width="9.1640625" style="308" hidden="1" customWidth="1"/>
    <col min="3083" max="3083" width="11.83203125" style="308" hidden="1" customWidth="1"/>
    <col min="3084" max="3084" width="11" style="308" hidden="1" customWidth="1"/>
    <col min="3085" max="3085" width="1.83203125" style="308" hidden="1" customWidth="1"/>
    <col min="3086" max="3328" width="0" style="308" hidden="1"/>
    <col min="3329" max="3329" width="4.5" style="308" hidden="1" customWidth="1"/>
    <col min="3330" max="3330" width="3.5" style="308" hidden="1" customWidth="1"/>
    <col min="3331" max="3331" width="6" style="308" hidden="1" customWidth="1"/>
    <col min="3332" max="3338" width="9.1640625" style="308" hidden="1" customWidth="1"/>
    <col min="3339" max="3339" width="11.83203125" style="308" hidden="1" customWidth="1"/>
    <col min="3340" max="3340" width="11" style="308" hidden="1" customWidth="1"/>
    <col min="3341" max="3341" width="1.83203125" style="308" hidden="1" customWidth="1"/>
    <col min="3342" max="3584" width="0" style="308" hidden="1"/>
    <col min="3585" max="3585" width="4.5" style="308" hidden="1" customWidth="1"/>
    <col min="3586" max="3586" width="3.5" style="308" hidden="1" customWidth="1"/>
    <col min="3587" max="3587" width="6" style="308" hidden="1" customWidth="1"/>
    <col min="3588" max="3594" width="9.1640625" style="308" hidden="1" customWidth="1"/>
    <col min="3595" max="3595" width="11.83203125" style="308" hidden="1" customWidth="1"/>
    <col min="3596" max="3596" width="11" style="308" hidden="1" customWidth="1"/>
    <col min="3597" max="3597" width="1.83203125" style="308" hidden="1" customWidth="1"/>
    <col min="3598" max="3840" width="0" style="308" hidden="1"/>
    <col min="3841" max="3841" width="4.5" style="308" hidden="1" customWidth="1"/>
    <col min="3842" max="3842" width="3.5" style="308" hidden="1" customWidth="1"/>
    <col min="3843" max="3843" width="6" style="308" hidden="1" customWidth="1"/>
    <col min="3844" max="3850" width="9.1640625" style="308" hidden="1" customWidth="1"/>
    <col min="3851" max="3851" width="11.83203125" style="308" hidden="1" customWidth="1"/>
    <col min="3852" max="3852" width="11" style="308" hidden="1" customWidth="1"/>
    <col min="3853" max="3853" width="1.83203125" style="308" hidden="1" customWidth="1"/>
    <col min="3854" max="4096" width="0" style="308" hidden="1"/>
    <col min="4097" max="4097" width="4.5" style="308" hidden="1" customWidth="1"/>
    <col min="4098" max="4098" width="3.5" style="308" hidden="1" customWidth="1"/>
    <col min="4099" max="4099" width="6" style="308" hidden="1" customWidth="1"/>
    <col min="4100" max="4106" width="9.1640625" style="308" hidden="1" customWidth="1"/>
    <col min="4107" max="4107" width="11.83203125" style="308" hidden="1" customWidth="1"/>
    <col min="4108" max="4108" width="11" style="308" hidden="1" customWidth="1"/>
    <col min="4109" max="4109" width="1.83203125" style="308" hidden="1" customWidth="1"/>
    <col min="4110" max="4352" width="0" style="308" hidden="1"/>
    <col min="4353" max="4353" width="4.5" style="308" hidden="1" customWidth="1"/>
    <col min="4354" max="4354" width="3.5" style="308" hidden="1" customWidth="1"/>
    <col min="4355" max="4355" width="6" style="308" hidden="1" customWidth="1"/>
    <col min="4356" max="4362" width="9.1640625" style="308" hidden="1" customWidth="1"/>
    <col min="4363" max="4363" width="11.83203125" style="308" hidden="1" customWidth="1"/>
    <col min="4364" max="4364" width="11" style="308" hidden="1" customWidth="1"/>
    <col min="4365" max="4365" width="1.83203125" style="308" hidden="1" customWidth="1"/>
    <col min="4366" max="4608" width="0" style="308" hidden="1"/>
    <col min="4609" max="4609" width="4.5" style="308" hidden="1" customWidth="1"/>
    <col min="4610" max="4610" width="3.5" style="308" hidden="1" customWidth="1"/>
    <col min="4611" max="4611" width="6" style="308" hidden="1" customWidth="1"/>
    <col min="4612" max="4618" width="9.1640625" style="308" hidden="1" customWidth="1"/>
    <col min="4619" max="4619" width="11.83203125" style="308" hidden="1" customWidth="1"/>
    <col min="4620" max="4620" width="11" style="308" hidden="1" customWidth="1"/>
    <col min="4621" max="4621" width="1.83203125" style="308" hidden="1" customWidth="1"/>
    <col min="4622" max="4864" width="0" style="308" hidden="1"/>
    <col min="4865" max="4865" width="4.5" style="308" hidden="1" customWidth="1"/>
    <col min="4866" max="4866" width="3.5" style="308" hidden="1" customWidth="1"/>
    <col min="4867" max="4867" width="6" style="308" hidden="1" customWidth="1"/>
    <col min="4868" max="4874" width="9.1640625" style="308" hidden="1" customWidth="1"/>
    <col min="4875" max="4875" width="11.83203125" style="308" hidden="1" customWidth="1"/>
    <col min="4876" max="4876" width="11" style="308" hidden="1" customWidth="1"/>
    <col min="4877" max="4877" width="1.83203125" style="308" hidden="1" customWidth="1"/>
    <col min="4878" max="5120" width="0" style="308" hidden="1"/>
    <col min="5121" max="5121" width="4.5" style="308" hidden="1" customWidth="1"/>
    <col min="5122" max="5122" width="3.5" style="308" hidden="1" customWidth="1"/>
    <col min="5123" max="5123" width="6" style="308" hidden="1" customWidth="1"/>
    <col min="5124" max="5130" width="9.1640625" style="308" hidden="1" customWidth="1"/>
    <col min="5131" max="5131" width="11.83203125" style="308" hidden="1" customWidth="1"/>
    <col min="5132" max="5132" width="11" style="308" hidden="1" customWidth="1"/>
    <col min="5133" max="5133" width="1.83203125" style="308" hidden="1" customWidth="1"/>
    <col min="5134" max="5376" width="0" style="308" hidden="1"/>
    <col min="5377" max="5377" width="4.5" style="308" hidden="1" customWidth="1"/>
    <col min="5378" max="5378" width="3.5" style="308" hidden="1" customWidth="1"/>
    <col min="5379" max="5379" width="6" style="308" hidden="1" customWidth="1"/>
    <col min="5380" max="5386" width="9.1640625" style="308" hidden="1" customWidth="1"/>
    <col min="5387" max="5387" width="11.83203125" style="308" hidden="1" customWidth="1"/>
    <col min="5388" max="5388" width="11" style="308" hidden="1" customWidth="1"/>
    <col min="5389" max="5389" width="1.83203125" style="308" hidden="1" customWidth="1"/>
    <col min="5390" max="5632" width="0" style="308" hidden="1"/>
    <col min="5633" max="5633" width="4.5" style="308" hidden="1" customWidth="1"/>
    <col min="5634" max="5634" width="3.5" style="308" hidden="1" customWidth="1"/>
    <col min="5635" max="5635" width="6" style="308" hidden="1" customWidth="1"/>
    <col min="5636" max="5642" width="9.1640625" style="308" hidden="1" customWidth="1"/>
    <col min="5643" max="5643" width="11.83203125" style="308" hidden="1" customWidth="1"/>
    <col min="5644" max="5644" width="11" style="308" hidden="1" customWidth="1"/>
    <col min="5645" max="5645" width="1.83203125" style="308" hidden="1" customWidth="1"/>
    <col min="5646" max="5888" width="0" style="308" hidden="1"/>
    <col min="5889" max="5889" width="4.5" style="308" hidden="1" customWidth="1"/>
    <col min="5890" max="5890" width="3.5" style="308" hidden="1" customWidth="1"/>
    <col min="5891" max="5891" width="6" style="308" hidden="1" customWidth="1"/>
    <col min="5892" max="5898" width="9.1640625" style="308" hidden="1" customWidth="1"/>
    <col min="5899" max="5899" width="11.83203125" style="308" hidden="1" customWidth="1"/>
    <col min="5900" max="5900" width="11" style="308" hidden="1" customWidth="1"/>
    <col min="5901" max="5901" width="1.83203125" style="308" hidden="1" customWidth="1"/>
    <col min="5902" max="6144" width="0" style="308" hidden="1"/>
    <col min="6145" max="6145" width="4.5" style="308" hidden="1" customWidth="1"/>
    <col min="6146" max="6146" width="3.5" style="308" hidden="1" customWidth="1"/>
    <col min="6147" max="6147" width="6" style="308" hidden="1" customWidth="1"/>
    <col min="6148" max="6154" width="9.1640625" style="308" hidden="1" customWidth="1"/>
    <col min="6155" max="6155" width="11.83203125" style="308" hidden="1" customWidth="1"/>
    <col min="6156" max="6156" width="11" style="308" hidden="1" customWidth="1"/>
    <col min="6157" max="6157" width="1.83203125" style="308" hidden="1" customWidth="1"/>
    <col min="6158" max="6400" width="0" style="308" hidden="1"/>
    <col min="6401" max="6401" width="4.5" style="308" hidden="1" customWidth="1"/>
    <col min="6402" max="6402" width="3.5" style="308" hidden="1" customWidth="1"/>
    <col min="6403" max="6403" width="6" style="308" hidden="1" customWidth="1"/>
    <col min="6404" max="6410" width="9.1640625" style="308" hidden="1" customWidth="1"/>
    <col min="6411" max="6411" width="11.83203125" style="308" hidden="1" customWidth="1"/>
    <col min="6412" max="6412" width="11" style="308" hidden="1" customWidth="1"/>
    <col min="6413" max="6413" width="1.83203125" style="308" hidden="1" customWidth="1"/>
    <col min="6414" max="6656" width="0" style="308" hidden="1"/>
    <col min="6657" max="6657" width="4.5" style="308" hidden="1" customWidth="1"/>
    <col min="6658" max="6658" width="3.5" style="308" hidden="1" customWidth="1"/>
    <col min="6659" max="6659" width="6" style="308" hidden="1" customWidth="1"/>
    <col min="6660" max="6666" width="9.1640625" style="308" hidden="1" customWidth="1"/>
    <col min="6667" max="6667" width="11.83203125" style="308" hidden="1" customWidth="1"/>
    <col min="6668" max="6668" width="11" style="308" hidden="1" customWidth="1"/>
    <col min="6669" max="6669" width="1.83203125" style="308" hidden="1" customWidth="1"/>
    <col min="6670" max="6912" width="0" style="308" hidden="1"/>
    <col min="6913" max="6913" width="4.5" style="308" hidden="1" customWidth="1"/>
    <col min="6914" max="6914" width="3.5" style="308" hidden="1" customWidth="1"/>
    <col min="6915" max="6915" width="6" style="308" hidden="1" customWidth="1"/>
    <col min="6916" max="6922" width="9.1640625" style="308" hidden="1" customWidth="1"/>
    <col min="6923" max="6923" width="11.83203125" style="308" hidden="1" customWidth="1"/>
    <col min="6924" max="6924" width="11" style="308" hidden="1" customWidth="1"/>
    <col min="6925" max="6925" width="1.83203125" style="308" hidden="1" customWidth="1"/>
    <col min="6926" max="7168" width="0" style="308" hidden="1"/>
    <col min="7169" max="7169" width="4.5" style="308" hidden="1" customWidth="1"/>
    <col min="7170" max="7170" width="3.5" style="308" hidden="1" customWidth="1"/>
    <col min="7171" max="7171" width="6" style="308" hidden="1" customWidth="1"/>
    <col min="7172" max="7178" width="9.1640625" style="308" hidden="1" customWidth="1"/>
    <col min="7179" max="7179" width="11.83203125" style="308" hidden="1" customWidth="1"/>
    <col min="7180" max="7180" width="11" style="308" hidden="1" customWidth="1"/>
    <col min="7181" max="7181" width="1.83203125" style="308" hidden="1" customWidth="1"/>
    <col min="7182" max="7424" width="0" style="308" hidden="1"/>
    <col min="7425" max="7425" width="4.5" style="308" hidden="1" customWidth="1"/>
    <col min="7426" max="7426" width="3.5" style="308" hidden="1" customWidth="1"/>
    <col min="7427" max="7427" width="6" style="308" hidden="1" customWidth="1"/>
    <col min="7428" max="7434" width="9.1640625" style="308" hidden="1" customWidth="1"/>
    <col min="7435" max="7435" width="11.83203125" style="308" hidden="1" customWidth="1"/>
    <col min="7436" max="7436" width="11" style="308" hidden="1" customWidth="1"/>
    <col min="7437" max="7437" width="1.83203125" style="308" hidden="1" customWidth="1"/>
    <col min="7438" max="7680" width="0" style="308" hidden="1"/>
    <col min="7681" max="7681" width="4.5" style="308" hidden="1" customWidth="1"/>
    <col min="7682" max="7682" width="3.5" style="308" hidden="1" customWidth="1"/>
    <col min="7683" max="7683" width="6" style="308" hidden="1" customWidth="1"/>
    <col min="7684" max="7690" width="9.1640625" style="308" hidden="1" customWidth="1"/>
    <col min="7691" max="7691" width="11.83203125" style="308" hidden="1" customWidth="1"/>
    <col min="7692" max="7692" width="11" style="308" hidden="1" customWidth="1"/>
    <col min="7693" max="7693" width="1.83203125" style="308" hidden="1" customWidth="1"/>
    <col min="7694" max="7936" width="0" style="308" hidden="1"/>
    <col min="7937" max="7937" width="4.5" style="308" hidden="1" customWidth="1"/>
    <col min="7938" max="7938" width="3.5" style="308" hidden="1" customWidth="1"/>
    <col min="7939" max="7939" width="6" style="308" hidden="1" customWidth="1"/>
    <col min="7940" max="7946" width="9.1640625" style="308" hidden="1" customWidth="1"/>
    <col min="7947" max="7947" width="11.83203125" style="308" hidden="1" customWidth="1"/>
    <col min="7948" max="7948" width="11" style="308" hidden="1" customWidth="1"/>
    <col min="7949" max="7949" width="1.83203125" style="308" hidden="1" customWidth="1"/>
    <col min="7950" max="8192" width="0" style="308" hidden="1"/>
    <col min="8193" max="8193" width="4.5" style="308" hidden="1" customWidth="1"/>
    <col min="8194" max="8194" width="3.5" style="308" hidden="1" customWidth="1"/>
    <col min="8195" max="8195" width="6" style="308" hidden="1" customWidth="1"/>
    <col min="8196" max="8202" width="9.1640625" style="308" hidden="1" customWidth="1"/>
    <col min="8203" max="8203" width="11.83203125" style="308" hidden="1" customWidth="1"/>
    <col min="8204" max="8204" width="11" style="308" hidden="1" customWidth="1"/>
    <col min="8205" max="8205" width="1.83203125" style="308" hidden="1" customWidth="1"/>
    <col min="8206" max="8448" width="0" style="308" hidden="1"/>
    <col min="8449" max="8449" width="4.5" style="308" hidden="1" customWidth="1"/>
    <col min="8450" max="8450" width="3.5" style="308" hidden="1" customWidth="1"/>
    <col min="8451" max="8451" width="6" style="308" hidden="1" customWidth="1"/>
    <col min="8452" max="8458" width="9.1640625" style="308" hidden="1" customWidth="1"/>
    <col min="8459" max="8459" width="11.83203125" style="308" hidden="1" customWidth="1"/>
    <col min="8460" max="8460" width="11" style="308" hidden="1" customWidth="1"/>
    <col min="8461" max="8461" width="1.83203125" style="308" hidden="1" customWidth="1"/>
    <col min="8462" max="8704" width="0" style="308" hidden="1"/>
    <col min="8705" max="8705" width="4.5" style="308" hidden="1" customWidth="1"/>
    <col min="8706" max="8706" width="3.5" style="308" hidden="1" customWidth="1"/>
    <col min="8707" max="8707" width="6" style="308" hidden="1" customWidth="1"/>
    <col min="8708" max="8714" width="9.1640625" style="308" hidden="1" customWidth="1"/>
    <col min="8715" max="8715" width="11.83203125" style="308" hidden="1" customWidth="1"/>
    <col min="8716" max="8716" width="11" style="308" hidden="1" customWidth="1"/>
    <col min="8717" max="8717" width="1.83203125" style="308" hidden="1" customWidth="1"/>
    <col min="8718" max="8960" width="0" style="308" hidden="1"/>
    <col min="8961" max="8961" width="4.5" style="308" hidden="1" customWidth="1"/>
    <col min="8962" max="8962" width="3.5" style="308" hidden="1" customWidth="1"/>
    <col min="8963" max="8963" width="6" style="308" hidden="1" customWidth="1"/>
    <col min="8964" max="8970" width="9.1640625" style="308" hidden="1" customWidth="1"/>
    <col min="8971" max="8971" width="11.83203125" style="308" hidden="1" customWidth="1"/>
    <col min="8972" max="8972" width="11" style="308" hidden="1" customWidth="1"/>
    <col min="8973" max="8973" width="1.83203125" style="308" hidden="1" customWidth="1"/>
    <col min="8974" max="9216" width="0" style="308" hidden="1"/>
    <col min="9217" max="9217" width="4.5" style="308" hidden="1" customWidth="1"/>
    <col min="9218" max="9218" width="3.5" style="308" hidden="1" customWidth="1"/>
    <col min="9219" max="9219" width="6" style="308" hidden="1" customWidth="1"/>
    <col min="9220" max="9226" width="9.1640625" style="308" hidden="1" customWidth="1"/>
    <col min="9227" max="9227" width="11.83203125" style="308" hidden="1" customWidth="1"/>
    <col min="9228" max="9228" width="11" style="308" hidden="1" customWidth="1"/>
    <col min="9229" max="9229" width="1.83203125" style="308" hidden="1" customWidth="1"/>
    <col min="9230" max="9472" width="0" style="308" hidden="1"/>
    <col min="9473" max="9473" width="4.5" style="308" hidden="1" customWidth="1"/>
    <col min="9474" max="9474" width="3.5" style="308" hidden="1" customWidth="1"/>
    <col min="9475" max="9475" width="6" style="308" hidden="1" customWidth="1"/>
    <col min="9476" max="9482" width="9.1640625" style="308" hidden="1" customWidth="1"/>
    <col min="9483" max="9483" width="11.83203125" style="308" hidden="1" customWidth="1"/>
    <col min="9484" max="9484" width="11" style="308" hidden="1" customWidth="1"/>
    <col min="9485" max="9485" width="1.83203125" style="308" hidden="1" customWidth="1"/>
    <col min="9486" max="9728" width="0" style="308" hidden="1"/>
    <col min="9729" max="9729" width="4.5" style="308" hidden="1" customWidth="1"/>
    <col min="9730" max="9730" width="3.5" style="308" hidden="1" customWidth="1"/>
    <col min="9731" max="9731" width="6" style="308" hidden="1" customWidth="1"/>
    <col min="9732" max="9738" width="9.1640625" style="308" hidden="1" customWidth="1"/>
    <col min="9739" max="9739" width="11.83203125" style="308" hidden="1" customWidth="1"/>
    <col min="9740" max="9740" width="11" style="308" hidden="1" customWidth="1"/>
    <col min="9741" max="9741" width="1.83203125" style="308" hidden="1" customWidth="1"/>
    <col min="9742" max="9984" width="0" style="308" hidden="1"/>
    <col min="9985" max="9985" width="4.5" style="308" hidden="1" customWidth="1"/>
    <col min="9986" max="9986" width="3.5" style="308" hidden="1" customWidth="1"/>
    <col min="9987" max="9987" width="6" style="308" hidden="1" customWidth="1"/>
    <col min="9988" max="9994" width="9.1640625" style="308" hidden="1" customWidth="1"/>
    <col min="9995" max="9995" width="11.83203125" style="308" hidden="1" customWidth="1"/>
    <col min="9996" max="9996" width="11" style="308" hidden="1" customWidth="1"/>
    <col min="9997" max="9997" width="1.83203125" style="308" hidden="1" customWidth="1"/>
    <col min="9998" max="10240" width="0" style="308" hidden="1"/>
    <col min="10241" max="10241" width="4.5" style="308" hidden="1" customWidth="1"/>
    <col min="10242" max="10242" width="3.5" style="308" hidden="1" customWidth="1"/>
    <col min="10243" max="10243" width="6" style="308" hidden="1" customWidth="1"/>
    <col min="10244" max="10250" width="9.1640625" style="308" hidden="1" customWidth="1"/>
    <col min="10251" max="10251" width="11.83203125" style="308" hidden="1" customWidth="1"/>
    <col min="10252" max="10252" width="11" style="308" hidden="1" customWidth="1"/>
    <col min="10253" max="10253" width="1.83203125" style="308" hidden="1" customWidth="1"/>
    <col min="10254" max="10496" width="0" style="308" hidden="1"/>
    <col min="10497" max="10497" width="4.5" style="308" hidden="1" customWidth="1"/>
    <col min="10498" max="10498" width="3.5" style="308" hidden="1" customWidth="1"/>
    <col min="10499" max="10499" width="6" style="308" hidden="1" customWidth="1"/>
    <col min="10500" max="10506" width="9.1640625" style="308" hidden="1" customWidth="1"/>
    <col min="10507" max="10507" width="11.83203125" style="308" hidden="1" customWidth="1"/>
    <col min="10508" max="10508" width="11" style="308" hidden="1" customWidth="1"/>
    <col min="10509" max="10509" width="1.83203125" style="308" hidden="1" customWidth="1"/>
    <col min="10510" max="10752" width="0" style="308" hidden="1"/>
    <col min="10753" max="10753" width="4.5" style="308" hidden="1" customWidth="1"/>
    <col min="10754" max="10754" width="3.5" style="308" hidden="1" customWidth="1"/>
    <col min="10755" max="10755" width="6" style="308" hidden="1" customWidth="1"/>
    <col min="10756" max="10762" width="9.1640625" style="308" hidden="1" customWidth="1"/>
    <col min="10763" max="10763" width="11.83203125" style="308" hidden="1" customWidth="1"/>
    <col min="10764" max="10764" width="11" style="308" hidden="1" customWidth="1"/>
    <col min="10765" max="10765" width="1.83203125" style="308" hidden="1" customWidth="1"/>
    <col min="10766" max="11008" width="0" style="308" hidden="1"/>
    <col min="11009" max="11009" width="4.5" style="308" hidden="1" customWidth="1"/>
    <col min="11010" max="11010" width="3.5" style="308" hidden="1" customWidth="1"/>
    <col min="11011" max="11011" width="6" style="308" hidden="1" customWidth="1"/>
    <col min="11012" max="11018" width="9.1640625" style="308" hidden="1" customWidth="1"/>
    <col min="11019" max="11019" width="11.83203125" style="308" hidden="1" customWidth="1"/>
    <col min="11020" max="11020" width="11" style="308" hidden="1" customWidth="1"/>
    <col min="11021" max="11021" width="1.83203125" style="308" hidden="1" customWidth="1"/>
    <col min="11022" max="11264" width="0" style="308" hidden="1"/>
    <col min="11265" max="11265" width="4.5" style="308" hidden="1" customWidth="1"/>
    <col min="11266" max="11266" width="3.5" style="308" hidden="1" customWidth="1"/>
    <col min="11267" max="11267" width="6" style="308" hidden="1" customWidth="1"/>
    <col min="11268" max="11274" width="9.1640625" style="308" hidden="1" customWidth="1"/>
    <col min="11275" max="11275" width="11.83203125" style="308" hidden="1" customWidth="1"/>
    <col min="11276" max="11276" width="11" style="308" hidden="1" customWidth="1"/>
    <col min="11277" max="11277" width="1.83203125" style="308" hidden="1" customWidth="1"/>
    <col min="11278" max="11520" width="0" style="308" hidden="1"/>
    <col min="11521" max="11521" width="4.5" style="308" hidden="1" customWidth="1"/>
    <col min="11522" max="11522" width="3.5" style="308" hidden="1" customWidth="1"/>
    <col min="11523" max="11523" width="6" style="308" hidden="1" customWidth="1"/>
    <col min="11524" max="11530" width="9.1640625" style="308" hidden="1" customWidth="1"/>
    <col min="11531" max="11531" width="11.83203125" style="308" hidden="1" customWidth="1"/>
    <col min="11532" max="11532" width="11" style="308" hidden="1" customWidth="1"/>
    <col min="11533" max="11533" width="1.83203125" style="308" hidden="1" customWidth="1"/>
    <col min="11534" max="11776" width="0" style="308" hidden="1"/>
    <col min="11777" max="11777" width="4.5" style="308" hidden="1" customWidth="1"/>
    <col min="11778" max="11778" width="3.5" style="308" hidden="1" customWidth="1"/>
    <col min="11779" max="11779" width="6" style="308" hidden="1" customWidth="1"/>
    <col min="11780" max="11786" width="9.1640625" style="308" hidden="1" customWidth="1"/>
    <col min="11787" max="11787" width="11.83203125" style="308" hidden="1" customWidth="1"/>
    <col min="11788" max="11788" width="11" style="308" hidden="1" customWidth="1"/>
    <col min="11789" max="11789" width="1.83203125" style="308" hidden="1" customWidth="1"/>
    <col min="11790" max="12032" width="0" style="308" hidden="1"/>
    <col min="12033" max="12033" width="4.5" style="308" hidden="1" customWidth="1"/>
    <col min="12034" max="12034" width="3.5" style="308" hidden="1" customWidth="1"/>
    <col min="12035" max="12035" width="6" style="308" hidden="1" customWidth="1"/>
    <col min="12036" max="12042" width="9.1640625" style="308" hidden="1" customWidth="1"/>
    <col min="12043" max="12043" width="11.83203125" style="308" hidden="1" customWidth="1"/>
    <col min="12044" max="12044" width="11" style="308" hidden="1" customWidth="1"/>
    <col min="12045" max="12045" width="1.83203125" style="308" hidden="1" customWidth="1"/>
    <col min="12046" max="12288" width="0" style="308" hidden="1"/>
    <col min="12289" max="12289" width="4.5" style="308" hidden="1" customWidth="1"/>
    <col min="12290" max="12290" width="3.5" style="308" hidden="1" customWidth="1"/>
    <col min="12291" max="12291" width="6" style="308" hidden="1" customWidth="1"/>
    <col min="12292" max="12298" width="9.1640625" style="308" hidden="1" customWidth="1"/>
    <col min="12299" max="12299" width="11.83203125" style="308" hidden="1" customWidth="1"/>
    <col min="12300" max="12300" width="11" style="308" hidden="1" customWidth="1"/>
    <col min="12301" max="12301" width="1.83203125" style="308" hidden="1" customWidth="1"/>
    <col min="12302" max="12544" width="0" style="308" hidden="1"/>
    <col min="12545" max="12545" width="4.5" style="308" hidden="1" customWidth="1"/>
    <col min="12546" max="12546" width="3.5" style="308" hidden="1" customWidth="1"/>
    <col min="12547" max="12547" width="6" style="308" hidden="1" customWidth="1"/>
    <col min="12548" max="12554" width="9.1640625" style="308" hidden="1" customWidth="1"/>
    <col min="12555" max="12555" width="11.83203125" style="308" hidden="1" customWidth="1"/>
    <col min="12556" max="12556" width="11" style="308" hidden="1" customWidth="1"/>
    <col min="12557" max="12557" width="1.83203125" style="308" hidden="1" customWidth="1"/>
    <col min="12558" max="12800" width="0" style="308" hidden="1"/>
    <col min="12801" max="12801" width="4.5" style="308" hidden="1" customWidth="1"/>
    <col min="12802" max="12802" width="3.5" style="308" hidden="1" customWidth="1"/>
    <col min="12803" max="12803" width="6" style="308" hidden="1" customWidth="1"/>
    <col min="12804" max="12810" width="9.1640625" style="308" hidden="1" customWidth="1"/>
    <col min="12811" max="12811" width="11.83203125" style="308" hidden="1" customWidth="1"/>
    <col min="12812" max="12812" width="11" style="308" hidden="1" customWidth="1"/>
    <col min="12813" max="12813" width="1.83203125" style="308" hidden="1" customWidth="1"/>
    <col min="12814" max="13056" width="0" style="308" hidden="1"/>
    <col min="13057" max="13057" width="4.5" style="308" hidden="1" customWidth="1"/>
    <col min="13058" max="13058" width="3.5" style="308" hidden="1" customWidth="1"/>
    <col min="13059" max="13059" width="6" style="308" hidden="1" customWidth="1"/>
    <col min="13060" max="13066" width="9.1640625" style="308" hidden="1" customWidth="1"/>
    <col min="13067" max="13067" width="11.83203125" style="308" hidden="1" customWidth="1"/>
    <col min="13068" max="13068" width="11" style="308" hidden="1" customWidth="1"/>
    <col min="13069" max="13069" width="1.83203125" style="308" hidden="1" customWidth="1"/>
    <col min="13070" max="13312" width="0" style="308" hidden="1"/>
    <col min="13313" max="13313" width="4.5" style="308" hidden="1" customWidth="1"/>
    <col min="13314" max="13314" width="3.5" style="308" hidden="1" customWidth="1"/>
    <col min="13315" max="13315" width="6" style="308" hidden="1" customWidth="1"/>
    <col min="13316" max="13322" width="9.1640625" style="308" hidden="1" customWidth="1"/>
    <col min="13323" max="13323" width="11.83203125" style="308" hidden="1" customWidth="1"/>
    <col min="13324" max="13324" width="11" style="308" hidden="1" customWidth="1"/>
    <col min="13325" max="13325" width="1.83203125" style="308" hidden="1" customWidth="1"/>
    <col min="13326" max="13568" width="0" style="308" hidden="1"/>
    <col min="13569" max="13569" width="4.5" style="308" hidden="1" customWidth="1"/>
    <col min="13570" max="13570" width="3.5" style="308" hidden="1" customWidth="1"/>
    <col min="13571" max="13571" width="6" style="308" hidden="1" customWidth="1"/>
    <col min="13572" max="13578" width="9.1640625" style="308" hidden="1" customWidth="1"/>
    <col min="13579" max="13579" width="11.83203125" style="308" hidden="1" customWidth="1"/>
    <col min="13580" max="13580" width="11" style="308" hidden="1" customWidth="1"/>
    <col min="13581" max="13581" width="1.83203125" style="308" hidden="1" customWidth="1"/>
    <col min="13582" max="13824" width="0" style="308" hidden="1"/>
    <col min="13825" max="13825" width="4.5" style="308" hidden="1" customWidth="1"/>
    <col min="13826" max="13826" width="3.5" style="308" hidden="1" customWidth="1"/>
    <col min="13827" max="13827" width="6" style="308" hidden="1" customWidth="1"/>
    <col min="13828" max="13834" width="9.1640625" style="308" hidden="1" customWidth="1"/>
    <col min="13835" max="13835" width="11.83203125" style="308" hidden="1" customWidth="1"/>
    <col min="13836" max="13836" width="11" style="308" hidden="1" customWidth="1"/>
    <col min="13837" max="13837" width="1.83203125" style="308" hidden="1" customWidth="1"/>
    <col min="13838" max="14080" width="0" style="308" hidden="1"/>
    <col min="14081" max="14081" width="4.5" style="308" hidden="1" customWidth="1"/>
    <col min="14082" max="14082" width="3.5" style="308" hidden="1" customWidth="1"/>
    <col min="14083" max="14083" width="6" style="308" hidden="1" customWidth="1"/>
    <col min="14084" max="14090" width="9.1640625" style="308" hidden="1" customWidth="1"/>
    <col min="14091" max="14091" width="11.83203125" style="308" hidden="1" customWidth="1"/>
    <col min="14092" max="14092" width="11" style="308" hidden="1" customWidth="1"/>
    <col min="14093" max="14093" width="1.83203125" style="308" hidden="1" customWidth="1"/>
    <col min="14094" max="14336" width="0" style="308" hidden="1"/>
    <col min="14337" max="14337" width="4.5" style="308" hidden="1" customWidth="1"/>
    <col min="14338" max="14338" width="3.5" style="308" hidden="1" customWidth="1"/>
    <col min="14339" max="14339" width="6" style="308" hidden="1" customWidth="1"/>
    <col min="14340" max="14346" width="9.1640625" style="308" hidden="1" customWidth="1"/>
    <col min="14347" max="14347" width="11.83203125" style="308" hidden="1" customWidth="1"/>
    <col min="14348" max="14348" width="11" style="308" hidden="1" customWidth="1"/>
    <col min="14349" max="14349" width="1.83203125" style="308" hidden="1" customWidth="1"/>
    <col min="14350" max="14592" width="0" style="308" hidden="1"/>
    <col min="14593" max="14593" width="4.5" style="308" hidden="1" customWidth="1"/>
    <col min="14594" max="14594" width="3.5" style="308" hidden="1" customWidth="1"/>
    <col min="14595" max="14595" width="6" style="308" hidden="1" customWidth="1"/>
    <col min="14596" max="14602" width="9.1640625" style="308" hidden="1" customWidth="1"/>
    <col min="14603" max="14603" width="11.83203125" style="308" hidden="1" customWidth="1"/>
    <col min="14604" max="14604" width="11" style="308" hidden="1" customWidth="1"/>
    <col min="14605" max="14605" width="1.83203125" style="308" hidden="1" customWidth="1"/>
    <col min="14606" max="14848" width="0" style="308" hidden="1"/>
    <col min="14849" max="14849" width="4.5" style="308" hidden="1" customWidth="1"/>
    <col min="14850" max="14850" width="3.5" style="308" hidden="1" customWidth="1"/>
    <col min="14851" max="14851" width="6" style="308" hidden="1" customWidth="1"/>
    <col min="14852" max="14858" width="9.1640625" style="308" hidden="1" customWidth="1"/>
    <col min="14859" max="14859" width="11.83203125" style="308" hidden="1" customWidth="1"/>
    <col min="14860" max="14860" width="11" style="308" hidden="1" customWidth="1"/>
    <col min="14861" max="14861" width="1.83203125" style="308" hidden="1" customWidth="1"/>
    <col min="14862" max="15104" width="0" style="308" hidden="1"/>
    <col min="15105" max="15105" width="4.5" style="308" hidden="1" customWidth="1"/>
    <col min="15106" max="15106" width="3.5" style="308" hidden="1" customWidth="1"/>
    <col min="15107" max="15107" width="6" style="308" hidden="1" customWidth="1"/>
    <col min="15108" max="15114" width="9.1640625" style="308" hidden="1" customWidth="1"/>
    <col min="15115" max="15115" width="11.83203125" style="308" hidden="1" customWidth="1"/>
    <col min="15116" max="15116" width="11" style="308" hidden="1" customWidth="1"/>
    <col min="15117" max="15117" width="1.83203125" style="308" hidden="1" customWidth="1"/>
    <col min="15118" max="15360" width="0" style="308" hidden="1"/>
    <col min="15361" max="15361" width="4.5" style="308" hidden="1" customWidth="1"/>
    <col min="15362" max="15362" width="3.5" style="308" hidden="1" customWidth="1"/>
    <col min="15363" max="15363" width="6" style="308" hidden="1" customWidth="1"/>
    <col min="15364" max="15370" width="9.1640625" style="308" hidden="1" customWidth="1"/>
    <col min="15371" max="15371" width="11.83203125" style="308" hidden="1" customWidth="1"/>
    <col min="15372" max="15372" width="11" style="308" hidden="1" customWidth="1"/>
    <col min="15373" max="15373" width="1.83203125" style="308" hidden="1" customWidth="1"/>
    <col min="15374" max="15616" width="0" style="308" hidden="1"/>
    <col min="15617" max="15617" width="4.5" style="308" hidden="1" customWidth="1"/>
    <col min="15618" max="15618" width="3.5" style="308" hidden="1" customWidth="1"/>
    <col min="15619" max="15619" width="6" style="308" hidden="1" customWidth="1"/>
    <col min="15620" max="15626" width="9.1640625" style="308" hidden="1" customWidth="1"/>
    <col min="15627" max="15627" width="11.83203125" style="308" hidden="1" customWidth="1"/>
    <col min="15628" max="15628" width="11" style="308" hidden="1" customWidth="1"/>
    <col min="15629" max="15629" width="1.83203125" style="308" hidden="1" customWidth="1"/>
    <col min="15630" max="15872" width="0" style="308" hidden="1"/>
    <col min="15873" max="15873" width="4.5" style="308" hidden="1" customWidth="1"/>
    <col min="15874" max="15874" width="3.5" style="308" hidden="1" customWidth="1"/>
    <col min="15875" max="15875" width="6" style="308" hidden="1" customWidth="1"/>
    <col min="15876" max="15882" width="9.1640625" style="308" hidden="1" customWidth="1"/>
    <col min="15883" max="15883" width="11.83203125" style="308" hidden="1" customWidth="1"/>
    <col min="15884" max="15884" width="11" style="308" hidden="1" customWidth="1"/>
    <col min="15885" max="15885" width="1.83203125" style="308" hidden="1" customWidth="1"/>
    <col min="15886" max="16128" width="0" style="308" hidden="1"/>
    <col min="16129" max="16129" width="4.5" style="308" hidden="1" customWidth="1"/>
    <col min="16130" max="16130" width="3.5" style="308" hidden="1" customWidth="1"/>
    <col min="16131" max="16131" width="6" style="308" hidden="1" customWidth="1"/>
    <col min="16132" max="16138" width="9.1640625" style="308" hidden="1" customWidth="1"/>
    <col min="16139" max="16139" width="11.83203125" style="308" hidden="1" customWidth="1"/>
    <col min="16140" max="16140" width="11" style="308" hidden="1" customWidth="1"/>
    <col min="16141" max="16141" width="1.83203125" style="308" hidden="1" customWidth="1"/>
    <col min="16142" max="16384" width="0" style="308" hidden="1"/>
  </cols>
  <sheetData>
    <row r="1" spans="1:24" ht="15" customHeight="1">
      <c r="A1" s="350"/>
      <c r="B1" s="601" t="s">
        <v>1</v>
      </c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  <c r="O1" s="601"/>
      <c r="P1" s="601"/>
      <c r="Q1" s="601"/>
      <c r="R1" s="601"/>
      <c r="S1" s="601"/>
      <c r="T1" s="602"/>
      <c r="U1"/>
    </row>
    <row r="2" spans="1:24" ht="12.75" customHeight="1">
      <c r="A2" s="351"/>
      <c r="B2" s="601" t="s">
        <v>2</v>
      </c>
      <c r="C2" s="601"/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2"/>
      <c r="U2"/>
      <c r="V2" s="309"/>
      <c r="W2" s="309"/>
      <c r="X2" s="309"/>
    </row>
    <row r="3" spans="1:24" ht="12.75" customHeight="1">
      <c r="A3" s="351"/>
      <c r="B3" s="601" t="s">
        <v>144</v>
      </c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  <c r="R3" s="601"/>
      <c r="S3" s="601"/>
      <c r="T3" s="602"/>
      <c r="U3"/>
      <c r="V3" s="309"/>
      <c r="W3" s="309"/>
      <c r="X3" s="309"/>
    </row>
    <row r="4" spans="1:24" ht="12.75" customHeight="1">
      <c r="A4" s="351"/>
      <c r="B4" s="345"/>
      <c r="C4" s="586"/>
      <c r="D4" s="586"/>
      <c r="E4" s="599" t="s">
        <v>3520</v>
      </c>
      <c r="F4" s="599"/>
      <c r="G4" s="599"/>
      <c r="H4" s="599"/>
      <c r="I4" s="599"/>
      <c r="J4" s="599"/>
      <c r="K4" s="599"/>
      <c r="L4" s="599"/>
      <c r="M4" s="599"/>
      <c r="N4" s="599"/>
      <c r="O4" s="599"/>
      <c r="P4" s="599"/>
      <c r="Q4" s="599"/>
      <c r="R4" s="599"/>
      <c r="S4" s="599"/>
      <c r="T4" s="603"/>
      <c r="U4"/>
      <c r="V4" s="309"/>
      <c r="W4" s="309"/>
      <c r="X4" s="309"/>
    </row>
    <row r="5" spans="1:24">
      <c r="A5" s="351"/>
      <c r="B5" s="585" t="s">
        <v>3521</v>
      </c>
      <c r="C5" s="585"/>
      <c r="D5" s="585"/>
      <c r="E5" s="585"/>
      <c r="F5" s="586"/>
      <c r="G5" s="586"/>
      <c r="H5" s="586"/>
      <c r="I5" s="586"/>
      <c r="J5" s="586"/>
      <c r="K5" s="586"/>
      <c r="L5" s="586"/>
      <c r="M5" s="586"/>
      <c r="N5" s="586"/>
      <c r="O5" s="586"/>
      <c r="P5" s="586"/>
      <c r="Q5" s="586"/>
      <c r="R5" s="586"/>
      <c r="S5" s="586"/>
      <c r="T5" s="586"/>
      <c r="U5" s="588"/>
      <c r="V5" s="310"/>
      <c r="W5" s="310"/>
      <c r="X5" s="310"/>
    </row>
    <row r="6" spans="1:24" ht="15">
      <c r="A6" s="351"/>
      <c r="B6" s="345"/>
      <c r="C6" s="586"/>
      <c r="D6" s="586"/>
      <c r="E6" s="586"/>
      <c r="F6" s="586"/>
      <c r="G6" s="586"/>
      <c r="H6" s="586"/>
      <c r="I6" s="586"/>
      <c r="J6" s="586"/>
      <c r="K6" s="586"/>
      <c r="L6" s="586"/>
      <c r="M6" s="586"/>
      <c r="N6" s="586"/>
      <c r="O6" s="586"/>
      <c r="P6" s="586"/>
      <c r="Q6" s="586"/>
      <c r="R6" s="586"/>
      <c r="S6" s="586"/>
      <c r="T6" s="588"/>
      <c r="U6"/>
    </row>
    <row r="7" spans="1:24" ht="12.75" customHeight="1">
      <c r="A7" s="351"/>
      <c r="B7" s="583" t="s">
        <v>7013</v>
      </c>
      <c r="C7" s="583"/>
      <c r="D7" s="583"/>
      <c r="E7" s="583"/>
      <c r="F7" s="583"/>
      <c r="G7" s="583"/>
      <c r="H7" s="583"/>
      <c r="I7" s="583"/>
      <c r="J7" s="583"/>
      <c r="K7" s="583"/>
      <c r="L7" s="583"/>
      <c r="M7" s="583"/>
      <c r="N7" s="583"/>
      <c r="O7" s="583"/>
      <c r="P7" s="583"/>
      <c r="Q7" s="583"/>
      <c r="R7" s="583"/>
      <c r="S7" s="583"/>
      <c r="T7" s="583"/>
      <c r="U7" s="584"/>
    </row>
    <row r="8" spans="1:24" ht="25.5" customHeight="1">
      <c r="A8" s="351"/>
      <c r="B8" s="583" t="s">
        <v>3522</v>
      </c>
      <c r="C8" s="583"/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4"/>
    </row>
    <row r="9" spans="1:24" ht="28.5" customHeight="1">
      <c r="A9" s="351"/>
      <c r="B9" s="604" t="s">
        <v>6989</v>
      </c>
      <c r="C9" s="604"/>
      <c r="D9" s="604"/>
      <c r="E9" s="604"/>
      <c r="F9" s="604"/>
      <c r="G9" s="604"/>
      <c r="H9" s="604"/>
      <c r="I9" s="604"/>
      <c r="J9" s="604"/>
      <c r="K9" s="604"/>
      <c r="L9" s="604"/>
      <c r="M9" s="604"/>
      <c r="N9" s="604"/>
      <c r="O9" s="604"/>
      <c r="P9" s="604"/>
      <c r="Q9" s="604"/>
      <c r="R9" s="604"/>
      <c r="S9" s="604"/>
      <c r="T9" s="604"/>
      <c r="U9" s="605"/>
    </row>
    <row r="10" spans="1:24" ht="38.25" customHeight="1">
      <c r="A10" s="351"/>
      <c r="B10" s="583" t="s">
        <v>3523</v>
      </c>
      <c r="C10" s="583"/>
      <c r="D10" s="583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584"/>
    </row>
    <row r="11" spans="1:24" ht="18" customHeight="1" thickBot="1">
      <c r="A11" s="311" t="s">
        <v>3524</v>
      </c>
      <c r="B11" s="606" t="s">
        <v>3525</v>
      </c>
      <c r="C11" s="606"/>
      <c r="D11" s="607"/>
      <c r="E11" s="607"/>
      <c r="F11" s="607"/>
      <c r="G11" s="607"/>
      <c r="H11" s="607"/>
      <c r="I11" s="607"/>
      <c r="J11" s="607"/>
      <c r="K11" s="607"/>
      <c r="L11" s="607"/>
      <c r="M11" s="607"/>
      <c r="N11" s="607"/>
      <c r="O11" s="607"/>
      <c r="P11" s="607"/>
      <c r="Q11" s="607"/>
      <c r="R11" s="607"/>
      <c r="S11" s="607"/>
      <c r="T11" s="583"/>
      <c r="U11" s="587"/>
    </row>
    <row r="12" spans="1:24" ht="15.75" customHeight="1" thickBot="1">
      <c r="A12" s="318">
        <v>1</v>
      </c>
      <c r="B12" s="580" t="s">
        <v>6990</v>
      </c>
      <c r="C12" s="581"/>
      <c r="D12" s="581"/>
      <c r="E12" s="581"/>
      <c r="F12" s="581"/>
      <c r="G12" s="581"/>
      <c r="H12" s="581"/>
      <c r="I12" s="581"/>
      <c r="J12" s="581"/>
      <c r="K12" s="581"/>
      <c r="L12" s="581"/>
      <c r="M12" s="581"/>
      <c r="N12" s="581"/>
      <c r="O12" s="581"/>
      <c r="P12" s="581"/>
      <c r="Q12" s="581"/>
      <c r="R12" s="581"/>
      <c r="S12" s="581"/>
      <c r="T12" s="582"/>
      <c r="U12"/>
    </row>
    <row r="13" spans="1:24" ht="12.75" customHeight="1" thickBot="1">
      <c r="A13" s="351">
        <v>2</v>
      </c>
      <c r="B13" s="580" t="s">
        <v>3526</v>
      </c>
      <c r="C13" s="581"/>
      <c r="D13" s="581"/>
      <c r="E13" s="581"/>
      <c r="F13" s="581"/>
      <c r="G13" s="581"/>
      <c r="H13" s="581"/>
      <c r="I13" s="581"/>
      <c r="J13" s="581"/>
      <c r="K13" s="581"/>
      <c r="L13" s="581"/>
      <c r="M13" s="581"/>
      <c r="N13" s="581"/>
      <c r="O13" s="581"/>
      <c r="P13" s="581"/>
      <c r="Q13" s="581"/>
      <c r="R13" s="581"/>
      <c r="S13" s="581"/>
      <c r="T13" s="582"/>
      <c r="U13"/>
    </row>
    <row r="14" spans="1:24" ht="12.75" customHeight="1" thickBot="1">
      <c r="A14" s="351"/>
      <c r="B14" s="348" t="s">
        <v>3527</v>
      </c>
      <c r="C14" s="580" t="s">
        <v>6991</v>
      </c>
      <c r="D14" s="581"/>
      <c r="E14" s="581"/>
      <c r="F14" s="581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2"/>
      <c r="U14"/>
    </row>
    <row r="15" spans="1:24" ht="25.5" customHeight="1" thickBot="1">
      <c r="A15" s="351"/>
      <c r="B15" s="348" t="s">
        <v>3528</v>
      </c>
      <c r="C15" s="580" t="s">
        <v>6992</v>
      </c>
      <c r="D15" s="581"/>
      <c r="E15" s="581"/>
      <c r="F15" s="581"/>
      <c r="G15" s="581"/>
      <c r="H15" s="581"/>
      <c r="I15" s="581"/>
      <c r="J15" s="581"/>
      <c r="K15" s="581"/>
      <c r="L15" s="581"/>
      <c r="M15" s="581"/>
      <c r="N15" s="581"/>
      <c r="O15" s="581"/>
      <c r="P15" s="581"/>
      <c r="Q15" s="581"/>
      <c r="R15" s="581"/>
      <c r="S15" s="581"/>
      <c r="T15" s="582"/>
      <c r="U15"/>
    </row>
    <row r="16" spans="1:24" ht="33.75" customHeight="1" thickBot="1">
      <c r="A16" s="351"/>
      <c r="B16" s="348" t="s">
        <v>3529</v>
      </c>
      <c r="C16" s="589" t="s">
        <v>6993</v>
      </c>
      <c r="D16" s="590"/>
      <c r="E16" s="590"/>
      <c r="F16" s="590"/>
      <c r="G16" s="590"/>
      <c r="H16" s="590"/>
      <c r="I16" s="590"/>
      <c r="J16" s="590"/>
      <c r="K16" s="590"/>
      <c r="L16" s="590"/>
      <c r="M16" s="590"/>
      <c r="N16" s="590"/>
      <c r="O16" s="590"/>
      <c r="P16" s="590"/>
      <c r="Q16" s="590"/>
      <c r="R16" s="590"/>
      <c r="S16" s="590"/>
      <c r="T16" s="591"/>
      <c r="U16"/>
    </row>
    <row r="17" spans="1:21" ht="26.25" customHeight="1" thickBot="1">
      <c r="A17" s="351"/>
      <c r="B17" s="348" t="s">
        <v>3530</v>
      </c>
      <c r="C17" s="580" t="s">
        <v>6994</v>
      </c>
      <c r="D17" s="581"/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81"/>
      <c r="T17" s="582"/>
      <c r="U17"/>
    </row>
    <row r="18" spans="1:21" ht="18" customHeight="1" thickBot="1">
      <c r="A18" s="351">
        <v>3</v>
      </c>
      <c r="B18" s="589" t="s">
        <v>6995</v>
      </c>
      <c r="C18" s="590"/>
      <c r="D18" s="590"/>
      <c r="E18" s="590"/>
      <c r="F18" s="590"/>
      <c r="G18" s="590"/>
      <c r="H18" s="590"/>
      <c r="I18" s="590"/>
      <c r="J18" s="590"/>
      <c r="K18" s="590"/>
      <c r="L18" s="590"/>
      <c r="M18" s="590"/>
      <c r="N18" s="590"/>
      <c r="O18" s="590"/>
      <c r="P18" s="590"/>
      <c r="Q18" s="590"/>
      <c r="R18" s="590"/>
      <c r="S18" s="590"/>
      <c r="T18" s="591"/>
      <c r="U18"/>
    </row>
    <row r="19" spans="1:21" ht="25.5" customHeight="1" thickBot="1">
      <c r="A19" s="351">
        <v>4</v>
      </c>
      <c r="B19" s="589" t="s">
        <v>6996</v>
      </c>
      <c r="C19" s="590"/>
      <c r="D19" s="590"/>
      <c r="E19" s="590"/>
      <c r="F19" s="590"/>
      <c r="G19" s="590"/>
      <c r="H19" s="590"/>
      <c r="I19" s="590"/>
      <c r="J19" s="590"/>
      <c r="K19" s="590"/>
      <c r="L19" s="590"/>
      <c r="M19" s="590"/>
      <c r="N19" s="590"/>
      <c r="O19" s="590"/>
      <c r="P19" s="590"/>
      <c r="Q19" s="590"/>
      <c r="R19" s="590"/>
      <c r="S19" s="590"/>
      <c r="T19" s="591"/>
      <c r="U19"/>
    </row>
    <row r="20" spans="1:21" ht="25.5" customHeight="1" thickBot="1">
      <c r="A20" s="351"/>
      <c r="B20" s="349" t="s">
        <v>3531</v>
      </c>
      <c r="C20" s="589" t="s">
        <v>3532</v>
      </c>
      <c r="D20" s="590"/>
      <c r="E20" s="590"/>
      <c r="F20" s="590"/>
      <c r="G20" s="590"/>
      <c r="H20" s="590"/>
      <c r="I20" s="590"/>
      <c r="J20" s="590"/>
      <c r="K20" s="590"/>
      <c r="L20" s="590"/>
      <c r="M20" s="590"/>
      <c r="N20" s="590"/>
      <c r="O20" s="590"/>
      <c r="P20" s="590"/>
      <c r="Q20" s="590"/>
      <c r="R20" s="590"/>
      <c r="S20" s="590"/>
      <c r="T20" s="591"/>
      <c r="U20"/>
    </row>
    <row r="21" spans="1:21" ht="33" customHeight="1" thickBot="1">
      <c r="A21" s="351">
        <v>5</v>
      </c>
      <c r="B21" s="589" t="s">
        <v>6997</v>
      </c>
      <c r="C21" s="590"/>
      <c r="D21" s="590"/>
      <c r="E21" s="590"/>
      <c r="F21" s="590"/>
      <c r="G21" s="590"/>
      <c r="H21" s="590"/>
      <c r="I21" s="590"/>
      <c r="J21" s="590"/>
      <c r="K21" s="590"/>
      <c r="L21" s="590"/>
      <c r="M21" s="590"/>
      <c r="N21" s="590"/>
      <c r="O21" s="590"/>
      <c r="P21" s="590"/>
      <c r="Q21" s="590"/>
      <c r="R21" s="590"/>
      <c r="S21" s="590"/>
      <c r="T21" s="591"/>
      <c r="U21"/>
    </row>
    <row r="22" spans="1:21" ht="30.75" customHeight="1" thickBot="1">
      <c r="A22" s="351"/>
      <c r="B22" s="349" t="s">
        <v>3533</v>
      </c>
      <c r="C22" s="589" t="s">
        <v>6998</v>
      </c>
      <c r="D22" s="590"/>
      <c r="E22" s="590"/>
      <c r="F22" s="590"/>
      <c r="G22" s="590"/>
      <c r="H22" s="590"/>
      <c r="I22" s="590"/>
      <c r="J22" s="590"/>
      <c r="K22" s="590"/>
      <c r="L22" s="590"/>
      <c r="M22" s="590"/>
      <c r="N22" s="590"/>
      <c r="O22" s="590"/>
      <c r="P22" s="590"/>
      <c r="Q22" s="590"/>
      <c r="R22" s="590"/>
      <c r="S22" s="590"/>
      <c r="T22" s="591"/>
      <c r="U22"/>
    </row>
    <row r="23" spans="1:21" ht="28.5" customHeight="1" thickBot="1">
      <c r="A23" s="351"/>
      <c r="B23" s="349" t="s">
        <v>3534</v>
      </c>
      <c r="C23" s="589" t="s">
        <v>6999</v>
      </c>
      <c r="D23" s="590"/>
      <c r="E23" s="590"/>
      <c r="F23" s="590"/>
      <c r="G23" s="590"/>
      <c r="H23" s="590"/>
      <c r="I23" s="590"/>
      <c r="J23" s="590"/>
      <c r="K23" s="590"/>
      <c r="L23" s="590"/>
      <c r="M23" s="590"/>
      <c r="N23" s="590"/>
      <c r="O23" s="590"/>
      <c r="P23" s="590"/>
      <c r="Q23" s="590"/>
      <c r="R23" s="590"/>
      <c r="S23" s="590"/>
      <c r="T23" s="591"/>
      <c r="U23"/>
    </row>
    <row r="24" spans="1:21" ht="32.25" customHeight="1" thickBot="1">
      <c r="A24" s="351"/>
      <c r="B24" s="349" t="s">
        <v>3535</v>
      </c>
      <c r="C24" s="589" t="s">
        <v>3536</v>
      </c>
      <c r="D24" s="590"/>
      <c r="E24" s="590"/>
      <c r="F24" s="590"/>
      <c r="G24" s="590"/>
      <c r="H24" s="590"/>
      <c r="I24" s="590"/>
      <c r="J24" s="590"/>
      <c r="K24" s="590"/>
      <c r="L24" s="590"/>
      <c r="M24" s="590"/>
      <c r="N24" s="590"/>
      <c r="O24" s="590"/>
      <c r="P24" s="590"/>
      <c r="Q24" s="590"/>
      <c r="R24" s="590"/>
      <c r="S24" s="590"/>
      <c r="T24" s="591"/>
      <c r="U24"/>
    </row>
    <row r="25" spans="1:21" ht="32.25" customHeight="1" thickBot="1">
      <c r="A25" s="351">
        <v>6</v>
      </c>
      <c r="B25" s="592" t="s">
        <v>7000</v>
      </c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4"/>
      <c r="U25"/>
    </row>
    <row r="26" spans="1:21" ht="25.5" customHeight="1" thickBot="1">
      <c r="A26" s="351">
        <v>7</v>
      </c>
      <c r="B26" s="589" t="s">
        <v>3537</v>
      </c>
      <c r="C26" s="590"/>
      <c r="D26" s="590"/>
      <c r="E26" s="590"/>
      <c r="F26" s="590"/>
      <c r="G26" s="590"/>
      <c r="H26" s="590"/>
      <c r="I26" s="590"/>
      <c r="J26" s="590"/>
      <c r="K26" s="590"/>
      <c r="L26" s="590"/>
      <c r="M26" s="590"/>
      <c r="N26" s="590"/>
      <c r="O26" s="590"/>
      <c r="P26" s="590"/>
      <c r="Q26" s="590"/>
      <c r="R26" s="590"/>
      <c r="S26" s="590"/>
      <c r="T26" s="591"/>
      <c r="U26"/>
    </row>
    <row r="27" spans="1:21" ht="45" customHeight="1" thickBot="1">
      <c r="A27" s="351"/>
      <c r="B27" s="349" t="s">
        <v>3538</v>
      </c>
      <c r="C27" s="589" t="s">
        <v>3532</v>
      </c>
      <c r="D27" s="590"/>
      <c r="E27" s="590"/>
      <c r="F27" s="590"/>
      <c r="G27" s="590"/>
      <c r="H27" s="590"/>
      <c r="I27" s="590"/>
      <c r="J27" s="590"/>
      <c r="K27" s="590"/>
      <c r="L27" s="590"/>
      <c r="M27" s="590"/>
      <c r="N27" s="590"/>
      <c r="O27" s="590"/>
      <c r="P27" s="590"/>
      <c r="Q27" s="590"/>
      <c r="R27" s="590"/>
      <c r="S27" s="590"/>
      <c r="T27" s="591"/>
      <c r="U27"/>
    </row>
    <row r="28" spans="1:21" ht="32.25" customHeight="1" thickBot="1">
      <c r="A28" s="351">
        <v>8</v>
      </c>
      <c r="B28" s="589" t="s">
        <v>3539</v>
      </c>
      <c r="C28" s="590"/>
      <c r="D28" s="590"/>
      <c r="E28" s="590"/>
      <c r="F28" s="590"/>
      <c r="G28" s="590"/>
      <c r="H28" s="590"/>
      <c r="I28" s="590"/>
      <c r="J28" s="590"/>
      <c r="K28" s="590"/>
      <c r="L28" s="590"/>
      <c r="M28" s="590"/>
      <c r="N28" s="590"/>
      <c r="O28" s="590"/>
      <c r="P28" s="590"/>
      <c r="Q28" s="590"/>
      <c r="R28" s="590"/>
      <c r="S28" s="590"/>
      <c r="T28" s="591"/>
      <c r="U28"/>
    </row>
    <row r="29" spans="1:21" ht="25.5" customHeight="1" thickBot="1">
      <c r="A29" s="351"/>
      <c r="B29" s="349" t="s">
        <v>3540</v>
      </c>
      <c r="C29" s="589" t="s">
        <v>3541</v>
      </c>
      <c r="D29" s="590"/>
      <c r="E29" s="590"/>
      <c r="F29" s="590"/>
      <c r="G29" s="590"/>
      <c r="H29" s="590"/>
      <c r="I29" s="590"/>
      <c r="J29" s="590"/>
      <c r="K29" s="590"/>
      <c r="L29" s="590"/>
      <c r="M29" s="590"/>
      <c r="N29" s="590"/>
      <c r="O29" s="590"/>
      <c r="P29" s="590"/>
      <c r="Q29" s="590"/>
      <c r="R29" s="590"/>
      <c r="S29" s="590"/>
      <c r="T29" s="591"/>
      <c r="U29"/>
    </row>
    <row r="30" spans="1:21" ht="31.5" customHeight="1" thickBot="1">
      <c r="A30" s="351">
        <v>9</v>
      </c>
      <c r="B30" s="589" t="s">
        <v>7001</v>
      </c>
      <c r="C30" s="590"/>
      <c r="D30" s="590"/>
      <c r="E30" s="590"/>
      <c r="F30" s="590"/>
      <c r="G30" s="590"/>
      <c r="H30" s="590"/>
      <c r="I30" s="590"/>
      <c r="J30" s="590"/>
      <c r="K30" s="590"/>
      <c r="L30" s="590"/>
      <c r="M30" s="590"/>
      <c r="N30" s="590"/>
      <c r="O30" s="590"/>
      <c r="P30" s="590"/>
      <c r="Q30" s="590"/>
      <c r="R30" s="590"/>
      <c r="S30" s="590"/>
      <c r="T30" s="591"/>
      <c r="U30"/>
    </row>
    <row r="31" spans="1:21" ht="33" customHeight="1" thickBot="1">
      <c r="A31" s="351">
        <v>10</v>
      </c>
      <c r="B31" s="589" t="s">
        <v>7002</v>
      </c>
      <c r="C31" s="590"/>
      <c r="D31" s="590"/>
      <c r="E31" s="590"/>
      <c r="F31" s="590"/>
      <c r="G31" s="590"/>
      <c r="H31" s="590"/>
      <c r="I31" s="590"/>
      <c r="J31" s="590"/>
      <c r="K31" s="590"/>
      <c r="L31" s="590"/>
      <c r="M31" s="590"/>
      <c r="N31" s="590"/>
      <c r="O31" s="590"/>
      <c r="P31" s="590"/>
      <c r="Q31" s="590"/>
      <c r="R31" s="590"/>
      <c r="S31" s="590"/>
      <c r="T31" s="591"/>
      <c r="U31"/>
    </row>
    <row r="32" spans="1:21" ht="12.75" customHeight="1" thickBot="1">
      <c r="A32" s="351">
        <v>11</v>
      </c>
      <c r="B32" s="589" t="s">
        <v>3542</v>
      </c>
      <c r="C32" s="590"/>
      <c r="D32" s="590"/>
      <c r="E32" s="590"/>
      <c r="F32" s="590"/>
      <c r="G32" s="590"/>
      <c r="H32" s="590"/>
      <c r="I32" s="590"/>
      <c r="J32" s="590"/>
      <c r="K32" s="590"/>
      <c r="L32" s="590"/>
      <c r="M32" s="590"/>
      <c r="N32" s="590"/>
      <c r="O32" s="590"/>
      <c r="P32" s="590"/>
      <c r="Q32" s="590"/>
      <c r="R32" s="590"/>
      <c r="S32" s="590"/>
      <c r="T32" s="591"/>
      <c r="U32"/>
    </row>
    <row r="33" spans="1:21" ht="17.25" customHeight="1" thickBot="1">
      <c r="A33" s="351">
        <v>12</v>
      </c>
      <c r="B33" s="589" t="s">
        <v>3543</v>
      </c>
      <c r="C33" s="590"/>
      <c r="D33" s="590"/>
      <c r="E33" s="590"/>
      <c r="F33" s="590"/>
      <c r="G33" s="590"/>
      <c r="H33" s="590"/>
      <c r="I33" s="590"/>
      <c r="J33" s="590"/>
      <c r="K33" s="590"/>
      <c r="L33" s="590"/>
      <c r="M33" s="590"/>
      <c r="N33" s="590"/>
      <c r="O33" s="590"/>
      <c r="P33" s="590"/>
      <c r="Q33" s="590"/>
      <c r="R33" s="590"/>
      <c r="S33" s="590"/>
      <c r="T33" s="591"/>
      <c r="U33"/>
    </row>
    <row r="34" spans="1:21" ht="20.25" customHeight="1" thickBot="1">
      <c r="A34" s="351">
        <v>13</v>
      </c>
      <c r="B34" s="589" t="s">
        <v>3544</v>
      </c>
      <c r="C34" s="590"/>
      <c r="D34" s="590"/>
      <c r="E34" s="590"/>
      <c r="F34" s="590"/>
      <c r="G34" s="590"/>
      <c r="H34" s="590"/>
      <c r="I34" s="590"/>
      <c r="J34" s="590"/>
      <c r="K34" s="590"/>
      <c r="L34" s="590"/>
      <c r="M34" s="590"/>
      <c r="N34" s="590"/>
      <c r="O34" s="590"/>
      <c r="P34" s="590"/>
      <c r="Q34" s="590"/>
      <c r="R34" s="590"/>
      <c r="S34" s="590"/>
      <c r="T34" s="591"/>
      <c r="U34"/>
    </row>
    <row r="35" spans="1:21" ht="21" customHeight="1" thickBot="1">
      <c r="A35" s="351">
        <v>14</v>
      </c>
      <c r="B35" s="592" t="s">
        <v>7003</v>
      </c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4"/>
      <c r="U35"/>
    </row>
    <row r="36" spans="1:21" ht="13.5" customHeight="1">
      <c r="A36" s="351"/>
      <c r="B36" s="345"/>
      <c r="C36" s="595"/>
      <c r="D36" s="595"/>
      <c r="E36" s="595"/>
      <c r="F36" s="595"/>
      <c r="G36" s="595"/>
      <c r="H36" s="595"/>
      <c r="I36" s="595"/>
      <c r="J36" s="595"/>
      <c r="K36" s="595"/>
      <c r="L36" s="595"/>
      <c r="M36" s="595"/>
      <c r="N36" s="595"/>
      <c r="O36" s="595"/>
      <c r="P36" s="595"/>
      <c r="Q36" s="595"/>
      <c r="R36" s="595"/>
      <c r="S36" s="595"/>
      <c r="T36" s="608"/>
      <c r="U36"/>
    </row>
    <row r="37" spans="1:21" ht="40.5" customHeight="1">
      <c r="A37" s="351"/>
      <c r="B37" s="583" t="s">
        <v>7009</v>
      </c>
      <c r="C37" s="583"/>
      <c r="D37" s="583"/>
      <c r="E37" s="583"/>
      <c r="F37" s="583"/>
      <c r="G37" s="583"/>
      <c r="H37" s="583"/>
      <c r="I37" s="583"/>
      <c r="J37" s="583"/>
      <c r="K37" s="583"/>
      <c r="L37" s="583"/>
      <c r="M37" s="583"/>
      <c r="N37" s="583"/>
      <c r="O37" s="583"/>
      <c r="P37" s="583"/>
      <c r="Q37" s="583"/>
      <c r="R37" s="583"/>
      <c r="S37" s="583"/>
      <c r="T37" s="583"/>
      <c r="U37" s="584"/>
    </row>
    <row r="38" spans="1:21" ht="12.75" customHeight="1">
      <c r="A38" s="351"/>
      <c r="B38" s="346"/>
      <c r="C38" s="583"/>
      <c r="D38" s="583"/>
      <c r="E38" s="583"/>
      <c r="F38" s="583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3"/>
      <c r="R38" s="583"/>
      <c r="S38" s="583"/>
      <c r="T38" s="587"/>
      <c r="U38"/>
    </row>
    <row r="39" spans="1:21">
      <c r="A39" s="311" t="s">
        <v>3524</v>
      </c>
      <c r="B39" s="596" t="s">
        <v>3545</v>
      </c>
      <c r="C39" s="596"/>
      <c r="D39" s="596"/>
      <c r="E39" s="596"/>
      <c r="F39" s="583"/>
      <c r="G39" s="583"/>
      <c r="H39" s="583"/>
      <c r="I39" s="583"/>
      <c r="J39" s="583"/>
      <c r="K39" s="583"/>
      <c r="L39" s="583"/>
      <c r="M39" s="583"/>
      <c r="N39" s="583"/>
      <c r="O39" s="583"/>
      <c r="P39" s="583"/>
      <c r="Q39" s="583"/>
      <c r="R39" s="583"/>
      <c r="S39" s="583"/>
      <c r="T39" s="583"/>
      <c r="U39" s="587"/>
    </row>
    <row r="40" spans="1:21" ht="15" customHeight="1">
      <c r="B40" s="597" t="s">
        <v>3546</v>
      </c>
      <c r="C40" s="597"/>
      <c r="D40" s="597"/>
      <c r="E40" s="597"/>
      <c r="F40" s="597"/>
      <c r="G40" s="597"/>
      <c r="H40" s="597"/>
      <c r="I40" s="597"/>
      <c r="J40" s="597"/>
      <c r="K40" s="597"/>
      <c r="L40" s="597"/>
      <c r="M40" s="597"/>
      <c r="N40" s="597"/>
      <c r="O40" s="597"/>
      <c r="P40" s="597"/>
      <c r="Q40" s="597"/>
      <c r="R40" s="597"/>
      <c r="S40" s="597"/>
      <c r="T40" s="598"/>
      <c r="U40"/>
    </row>
    <row r="41" spans="1:21" ht="12.75" customHeight="1">
      <c r="A41" s="351"/>
      <c r="B41" s="346"/>
      <c r="C41" s="583"/>
      <c r="D41" s="583"/>
      <c r="E41" s="583"/>
      <c r="F41" s="583"/>
      <c r="G41" s="583"/>
      <c r="H41" s="583"/>
      <c r="I41" s="583"/>
      <c r="J41" s="583"/>
      <c r="K41" s="583"/>
      <c r="L41" s="583"/>
      <c r="M41" s="583"/>
      <c r="N41" s="583"/>
      <c r="O41" s="583"/>
      <c r="P41" s="583"/>
      <c r="Q41" s="583"/>
      <c r="R41" s="583"/>
      <c r="S41" s="583"/>
      <c r="T41" s="587"/>
      <c r="U41"/>
    </row>
    <row r="42" spans="1:21">
      <c r="A42" s="311" t="s">
        <v>3524</v>
      </c>
      <c r="B42" s="596" t="s">
        <v>7004</v>
      </c>
      <c r="C42" s="596"/>
      <c r="D42" s="596"/>
      <c r="E42" s="596"/>
      <c r="F42" s="596"/>
      <c r="G42" s="596"/>
      <c r="H42" s="596"/>
      <c r="I42" s="596"/>
      <c r="J42" s="596"/>
      <c r="K42" s="596"/>
      <c r="L42" s="596"/>
      <c r="M42" s="596"/>
      <c r="N42" s="596"/>
      <c r="O42" s="596"/>
      <c r="P42" s="586"/>
      <c r="Q42" s="586"/>
      <c r="R42" s="586"/>
      <c r="S42" s="586"/>
      <c r="T42" s="586"/>
      <c r="U42" s="588"/>
    </row>
    <row r="43" spans="1:21" ht="15">
      <c r="B43" s="586" t="s">
        <v>3547</v>
      </c>
      <c r="C43" s="586"/>
      <c r="D43" s="586"/>
      <c r="E43" s="586"/>
      <c r="F43" s="586"/>
      <c r="G43" s="586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86"/>
      <c r="S43" s="586"/>
      <c r="T43" s="588"/>
      <c r="U43"/>
    </row>
    <row r="44" spans="1:21" ht="15">
      <c r="A44" s="351"/>
      <c r="B44" s="586" t="s">
        <v>3548</v>
      </c>
      <c r="C44" s="586"/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586"/>
      <c r="S44" s="586"/>
      <c r="T44" s="588"/>
      <c r="U44"/>
    </row>
    <row r="45" spans="1:21" ht="15">
      <c r="A45" s="351"/>
      <c r="B45" s="586" t="s">
        <v>3549</v>
      </c>
      <c r="C45" s="586"/>
      <c r="D45" s="586"/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6"/>
      <c r="P45" s="586"/>
      <c r="Q45" s="586"/>
      <c r="R45" s="586"/>
      <c r="S45" s="586"/>
      <c r="T45" s="588"/>
      <c r="U45"/>
    </row>
    <row r="46" spans="1:21" ht="15">
      <c r="A46" s="351"/>
      <c r="B46" s="345"/>
      <c r="C46" s="586"/>
      <c r="D46" s="586"/>
      <c r="E46" s="586"/>
      <c r="F46" s="586"/>
      <c r="G46" s="586"/>
      <c r="H46" s="586"/>
      <c r="I46" s="586"/>
      <c r="J46" s="586"/>
      <c r="K46" s="586"/>
      <c r="L46" s="586"/>
      <c r="M46" s="586"/>
      <c r="N46" s="586"/>
      <c r="O46" s="586"/>
      <c r="P46" s="586"/>
      <c r="Q46" s="586"/>
      <c r="R46" s="586"/>
      <c r="S46" s="586"/>
      <c r="T46" s="588"/>
      <c r="U46"/>
    </row>
    <row r="47" spans="1:21" ht="12.75" customHeight="1">
      <c r="A47" s="312" t="s">
        <v>3524</v>
      </c>
      <c r="B47" s="599" t="s">
        <v>7005</v>
      </c>
      <c r="C47" s="599"/>
      <c r="D47" s="599"/>
      <c r="E47" s="599"/>
      <c r="F47" s="599"/>
      <c r="G47" s="599"/>
      <c r="H47" s="599"/>
      <c r="I47" s="599"/>
      <c r="J47" s="599"/>
      <c r="K47" s="599"/>
      <c r="L47" s="599"/>
      <c r="M47" s="599"/>
      <c r="N47" s="599"/>
      <c r="O47" s="599"/>
      <c r="P47" s="599"/>
      <c r="Q47" s="599"/>
      <c r="R47" s="599"/>
      <c r="S47" s="599"/>
      <c r="T47" s="599"/>
      <c r="U47" s="600"/>
    </row>
    <row r="48" spans="1:21" ht="12.75" customHeight="1">
      <c r="A48" s="312" t="s">
        <v>3524</v>
      </c>
      <c r="B48" s="599" t="s">
        <v>7006</v>
      </c>
      <c r="C48" s="599"/>
      <c r="D48" s="599"/>
      <c r="E48" s="599"/>
      <c r="F48" s="599"/>
      <c r="G48" s="599"/>
      <c r="H48" s="599"/>
      <c r="I48" s="599"/>
      <c r="J48" s="599"/>
      <c r="K48" s="599"/>
      <c r="L48" s="599"/>
      <c r="M48" s="599"/>
      <c r="N48" s="599"/>
      <c r="O48" s="599"/>
      <c r="P48" s="599"/>
      <c r="Q48" s="599"/>
      <c r="R48" s="599"/>
      <c r="S48" s="599"/>
      <c r="T48" s="599"/>
      <c r="U48" s="600"/>
    </row>
    <row r="49" spans="1:21" s="313" customFormat="1" ht="12.75" customHeight="1">
      <c r="B49" s="586" t="s">
        <v>3550</v>
      </c>
      <c r="C49" s="586"/>
      <c r="D49" s="586"/>
      <c r="E49" s="586"/>
      <c r="F49" s="586"/>
      <c r="G49" s="586"/>
      <c r="H49" s="586"/>
      <c r="I49" s="586"/>
      <c r="J49" s="586"/>
      <c r="K49" s="586"/>
      <c r="L49" s="586"/>
      <c r="M49" s="586"/>
      <c r="N49" s="586"/>
      <c r="O49" s="586"/>
      <c r="P49" s="586"/>
      <c r="Q49" s="586"/>
      <c r="R49" s="586"/>
      <c r="S49" s="586"/>
      <c r="T49" s="588"/>
      <c r="U49"/>
    </row>
    <row r="50" spans="1:21" ht="15">
      <c r="A50" s="351"/>
      <c r="B50" s="597" t="s">
        <v>3551</v>
      </c>
      <c r="C50" s="597"/>
      <c r="D50" s="597"/>
      <c r="E50" s="597"/>
      <c r="F50" s="597"/>
      <c r="G50" s="597"/>
      <c r="H50" s="597"/>
      <c r="I50" s="597"/>
      <c r="J50" s="597"/>
      <c r="K50" s="597"/>
      <c r="L50" s="597"/>
      <c r="M50" s="597"/>
      <c r="N50" s="597"/>
      <c r="O50" s="597"/>
      <c r="P50" s="597"/>
      <c r="Q50" s="597"/>
      <c r="R50" s="597"/>
      <c r="S50" s="586"/>
      <c r="T50" s="588"/>
      <c r="U50"/>
    </row>
    <row r="51" spans="1:21" ht="25.5" customHeight="1">
      <c r="A51" s="351"/>
      <c r="B51" s="597" t="s">
        <v>3552</v>
      </c>
      <c r="C51" s="597"/>
      <c r="D51" s="597"/>
      <c r="E51" s="597"/>
      <c r="F51" s="597"/>
      <c r="G51" s="597"/>
      <c r="H51" s="597"/>
      <c r="I51" s="597"/>
      <c r="J51" s="597"/>
      <c r="K51" s="597"/>
      <c r="L51" s="597"/>
      <c r="M51" s="597"/>
      <c r="N51" s="597"/>
      <c r="O51" s="597"/>
      <c r="P51" s="597"/>
      <c r="Q51" s="597"/>
      <c r="R51" s="597"/>
      <c r="S51" s="597"/>
      <c r="T51" s="598"/>
      <c r="U51"/>
    </row>
    <row r="52" spans="1:21" ht="25.5" customHeight="1">
      <c r="A52" s="312" t="s">
        <v>3524</v>
      </c>
      <c r="B52" s="599" t="s">
        <v>7007</v>
      </c>
      <c r="C52" s="599"/>
      <c r="D52" s="599"/>
      <c r="E52" s="599"/>
      <c r="F52" s="599"/>
      <c r="G52" s="599"/>
      <c r="H52" s="599"/>
      <c r="I52" s="599"/>
      <c r="J52" s="599"/>
      <c r="K52" s="599"/>
      <c r="L52" s="599"/>
      <c r="M52" s="599"/>
      <c r="N52" s="599"/>
      <c r="O52" s="599"/>
      <c r="P52" s="599"/>
      <c r="Q52" s="599"/>
      <c r="R52" s="599"/>
      <c r="S52" s="599"/>
      <c r="T52" s="599"/>
      <c r="U52" s="600"/>
    </row>
    <row r="53" spans="1:21" ht="12.75" customHeight="1">
      <c r="A53" s="351"/>
      <c r="B53" s="586" t="s">
        <v>3553</v>
      </c>
      <c r="C53" s="586"/>
      <c r="D53" s="586"/>
      <c r="E53" s="586"/>
      <c r="F53" s="586"/>
      <c r="G53" s="586"/>
      <c r="H53" s="586"/>
      <c r="I53" s="586"/>
      <c r="J53" s="586"/>
      <c r="K53" s="586"/>
      <c r="L53" s="586"/>
      <c r="M53" s="586"/>
      <c r="N53" s="586"/>
      <c r="O53" s="586"/>
      <c r="P53" s="586"/>
      <c r="Q53" s="586"/>
      <c r="R53" s="586"/>
      <c r="S53" s="586"/>
      <c r="T53" s="588"/>
      <c r="U53"/>
    </row>
    <row r="54" spans="1:21" ht="15">
      <c r="A54" s="351"/>
      <c r="B54" s="586" t="s">
        <v>3551</v>
      </c>
      <c r="C54" s="586"/>
      <c r="D54" s="586"/>
      <c r="E54" s="586"/>
      <c r="F54" s="586"/>
      <c r="G54" s="586"/>
      <c r="H54" s="586"/>
      <c r="I54" s="586"/>
      <c r="J54" s="586"/>
      <c r="K54" s="586"/>
      <c r="L54" s="586"/>
      <c r="M54" s="586"/>
      <c r="N54" s="586"/>
      <c r="O54" s="586"/>
      <c r="P54" s="586"/>
      <c r="Q54" s="586"/>
      <c r="R54" s="586"/>
      <c r="S54" s="586"/>
      <c r="T54" s="588"/>
      <c r="U54"/>
    </row>
    <row r="55" spans="1:21" ht="15">
      <c r="A55" s="351"/>
      <c r="B55" s="345"/>
      <c r="C55" s="586"/>
      <c r="D55" s="586"/>
      <c r="E55" s="586"/>
      <c r="F55" s="586"/>
      <c r="G55" s="586"/>
      <c r="H55" s="586"/>
      <c r="I55" s="586"/>
      <c r="J55" s="586"/>
      <c r="K55" s="586"/>
      <c r="L55" s="586"/>
      <c r="M55" s="586"/>
      <c r="N55" s="586"/>
      <c r="O55" s="586"/>
      <c r="P55" s="586"/>
      <c r="Q55" s="586"/>
      <c r="R55" s="586"/>
      <c r="S55" s="586"/>
      <c r="T55" s="588"/>
      <c r="U55"/>
    </row>
    <row r="56" spans="1:21" ht="15">
      <c r="A56" s="351"/>
      <c r="B56" s="345"/>
      <c r="C56" s="586"/>
      <c r="D56" s="586"/>
      <c r="E56" s="586"/>
      <c r="F56" s="586"/>
      <c r="G56" s="586"/>
      <c r="H56" s="586"/>
      <c r="I56" s="586"/>
      <c r="J56" s="586"/>
      <c r="K56" s="586"/>
      <c r="L56" s="586"/>
      <c r="M56" s="586"/>
      <c r="N56" s="586"/>
      <c r="O56" s="586"/>
      <c r="P56" s="586"/>
      <c r="Q56" s="586"/>
      <c r="R56" s="586"/>
      <c r="S56" s="586"/>
      <c r="T56" s="588"/>
      <c r="U56"/>
    </row>
    <row r="57" spans="1:21">
      <c r="A57" s="311" t="s">
        <v>3524</v>
      </c>
      <c r="B57" s="585" t="s">
        <v>3554</v>
      </c>
      <c r="C57" s="585"/>
      <c r="D57" s="585"/>
      <c r="E57" s="585"/>
      <c r="F57" s="585"/>
      <c r="G57" s="585"/>
      <c r="H57" s="585"/>
      <c r="I57" s="585"/>
      <c r="J57" s="585"/>
      <c r="K57" s="585"/>
      <c r="L57" s="585"/>
      <c r="M57" s="585"/>
      <c r="N57" s="586"/>
      <c r="O57" s="586"/>
      <c r="P57" s="586"/>
      <c r="Q57" s="586"/>
      <c r="R57" s="586"/>
      <c r="S57" s="586"/>
      <c r="T57" s="586"/>
      <c r="U57" s="588"/>
    </row>
    <row r="58" spans="1:21" ht="15">
      <c r="A58" s="351"/>
      <c r="B58" s="586" t="s">
        <v>3555</v>
      </c>
      <c r="C58" s="586"/>
      <c r="D58" s="586"/>
      <c r="E58" s="586"/>
      <c r="F58" s="586"/>
      <c r="G58" s="586"/>
      <c r="H58" s="586"/>
      <c r="I58" s="586"/>
      <c r="J58" s="586"/>
      <c r="K58" s="586"/>
      <c r="L58" s="586"/>
      <c r="M58" s="586"/>
      <c r="N58" s="586"/>
      <c r="O58" s="586"/>
      <c r="P58" s="586"/>
      <c r="Q58" s="586"/>
      <c r="R58" s="586"/>
      <c r="S58" s="586"/>
      <c r="T58" s="588"/>
      <c r="U58"/>
    </row>
    <row r="59" spans="1:21" ht="15">
      <c r="A59" s="351"/>
      <c r="B59" s="345"/>
      <c r="C59" s="586"/>
      <c r="D59" s="586"/>
      <c r="E59" s="586"/>
      <c r="F59" s="586"/>
      <c r="G59" s="586"/>
      <c r="H59" s="586"/>
      <c r="I59" s="586"/>
      <c r="J59" s="586"/>
      <c r="K59" s="586"/>
      <c r="L59" s="586"/>
      <c r="M59" s="586"/>
      <c r="N59" s="586"/>
      <c r="O59" s="586"/>
      <c r="P59" s="586"/>
      <c r="Q59" s="586"/>
      <c r="R59" s="586"/>
      <c r="S59" s="586"/>
      <c r="T59" s="588"/>
      <c r="U59"/>
    </row>
    <row r="60" spans="1:21" ht="38.25" customHeight="1">
      <c r="A60" s="314" t="s">
        <v>3524</v>
      </c>
      <c r="B60" s="583" t="s">
        <v>7008</v>
      </c>
      <c r="C60" s="583"/>
      <c r="D60" s="583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  <c r="R60" s="583"/>
      <c r="S60" s="583"/>
      <c r="T60" s="583"/>
      <c r="U60" s="584"/>
    </row>
    <row r="61" spans="1:21" ht="12.75" customHeight="1">
      <c r="A61" s="351"/>
      <c r="B61" s="345"/>
      <c r="C61" s="586"/>
      <c r="D61" s="586"/>
      <c r="E61" s="586"/>
      <c r="F61" s="586"/>
      <c r="G61" s="586"/>
      <c r="H61" s="586"/>
      <c r="I61" s="586"/>
      <c r="J61" s="586"/>
      <c r="K61" s="586"/>
      <c r="L61" s="586"/>
      <c r="M61" s="586"/>
      <c r="N61" s="586"/>
      <c r="O61" s="586"/>
      <c r="P61" s="586"/>
      <c r="Q61" s="586"/>
      <c r="R61" s="586"/>
      <c r="S61" s="586"/>
      <c r="T61" s="588"/>
      <c r="U61"/>
    </row>
    <row r="62" spans="1:21">
      <c r="A62" s="315" t="s">
        <v>3524</v>
      </c>
      <c r="B62" s="611" t="s">
        <v>3556</v>
      </c>
      <c r="C62" s="611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586"/>
      <c r="Q62" s="586"/>
      <c r="R62" s="586"/>
      <c r="S62" s="586"/>
      <c r="T62" s="586"/>
      <c r="U62" s="588"/>
    </row>
    <row r="63" spans="1:21" ht="16" thickBot="1">
      <c r="B63" s="347"/>
      <c r="C63" s="609"/>
      <c r="D63" s="609"/>
      <c r="E63" s="609"/>
      <c r="F63" s="609"/>
      <c r="G63" s="609"/>
      <c r="H63" s="609"/>
      <c r="I63" s="609"/>
      <c r="J63" s="609"/>
      <c r="K63" s="609"/>
      <c r="L63" s="609"/>
      <c r="M63" s="609"/>
      <c r="N63" s="609"/>
      <c r="O63" s="609"/>
      <c r="P63" s="609"/>
      <c r="Q63" s="609"/>
      <c r="R63" s="609"/>
      <c r="S63" s="609"/>
      <c r="T63" s="610"/>
      <c r="U63"/>
    </row>
    <row r="64" spans="1:21" ht="15" hidden="1" thickBot="1">
      <c r="A64" s="352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7"/>
    </row>
    <row r="65" spans="1:7">
      <c r="A65" s="311"/>
      <c r="B65" s="318"/>
      <c r="C65" s="318"/>
      <c r="D65" s="318"/>
      <c r="E65" s="318"/>
      <c r="F65" s="318"/>
      <c r="G65" s="319"/>
    </row>
    <row r="66" spans="1:7"/>
  </sheetData>
  <sheetProtection password="EA99" sheet="1" objects="1" scenarios="1"/>
  <mergeCells count="215">
    <mergeCell ref="M63:N63"/>
    <mergeCell ref="O63:P63"/>
    <mergeCell ref="Q63:R63"/>
    <mergeCell ref="S63:T63"/>
    <mergeCell ref="S61:T61"/>
    <mergeCell ref="B62:O62"/>
    <mergeCell ref="P62:Q62"/>
    <mergeCell ref="R62:S62"/>
    <mergeCell ref="T62:U62"/>
    <mergeCell ref="C63:D63"/>
    <mergeCell ref="E63:F63"/>
    <mergeCell ref="G63:H63"/>
    <mergeCell ref="I63:J63"/>
    <mergeCell ref="K63:L63"/>
    <mergeCell ref="C61:D61"/>
    <mergeCell ref="E61:F61"/>
    <mergeCell ref="G61:H61"/>
    <mergeCell ref="I61:J61"/>
    <mergeCell ref="K61:L61"/>
    <mergeCell ref="M61:N61"/>
    <mergeCell ref="O61:P61"/>
    <mergeCell ref="Q61:R61"/>
    <mergeCell ref="C56:D56"/>
    <mergeCell ref="E56:F56"/>
    <mergeCell ref="G56:H56"/>
    <mergeCell ref="I56:J56"/>
    <mergeCell ref="K56:L56"/>
    <mergeCell ref="M56:N56"/>
    <mergeCell ref="O56:P56"/>
    <mergeCell ref="Q56:R56"/>
    <mergeCell ref="S56:T56"/>
    <mergeCell ref="B54:H54"/>
    <mergeCell ref="I54:J54"/>
    <mergeCell ref="K54:L54"/>
    <mergeCell ref="M54:N54"/>
    <mergeCell ref="O54:P54"/>
    <mergeCell ref="Q54:R54"/>
    <mergeCell ref="S54:T54"/>
    <mergeCell ref="M55:N55"/>
    <mergeCell ref="O55:P55"/>
    <mergeCell ref="Q55:R55"/>
    <mergeCell ref="S55:T55"/>
    <mergeCell ref="C55:D55"/>
    <mergeCell ref="E55:F55"/>
    <mergeCell ref="G55:H55"/>
    <mergeCell ref="I55:J55"/>
    <mergeCell ref="K55:L55"/>
    <mergeCell ref="M46:N46"/>
    <mergeCell ref="O46:P46"/>
    <mergeCell ref="Q46:R46"/>
    <mergeCell ref="S46:T46"/>
    <mergeCell ref="B47:U47"/>
    <mergeCell ref="C46:D46"/>
    <mergeCell ref="E46:F46"/>
    <mergeCell ref="G46:H46"/>
    <mergeCell ref="I46:J46"/>
    <mergeCell ref="K46:L46"/>
    <mergeCell ref="B42:O42"/>
    <mergeCell ref="P42:Q42"/>
    <mergeCell ref="R42:S42"/>
    <mergeCell ref="T42:U42"/>
    <mergeCell ref="S36:T36"/>
    <mergeCell ref="B37:U37"/>
    <mergeCell ref="C38:D38"/>
    <mergeCell ref="E38:F38"/>
    <mergeCell ref="G38:H38"/>
    <mergeCell ref="I38:J38"/>
    <mergeCell ref="K38:L38"/>
    <mergeCell ref="M38:N38"/>
    <mergeCell ref="O38:P38"/>
    <mergeCell ref="Q38:R38"/>
    <mergeCell ref="S38:T38"/>
    <mergeCell ref="I36:J36"/>
    <mergeCell ref="K36:L36"/>
    <mergeCell ref="M36:N36"/>
    <mergeCell ref="O36:P36"/>
    <mergeCell ref="Q36:R36"/>
    <mergeCell ref="C41:D41"/>
    <mergeCell ref="E41:F41"/>
    <mergeCell ref="G41:H41"/>
    <mergeCell ref="I41:J41"/>
    <mergeCell ref="C14:T14"/>
    <mergeCell ref="C15:T15"/>
    <mergeCell ref="C16:T16"/>
    <mergeCell ref="B9:U9"/>
    <mergeCell ref="B10:U10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T11:U11"/>
    <mergeCell ref="B1:T1"/>
    <mergeCell ref="B2:T2"/>
    <mergeCell ref="B3:T3"/>
    <mergeCell ref="C4:D4"/>
    <mergeCell ref="E4:F4"/>
    <mergeCell ref="G4:H4"/>
    <mergeCell ref="I4:J4"/>
    <mergeCell ref="K4:L4"/>
    <mergeCell ref="M4:N4"/>
    <mergeCell ref="O4:P4"/>
    <mergeCell ref="Q4:R4"/>
    <mergeCell ref="S4:T4"/>
    <mergeCell ref="B60:U60"/>
    <mergeCell ref="B58:L58"/>
    <mergeCell ref="M58:N58"/>
    <mergeCell ref="O58:P58"/>
    <mergeCell ref="Q58:R58"/>
    <mergeCell ref="S58:T58"/>
    <mergeCell ref="B57:M57"/>
    <mergeCell ref="N57:O57"/>
    <mergeCell ref="P57:Q57"/>
    <mergeCell ref="R57:S57"/>
    <mergeCell ref="T57:U57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B51:T51"/>
    <mergeCell ref="B52:U52"/>
    <mergeCell ref="B53:H53"/>
    <mergeCell ref="I53:J53"/>
    <mergeCell ref="K53:L53"/>
    <mergeCell ref="M53:N53"/>
    <mergeCell ref="O53:P53"/>
    <mergeCell ref="B48:U48"/>
    <mergeCell ref="B49:R49"/>
    <mergeCell ref="S49:T49"/>
    <mergeCell ref="B50:R50"/>
    <mergeCell ref="S50:T50"/>
    <mergeCell ref="Q53:R53"/>
    <mergeCell ref="S53:T53"/>
    <mergeCell ref="B45:J45"/>
    <mergeCell ref="K45:L45"/>
    <mergeCell ref="M45:N45"/>
    <mergeCell ref="O45:P45"/>
    <mergeCell ref="Q45:R45"/>
    <mergeCell ref="S45:T45"/>
    <mergeCell ref="B43:R43"/>
    <mergeCell ref="S43:T43"/>
    <mergeCell ref="B44:J44"/>
    <mergeCell ref="K44:L44"/>
    <mergeCell ref="M44:N44"/>
    <mergeCell ref="O44:P44"/>
    <mergeCell ref="Q44:R44"/>
    <mergeCell ref="S44:T44"/>
    <mergeCell ref="K41:L41"/>
    <mergeCell ref="M41:N41"/>
    <mergeCell ref="O41:P41"/>
    <mergeCell ref="Q41:R41"/>
    <mergeCell ref="B39:E39"/>
    <mergeCell ref="F39:G39"/>
    <mergeCell ref="H39:I39"/>
    <mergeCell ref="J39:K39"/>
    <mergeCell ref="L39:M39"/>
    <mergeCell ref="N39:O39"/>
    <mergeCell ref="P39:Q39"/>
    <mergeCell ref="R39:S39"/>
    <mergeCell ref="S41:T41"/>
    <mergeCell ref="B40:T40"/>
    <mergeCell ref="B34:T34"/>
    <mergeCell ref="B35:T35"/>
    <mergeCell ref="C36:D36"/>
    <mergeCell ref="E36:F36"/>
    <mergeCell ref="G36:H36"/>
    <mergeCell ref="B33:T33"/>
    <mergeCell ref="B18:T18"/>
    <mergeCell ref="B19:T19"/>
    <mergeCell ref="C20:T20"/>
    <mergeCell ref="B21:T21"/>
    <mergeCell ref="C22:T22"/>
    <mergeCell ref="B28:T28"/>
    <mergeCell ref="C29:T29"/>
    <mergeCell ref="B30:T30"/>
    <mergeCell ref="B31:T31"/>
    <mergeCell ref="B32:T32"/>
    <mergeCell ref="C23:T23"/>
    <mergeCell ref="C24:T24"/>
    <mergeCell ref="B25:T25"/>
    <mergeCell ref="B26:T26"/>
    <mergeCell ref="C27:T27"/>
    <mergeCell ref="C17:T17"/>
    <mergeCell ref="B7:U7"/>
    <mergeCell ref="B8:U8"/>
    <mergeCell ref="B5:E5"/>
    <mergeCell ref="F5:G5"/>
    <mergeCell ref="H5:I5"/>
    <mergeCell ref="J5:K5"/>
    <mergeCell ref="L5:M5"/>
    <mergeCell ref="T39:U39"/>
    <mergeCell ref="N5:O5"/>
    <mergeCell ref="P5:Q5"/>
    <mergeCell ref="R5:S5"/>
    <mergeCell ref="T5:U5"/>
    <mergeCell ref="C6:D6"/>
    <mergeCell ref="E6:F6"/>
    <mergeCell ref="G6:H6"/>
    <mergeCell ref="I6:J6"/>
    <mergeCell ref="K6:L6"/>
    <mergeCell ref="M6:N6"/>
    <mergeCell ref="O6:P6"/>
    <mergeCell ref="Q6:R6"/>
    <mergeCell ref="S6:T6"/>
    <mergeCell ref="B12:T12"/>
    <mergeCell ref="B13:T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FV466"/>
  <sheetViews>
    <sheetView showGridLines="0" tabSelected="1" topLeftCell="A20" zoomScale="70" zoomScaleNormal="70" zoomScaleSheetLayoutView="68" zoomScalePageLayoutView="40" workbookViewId="0">
      <selection activeCell="BW45" sqref="BW45"/>
    </sheetView>
  </sheetViews>
  <sheetFormatPr baseColWidth="10" defaultColWidth="0" defaultRowHeight="14" zeroHeight="1"/>
  <cols>
    <col min="1" max="1" width="2.83203125" style="66" customWidth="1"/>
    <col min="2" max="2" width="9.5" style="66" customWidth="1"/>
    <col min="3" max="3" width="7.33203125" style="58" customWidth="1"/>
    <col min="4" max="4" width="2.5" style="58" customWidth="1"/>
    <col min="5" max="5" width="5.1640625" style="58" customWidth="1"/>
    <col min="6" max="6" width="4.6640625" style="58" customWidth="1"/>
    <col min="7" max="7" width="7.33203125" style="58" customWidth="1"/>
    <col min="8" max="8" width="7.6640625" style="61" customWidth="1"/>
    <col min="9" max="9" width="9.83203125" style="58" hidden="1" customWidth="1"/>
    <col min="10" max="10" width="7.6640625" style="61" customWidth="1"/>
    <col min="11" max="11" width="7.33203125" style="58" customWidth="1"/>
    <col min="12" max="12" width="7.33203125" style="61" customWidth="1"/>
    <col min="13" max="13" width="7.1640625" style="58" customWidth="1"/>
    <col min="14" max="14" width="7.33203125" style="58" customWidth="1"/>
    <col min="15" max="15" width="7.1640625" style="58" customWidth="1"/>
    <col min="16" max="16" width="7.33203125" style="58" customWidth="1"/>
    <col min="17" max="17" width="8.1640625" style="58" customWidth="1"/>
    <col min="18" max="18" width="4" style="58" customWidth="1"/>
    <col min="19" max="19" width="5.6640625" style="58" customWidth="1"/>
    <col min="20" max="20" width="9.1640625" style="61" customWidth="1"/>
    <col min="21" max="21" width="5.33203125" style="58" customWidth="1"/>
    <col min="22" max="22" width="5" style="61" customWidth="1"/>
    <col min="23" max="23" width="30.5" style="58" hidden="1" customWidth="1"/>
    <col min="24" max="24" width="6" style="58" customWidth="1"/>
    <col min="25" max="25" width="43.5" style="58" hidden="1" customWidth="1"/>
    <col min="26" max="26" width="2.33203125" style="58" customWidth="1"/>
    <col min="27" max="27" width="4" style="58" hidden="1" customWidth="1"/>
    <col min="28" max="28" width="7.1640625" style="58" customWidth="1"/>
    <col min="29" max="29" width="4.33203125" style="58" hidden="1" customWidth="1"/>
    <col min="30" max="30" width="4" style="58" hidden="1" customWidth="1"/>
    <col min="31" max="31" width="4.1640625" style="58" customWidth="1"/>
    <col min="32" max="32" width="31.83203125" style="58" hidden="1" customWidth="1"/>
    <col min="33" max="33" width="4.1640625" style="58" customWidth="1"/>
    <col min="34" max="34" width="2" style="58" hidden="1" customWidth="1"/>
    <col min="35" max="35" width="7.5" style="58" customWidth="1"/>
    <col min="36" max="36" width="7.83203125" style="58" hidden="1" customWidth="1"/>
    <col min="37" max="37" width="7.1640625" style="58" customWidth="1"/>
    <col min="38" max="38" width="7" style="58" customWidth="1"/>
    <col min="39" max="39" width="7.1640625" style="58" customWidth="1"/>
    <col min="40" max="40" width="15.5" style="58" hidden="1" customWidth="1"/>
    <col min="41" max="41" width="7.5" style="58" customWidth="1"/>
    <col min="42" max="42" width="7.83203125" style="58" hidden="1" customWidth="1"/>
    <col min="43" max="43" width="7.1640625" style="58" customWidth="1"/>
    <col min="44" max="44" width="2.33203125" style="58" hidden="1" customWidth="1"/>
    <col min="45" max="45" width="7.33203125" style="58" customWidth="1"/>
    <col min="46" max="46" width="7.83203125" style="58" hidden="1" customWidth="1"/>
    <col min="47" max="47" width="7.1640625" style="58" customWidth="1"/>
    <col min="48" max="48" width="1.83203125" style="58" hidden="1" customWidth="1"/>
    <col min="49" max="49" width="7.5" style="58" customWidth="1"/>
    <col min="50" max="50" width="21" style="58" hidden="1" customWidth="1"/>
    <col min="51" max="51" width="4.33203125" style="58" customWidth="1"/>
    <col min="52" max="52" width="22.83203125" style="58" hidden="1" customWidth="1"/>
    <col min="53" max="53" width="32" style="58" hidden="1" customWidth="1"/>
    <col min="54" max="54" width="7.83203125" style="58" hidden="1" customWidth="1"/>
    <col min="55" max="55" width="0.1640625" style="58" customWidth="1"/>
    <col min="56" max="56" width="3.6640625" style="58" customWidth="1"/>
    <col min="57" max="57" width="3.5" style="58" customWidth="1"/>
    <col min="58" max="58" width="28" style="58" hidden="1" customWidth="1"/>
    <col min="59" max="59" width="4.6640625" style="58" customWidth="1"/>
    <col min="60" max="60" width="3.5" style="58" hidden="1" customWidth="1"/>
    <col min="61" max="61" width="8" style="58" customWidth="1"/>
    <col min="62" max="62" width="4" style="58" customWidth="1"/>
    <col min="63" max="63" width="4.6640625" style="58" customWidth="1"/>
    <col min="64" max="64" width="7.6640625" style="58" hidden="1" customWidth="1"/>
    <col min="65" max="65" width="3.33203125" style="58" hidden="1" customWidth="1"/>
    <col min="66" max="66" width="7.5" style="58" hidden="1" customWidth="1"/>
    <col min="67" max="67" width="7.83203125" style="58" hidden="1" customWidth="1"/>
    <col min="68" max="68" width="7.33203125" style="58" hidden="1" customWidth="1"/>
    <col min="69" max="69" width="6.5" style="58" customWidth="1"/>
    <col min="70" max="70" width="4.1640625" style="58" customWidth="1"/>
    <col min="71" max="71" width="1.1640625" style="58" hidden="1" customWidth="1"/>
    <col min="72" max="72" width="12" style="58" hidden="1" customWidth="1"/>
    <col min="73" max="74" width="4.5" style="58" customWidth="1"/>
    <col min="75" max="75" width="3.33203125" style="238" customWidth="1"/>
    <col min="76" max="112" width="6.6640625" style="58" hidden="1" customWidth="1"/>
    <col min="113" max="113" width="11.5" style="58" hidden="1" customWidth="1"/>
    <col min="114" max="176" width="6.6640625" style="58" hidden="1" customWidth="1"/>
    <col min="177" max="177" width="6.83203125" style="58" bestFit="1" customWidth="1"/>
    <col min="178" max="178" width="1.83203125" style="58" customWidth="1"/>
    <col min="179" max="16384" width="9.1640625" style="58" hidden="1"/>
  </cols>
  <sheetData>
    <row r="1" spans="1:150" s="78" customFormat="1" ht="15" customHeight="1">
      <c r="A1" s="66"/>
      <c r="B1" s="67"/>
      <c r="C1" s="68"/>
      <c r="D1" s="69"/>
      <c r="E1" s="69"/>
      <c r="F1" s="69"/>
      <c r="G1" s="69"/>
      <c r="H1" s="815" t="s">
        <v>0</v>
      </c>
      <c r="I1" s="815"/>
      <c r="J1" s="815"/>
      <c r="K1" s="815"/>
      <c r="L1" s="815"/>
      <c r="M1" s="208"/>
      <c r="N1" s="208"/>
      <c r="O1" s="208"/>
      <c r="P1" s="70"/>
      <c r="Q1" s="70"/>
      <c r="R1" s="71"/>
      <c r="S1" s="71"/>
      <c r="T1" s="70"/>
      <c r="U1" s="70"/>
      <c r="V1" s="71"/>
      <c r="W1" s="71"/>
      <c r="X1" s="71"/>
      <c r="Y1" s="71"/>
      <c r="Z1" s="72"/>
      <c r="AA1" s="72"/>
      <c r="AB1" s="73"/>
      <c r="AC1" s="73"/>
      <c r="AD1" s="73"/>
      <c r="AE1" s="73"/>
      <c r="AF1" s="74"/>
      <c r="AG1" s="74"/>
      <c r="AH1" s="74"/>
      <c r="AI1" s="74"/>
      <c r="AJ1" s="74"/>
      <c r="AK1" s="74"/>
      <c r="AL1" s="74"/>
      <c r="AM1" s="74"/>
      <c r="AN1" s="74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5"/>
      <c r="BB1" s="75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5"/>
      <c r="BP1" s="55"/>
      <c r="BQ1" s="55"/>
      <c r="BR1" s="55"/>
      <c r="BS1" s="55"/>
      <c r="BT1" s="55"/>
      <c r="BU1" s="55"/>
      <c r="BV1" s="55"/>
      <c r="BW1" s="56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76"/>
      <c r="DI1" s="76"/>
      <c r="DJ1" s="77"/>
      <c r="DK1" s="77"/>
      <c r="DL1" s="77"/>
      <c r="DM1" s="77"/>
      <c r="EB1" s="79"/>
      <c r="EE1" s="79"/>
      <c r="EO1" s="79"/>
    </row>
    <row r="2" spans="1:150" s="78" customFormat="1" ht="15" customHeight="1">
      <c r="A2" s="66"/>
      <c r="B2" s="66"/>
      <c r="C2" s="68"/>
      <c r="D2" s="72"/>
      <c r="E2" s="72"/>
      <c r="F2" s="829"/>
      <c r="G2" s="829"/>
      <c r="H2" s="829"/>
      <c r="I2" s="829"/>
      <c r="J2" s="829"/>
      <c r="K2" s="829"/>
      <c r="L2" s="829"/>
      <c r="M2" s="829"/>
      <c r="N2" s="829"/>
      <c r="O2" s="829"/>
      <c r="P2" s="829"/>
      <c r="Q2" s="829"/>
      <c r="R2" s="829"/>
      <c r="S2" s="829"/>
      <c r="T2" s="829"/>
      <c r="U2" s="829"/>
      <c r="V2" s="829"/>
      <c r="W2" s="829"/>
      <c r="X2" s="829"/>
      <c r="Y2" s="829"/>
      <c r="Z2" s="829"/>
      <c r="AA2" s="829"/>
      <c r="AB2" s="829"/>
      <c r="AC2" s="829"/>
      <c r="AD2" s="829"/>
      <c r="AE2" s="829"/>
      <c r="AF2" s="829"/>
      <c r="AG2" s="829"/>
      <c r="AH2" s="829"/>
      <c r="AI2" s="829"/>
      <c r="AJ2" s="829"/>
      <c r="AK2" s="829"/>
      <c r="AL2" s="829"/>
      <c r="AM2" s="829"/>
      <c r="AN2" s="829"/>
      <c r="AO2" s="829"/>
      <c r="AP2" s="829"/>
      <c r="AQ2" s="829"/>
      <c r="AR2" s="829"/>
      <c r="AS2" s="829"/>
      <c r="AT2" s="829"/>
      <c r="AU2" s="829"/>
      <c r="AV2" s="829"/>
      <c r="AW2" s="829"/>
      <c r="AX2" s="829"/>
      <c r="AY2" s="829"/>
      <c r="AZ2" s="829"/>
      <c r="BA2" s="829"/>
      <c r="BB2" s="829"/>
      <c r="BC2" s="829"/>
      <c r="BD2" s="829"/>
      <c r="BE2" s="829"/>
      <c r="BF2" s="829"/>
      <c r="BG2" s="829"/>
      <c r="BH2" s="829"/>
      <c r="BI2" s="829"/>
      <c r="BJ2" s="829"/>
      <c r="BK2" s="829"/>
      <c r="BL2" s="829"/>
      <c r="BM2" s="829"/>
      <c r="BN2" s="829"/>
      <c r="BO2" s="829"/>
      <c r="BP2" s="829"/>
      <c r="BQ2" s="829"/>
      <c r="BR2" s="829"/>
      <c r="BS2" s="829"/>
      <c r="BT2" s="829"/>
      <c r="BU2" s="829"/>
      <c r="BV2" s="829"/>
      <c r="BW2" s="829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76"/>
      <c r="DI2" s="76"/>
      <c r="DJ2" s="77"/>
      <c r="DK2" s="77"/>
      <c r="DL2" s="77"/>
      <c r="DM2" s="77"/>
      <c r="DZ2" s="478">
        <v>0</v>
      </c>
      <c r="EA2" s="81">
        <v>1</v>
      </c>
      <c r="EB2" s="81">
        <v>2</v>
      </c>
      <c r="EC2" s="81">
        <v>3</v>
      </c>
      <c r="ED2" s="81">
        <v>4</v>
      </c>
      <c r="EE2" s="81">
        <v>5</v>
      </c>
      <c r="EF2" s="81">
        <v>6</v>
      </c>
      <c r="EG2" s="81">
        <v>7</v>
      </c>
      <c r="EH2" s="81">
        <v>8</v>
      </c>
      <c r="EI2" s="81">
        <v>9</v>
      </c>
      <c r="EJ2" s="81">
        <v>10</v>
      </c>
      <c r="EK2" s="81">
        <v>11</v>
      </c>
      <c r="EL2" s="81">
        <v>12</v>
      </c>
      <c r="EM2" s="81">
        <v>13</v>
      </c>
      <c r="EN2" s="81">
        <v>14</v>
      </c>
      <c r="EO2" s="81"/>
      <c r="EP2" s="81"/>
    </row>
    <row r="3" spans="1:150" s="78" customFormat="1" ht="15" customHeight="1">
      <c r="A3" s="66"/>
      <c r="B3" s="66"/>
      <c r="C3" s="68"/>
      <c r="D3" s="72"/>
      <c r="E3" s="72"/>
      <c r="F3" s="830" t="s">
        <v>2</v>
      </c>
      <c r="G3" s="830"/>
      <c r="H3" s="830"/>
      <c r="I3" s="830"/>
      <c r="J3" s="830"/>
      <c r="K3" s="830"/>
      <c r="L3" s="830"/>
      <c r="M3" s="830"/>
      <c r="N3" s="830"/>
      <c r="O3" s="830"/>
      <c r="P3" s="830"/>
      <c r="Q3" s="830"/>
      <c r="R3" s="830"/>
      <c r="S3" s="830"/>
      <c r="T3" s="830"/>
      <c r="U3" s="830"/>
      <c r="V3" s="830"/>
      <c r="W3" s="830"/>
      <c r="X3" s="830"/>
      <c r="Y3" s="830"/>
      <c r="Z3" s="830"/>
      <c r="AA3" s="830"/>
      <c r="AB3" s="830"/>
      <c r="AC3" s="830"/>
      <c r="AD3" s="830"/>
      <c r="AE3" s="830"/>
      <c r="AF3" s="830"/>
      <c r="AG3" s="830"/>
      <c r="AH3" s="830"/>
      <c r="AI3" s="830"/>
      <c r="AJ3" s="830"/>
      <c r="AK3" s="830"/>
      <c r="AL3" s="830"/>
      <c r="AM3" s="830"/>
      <c r="AN3" s="830"/>
      <c r="AO3" s="830"/>
      <c r="AP3" s="830"/>
      <c r="AQ3" s="830"/>
      <c r="AR3" s="830"/>
      <c r="AS3" s="830"/>
      <c r="AT3" s="830"/>
      <c r="AU3" s="830"/>
      <c r="AV3" s="830"/>
      <c r="AW3" s="830"/>
      <c r="AX3" s="830"/>
      <c r="AY3" s="830"/>
      <c r="AZ3" s="830"/>
      <c r="BA3" s="830"/>
      <c r="BB3" s="830"/>
      <c r="BC3" s="830"/>
      <c r="BD3" s="830"/>
      <c r="BE3" s="830"/>
      <c r="BF3" s="830"/>
      <c r="BG3" s="830"/>
      <c r="BH3" s="830"/>
      <c r="BI3" s="830"/>
      <c r="BJ3" s="830"/>
      <c r="BK3" s="830"/>
      <c r="BL3" s="830"/>
      <c r="BM3" s="830"/>
      <c r="BN3" s="830"/>
      <c r="BO3" s="830"/>
      <c r="BP3" s="830"/>
      <c r="BQ3" s="830"/>
      <c r="BR3" s="830"/>
      <c r="BS3" s="830"/>
      <c r="BT3" s="830"/>
      <c r="BU3" s="830"/>
      <c r="BV3" s="830"/>
      <c r="BW3" s="830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5"/>
      <c r="CX3" s="55"/>
      <c r="CY3" s="55"/>
      <c r="CZ3" s="55"/>
      <c r="DA3" s="55"/>
      <c r="DB3" s="55"/>
      <c r="DC3" s="55"/>
      <c r="DD3" s="55"/>
      <c r="DE3" s="55"/>
      <c r="DF3" s="55"/>
      <c r="DG3" s="55"/>
      <c r="DH3" s="76"/>
      <c r="DI3" s="76"/>
      <c r="DJ3" s="77"/>
      <c r="DK3" s="77"/>
      <c r="DL3" s="77"/>
      <c r="DM3" s="77"/>
      <c r="DZ3" s="479" t="s">
        <v>3</v>
      </c>
      <c r="EA3" s="444" t="s">
        <v>4</v>
      </c>
      <c r="EB3" s="444" t="s">
        <v>5</v>
      </c>
      <c r="EC3" s="444" t="s">
        <v>6</v>
      </c>
      <c r="ED3" s="444" t="s">
        <v>7</v>
      </c>
      <c r="EE3" s="444" t="s">
        <v>8</v>
      </c>
      <c r="EF3" s="444" t="s">
        <v>9</v>
      </c>
      <c r="EG3" s="444" t="s">
        <v>10</v>
      </c>
      <c r="EH3" s="444" t="s">
        <v>11</v>
      </c>
      <c r="EI3" s="444" t="s">
        <v>12</v>
      </c>
      <c r="EJ3" s="444" t="s">
        <v>13</v>
      </c>
      <c r="EK3" s="444" t="s">
        <v>14</v>
      </c>
      <c r="EL3" s="444" t="s">
        <v>15</v>
      </c>
      <c r="EM3" s="444" t="s">
        <v>16</v>
      </c>
      <c r="EN3" s="444" t="s">
        <v>17</v>
      </c>
      <c r="EO3" s="444"/>
      <c r="EP3" s="445"/>
      <c r="EQ3" s="445"/>
    </row>
    <row r="4" spans="1:150" s="78" customFormat="1" ht="15" customHeight="1">
      <c r="A4" s="66"/>
      <c r="B4" s="66"/>
      <c r="C4" s="68"/>
      <c r="D4" s="72"/>
      <c r="E4" s="72"/>
      <c r="F4" s="830" t="s">
        <v>144</v>
      </c>
      <c r="G4" s="830"/>
      <c r="H4" s="830"/>
      <c r="I4" s="830"/>
      <c r="J4" s="830"/>
      <c r="K4" s="830"/>
      <c r="L4" s="830"/>
      <c r="M4" s="830"/>
      <c r="N4" s="830"/>
      <c r="O4" s="830"/>
      <c r="P4" s="830"/>
      <c r="Q4" s="830"/>
      <c r="R4" s="830"/>
      <c r="S4" s="830"/>
      <c r="T4" s="830"/>
      <c r="U4" s="830"/>
      <c r="V4" s="830"/>
      <c r="W4" s="830"/>
      <c r="X4" s="830"/>
      <c r="Y4" s="830"/>
      <c r="Z4" s="830"/>
      <c r="AA4" s="830"/>
      <c r="AB4" s="830"/>
      <c r="AC4" s="830"/>
      <c r="AD4" s="830"/>
      <c r="AE4" s="830"/>
      <c r="AF4" s="830"/>
      <c r="AG4" s="830"/>
      <c r="AH4" s="830"/>
      <c r="AI4" s="830"/>
      <c r="AJ4" s="830"/>
      <c r="AK4" s="830"/>
      <c r="AL4" s="830"/>
      <c r="AM4" s="830"/>
      <c r="AN4" s="830"/>
      <c r="AO4" s="830"/>
      <c r="AP4" s="830"/>
      <c r="AQ4" s="830"/>
      <c r="AR4" s="830"/>
      <c r="AS4" s="830"/>
      <c r="AT4" s="830"/>
      <c r="AU4" s="830"/>
      <c r="AV4" s="830"/>
      <c r="AW4" s="830"/>
      <c r="AX4" s="830"/>
      <c r="AY4" s="830"/>
      <c r="AZ4" s="830"/>
      <c r="BA4" s="830"/>
      <c r="BB4" s="830"/>
      <c r="BC4" s="830"/>
      <c r="BD4" s="830"/>
      <c r="BE4" s="830"/>
      <c r="BF4" s="830"/>
      <c r="BG4" s="830"/>
      <c r="BH4" s="830"/>
      <c r="BI4" s="830"/>
      <c r="BJ4" s="830"/>
      <c r="BK4" s="830"/>
      <c r="BL4" s="830"/>
      <c r="BM4" s="830"/>
      <c r="BN4" s="830"/>
      <c r="BO4" s="830"/>
      <c r="BP4" s="830"/>
      <c r="BQ4" s="830"/>
      <c r="BR4" s="830"/>
      <c r="BS4" s="830"/>
      <c r="BT4" s="830"/>
      <c r="BU4" s="830"/>
      <c r="BV4" s="830"/>
      <c r="BW4" s="830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  <c r="CW4" s="55"/>
      <c r="CX4" s="55"/>
      <c r="CY4" s="55"/>
      <c r="CZ4" s="55"/>
      <c r="DA4" s="55"/>
      <c r="DB4" s="55"/>
      <c r="DC4" s="55"/>
      <c r="DD4" s="55"/>
      <c r="DE4" s="55"/>
      <c r="DF4" s="55"/>
      <c r="DG4" s="55"/>
      <c r="DH4" s="76"/>
      <c r="DI4" s="76"/>
      <c r="DJ4" s="77"/>
      <c r="DK4" s="77"/>
      <c r="DL4" s="77"/>
      <c r="DM4" s="77"/>
      <c r="DZ4" s="372">
        <v>86</v>
      </c>
      <c r="EA4" s="372" t="s">
        <v>1484</v>
      </c>
      <c r="EB4" s="372" t="s">
        <v>14018</v>
      </c>
      <c r="EC4" s="372" t="s">
        <v>1617</v>
      </c>
      <c r="ED4" s="372" t="s">
        <v>1618</v>
      </c>
      <c r="EE4" s="372" t="s">
        <v>14019</v>
      </c>
      <c r="EF4" s="372" t="s">
        <v>1619</v>
      </c>
      <c r="EG4" s="372">
        <v>502</v>
      </c>
      <c r="EH4" s="372" t="s">
        <v>1620</v>
      </c>
      <c r="EI4" s="372" t="s">
        <v>1621</v>
      </c>
      <c r="EJ4" s="372" t="s">
        <v>1622</v>
      </c>
      <c r="EK4" s="372" t="s">
        <v>14020</v>
      </c>
      <c r="EL4" s="372" t="s">
        <v>1623</v>
      </c>
      <c r="EM4" s="372" t="s">
        <v>1624</v>
      </c>
      <c r="EN4" s="372">
        <v>6660</v>
      </c>
      <c r="EO4" s="369"/>
      <c r="EP4" s="369"/>
      <c r="EQ4" s="369"/>
      <c r="ER4" s="193"/>
      <c r="ES4" s="219"/>
      <c r="ET4" s="194"/>
    </row>
    <row r="5" spans="1:150" s="78" customFormat="1" ht="15" customHeight="1" thickBot="1">
      <c r="A5" s="66"/>
      <c r="B5" s="66"/>
      <c r="C5" s="68"/>
      <c r="D5" s="72"/>
      <c r="E5" s="72"/>
      <c r="F5" s="830" t="s">
        <v>133</v>
      </c>
      <c r="G5" s="830"/>
      <c r="H5" s="830"/>
      <c r="I5" s="830"/>
      <c r="J5" s="830"/>
      <c r="K5" s="830"/>
      <c r="L5" s="830"/>
      <c r="M5" s="830"/>
      <c r="N5" s="830"/>
      <c r="O5" s="830"/>
      <c r="P5" s="830"/>
      <c r="Q5" s="830"/>
      <c r="R5" s="830"/>
      <c r="S5" s="830"/>
      <c r="T5" s="830"/>
      <c r="U5" s="830"/>
      <c r="V5" s="830"/>
      <c r="W5" s="830"/>
      <c r="X5" s="830"/>
      <c r="Y5" s="830"/>
      <c r="Z5" s="830"/>
      <c r="AA5" s="830"/>
      <c r="AB5" s="830"/>
      <c r="AC5" s="830"/>
      <c r="AD5" s="830"/>
      <c r="AE5" s="830"/>
      <c r="AF5" s="830"/>
      <c r="AG5" s="830"/>
      <c r="AH5" s="830"/>
      <c r="AI5" s="830"/>
      <c r="AJ5" s="830"/>
      <c r="AK5" s="830"/>
      <c r="AL5" s="830"/>
      <c r="AM5" s="830"/>
      <c r="AN5" s="830"/>
      <c r="AO5" s="830"/>
      <c r="AP5" s="830"/>
      <c r="AQ5" s="830"/>
      <c r="AR5" s="830"/>
      <c r="AS5" s="830"/>
      <c r="AT5" s="830"/>
      <c r="AU5" s="830"/>
      <c r="AV5" s="830"/>
      <c r="AW5" s="830"/>
      <c r="AX5" s="830"/>
      <c r="AY5" s="830"/>
      <c r="AZ5" s="830"/>
      <c r="BA5" s="830"/>
      <c r="BB5" s="830"/>
      <c r="BC5" s="830"/>
      <c r="BD5" s="830"/>
      <c r="BE5" s="830"/>
      <c r="BF5" s="830"/>
      <c r="BG5" s="830"/>
      <c r="BH5" s="830"/>
      <c r="BI5" s="830"/>
      <c r="BJ5" s="830"/>
      <c r="BK5" s="830"/>
      <c r="BL5" s="830"/>
      <c r="BM5" s="830"/>
      <c r="BN5" s="830"/>
      <c r="BO5" s="830"/>
      <c r="BP5" s="830"/>
      <c r="BQ5" s="830"/>
      <c r="BR5" s="830"/>
      <c r="BS5" s="830"/>
      <c r="BT5" s="830"/>
      <c r="BU5" s="830"/>
      <c r="BV5" s="830"/>
      <c r="BW5" s="830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  <c r="CW5" s="55"/>
      <c r="CX5" s="55"/>
      <c r="CY5" s="55"/>
      <c r="CZ5" s="55"/>
      <c r="DA5" s="55"/>
      <c r="DB5" s="55"/>
      <c r="DC5" s="55"/>
      <c r="DD5" s="55"/>
      <c r="DE5" s="55"/>
      <c r="DF5" s="55"/>
      <c r="DG5" s="55"/>
      <c r="DH5" s="76"/>
      <c r="DI5" s="76"/>
      <c r="DJ5" s="77"/>
      <c r="DK5" s="77"/>
      <c r="DL5" s="77"/>
      <c r="DM5" s="77"/>
      <c r="DN5" s="83"/>
      <c r="DZ5" s="372">
        <v>94</v>
      </c>
      <c r="EA5" s="372" t="s">
        <v>1484</v>
      </c>
      <c r="EB5" s="372" t="s">
        <v>1625</v>
      </c>
      <c r="EC5" s="372" t="s">
        <v>1626</v>
      </c>
      <c r="ED5" s="447" t="s">
        <v>13763</v>
      </c>
      <c r="EE5" s="372" t="s">
        <v>13966</v>
      </c>
      <c r="EF5" s="372" t="s">
        <v>1628</v>
      </c>
      <c r="EG5" s="372">
        <v>295</v>
      </c>
      <c r="EH5" s="372" t="s">
        <v>1629</v>
      </c>
      <c r="EI5" s="372" t="s">
        <v>1630</v>
      </c>
      <c r="EJ5" s="372" t="s">
        <v>1631</v>
      </c>
      <c r="EK5" s="372" t="s">
        <v>1632</v>
      </c>
      <c r="EL5" s="372" t="s">
        <v>1632</v>
      </c>
      <c r="EM5" s="372" t="s">
        <v>1633</v>
      </c>
      <c r="EN5" s="372">
        <v>6739</v>
      </c>
      <c r="EO5" s="369"/>
      <c r="EP5" s="369"/>
      <c r="EQ5" s="369"/>
      <c r="ER5" s="193"/>
      <c r="ES5" s="219"/>
      <c r="ET5" s="194"/>
    </row>
    <row r="6" spans="1:150" s="78" customFormat="1" ht="18" customHeight="1">
      <c r="A6" s="66"/>
      <c r="B6" s="66"/>
      <c r="C6" s="148"/>
      <c r="D6" s="835">
        <v>19382</v>
      </c>
      <c r="E6" s="835"/>
      <c r="F6" s="835"/>
      <c r="G6" s="835"/>
      <c r="H6" s="819" t="str">
        <f>IF($D$6="",DJ6,VLOOKUP($D$6,UNIDADES!B3:L502,2))</f>
        <v>CEU EMEI</v>
      </c>
      <c r="I6" s="819"/>
      <c r="J6" s="819"/>
      <c r="K6" s="210"/>
      <c r="L6" s="852" t="str">
        <f>IF($D$6="",DJ7,VLOOKUP($D$6,UNIDADES!B3:L502,3))</f>
        <v>ALTO ALEGRE</v>
      </c>
      <c r="M6" s="852"/>
      <c r="N6" s="852"/>
      <c r="O6" s="852"/>
      <c r="P6" s="852"/>
      <c r="Q6" s="852"/>
      <c r="R6" s="852"/>
      <c r="S6" s="852"/>
      <c r="T6" s="852"/>
      <c r="U6" s="852"/>
      <c r="V6" s="852"/>
      <c r="W6" s="852"/>
      <c r="X6" s="852"/>
      <c r="Y6" s="852"/>
      <c r="Z6" s="852"/>
      <c r="AA6" s="852"/>
      <c r="AB6" s="852"/>
      <c r="AC6" s="852"/>
      <c r="AD6" s="852"/>
      <c r="AE6" s="852"/>
      <c r="AF6" s="852"/>
      <c r="AG6" s="852"/>
      <c r="AH6" s="852"/>
      <c r="AI6" s="852"/>
      <c r="AJ6" s="852"/>
      <c r="AK6" s="852"/>
      <c r="AL6" s="852"/>
      <c r="AM6" s="852"/>
      <c r="AN6" s="852"/>
      <c r="AO6" s="852"/>
      <c r="AP6" s="852"/>
      <c r="AQ6" s="852"/>
      <c r="AR6" s="852"/>
      <c r="AS6" s="852"/>
      <c r="AT6" s="852"/>
      <c r="AU6" s="852"/>
      <c r="AV6" s="852"/>
      <c r="AW6" s="852"/>
      <c r="AX6" s="852"/>
      <c r="AY6" s="852"/>
      <c r="AZ6" s="852"/>
      <c r="BA6" s="852"/>
      <c r="BB6" s="853"/>
      <c r="BC6" s="80"/>
      <c r="BD6" s="653" t="s">
        <v>18</v>
      </c>
      <c r="BE6" s="654"/>
      <c r="BF6" s="654"/>
      <c r="BG6" s="654"/>
      <c r="BH6" s="654"/>
      <c r="BI6" s="654"/>
      <c r="BJ6" s="655"/>
      <c r="BK6" s="654" t="s">
        <v>19</v>
      </c>
      <c r="BL6" s="654"/>
      <c r="BM6" s="654"/>
      <c r="BN6" s="654"/>
      <c r="BO6" s="654"/>
      <c r="BP6" s="654"/>
      <c r="BQ6" s="654"/>
      <c r="BR6" s="654"/>
      <c r="BS6" s="215"/>
      <c r="BT6" s="215"/>
      <c r="BU6" s="654" t="s">
        <v>20</v>
      </c>
      <c r="BV6" s="654"/>
      <c r="BW6" s="655"/>
      <c r="DH6" s="68"/>
      <c r="DI6" s="68"/>
      <c r="DJ6" s="85" t="s">
        <v>21</v>
      </c>
      <c r="DK6" s="86"/>
      <c r="DL6" s="86"/>
      <c r="DM6" s="198"/>
      <c r="DN6" s="83"/>
      <c r="DO6" s="202" t="s">
        <v>22</v>
      </c>
      <c r="DP6" s="202" t="s">
        <v>23</v>
      </c>
      <c r="DQ6" s="202" t="s">
        <v>24</v>
      </c>
      <c r="DR6" s="202" t="s">
        <v>25</v>
      </c>
      <c r="DS6" s="202" t="s">
        <v>26</v>
      </c>
      <c r="DT6" s="202" t="s">
        <v>27</v>
      </c>
      <c r="DU6" s="202" t="s">
        <v>28</v>
      </c>
      <c r="DZ6" s="372">
        <v>221</v>
      </c>
      <c r="EA6" s="372" t="s">
        <v>1484</v>
      </c>
      <c r="EB6" s="372" t="s">
        <v>1634</v>
      </c>
      <c r="EC6" s="372" t="s">
        <v>1626</v>
      </c>
      <c r="ED6" s="447" t="s">
        <v>13763</v>
      </c>
      <c r="EE6" s="372" t="s">
        <v>13957</v>
      </c>
      <c r="EF6" s="372" t="s">
        <v>1635</v>
      </c>
      <c r="EG6" s="372">
        <v>51</v>
      </c>
      <c r="EH6" s="372" t="s">
        <v>1636</v>
      </c>
      <c r="EI6" s="372" t="s">
        <v>1637</v>
      </c>
      <c r="EJ6" s="372" t="s">
        <v>1638</v>
      </c>
      <c r="EK6" s="372">
        <v>39316339</v>
      </c>
      <c r="EL6" s="372" t="s">
        <v>1639</v>
      </c>
      <c r="EM6" s="372" t="s">
        <v>1633</v>
      </c>
      <c r="EN6" s="372">
        <v>6722</v>
      </c>
      <c r="EO6" s="369"/>
      <c r="EP6" s="369"/>
      <c r="EQ6" s="369"/>
      <c r="ER6" s="193"/>
      <c r="ES6" s="219"/>
      <c r="ET6" s="194"/>
    </row>
    <row r="7" spans="1:150" s="78" customFormat="1" ht="15" customHeight="1" thickBot="1">
      <c r="A7" s="66"/>
      <c r="B7" s="66"/>
      <c r="C7" s="149"/>
      <c r="D7" s="817" t="s">
        <v>29</v>
      </c>
      <c r="E7" s="817"/>
      <c r="F7" s="817"/>
      <c r="G7" s="209"/>
      <c r="H7" s="818" t="str">
        <f>IF($D$6="","",VLOOKUP($D$6,UNIDADES!B3:L502,6))</f>
        <v>emeiceualtoalegre@SME.PREFEITURA.SP.GOV.BR</v>
      </c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8"/>
      <c r="AB7" s="818"/>
      <c r="AC7" s="818"/>
      <c r="AD7" s="818"/>
      <c r="AE7" s="818"/>
      <c r="AF7" s="818"/>
      <c r="AG7" s="818"/>
      <c r="AH7" s="818"/>
      <c r="AI7" s="818"/>
      <c r="AJ7" s="818"/>
      <c r="AK7" s="818"/>
      <c r="AL7" s="818"/>
      <c r="AM7" s="818"/>
      <c r="AN7" s="818"/>
      <c r="AO7" s="818"/>
      <c r="AP7" s="818"/>
      <c r="AQ7" s="818"/>
      <c r="AR7" s="818"/>
      <c r="AS7" s="818"/>
      <c r="AT7" s="818"/>
      <c r="AU7" s="818"/>
      <c r="AV7" s="818"/>
      <c r="AW7" s="818"/>
      <c r="AX7" s="818"/>
      <c r="AY7" s="818"/>
      <c r="AZ7" s="818"/>
      <c r="BA7" s="818"/>
      <c r="BB7" s="151"/>
      <c r="BC7" s="105"/>
      <c r="BD7" s="656">
        <f>IF($D$6="","",VLOOKUP($D$6,UNIDADES!B3:L502,11))</f>
        <v>11851</v>
      </c>
      <c r="BE7" s="657"/>
      <c r="BF7" s="657"/>
      <c r="BG7" s="657"/>
      <c r="BH7" s="657"/>
      <c r="BI7" s="657"/>
      <c r="BJ7" s="658"/>
      <c r="BK7" s="691" t="s">
        <v>49</v>
      </c>
      <c r="BL7" s="691"/>
      <c r="BM7" s="691"/>
      <c r="BN7" s="691"/>
      <c r="BO7" s="691"/>
      <c r="BP7" s="691"/>
      <c r="BQ7" s="691"/>
      <c r="BR7" s="691"/>
      <c r="BS7" s="691"/>
      <c r="BT7" s="216"/>
      <c r="BU7" s="689">
        <v>2025</v>
      </c>
      <c r="BV7" s="689"/>
      <c r="BW7" s="690"/>
      <c r="DH7" s="55"/>
      <c r="DI7" s="55"/>
      <c r="DJ7" s="85" t="s">
        <v>31</v>
      </c>
      <c r="DN7" s="83"/>
      <c r="DZ7" s="372">
        <v>230</v>
      </c>
      <c r="EA7" s="372" t="s">
        <v>1484</v>
      </c>
      <c r="EB7" s="372" t="s">
        <v>14252</v>
      </c>
      <c r="EC7" s="372" t="s">
        <v>1640</v>
      </c>
      <c r="ED7" s="372" t="s">
        <v>1641</v>
      </c>
      <c r="EE7" s="372" t="s">
        <v>14253</v>
      </c>
      <c r="EF7" s="372" t="s">
        <v>1642</v>
      </c>
      <c r="EG7" s="372" t="s">
        <v>46</v>
      </c>
      <c r="EH7" s="372" t="s">
        <v>1643</v>
      </c>
      <c r="EI7" s="372" t="s">
        <v>1644</v>
      </c>
      <c r="EJ7" s="372" t="s">
        <v>1645</v>
      </c>
      <c r="EK7" s="372" t="s">
        <v>14254</v>
      </c>
      <c r="EL7" s="372" t="s">
        <v>1646</v>
      </c>
      <c r="EM7" s="372" t="s">
        <v>1633</v>
      </c>
      <c r="EN7" s="372">
        <v>6793</v>
      </c>
      <c r="EO7" s="369"/>
      <c r="EP7" s="369"/>
      <c r="EQ7" s="369"/>
      <c r="ER7" s="193"/>
      <c r="ES7" s="219"/>
      <c r="ET7" s="194"/>
    </row>
    <row r="8" spans="1:150" s="78" customFormat="1" ht="15" customHeight="1">
      <c r="A8" s="66"/>
      <c r="B8" s="66"/>
      <c r="C8" s="148"/>
      <c r="D8" s="827" t="s">
        <v>32</v>
      </c>
      <c r="E8" s="827"/>
      <c r="F8" s="827"/>
      <c r="G8" s="827"/>
      <c r="H8" s="827"/>
      <c r="I8" s="827"/>
      <c r="J8" s="827"/>
      <c r="K8" s="827"/>
      <c r="L8" s="827"/>
      <c r="M8" s="827"/>
      <c r="N8" s="827"/>
      <c r="O8" s="827"/>
      <c r="P8" s="827"/>
      <c r="Q8" s="827"/>
      <c r="R8" s="827"/>
      <c r="S8" s="827"/>
      <c r="T8" s="827"/>
      <c r="U8" s="827"/>
      <c r="V8" s="827"/>
      <c r="W8" s="827"/>
      <c r="X8" s="827"/>
      <c r="Y8" s="827"/>
      <c r="Z8" s="827"/>
      <c r="AA8" s="827"/>
      <c r="AB8" s="827"/>
      <c r="AC8" s="827"/>
      <c r="AD8" s="827"/>
      <c r="AE8" s="827"/>
      <c r="AF8" s="827"/>
      <c r="AG8" s="827"/>
      <c r="AH8" s="827"/>
      <c r="AI8" s="827"/>
      <c r="AJ8" s="827"/>
      <c r="AK8" s="827"/>
      <c r="AL8" s="827"/>
      <c r="AM8" s="827"/>
      <c r="AN8" s="827"/>
      <c r="AO8" s="827"/>
      <c r="AP8" s="827"/>
      <c r="AQ8" s="827"/>
      <c r="AR8" s="827"/>
      <c r="AS8" s="827"/>
      <c r="AT8" s="827"/>
      <c r="AU8" s="827"/>
      <c r="AV8" s="827"/>
      <c r="AW8" s="827"/>
      <c r="AX8" s="827"/>
      <c r="AY8" s="827"/>
      <c r="AZ8" s="827"/>
      <c r="BA8" s="828"/>
      <c r="BB8" s="211"/>
      <c r="BC8" s="87"/>
      <c r="BD8" s="87"/>
      <c r="BE8" s="87"/>
      <c r="BF8" s="87"/>
      <c r="BG8" s="87"/>
      <c r="BH8" s="87"/>
      <c r="BI8" s="838" t="s">
        <v>33</v>
      </c>
      <c r="BJ8" s="836"/>
      <c r="BK8" s="836"/>
      <c r="BL8" s="836"/>
      <c r="BM8" s="836"/>
      <c r="BN8" s="836"/>
      <c r="BO8" s="837"/>
      <c r="BP8" s="200"/>
      <c r="BQ8" s="836" t="s">
        <v>34</v>
      </c>
      <c r="BR8" s="836"/>
      <c r="BS8" s="836"/>
      <c r="BT8" s="836"/>
      <c r="BU8" s="836"/>
      <c r="BV8" s="836"/>
      <c r="BW8" s="837"/>
      <c r="DH8" s="68"/>
      <c r="DI8" s="68"/>
      <c r="DJ8" s="79" t="s">
        <v>35</v>
      </c>
      <c r="DK8" s="79" t="s">
        <v>36</v>
      </c>
      <c r="DL8" s="79" t="s">
        <v>37</v>
      </c>
      <c r="DN8" s="83"/>
      <c r="DP8" s="88"/>
      <c r="DZ8" s="372">
        <v>248</v>
      </c>
      <c r="EA8" s="372" t="s">
        <v>1484</v>
      </c>
      <c r="EB8" s="372" t="s">
        <v>1647</v>
      </c>
      <c r="EC8" s="372" t="s">
        <v>1640</v>
      </c>
      <c r="ED8" s="372" t="s">
        <v>1641</v>
      </c>
      <c r="EE8" s="372" t="s">
        <v>14267</v>
      </c>
      <c r="EF8" s="372" t="s">
        <v>1648</v>
      </c>
      <c r="EG8" s="372">
        <v>200</v>
      </c>
      <c r="EH8" s="372" t="s">
        <v>1649</v>
      </c>
      <c r="EI8" s="372" t="s">
        <v>1650</v>
      </c>
      <c r="EJ8" s="372" t="s">
        <v>1651</v>
      </c>
      <c r="EK8" s="372" t="s">
        <v>14268</v>
      </c>
      <c r="EL8" s="372" t="s">
        <v>1652</v>
      </c>
      <c r="EM8" s="372" t="s">
        <v>1633</v>
      </c>
      <c r="EN8" s="372">
        <v>6779</v>
      </c>
      <c r="EO8" s="369"/>
      <c r="EP8" s="369"/>
      <c r="EQ8" s="369"/>
      <c r="ER8" s="193"/>
      <c r="ES8" s="219"/>
      <c r="ET8" s="194"/>
    </row>
    <row r="9" spans="1:150" s="78" customFormat="1" ht="15" customHeight="1" thickBot="1">
      <c r="A9" s="66"/>
      <c r="B9" s="66"/>
      <c r="C9" s="104"/>
      <c r="D9" s="859" t="str">
        <f>IF($D$6="","",VLOOKUP($D$6,UNIDADES!B3:L502,7))</f>
        <v>AVENIDA BENTO GUELFI, S/N - JARDIM DAS LARANJEIRAS</v>
      </c>
      <c r="E9" s="859"/>
      <c r="F9" s="859"/>
      <c r="G9" s="859"/>
      <c r="H9" s="859"/>
      <c r="I9" s="859"/>
      <c r="J9" s="859"/>
      <c r="K9" s="859"/>
      <c r="L9" s="859"/>
      <c r="M9" s="859"/>
      <c r="N9" s="859"/>
      <c r="O9" s="859"/>
      <c r="P9" s="859"/>
      <c r="Q9" s="859"/>
      <c r="R9" s="859"/>
      <c r="S9" s="859"/>
      <c r="T9" s="859"/>
      <c r="U9" s="859"/>
      <c r="V9" s="859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AV9" s="859"/>
      <c r="AW9" s="859"/>
      <c r="AX9" s="859"/>
      <c r="AY9" s="859"/>
      <c r="AZ9" s="859"/>
      <c r="BA9" s="860"/>
      <c r="BB9" s="201"/>
      <c r="BC9" s="89"/>
      <c r="BD9" s="89"/>
      <c r="BE9" s="89"/>
      <c r="BF9" s="89"/>
      <c r="BG9" s="89"/>
      <c r="BH9" s="89"/>
      <c r="BI9" s="856" t="str">
        <f>IF($D$6="","",VLOOKUP($D$6,UNIDADES!B3:L502,8))</f>
        <v>08381-001</v>
      </c>
      <c r="BJ9" s="857"/>
      <c r="BK9" s="857"/>
      <c r="BL9" s="857"/>
      <c r="BM9" s="857"/>
      <c r="BN9" s="857"/>
      <c r="BO9" s="858"/>
      <c r="BP9" s="199"/>
      <c r="BQ9" s="686" t="str">
        <f>IF($D$6="","",VLOOKUP($D$6,UNIDADES!B3:L502,9))</f>
        <v>2075-1023</v>
      </c>
      <c r="BR9" s="686"/>
      <c r="BS9" s="686"/>
      <c r="BT9" s="686"/>
      <c r="BU9" s="686"/>
      <c r="BV9" s="686"/>
      <c r="BW9" s="687"/>
      <c r="DH9" s="90"/>
      <c r="DI9" s="90"/>
      <c r="DJ9" s="79" t="str">
        <f>IF($D$6="","",VLOOKUP($D$6,$DZ$4:$EP$556,12))</f>
        <v>2075-1023</v>
      </c>
      <c r="DK9" s="79">
        <f>IF($D$6="","",VLOOKUP($D$6,$DZ$4:$EP$556,13))</f>
        <v>0</v>
      </c>
      <c r="DL9" s="91" t="str">
        <f>IF(DJ9=0,"",IF(DJ9="","",IF(DK9=0,"",IF(DK9="","",IF(DK9&gt;=1," / ")))))</f>
        <v/>
      </c>
      <c r="DN9" s="83">
        <v>0</v>
      </c>
      <c r="DP9" s="88"/>
      <c r="DZ9" s="483">
        <v>329</v>
      </c>
      <c r="EA9" t="s">
        <v>14756</v>
      </c>
      <c r="EB9" s="259" t="s">
        <v>14757</v>
      </c>
      <c r="EC9" t="s">
        <v>1820</v>
      </c>
      <c r="ED9" t="s">
        <v>13802</v>
      </c>
      <c r="EE9" s="484" t="s">
        <v>14758</v>
      </c>
      <c r="EF9" s="484" t="s">
        <v>14759</v>
      </c>
      <c r="EG9" s="484" t="s">
        <v>14760</v>
      </c>
      <c r="EH9" s="484" t="s">
        <v>14761</v>
      </c>
      <c r="EI9" s="484" t="s">
        <v>14762</v>
      </c>
      <c r="EJ9" s="484" t="s">
        <v>14763</v>
      </c>
      <c r="EK9" s="484" t="s">
        <v>14764</v>
      </c>
      <c r="EL9" s="484"/>
      <c r="EM9" t="s">
        <v>14769</v>
      </c>
      <c r="EN9">
        <v>6826</v>
      </c>
      <c r="EO9" s="369"/>
      <c r="EP9" s="369"/>
      <c r="EQ9" s="369"/>
      <c r="ER9" s="193"/>
      <c r="ES9" s="219"/>
      <c r="ET9" s="194"/>
    </row>
    <row r="10" spans="1:150" s="78" customFormat="1" ht="15" customHeight="1">
      <c r="A10" s="66"/>
      <c r="B10" s="66"/>
      <c r="C10" s="150"/>
      <c r="D10" s="661" t="s">
        <v>38</v>
      </c>
      <c r="E10" s="661"/>
      <c r="F10" s="661"/>
      <c r="G10" s="661"/>
      <c r="H10" s="661"/>
      <c r="I10" s="661"/>
      <c r="J10" s="661"/>
      <c r="K10" s="661"/>
      <c r="L10" s="661"/>
      <c r="M10" s="661"/>
      <c r="N10" s="661"/>
      <c r="O10" s="661"/>
      <c r="P10" s="661"/>
      <c r="Q10" s="661"/>
      <c r="R10" s="661"/>
      <c r="S10" s="661"/>
      <c r="T10" s="661"/>
      <c r="U10" s="661"/>
      <c r="V10" s="661"/>
      <c r="W10" s="661"/>
      <c r="X10" s="661"/>
      <c r="Y10" s="661"/>
      <c r="Z10" s="661"/>
      <c r="AA10" s="661"/>
      <c r="AB10" s="661"/>
      <c r="AC10" s="661"/>
      <c r="AD10" s="661"/>
      <c r="AE10" s="661"/>
      <c r="AF10" s="661"/>
      <c r="AG10" s="661"/>
      <c r="AH10" s="661"/>
      <c r="AI10" s="661"/>
      <c r="AJ10" s="661"/>
      <c r="AK10" s="661"/>
      <c r="AL10" s="661"/>
      <c r="AM10" s="661"/>
      <c r="AN10" s="661"/>
      <c r="AO10" s="661"/>
      <c r="AP10" s="661"/>
      <c r="AQ10" s="661"/>
      <c r="AR10" s="661"/>
      <c r="AS10" s="661"/>
      <c r="AT10" s="661"/>
      <c r="AU10" s="662"/>
      <c r="AV10" s="80"/>
      <c r="AW10" s="654"/>
      <c r="AX10" s="654"/>
      <c r="AY10" s="654"/>
      <c r="AZ10" s="654"/>
      <c r="BA10" s="654"/>
      <c r="BB10" s="654"/>
      <c r="BC10" s="654"/>
      <c r="BD10" s="654"/>
      <c r="BE10" s="654"/>
      <c r="BF10" s="654"/>
      <c r="BG10" s="654"/>
      <c r="BH10" s="217"/>
      <c r="BI10" s="838" t="s">
        <v>39</v>
      </c>
      <c r="BJ10" s="836"/>
      <c r="BK10" s="836"/>
      <c r="BL10" s="836"/>
      <c r="BM10" s="836"/>
      <c r="BN10" s="836"/>
      <c r="BO10" s="836"/>
      <c r="BP10" s="836"/>
      <c r="BQ10" s="836"/>
      <c r="BR10" s="836"/>
      <c r="BS10" s="836"/>
      <c r="BT10" s="836"/>
      <c r="BU10" s="836"/>
      <c r="BV10" s="836"/>
      <c r="BW10" s="837"/>
      <c r="DH10" s="57"/>
      <c r="DI10" s="57"/>
      <c r="DJ10" s="79" t="str">
        <f>IF(DJ9=0,"",IF(DJ9="","",DJ9))</f>
        <v>2075-1023</v>
      </c>
      <c r="DK10" s="79" t="str">
        <f>IF(DK9=0,"",IF(DK9="","",DK9))</f>
        <v/>
      </c>
      <c r="DL10" s="79" t="str">
        <f>DL9</f>
        <v/>
      </c>
      <c r="DN10" s="83" t="s">
        <v>40</v>
      </c>
      <c r="DP10" s="88"/>
      <c r="DZ10" s="477">
        <v>426</v>
      </c>
      <c r="EA10" s="371" t="s">
        <v>1484</v>
      </c>
      <c r="EB10" s="372" t="s">
        <v>1653</v>
      </c>
      <c r="EC10" s="454" t="s">
        <v>1654</v>
      </c>
      <c r="ED10" s="372" t="s">
        <v>13774</v>
      </c>
      <c r="EE10" s="454" t="s">
        <v>14660</v>
      </c>
      <c r="EF10" s="371" t="s">
        <v>1656</v>
      </c>
      <c r="EG10" s="371">
        <v>257</v>
      </c>
      <c r="EH10" s="454" t="s">
        <v>1657</v>
      </c>
      <c r="EI10" s="371" t="s">
        <v>1658</v>
      </c>
      <c r="EJ10" s="373" t="s">
        <v>1659</v>
      </c>
      <c r="EK10" s="454"/>
      <c r="EL10" s="454"/>
      <c r="EM10" s="450" t="s">
        <v>7010</v>
      </c>
      <c r="EN10" s="464">
        <v>11329</v>
      </c>
      <c r="EO10" s="369"/>
      <c r="EP10" s="369"/>
      <c r="EQ10" s="369"/>
      <c r="ER10" s="193"/>
      <c r="ES10" s="219"/>
      <c r="ET10" s="194"/>
    </row>
    <row r="11" spans="1:150" s="78" customFormat="1" ht="20.25" customHeight="1" thickBot="1">
      <c r="A11" s="66"/>
      <c r="B11" s="66"/>
      <c r="C11" s="104"/>
      <c r="D11" s="659" t="str">
        <f>IF($D$6="","",VLOOKUP($D$6,UNIDADES!B3:L502,10))</f>
        <v>Comercial Milano Brasil LTDA</v>
      </c>
      <c r="E11" s="659"/>
      <c r="F11" s="659"/>
      <c r="G11" s="659"/>
      <c r="H11" s="659"/>
      <c r="I11" s="659"/>
      <c r="J11" s="659"/>
      <c r="K11" s="659"/>
      <c r="L11" s="659"/>
      <c r="M11" s="659"/>
      <c r="N11" s="659"/>
      <c r="O11" s="659"/>
      <c r="P11" s="659"/>
      <c r="Q11" s="659"/>
      <c r="R11" s="659"/>
      <c r="S11" s="659"/>
      <c r="T11" s="659"/>
      <c r="U11" s="659"/>
      <c r="V11" s="659"/>
      <c r="W11" s="659"/>
      <c r="X11" s="659"/>
      <c r="Y11" s="659"/>
      <c r="Z11" s="659"/>
      <c r="AA11" s="659"/>
      <c r="AB11" s="659"/>
      <c r="AC11" s="659"/>
      <c r="AD11" s="659"/>
      <c r="AE11" s="659"/>
      <c r="AF11" s="659"/>
      <c r="AG11" s="659"/>
      <c r="AH11" s="659"/>
      <c r="AI11" s="659"/>
      <c r="AJ11" s="659"/>
      <c r="AK11" s="659"/>
      <c r="AL11" s="659"/>
      <c r="AM11" s="659"/>
      <c r="AN11" s="659"/>
      <c r="AO11" s="659"/>
      <c r="AP11" s="659"/>
      <c r="AQ11" s="659"/>
      <c r="AR11" s="659"/>
      <c r="AS11" s="659"/>
      <c r="AT11" s="659"/>
      <c r="AU11" s="660"/>
      <c r="AV11" s="147"/>
      <c r="AW11" s="689"/>
      <c r="AX11" s="689"/>
      <c r="AY11" s="689"/>
      <c r="AZ11" s="689"/>
      <c r="BA11" s="689"/>
      <c r="BB11" s="689"/>
      <c r="BC11" s="689"/>
      <c r="BD11" s="689"/>
      <c r="BE11" s="689"/>
      <c r="BF11" s="689"/>
      <c r="BG11" s="689"/>
      <c r="BH11" s="216"/>
      <c r="BI11" s="688" t="str">
        <f>IF($D$6="","",VLOOKUP($D$6,UNIDADES!B3:L502,4))</f>
        <v>SÃO MATEUS</v>
      </c>
      <c r="BJ11" s="689"/>
      <c r="BK11" s="689"/>
      <c r="BL11" s="689"/>
      <c r="BM11" s="689"/>
      <c r="BN11" s="689"/>
      <c r="BO11" s="689"/>
      <c r="BP11" s="689"/>
      <c r="BQ11" s="689"/>
      <c r="BR11" s="689" t="str">
        <f>IF($D$6="","",VLOOKUP($D$6,UNIDADES!B3:L502,5))</f>
        <v xml:space="preserve">SM </v>
      </c>
      <c r="BS11" s="689"/>
      <c r="BT11" s="689"/>
      <c r="BU11" s="689"/>
      <c r="BV11" s="689"/>
      <c r="BW11" s="690"/>
      <c r="DH11" s="92"/>
      <c r="DI11" s="92"/>
      <c r="DN11" s="83" t="s">
        <v>41</v>
      </c>
      <c r="DP11" s="88"/>
      <c r="DZ11" s="372">
        <v>434</v>
      </c>
      <c r="EA11" s="447" t="s">
        <v>1484</v>
      </c>
      <c r="EB11" s="372" t="s">
        <v>14449</v>
      </c>
      <c r="EC11" s="372" t="s">
        <v>13777</v>
      </c>
      <c r="ED11" s="371" t="s">
        <v>13778</v>
      </c>
      <c r="EE11" s="447" t="s">
        <v>14450</v>
      </c>
      <c r="EF11" s="371" t="s">
        <v>14451</v>
      </c>
      <c r="EG11" s="371">
        <v>100</v>
      </c>
      <c r="EH11" s="462" t="s">
        <v>2516</v>
      </c>
      <c r="EI11" s="371" t="str">
        <f>EF11&amp;", "&amp;EG11&amp;" - "&amp;EH11</f>
        <v>RUA VIRGINIA GALILEI, 100 - JARDIM IPANEMA</v>
      </c>
      <c r="EJ11" s="463">
        <v>5157060</v>
      </c>
      <c r="EK11" s="447" t="s">
        <v>14452</v>
      </c>
      <c r="EL11" s="447"/>
      <c r="EM11" s="372" t="s">
        <v>1633</v>
      </c>
      <c r="EN11" s="372">
        <v>6753</v>
      </c>
      <c r="EO11" s="369"/>
      <c r="EP11" s="369"/>
      <c r="EQ11" s="369"/>
      <c r="ER11" s="193"/>
      <c r="ES11" s="219"/>
      <c r="ET11" s="194"/>
    </row>
    <row r="12" spans="1:150" s="78" customFormat="1" ht="19.5" customHeight="1">
      <c r="A12" s="93">
        <v>2.0833333333333332E-2</v>
      </c>
      <c r="B12" s="93"/>
      <c r="C12" s="94"/>
      <c r="D12" s="676" t="s">
        <v>126</v>
      </c>
      <c r="E12" s="676"/>
      <c r="F12" s="676"/>
      <c r="G12" s="676"/>
      <c r="H12" s="676"/>
      <c r="I12" s="676"/>
      <c r="J12" s="676"/>
      <c r="K12" s="676"/>
      <c r="L12" s="676"/>
      <c r="M12" s="676"/>
      <c r="N12" s="676"/>
      <c r="O12" s="676"/>
      <c r="P12" s="676"/>
      <c r="Q12" s="676"/>
      <c r="R12" s="676"/>
      <c r="S12" s="676"/>
      <c r="T12" s="676"/>
      <c r="U12" s="676"/>
      <c r="V12" s="676"/>
      <c r="W12" s="676"/>
      <c r="X12" s="676"/>
      <c r="Y12" s="676"/>
      <c r="Z12" s="676"/>
      <c r="AA12" s="676"/>
      <c r="AB12" s="676"/>
      <c r="AC12" s="676"/>
      <c r="AD12" s="676"/>
      <c r="AE12" s="676"/>
      <c r="AF12" s="676"/>
      <c r="AG12" s="676"/>
      <c r="AH12" s="676"/>
      <c r="AI12" s="676"/>
      <c r="AJ12" s="676"/>
      <c r="AK12" s="676"/>
      <c r="AL12" s="676"/>
      <c r="AM12" s="676"/>
      <c r="AN12" s="676"/>
      <c r="AO12" s="676"/>
      <c r="AP12" s="676"/>
      <c r="AQ12" s="676"/>
      <c r="AR12" s="676"/>
      <c r="AS12" s="676"/>
      <c r="AT12" s="676"/>
      <c r="AU12" s="676"/>
      <c r="AV12" s="676"/>
      <c r="AW12" s="676"/>
      <c r="AX12" s="676"/>
      <c r="AY12" s="676"/>
      <c r="AZ12" s="676"/>
      <c r="BA12" s="676"/>
      <c r="BB12" s="676"/>
      <c r="BC12" s="676"/>
      <c r="BD12" s="676"/>
      <c r="BE12" s="676"/>
      <c r="BF12" s="676"/>
      <c r="BG12" s="676"/>
      <c r="BH12" s="676"/>
      <c r="BI12" s="676"/>
      <c r="BJ12" s="676"/>
      <c r="BK12" s="676"/>
      <c r="BL12" s="676"/>
      <c r="BM12" s="676"/>
      <c r="BN12" s="676"/>
      <c r="BO12" s="676"/>
      <c r="BP12" s="676"/>
      <c r="BQ12" s="676"/>
      <c r="BR12" s="676"/>
      <c r="BS12" s="676"/>
      <c r="BT12" s="676"/>
      <c r="BU12" s="676"/>
      <c r="BV12" s="676"/>
      <c r="BW12" s="676"/>
      <c r="DH12" s="92"/>
      <c r="DI12" s="92"/>
      <c r="DN12" s="83"/>
      <c r="DP12" s="88"/>
      <c r="DZ12" s="372">
        <v>442</v>
      </c>
      <c r="EA12" s="372" t="s">
        <v>1484</v>
      </c>
      <c r="EB12" s="372" t="s">
        <v>1660</v>
      </c>
      <c r="EC12" s="372" t="s">
        <v>1661</v>
      </c>
      <c r="ED12" s="447" t="s">
        <v>13771</v>
      </c>
      <c r="EE12" s="372" t="s">
        <v>14051</v>
      </c>
      <c r="EF12" s="372" t="s">
        <v>1663</v>
      </c>
      <c r="EG12" s="372">
        <v>123</v>
      </c>
      <c r="EH12" s="372" t="s">
        <v>1664</v>
      </c>
      <c r="EI12" s="372" t="s">
        <v>1665</v>
      </c>
      <c r="EJ12" s="372" t="s">
        <v>1666</v>
      </c>
      <c r="EK12" s="372" t="s">
        <v>14052</v>
      </c>
      <c r="EL12" s="372" t="s">
        <v>1667</v>
      </c>
      <c r="EM12" s="372" t="s">
        <v>1669</v>
      </c>
      <c r="EN12" s="372">
        <v>6853</v>
      </c>
      <c r="EO12" s="369"/>
      <c r="EP12" s="369"/>
      <c r="EQ12" s="369"/>
      <c r="ER12" s="193"/>
      <c r="ES12" s="219"/>
      <c r="ET12" s="194"/>
    </row>
    <row r="13" spans="1:150" s="78" customFormat="1" ht="15" customHeight="1" thickBot="1">
      <c r="A13" s="95">
        <v>1.7361111111111112E-2</v>
      </c>
      <c r="B13" s="95"/>
      <c r="C13" s="699" t="s">
        <v>61</v>
      </c>
      <c r="D13" s="699"/>
      <c r="E13" s="699"/>
      <c r="F13" s="699"/>
      <c r="G13" s="699"/>
      <c r="H13" s="699"/>
      <c r="I13" s="699"/>
      <c r="J13" s="699"/>
      <c r="K13" s="699"/>
      <c r="L13" s="699"/>
      <c r="M13" s="699"/>
      <c r="N13" s="699"/>
      <c r="O13" s="699"/>
      <c r="P13" s="699"/>
      <c r="Q13" s="699"/>
      <c r="R13" s="699"/>
      <c r="S13" s="699"/>
      <c r="T13" s="699"/>
      <c r="U13" s="699"/>
      <c r="V13" s="699"/>
      <c r="W13" s="699"/>
      <c r="X13" s="699"/>
      <c r="Y13" s="699"/>
      <c r="Z13" s="699"/>
      <c r="AA13" s="699"/>
      <c r="AB13" s="699"/>
      <c r="AC13" s="699"/>
      <c r="AD13" s="699"/>
      <c r="AE13" s="699"/>
      <c r="AF13" s="699"/>
      <c r="AG13" s="699"/>
      <c r="AH13" s="699"/>
      <c r="AI13" s="699"/>
      <c r="AJ13" s="699"/>
      <c r="AK13" s="699"/>
      <c r="AL13" s="699"/>
      <c r="AM13" s="699"/>
      <c r="AN13" s="213"/>
      <c r="AO13" s="96"/>
      <c r="AP13" s="96"/>
      <c r="AQ13" s="96"/>
      <c r="AR13" s="96"/>
      <c r="AS13" s="96"/>
      <c r="AT13" s="96"/>
      <c r="AU13" s="96"/>
      <c r="AV13" s="96"/>
      <c r="AW13" s="97"/>
      <c r="AX13" s="98"/>
      <c r="AY13" s="98" t="s">
        <v>66</v>
      </c>
      <c r="AZ13" s="98"/>
      <c r="BA13" s="98" t="s">
        <v>67</v>
      </c>
      <c r="BB13" s="98"/>
      <c r="BC13" s="98" t="s">
        <v>68</v>
      </c>
      <c r="BD13" s="98"/>
      <c r="BE13" s="98"/>
      <c r="BF13" s="98"/>
      <c r="BG13" s="663"/>
      <c r="BH13" s="663"/>
      <c r="BI13" s="663"/>
      <c r="BJ13" s="663"/>
      <c r="BK13" s="663"/>
      <c r="BL13" s="663"/>
      <c r="BM13" s="663"/>
      <c r="BN13" s="212"/>
      <c r="BO13" s="834"/>
      <c r="BP13" s="834"/>
      <c r="BQ13" s="834"/>
      <c r="BR13" s="834"/>
      <c r="BS13" s="834"/>
      <c r="BT13" s="834"/>
      <c r="BU13" s="834"/>
      <c r="BV13" s="212"/>
      <c r="BW13" s="84"/>
      <c r="DH13" s="92"/>
      <c r="DI13" s="92"/>
      <c r="DN13" s="99"/>
      <c r="DP13" s="88"/>
      <c r="DZ13" s="372">
        <v>451</v>
      </c>
      <c r="EA13" s="447" t="s">
        <v>1484</v>
      </c>
      <c r="EB13" s="372" t="s">
        <v>14587</v>
      </c>
      <c r="EC13" s="372" t="s">
        <v>13777</v>
      </c>
      <c r="ED13" s="371" t="s">
        <v>13778</v>
      </c>
      <c r="EE13" s="447" t="s">
        <v>14588</v>
      </c>
      <c r="EF13" s="371" t="s">
        <v>14589</v>
      </c>
      <c r="EG13" s="371">
        <v>193</v>
      </c>
      <c r="EH13" s="462" t="s">
        <v>14590</v>
      </c>
      <c r="EI13" s="371" t="str">
        <f>EF13&amp;", "&amp;EG13&amp;" - "&amp;EH13</f>
        <v>RUA MIGUEL PEREIRA LANDIM, 193 - JARDIM JARAGUÁ</v>
      </c>
      <c r="EJ13" s="463">
        <v>5158000</v>
      </c>
      <c r="EK13" s="447" t="s">
        <v>14591</v>
      </c>
      <c r="EL13" s="447"/>
      <c r="EM13" s="372" t="s">
        <v>1633</v>
      </c>
      <c r="EN13" s="372">
        <v>6754</v>
      </c>
      <c r="EO13" s="369"/>
      <c r="EP13" s="369"/>
      <c r="EQ13" s="369"/>
      <c r="ER13" s="193"/>
      <c r="ES13" s="219"/>
      <c r="ET13" s="194"/>
    </row>
    <row r="14" spans="1:150" s="78" customFormat="1" ht="51" customHeight="1" thickBot="1">
      <c r="A14" s="95">
        <v>0.25</v>
      </c>
      <c r="B14" s="95"/>
      <c r="C14" s="664" t="s">
        <v>132</v>
      </c>
      <c r="D14" s="664"/>
      <c r="E14" s="664"/>
      <c r="F14" s="831" t="s">
        <v>62</v>
      </c>
      <c r="G14" s="832"/>
      <c r="H14" s="832"/>
      <c r="I14" s="833"/>
      <c r="J14" s="665" t="s">
        <v>99</v>
      </c>
      <c r="K14" s="666"/>
      <c r="L14" s="869" t="s">
        <v>1616</v>
      </c>
      <c r="M14" s="869"/>
      <c r="N14" s="869"/>
      <c r="O14" s="869"/>
      <c r="P14" s="869"/>
      <c r="Q14" s="337"/>
      <c r="R14" s="823" t="s">
        <v>1614</v>
      </c>
      <c r="S14" s="823"/>
      <c r="T14" s="823"/>
      <c r="U14" s="824"/>
      <c r="V14" s="692" t="s">
        <v>1615</v>
      </c>
      <c r="W14" s="692"/>
      <c r="X14" s="692"/>
      <c r="Y14" s="692"/>
      <c r="Z14" s="692"/>
      <c r="AA14" s="692"/>
      <c r="AB14" s="692"/>
      <c r="AC14" s="692"/>
      <c r="AD14" s="692"/>
      <c r="AE14" s="693"/>
      <c r="AF14" s="218"/>
      <c r="AG14" s="84"/>
      <c r="AH14" s="84"/>
      <c r="AI14" s="816"/>
      <c r="AJ14" s="816"/>
      <c r="AK14" s="816"/>
      <c r="AL14" s="816"/>
      <c r="AM14" s="816"/>
      <c r="AN14" s="816"/>
      <c r="AO14" s="816"/>
      <c r="AP14" s="84"/>
      <c r="AQ14" s="84"/>
      <c r="AR14" s="84"/>
      <c r="AS14" s="667" t="s">
        <v>97</v>
      </c>
      <c r="AT14" s="668"/>
      <c r="AU14" s="669"/>
      <c r="AV14" s="339"/>
      <c r="AW14" s="717" t="s">
        <v>137</v>
      </c>
      <c r="AX14" s="718"/>
      <c r="AY14" s="718"/>
      <c r="AZ14" s="718"/>
      <c r="BA14" s="718"/>
      <c r="BB14" s="718"/>
      <c r="BC14" s="718"/>
      <c r="BD14" s="718"/>
      <c r="BE14" s="718"/>
      <c r="BF14" s="718"/>
      <c r="BG14" s="718"/>
      <c r="BH14" s="718"/>
      <c r="BI14" s="718"/>
      <c r="BJ14" s="718"/>
      <c r="BK14" s="718"/>
      <c r="BL14" s="718"/>
      <c r="BM14" s="718"/>
      <c r="BN14" s="718"/>
      <c r="BO14" s="718"/>
      <c r="BP14" s="718"/>
      <c r="BQ14" s="719"/>
      <c r="BR14" s="97"/>
      <c r="BS14" s="97"/>
      <c r="BT14" s="212"/>
      <c r="BU14" s="212"/>
      <c r="BV14" s="212"/>
      <c r="BW14" s="84"/>
      <c r="DH14" s="92"/>
      <c r="DI14" s="92"/>
      <c r="DN14" s="100"/>
      <c r="DP14" s="88"/>
      <c r="DZ14" s="372">
        <v>469</v>
      </c>
      <c r="EA14" s="447" t="s">
        <v>1484</v>
      </c>
      <c r="EB14" s="372" t="s">
        <v>14624</v>
      </c>
      <c r="EC14" s="372" t="s">
        <v>13777</v>
      </c>
      <c r="ED14" s="371" t="s">
        <v>13778</v>
      </c>
      <c r="EE14" s="447" t="s">
        <v>14625</v>
      </c>
      <c r="EF14" s="371" t="s">
        <v>14626</v>
      </c>
      <c r="EG14" s="371">
        <v>60</v>
      </c>
      <c r="EH14" s="462" t="s">
        <v>14627</v>
      </c>
      <c r="EI14" s="371" t="str">
        <f>EF14&amp;", "&amp;EG14&amp;" - "&amp;EH14</f>
        <v>RUA SILVA AIROSA, DR., 60 - VILA RIBEIRO BARROS</v>
      </c>
      <c r="EJ14" s="463">
        <v>5307040</v>
      </c>
      <c r="EK14" s="447" t="s">
        <v>14628</v>
      </c>
      <c r="EL14" s="447"/>
      <c r="EM14" s="372" t="s">
        <v>1633</v>
      </c>
      <c r="EN14" s="372">
        <v>11226</v>
      </c>
      <c r="EO14" s="369"/>
      <c r="EP14" s="369"/>
      <c r="EQ14" s="369"/>
      <c r="ER14" s="193"/>
      <c r="ES14" s="219"/>
      <c r="ET14" s="194"/>
    </row>
    <row r="15" spans="1:150" s="78" customFormat="1" ht="27" customHeight="1" thickBot="1">
      <c r="A15" s="95">
        <v>0.33333333333333331</v>
      </c>
      <c r="B15" s="95"/>
      <c r="C15" s="663" t="str">
        <f>IF(L15&lt;&gt;"","X","")</f>
        <v/>
      </c>
      <c r="D15" s="663"/>
      <c r="E15" s="663"/>
      <c r="F15" s="681" t="s">
        <v>7012</v>
      </c>
      <c r="G15" s="682"/>
      <c r="H15" s="682"/>
      <c r="I15" s="504"/>
      <c r="J15" s="333"/>
      <c r="K15" s="321"/>
      <c r="L15" s="708"/>
      <c r="M15" s="820"/>
      <c r="N15" s="820"/>
      <c r="O15" s="820"/>
      <c r="P15" s="821"/>
      <c r="Q15" s="505"/>
      <c r="R15" s="820"/>
      <c r="S15" s="825"/>
      <c r="T15" s="825"/>
      <c r="U15" s="826"/>
      <c r="V15" s="708"/>
      <c r="W15" s="709"/>
      <c r="X15" s="709"/>
      <c r="Y15" s="709"/>
      <c r="Z15" s="709"/>
      <c r="AA15" s="709"/>
      <c r="AB15" s="709"/>
      <c r="AC15" s="709"/>
      <c r="AD15" s="709"/>
      <c r="AE15" s="710"/>
      <c r="AF15" s="203"/>
      <c r="AG15" s="84"/>
      <c r="AH15" s="84"/>
      <c r="AI15" s="700" t="str">
        <f>IF(R20&gt;0,"Alunos com Dieta Enteral","")</f>
        <v/>
      </c>
      <c r="AJ15" s="701"/>
      <c r="AK15" s="701"/>
      <c r="AL15" s="701"/>
      <c r="AM15" s="704"/>
      <c r="AN15" s="704"/>
      <c r="AO15" s="705"/>
      <c r="AP15" s="84"/>
      <c r="AQ15" s="84"/>
      <c r="AR15" s="84"/>
      <c r="AS15" s="670"/>
      <c r="AT15" s="671"/>
      <c r="AU15" s="672"/>
      <c r="AV15" s="340"/>
      <c r="AW15" s="720"/>
      <c r="AX15" s="721"/>
      <c r="AY15" s="721"/>
      <c r="AZ15" s="721"/>
      <c r="BA15" s="721"/>
      <c r="BB15" s="721"/>
      <c r="BC15" s="721"/>
      <c r="BD15" s="721"/>
      <c r="BE15" s="721"/>
      <c r="BF15" s="721"/>
      <c r="BG15" s="721"/>
      <c r="BH15" s="721"/>
      <c r="BI15" s="721"/>
      <c r="BJ15" s="721"/>
      <c r="BK15" s="721"/>
      <c r="BL15" s="721"/>
      <c r="BM15" s="721"/>
      <c r="BN15" s="721"/>
      <c r="BO15" s="721"/>
      <c r="BP15" s="721"/>
      <c r="BQ15" s="722"/>
      <c r="BR15" s="101"/>
      <c r="BS15" s="220">
        <v>10</v>
      </c>
      <c r="BT15" s="221"/>
      <c r="BU15" s="222"/>
      <c r="BV15" s="222"/>
      <c r="BW15" s="84"/>
      <c r="DH15" s="92"/>
      <c r="DI15" s="92"/>
      <c r="DJ15" s="102"/>
      <c r="DN15" s="103" t="e">
        <f>IF(AND(#REF!="",BN15=""),"",MAX(#REF!,BN15))</f>
        <v>#REF!</v>
      </c>
      <c r="DP15" s="88"/>
      <c r="DZ15" s="372">
        <v>493</v>
      </c>
      <c r="EA15" s="372" t="s">
        <v>1484</v>
      </c>
      <c r="EB15" s="372" t="s">
        <v>1485</v>
      </c>
      <c r="EC15" s="372" t="s">
        <v>1486</v>
      </c>
      <c r="ED15" s="372" t="s">
        <v>161</v>
      </c>
      <c r="EE15" s="372" t="s">
        <v>13863</v>
      </c>
      <c r="EF15" s="372" t="s">
        <v>1487</v>
      </c>
      <c r="EG15" s="372">
        <v>400</v>
      </c>
      <c r="EH15" s="372" t="s">
        <v>1488</v>
      </c>
      <c r="EI15" s="372" t="s">
        <v>1489</v>
      </c>
      <c r="EJ15" s="372" t="s">
        <v>1668</v>
      </c>
      <c r="EK15" s="372" t="s">
        <v>13864</v>
      </c>
      <c r="EL15" s="372" t="s">
        <v>1490</v>
      </c>
      <c r="EM15" s="372" t="s">
        <v>1669</v>
      </c>
      <c r="EN15" s="372">
        <v>6593</v>
      </c>
      <c r="EO15" s="369"/>
      <c r="EP15" s="369"/>
      <c r="EQ15" s="369"/>
      <c r="ER15" s="193"/>
      <c r="ES15" s="219"/>
      <c r="ET15" s="194"/>
    </row>
    <row r="16" spans="1:150" s="78" customFormat="1" ht="28.5" customHeight="1" thickBot="1">
      <c r="A16" s="95">
        <f>AI78+$A$14</f>
        <v>0.25</v>
      </c>
      <c r="B16" s="95"/>
      <c r="C16" s="663" t="str">
        <f t="shared" ref="C16:C18" si="0">IF(L16&lt;&gt;"","X","")</f>
        <v>X</v>
      </c>
      <c r="D16" s="663"/>
      <c r="E16" s="663"/>
      <c r="F16" s="679" t="s">
        <v>7011</v>
      </c>
      <c r="G16" s="680"/>
      <c r="H16" s="680"/>
      <c r="I16" s="330"/>
      <c r="J16" s="334" t="s">
        <v>101</v>
      </c>
      <c r="K16" s="320">
        <f>IF(J16="até 4h",4,IF(J16="4 a 6 horas",6,""))</f>
        <v>6</v>
      </c>
      <c r="L16" s="711">
        <v>294</v>
      </c>
      <c r="M16" s="683"/>
      <c r="N16" s="683"/>
      <c r="O16" s="683"/>
      <c r="P16" s="822"/>
      <c r="Q16" s="336"/>
      <c r="R16" s="683"/>
      <c r="S16" s="684"/>
      <c r="T16" s="684"/>
      <c r="U16" s="685"/>
      <c r="V16" s="711">
        <v>12</v>
      </c>
      <c r="W16" s="712"/>
      <c r="X16" s="712"/>
      <c r="Y16" s="712"/>
      <c r="Z16" s="712"/>
      <c r="AA16" s="712"/>
      <c r="AB16" s="712"/>
      <c r="AC16" s="712"/>
      <c r="AD16" s="712"/>
      <c r="AE16" s="713"/>
      <c r="AF16" s="203"/>
      <c r="AG16" s="84"/>
      <c r="AH16" s="84"/>
      <c r="AI16" s="702"/>
      <c r="AJ16" s="703"/>
      <c r="AK16" s="703"/>
      <c r="AL16" s="703"/>
      <c r="AM16" s="706"/>
      <c r="AN16" s="706"/>
      <c r="AO16" s="707"/>
      <c r="AP16" s="84"/>
      <c r="AQ16" s="84"/>
      <c r="AR16" s="84"/>
      <c r="AS16" s="673"/>
      <c r="AT16" s="674"/>
      <c r="AU16" s="675"/>
      <c r="AV16" s="341"/>
      <c r="AW16" s="865" t="s">
        <v>138</v>
      </c>
      <c r="AX16" s="866"/>
      <c r="AY16" s="866"/>
      <c r="AZ16" s="866"/>
      <c r="BA16" s="866"/>
      <c r="BB16" s="866"/>
      <c r="BC16" s="866"/>
      <c r="BD16" s="866"/>
      <c r="BE16" s="866"/>
      <c r="BF16" s="866"/>
      <c r="BG16" s="866"/>
      <c r="BH16" s="866"/>
      <c r="BI16" s="867"/>
      <c r="BJ16" s="862"/>
      <c r="BK16" s="863"/>
      <c r="BL16" s="863"/>
      <c r="BM16" s="863"/>
      <c r="BN16" s="863"/>
      <c r="BO16" s="863"/>
      <c r="BP16" s="863"/>
      <c r="BQ16" s="864"/>
      <c r="BR16" s="101"/>
      <c r="BS16" s="223"/>
      <c r="BT16" s="223"/>
      <c r="BU16" s="222"/>
      <c r="BV16" s="222"/>
      <c r="BW16" s="84"/>
      <c r="DH16" s="92"/>
      <c r="DI16" s="92"/>
      <c r="DJ16" s="102"/>
      <c r="DN16" s="103" t="str">
        <f>IF(AND(BB17="",BN16=""),"",MAX(BB17,BN16))</f>
        <v/>
      </c>
      <c r="DP16" s="88"/>
      <c r="DZ16" s="372">
        <v>531</v>
      </c>
      <c r="EA16" s="372" t="s">
        <v>1484</v>
      </c>
      <c r="EB16" s="372" t="s">
        <v>1491</v>
      </c>
      <c r="EC16" s="372" t="s">
        <v>1486</v>
      </c>
      <c r="ED16" s="372" t="s">
        <v>161</v>
      </c>
      <c r="EE16" s="372" t="s">
        <v>13894</v>
      </c>
      <c r="EF16" s="372" t="s">
        <v>1492</v>
      </c>
      <c r="EG16" s="372">
        <v>200</v>
      </c>
      <c r="EH16" s="372" t="s">
        <v>1493</v>
      </c>
      <c r="EI16" s="372" t="s">
        <v>1494</v>
      </c>
      <c r="EJ16" s="372" t="s">
        <v>1670</v>
      </c>
      <c r="EK16" s="372" t="s">
        <v>13895</v>
      </c>
      <c r="EL16" s="372"/>
      <c r="EM16" s="372" t="s">
        <v>1669</v>
      </c>
      <c r="EN16" s="372">
        <v>6592</v>
      </c>
      <c r="EO16" s="369"/>
      <c r="EP16" s="369"/>
      <c r="EQ16" s="369"/>
      <c r="ER16" s="193"/>
      <c r="ES16" s="219"/>
      <c r="ET16" s="194"/>
    </row>
    <row r="17" spans="1:177" s="78" customFormat="1" ht="25.5" customHeight="1">
      <c r="A17" s="95">
        <f>AI79+$A$14</f>
        <v>0.25</v>
      </c>
      <c r="B17" s="95"/>
      <c r="C17" s="663" t="str">
        <f t="shared" si="0"/>
        <v/>
      </c>
      <c r="D17" s="663"/>
      <c r="E17" s="663"/>
      <c r="F17" s="679" t="s">
        <v>43</v>
      </c>
      <c r="G17" s="680"/>
      <c r="H17" s="680"/>
      <c r="I17" s="330"/>
      <c r="J17" s="334" t="s">
        <v>100</v>
      </c>
      <c r="K17" s="320">
        <f>IF(J17="até 4h",4,IF(J17="4 a 6 horas",6,""))</f>
        <v>4</v>
      </c>
      <c r="L17" s="711"/>
      <c r="M17" s="683"/>
      <c r="N17" s="683"/>
      <c r="O17" s="683"/>
      <c r="P17" s="822"/>
      <c r="Q17" s="336"/>
      <c r="R17" s="683"/>
      <c r="S17" s="684"/>
      <c r="T17" s="684"/>
      <c r="U17" s="685"/>
      <c r="V17" s="711"/>
      <c r="W17" s="712"/>
      <c r="X17" s="712"/>
      <c r="Y17" s="712"/>
      <c r="Z17" s="712"/>
      <c r="AA17" s="712"/>
      <c r="AB17" s="712"/>
      <c r="AC17" s="712"/>
      <c r="AD17" s="712"/>
      <c r="AE17" s="713"/>
      <c r="AF17" s="203"/>
      <c r="AG17" s="84"/>
      <c r="AH17" s="84"/>
      <c r="AI17" s="723"/>
      <c r="AJ17" s="723"/>
      <c r="AK17" s="723"/>
      <c r="AL17" s="723"/>
      <c r="AM17" s="723"/>
      <c r="AN17" s="723"/>
      <c r="AO17" s="723"/>
      <c r="AP17" s="84"/>
      <c r="AQ17" s="84"/>
      <c r="AR17" s="84"/>
      <c r="AS17" s="698"/>
      <c r="AT17" s="698"/>
      <c r="AU17" s="698"/>
      <c r="AV17" s="154"/>
      <c r="AW17" s="697"/>
      <c r="AX17" s="697"/>
      <c r="AY17" s="697"/>
      <c r="AZ17" s="224"/>
      <c r="BA17" s="155"/>
      <c r="BB17" s="155"/>
      <c r="BC17" s="155"/>
      <c r="BD17" s="861"/>
      <c r="BE17" s="861"/>
      <c r="BF17" s="861"/>
      <c r="BG17" s="861"/>
      <c r="BH17" s="861"/>
      <c r="BI17" s="861"/>
      <c r="BJ17" s="842"/>
      <c r="BK17" s="842"/>
      <c r="BL17" s="842"/>
      <c r="BM17" s="842"/>
      <c r="BN17" s="842"/>
      <c r="BO17" s="842"/>
      <c r="BP17" s="842"/>
      <c r="BQ17" s="842"/>
      <c r="BR17" s="101"/>
      <c r="BS17" s="223"/>
      <c r="BT17" s="223"/>
      <c r="BU17" s="222"/>
      <c r="BV17" s="222"/>
      <c r="BW17" s="84"/>
      <c r="DH17" s="92"/>
      <c r="DI17" s="92"/>
      <c r="DJ17" s="102"/>
      <c r="DN17" s="103" t="str">
        <f>IF(AND(BB18="",BN17=""),"",MAX(BB18,BN17))</f>
        <v/>
      </c>
      <c r="DP17" s="88"/>
      <c r="DZ17" s="372">
        <v>9130</v>
      </c>
      <c r="EA17" s="372" t="s">
        <v>1484</v>
      </c>
      <c r="EB17" s="372" t="s">
        <v>1674</v>
      </c>
      <c r="EC17" s="372" t="s">
        <v>1617</v>
      </c>
      <c r="ED17" s="372" t="s">
        <v>1618</v>
      </c>
      <c r="EE17" s="372" t="s">
        <v>14016</v>
      </c>
      <c r="EF17" s="372" t="s">
        <v>1675</v>
      </c>
      <c r="EG17" s="372">
        <v>195</v>
      </c>
      <c r="EH17" s="372" t="s">
        <v>1676</v>
      </c>
      <c r="EI17" s="372" t="s">
        <v>1677</v>
      </c>
      <c r="EJ17" s="372" t="s">
        <v>1678</v>
      </c>
      <c r="EK17" s="372" t="s">
        <v>14017</v>
      </c>
      <c r="EL17" s="372" t="s">
        <v>1679</v>
      </c>
      <c r="EM17" s="372" t="s">
        <v>1624</v>
      </c>
      <c r="EN17" s="372">
        <v>6661</v>
      </c>
      <c r="EO17" s="369"/>
      <c r="EP17" s="369"/>
      <c r="EQ17" s="369"/>
      <c r="ER17" s="193"/>
      <c r="ES17" s="219"/>
      <c r="ET17" s="194"/>
    </row>
    <row r="18" spans="1:177" s="78" customFormat="1" ht="28.5" customHeight="1" thickBot="1">
      <c r="A18" s="95">
        <f>AI80+$A$14</f>
        <v>0.25</v>
      </c>
      <c r="B18" s="95"/>
      <c r="C18" s="663" t="str">
        <f t="shared" si="0"/>
        <v>X</v>
      </c>
      <c r="D18" s="663"/>
      <c r="E18" s="663"/>
      <c r="F18" s="677" t="s">
        <v>44</v>
      </c>
      <c r="G18" s="678"/>
      <c r="H18" s="678"/>
      <c r="I18" s="506"/>
      <c r="J18" s="507" t="s">
        <v>101</v>
      </c>
      <c r="K18" s="508">
        <f>IF(J18="até 4h",4,IF(J18="4 a 6 horas",6,""))</f>
        <v>6</v>
      </c>
      <c r="L18" s="714">
        <v>296</v>
      </c>
      <c r="M18" s="694"/>
      <c r="N18" s="694"/>
      <c r="O18" s="694"/>
      <c r="P18" s="868"/>
      <c r="Q18" s="509"/>
      <c r="R18" s="694"/>
      <c r="S18" s="695"/>
      <c r="T18" s="695"/>
      <c r="U18" s="696"/>
      <c r="V18" s="714">
        <v>6</v>
      </c>
      <c r="W18" s="715"/>
      <c r="X18" s="715"/>
      <c r="Y18" s="715"/>
      <c r="Z18" s="715"/>
      <c r="AA18" s="715"/>
      <c r="AB18" s="715"/>
      <c r="AC18" s="715"/>
      <c r="AD18" s="715"/>
      <c r="AE18" s="716"/>
      <c r="AF18" s="203"/>
      <c r="AG18" s="84"/>
      <c r="AH18" s="84"/>
      <c r="AI18" s="724"/>
      <c r="AJ18" s="724"/>
      <c r="AK18" s="724"/>
      <c r="AL18" s="724"/>
      <c r="AM18" s="724"/>
      <c r="AN18" s="724"/>
      <c r="AO18" s="724"/>
      <c r="AP18" s="84"/>
      <c r="AQ18" s="84"/>
      <c r="AR18" s="84"/>
      <c r="AS18" s="698"/>
      <c r="AT18" s="698"/>
      <c r="AU18" s="698"/>
      <c r="AV18" s="154"/>
      <c r="AW18" s="697"/>
      <c r="AX18" s="697"/>
      <c r="AY18" s="697"/>
      <c r="AZ18" s="224"/>
      <c r="BA18" s="225"/>
      <c r="BB18" s="225"/>
      <c r="BC18" s="225"/>
      <c r="BD18" s="842"/>
      <c r="BE18" s="842"/>
      <c r="BF18" s="225"/>
      <c r="BG18" s="842"/>
      <c r="BH18" s="842"/>
      <c r="BI18" s="842"/>
      <c r="BJ18" s="842"/>
      <c r="BK18" s="842"/>
      <c r="BL18" s="842"/>
      <c r="BM18" s="842"/>
      <c r="BN18" s="842"/>
      <c r="BO18" s="842"/>
      <c r="BP18" s="842"/>
      <c r="BQ18" s="842"/>
      <c r="BR18" s="101"/>
      <c r="BS18" s="223"/>
      <c r="BT18" s="223"/>
      <c r="BU18" s="222"/>
      <c r="BV18" s="222"/>
      <c r="BW18" s="84"/>
      <c r="DH18" s="92"/>
      <c r="DI18" s="92"/>
      <c r="DJ18" s="102"/>
      <c r="DN18" s="103" t="str">
        <f>IF(AND(BB19="",BN18=""),"",MAX(BB19,BN18))</f>
        <v/>
      </c>
      <c r="DP18" s="88"/>
      <c r="DZ18" s="372">
        <v>9270</v>
      </c>
      <c r="EA18" s="372" t="s">
        <v>1484</v>
      </c>
      <c r="EB18" s="372" t="s">
        <v>1680</v>
      </c>
      <c r="EC18" s="372" t="s">
        <v>1640</v>
      </c>
      <c r="ED18" s="372" t="s">
        <v>1641</v>
      </c>
      <c r="EE18" s="372" t="s">
        <v>14211</v>
      </c>
      <c r="EF18" s="372" t="s">
        <v>1681</v>
      </c>
      <c r="EG18" s="372">
        <v>317</v>
      </c>
      <c r="EH18" s="372" t="s">
        <v>1682</v>
      </c>
      <c r="EI18" s="372" t="s">
        <v>1683</v>
      </c>
      <c r="EJ18" s="372" t="s">
        <v>1684</v>
      </c>
      <c r="EK18" s="372" t="s">
        <v>14212</v>
      </c>
      <c r="EL18" s="372" t="s">
        <v>1685</v>
      </c>
      <c r="EM18" s="372" t="s">
        <v>1633</v>
      </c>
      <c r="EN18" s="372">
        <v>6781</v>
      </c>
      <c r="EO18" s="369"/>
      <c r="EP18" s="369"/>
      <c r="EQ18" s="369"/>
      <c r="ER18" s="193"/>
      <c r="ES18" s="219"/>
      <c r="ET18" s="194"/>
    </row>
    <row r="19" spans="1:177" s="78" customFormat="1" ht="24.75" hidden="1" customHeight="1" thickBot="1">
      <c r="A19" s="95"/>
      <c r="B19" s="331"/>
      <c r="C19" s="805"/>
      <c r="D19" s="805"/>
      <c r="E19" s="805"/>
      <c r="F19" s="798"/>
      <c r="G19" s="799"/>
      <c r="H19" s="799"/>
      <c r="I19" s="335"/>
      <c r="J19" s="418"/>
      <c r="K19" s="418"/>
      <c r="L19" s="800"/>
      <c r="M19" s="800"/>
      <c r="N19" s="800"/>
      <c r="O19" s="800"/>
      <c r="P19" s="800"/>
      <c r="Q19" s="338"/>
      <c r="R19" s="800"/>
      <c r="S19" s="800"/>
      <c r="T19" s="800"/>
      <c r="U19" s="801"/>
      <c r="V19" s="650"/>
      <c r="W19" s="651"/>
      <c r="X19" s="651"/>
      <c r="Y19" s="651"/>
      <c r="Z19" s="651"/>
      <c r="AA19" s="651"/>
      <c r="AB19" s="651"/>
      <c r="AC19" s="651"/>
      <c r="AD19" s="651"/>
      <c r="AE19" s="652"/>
      <c r="AF19" s="203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698"/>
      <c r="AT19" s="698"/>
      <c r="AU19" s="698"/>
      <c r="AV19" s="154"/>
      <c r="AW19" s="697"/>
      <c r="AX19" s="697"/>
      <c r="AY19" s="697"/>
      <c r="AZ19" s="224"/>
      <c r="BA19" s="155"/>
      <c r="BB19" s="155"/>
      <c r="BC19" s="155"/>
      <c r="BD19" s="861"/>
      <c r="BE19" s="861"/>
      <c r="BF19" s="155"/>
      <c r="BG19" s="861"/>
      <c r="BH19" s="861"/>
      <c r="BI19" s="861"/>
      <c r="BJ19" s="842"/>
      <c r="BK19" s="842"/>
      <c r="BL19" s="842"/>
      <c r="BM19" s="842"/>
      <c r="BN19" s="842"/>
      <c r="BO19" s="842"/>
      <c r="BP19" s="842"/>
      <c r="BQ19" s="842"/>
      <c r="BR19" s="101"/>
      <c r="BS19" s="223"/>
      <c r="BT19" s="223"/>
      <c r="BU19" s="222"/>
      <c r="BV19" s="222"/>
      <c r="BW19" s="84"/>
      <c r="DH19" s="92"/>
      <c r="DI19" s="92"/>
      <c r="DJ19" s="102"/>
      <c r="DN19" s="103"/>
      <c r="DP19" s="88"/>
      <c r="DZ19" s="372">
        <v>9911</v>
      </c>
      <c r="EA19" s="372" t="s">
        <v>1484</v>
      </c>
      <c r="EB19" s="372" t="s">
        <v>1686</v>
      </c>
      <c r="EC19" s="372" t="s">
        <v>1640</v>
      </c>
      <c r="ED19" s="372" t="s">
        <v>1641</v>
      </c>
      <c r="EE19" s="372" t="s">
        <v>14260</v>
      </c>
      <c r="EF19" s="372" t="s">
        <v>1687</v>
      </c>
      <c r="EG19" s="372">
        <v>12</v>
      </c>
      <c r="EH19" s="372" t="s">
        <v>1688</v>
      </c>
      <c r="EI19" s="372" t="s">
        <v>1689</v>
      </c>
      <c r="EJ19" s="372" t="s">
        <v>1690</v>
      </c>
      <c r="EK19" s="372" t="s">
        <v>14261</v>
      </c>
      <c r="EL19" s="372" t="s">
        <v>1691</v>
      </c>
      <c r="EM19" s="372" t="s">
        <v>1633</v>
      </c>
      <c r="EN19" s="372">
        <v>6780</v>
      </c>
      <c r="EO19" s="369"/>
      <c r="EP19" s="369"/>
      <c r="EQ19" s="369"/>
      <c r="ER19" s="193"/>
      <c r="ES19" s="219"/>
      <c r="ET19" s="194"/>
    </row>
    <row r="20" spans="1:177" s="78" customFormat="1" ht="29.25" customHeight="1" thickBot="1">
      <c r="A20" s="95"/>
      <c r="B20" s="95"/>
      <c r="C20" s="332"/>
      <c r="D20" s="332"/>
      <c r="E20" s="332"/>
      <c r="F20" s="414" t="s">
        <v>3563</v>
      </c>
      <c r="G20" s="415"/>
      <c r="H20" s="415"/>
      <c r="I20" s="416"/>
      <c r="J20" s="415"/>
      <c r="K20" s="153"/>
      <c r="L20" s="870">
        <f>SUM(L15:L19)</f>
        <v>590</v>
      </c>
      <c r="M20" s="871"/>
      <c r="N20" s="871"/>
      <c r="O20" s="871"/>
      <c r="P20" s="872"/>
      <c r="Q20" s="417"/>
      <c r="R20" s="802">
        <f>SUM(R15:U18)</f>
        <v>0</v>
      </c>
      <c r="S20" s="803"/>
      <c r="T20" s="803"/>
      <c r="U20" s="804"/>
      <c r="V20" s="802">
        <f>SUM(V15:AE18)</f>
        <v>18</v>
      </c>
      <c r="W20" s="803"/>
      <c r="X20" s="803"/>
      <c r="Y20" s="803"/>
      <c r="Z20" s="803"/>
      <c r="AA20" s="803"/>
      <c r="AB20" s="803"/>
      <c r="AC20" s="803"/>
      <c r="AD20" s="803"/>
      <c r="AE20" s="804"/>
      <c r="AF20" s="203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698"/>
      <c r="AT20" s="698"/>
      <c r="AU20" s="698"/>
      <c r="AV20" s="154"/>
      <c r="BJ20" s="842"/>
      <c r="BK20" s="842"/>
      <c r="BL20" s="842"/>
      <c r="BM20" s="842"/>
      <c r="BN20" s="842"/>
      <c r="BO20" s="842"/>
      <c r="BP20" s="842"/>
      <c r="BQ20" s="842"/>
      <c r="BR20" s="101"/>
      <c r="BS20" s="223"/>
      <c r="BT20" s="223"/>
      <c r="BU20" s="222"/>
      <c r="BV20" s="222"/>
      <c r="BW20" s="84"/>
      <c r="DH20" s="92"/>
      <c r="DI20" s="92"/>
      <c r="DN20" s="99" t="str">
        <f>IF(AND(BB16="",BN20=""),"",MAX(BB16,BN20))</f>
        <v/>
      </c>
      <c r="DP20" s="88"/>
      <c r="DZ20" s="372">
        <v>9989</v>
      </c>
      <c r="EA20" s="372" t="s">
        <v>1484</v>
      </c>
      <c r="EB20" s="372" t="s">
        <v>1692</v>
      </c>
      <c r="EC20" s="372" t="s">
        <v>1661</v>
      </c>
      <c r="ED20" s="447" t="s">
        <v>13771</v>
      </c>
      <c r="EE20" s="372" t="s">
        <v>14108</v>
      </c>
      <c r="EF20" s="372" t="s">
        <v>1694</v>
      </c>
      <c r="EG20" s="372">
        <v>27</v>
      </c>
      <c r="EH20" s="372" t="s">
        <v>1695</v>
      </c>
      <c r="EI20" s="372" t="s">
        <v>1696</v>
      </c>
      <c r="EJ20" s="372" t="s">
        <v>1697</v>
      </c>
      <c r="EK20" s="372" t="s">
        <v>14109</v>
      </c>
      <c r="EL20" s="372" t="s">
        <v>1698</v>
      </c>
      <c r="EM20" s="372" t="s">
        <v>1669</v>
      </c>
      <c r="EN20" s="372">
        <v>6806</v>
      </c>
      <c r="EO20" s="369"/>
      <c r="EP20" s="369"/>
      <c r="EQ20" s="369"/>
      <c r="ER20" s="193"/>
      <c r="ES20" s="219"/>
      <c r="ET20" s="194"/>
    </row>
    <row r="21" spans="1:177" s="78" customFormat="1" ht="14.25" customHeight="1" thickBot="1">
      <c r="A21" s="66"/>
      <c r="B21" s="66"/>
      <c r="C21" s="106"/>
      <c r="D21" s="107"/>
      <c r="E21" s="107"/>
      <c r="F21" s="107"/>
      <c r="G21" s="107"/>
      <c r="H21" s="108"/>
      <c r="I21" s="107"/>
      <c r="J21" s="108"/>
      <c r="K21" s="107"/>
      <c r="L21" s="108"/>
      <c r="M21" s="107"/>
      <c r="N21" s="107"/>
      <c r="O21" s="107"/>
      <c r="P21" s="107"/>
      <c r="Q21" s="107"/>
      <c r="R21" s="107"/>
      <c r="S21" s="107"/>
      <c r="T21" s="108"/>
      <c r="U21" s="107"/>
      <c r="V21" s="108"/>
      <c r="W21" s="107"/>
      <c r="X21" s="107"/>
      <c r="Y21" s="107"/>
      <c r="Z21" s="107"/>
      <c r="AA21" s="107"/>
      <c r="AB21" s="107"/>
      <c r="AC21" s="107"/>
      <c r="AD21" s="107"/>
      <c r="AE21" s="107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107"/>
      <c r="AX21" s="98"/>
      <c r="AY21" s="98"/>
      <c r="AZ21" s="98"/>
      <c r="BA21" s="840">
        <f>IF(SUM($BA$16:$BG$19)=0,0,SUM($BA$16:$BG$19))</f>
        <v>0</v>
      </c>
      <c r="BB21" s="840"/>
      <c r="BC21" s="840"/>
      <c r="BD21" s="840"/>
      <c r="BE21" s="840"/>
      <c r="BF21" s="205"/>
      <c r="BG21" s="841"/>
      <c r="BH21" s="841"/>
      <c r="BI21" s="841"/>
      <c r="BJ21" s="841"/>
      <c r="BK21" s="841"/>
      <c r="BL21" s="206"/>
      <c r="BM21" s="205"/>
      <c r="BN21" s="109"/>
      <c r="BO21" s="839"/>
      <c r="BP21" s="839"/>
      <c r="BQ21" s="839"/>
      <c r="BR21" s="839"/>
      <c r="BS21" s="839"/>
      <c r="BT21" s="204"/>
      <c r="BU21" s="109">
        <f>IF(SUM($BM$15:$BM$20)=0,0,SUM($BM$15:$BM$20))</f>
        <v>0</v>
      </c>
      <c r="BV21" s="109"/>
      <c r="BW21" s="84"/>
      <c r="DH21" s="92"/>
      <c r="DI21" s="92"/>
      <c r="DN21" s="99"/>
      <c r="DP21" s="88"/>
      <c r="DZ21" s="372">
        <v>11045</v>
      </c>
      <c r="EA21" s="469" t="s">
        <v>1484</v>
      </c>
      <c r="EB21" s="372" t="s">
        <v>1699</v>
      </c>
      <c r="EC21" s="469" t="s">
        <v>1654</v>
      </c>
      <c r="ED21" s="372" t="s">
        <v>13774</v>
      </c>
      <c r="EE21" s="372" t="s">
        <v>14669</v>
      </c>
      <c r="EF21" s="469" t="s">
        <v>1701</v>
      </c>
      <c r="EG21" s="469">
        <v>477</v>
      </c>
      <c r="EH21" s="469" t="s">
        <v>1702</v>
      </c>
      <c r="EI21" s="371" t="s">
        <v>1703</v>
      </c>
      <c r="EJ21" s="469" t="s">
        <v>1704</v>
      </c>
      <c r="EK21" s="469" t="s">
        <v>14670</v>
      </c>
      <c r="EL21" s="469" t="s">
        <v>1705</v>
      </c>
      <c r="EM21" s="450" t="s">
        <v>7010</v>
      </c>
      <c r="EN21" s="364">
        <v>8470</v>
      </c>
      <c r="EO21" s="369"/>
      <c r="EP21" s="369"/>
      <c r="EQ21" s="369"/>
      <c r="ER21" s="193"/>
      <c r="ES21" s="219"/>
      <c r="ET21" s="194"/>
    </row>
    <row r="22" spans="1:177" ht="21.75" customHeight="1" thickBot="1">
      <c r="C22" s="928" t="s">
        <v>127</v>
      </c>
      <c r="D22" s="929"/>
      <c r="E22" s="929"/>
      <c r="F22" s="929"/>
      <c r="G22" s="929"/>
      <c r="H22" s="929"/>
      <c r="I22" s="929"/>
      <c r="J22" s="929"/>
      <c r="K22" s="929"/>
      <c r="L22" s="929"/>
      <c r="M22" s="929"/>
      <c r="N22" s="929"/>
      <c r="O22" s="929"/>
      <c r="P22" s="929"/>
      <c r="Q22" s="929"/>
      <c r="R22" s="929"/>
      <c r="S22" s="929"/>
      <c r="T22" s="929"/>
      <c r="U22" s="929"/>
      <c r="V22" s="929"/>
      <c r="W22" s="929"/>
      <c r="X22" s="929"/>
      <c r="Y22" s="929"/>
      <c r="Z22" s="929"/>
      <c r="AA22" s="929"/>
      <c r="AB22" s="929"/>
      <c r="AC22" s="929"/>
      <c r="AD22" s="929"/>
      <c r="AE22" s="929"/>
      <c r="AF22" s="929"/>
      <c r="AG22" s="929"/>
      <c r="AH22" s="929"/>
      <c r="AI22" s="929"/>
      <c r="AJ22" s="929"/>
      <c r="AK22" s="929"/>
      <c r="AL22" s="929"/>
      <c r="AM22" s="929"/>
      <c r="AN22" s="929"/>
      <c r="AO22" s="929"/>
      <c r="AP22" s="929"/>
      <c r="AQ22" s="929"/>
      <c r="AR22" s="929"/>
      <c r="AS22" s="929"/>
      <c r="AT22" s="929"/>
      <c r="AU22" s="929"/>
      <c r="AV22" s="929"/>
      <c r="AW22" s="929"/>
      <c r="AX22" s="929"/>
      <c r="AY22" s="929"/>
      <c r="AZ22" s="929"/>
      <c r="BA22" s="929"/>
      <c r="BB22" s="929"/>
      <c r="BC22" s="929"/>
      <c r="BD22" s="929"/>
      <c r="BE22" s="929"/>
      <c r="BF22" s="929"/>
      <c r="BG22" s="929"/>
      <c r="BH22" s="929"/>
      <c r="BI22" s="929"/>
      <c r="BJ22" s="929"/>
      <c r="BK22" s="929"/>
      <c r="BL22" s="929"/>
      <c r="BM22" s="929"/>
      <c r="BN22" s="929"/>
      <c r="BO22" s="929"/>
      <c r="BP22" s="929"/>
      <c r="BQ22" s="929"/>
      <c r="BR22" s="929"/>
      <c r="BS22" s="929"/>
      <c r="BT22" s="929"/>
      <c r="BU22" s="929"/>
      <c r="BV22" s="929"/>
      <c r="BW22" s="930"/>
      <c r="BY22" s="58">
        <f>IF(AND(L15&gt;0,SUM(E59:Q59)=0),1,0)</f>
        <v>0</v>
      </c>
      <c r="CK22" s="58">
        <f>IF(AND(L16&gt;0,SUM(R59:AI59)=0),1,0)</f>
        <v>0</v>
      </c>
      <c r="CR22" s="58">
        <f>IF(AND(L17&gt;0,SUM(AK59:AS59)=0),1,0)</f>
        <v>0</v>
      </c>
      <c r="CX22" s="58">
        <f>IF(AND(L18&gt;0,SUM(AU59:BQ59)=0),1,0)</f>
        <v>0</v>
      </c>
      <c r="DZ22" s="372">
        <v>11380</v>
      </c>
      <c r="EA22" s="372" t="s">
        <v>1484</v>
      </c>
      <c r="EB22" s="372" t="s">
        <v>1706</v>
      </c>
      <c r="EC22" s="372" t="s">
        <v>1707</v>
      </c>
      <c r="ED22" s="447" t="s">
        <v>13799</v>
      </c>
      <c r="EE22" s="372" t="s">
        <v>14280</v>
      </c>
      <c r="EF22" s="372" t="s">
        <v>1709</v>
      </c>
      <c r="EG22" s="372">
        <v>110</v>
      </c>
      <c r="EH22" s="372" t="s">
        <v>1710</v>
      </c>
      <c r="EI22" s="372" t="s">
        <v>1711</v>
      </c>
      <c r="EJ22" s="372" t="s">
        <v>1712</v>
      </c>
      <c r="EK22" s="372" t="s">
        <v>14281</v>
      </c>
      <c r="EL22" s="372"/>
      <c r="EM22" s="372" t="s">
        <v>1633</v>
      </c>
      <c r="EN22" s="372">
        <v>6702</v>
      </c>
      <c r="EO22" s="369"/>
      <c r="EP22" s="369"/>
      <c r="EQ22" s="369"/>
      <c r="ER22" s="193"/>
      <c r="ES22" s="219"/>
      <c r="ET22" s="194"/>
    </row>
    <row r="23" spans="1:177" ht="36" customHeight="1" thickBot="1">
      <c r="B23" s="783" t="s">
        <v>98</v>
      </c>
      <c r="C23" s="915" t="s">
        <v>65</v>
      </c>
      <c r="D23" s="916"/>
      <c r="E23" s="940" t="s">
        <v>1611</v>
      </c>
      <c r="F23" s="941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942"/>
      <c r="R23" s="845" t="s">
        <v>1612</v>
      </c>
      <c r="S23" s="846"/>
      <c r="T23" s="846"/>
      <c r="U23" s="846"/>
      <c r="V23" s="846"/>
      <c r="W23" s="846"/>
      <c r="X23" s="846"/>
      <c r="Y23" s="846"/>
      <c r="Z23" s="846"/>
      <c r="AA23" s="846"/>
      <c r="AB23" s="846"/>
      <c r="AC23" s="846"/>
      <c r="AD23" s="846"/>
      <c r="AE23" s="846"/>
      <c r="AF23" s="846"/>
      <c r="AG23" s="846"/>
      <c r="AH23" s="846"/>
      <c r="AI23" s="850"/>
      <c r="AJ23" s="323"/>
      <c r="AK23" s="845" t="s">
        <v>131</v>
      </c>
      <c r="AL23" s="846"/>
      <c r="AM23" s="846"/>
      <c r="AN23" s="846"/>
      <c r="AO23" s="846"/>
      <c r="AP23" s="846"/>
      <c r="AQ23" s="846"/>
      <c r="AR23" s="846"/>
      <c r="AS23" s="850"/>
      <c r="AT23" s="323"/>
      <c r="AU23" s="845" t="s">
        <v>1613</v>
      </c>
      <c r="AV23" s="846"/>
      <c r="AW23" s="846"/>
      <c r="AX23" s="846"/>
      <c r="AY23" s="846"/>
      <c r="AZ23" s="846"/>
      <c r="BA23" s="846"/>
      <c r="BB23" s="846"/>
      <c r="BC23" s="846"/>
      <c r="BD23" s="846"/>
      <c r="BE23" s="846"/>
      <c r="BF23" s="846"/>
      <c r="BG23" s="846"/>
      <c r="BH23" s="846"/>
      <c r="BI23" s="846"/>
      <c r="BJ23" s="846"/>
      <c r="BK23" s="846"/>
      <c r="BL23" s="846"/>
      <c r="BM23" s="846"/>
      <c r="BN23" s="846"/>
      <c r="BO23" s="846"/>
      <c r="BP23" s="846"/>
      <c r="BQ23" s="850"/>
      <c r="BR23" s="847" t="s">
        <v>106</v>
      </c>
      <c r="BS23" s="848"/>
      <c r="BT23" s="848"/>
      <c r="BU23" s="848"/>
      <c r="BV23" s="848"/>
      <c r="BW23" s="849"/>
      <c r="CK23" s="845" t="s">
        <v>1612</v>
      </c>
      <c r="CL23" s="846"/>
      <c r="CM23" s="846"/>
      <c r="CN23" s="846"/>
      <c r="CO23" s="846"/>
      <c r="CP23" s="846"/>
      <c r="CQ23" s="846"/>
      <c r="CR23" s="845" t="s">
        <v>3559</v>
      </c>
      <c r="CS23" s="846"/>
      <c r="CT23" s="846"/>
      <c r="CU23" s="846"/>
      <c r="CV23" s="846"/>
      <c r="CW23" s="846"/>
      <c r="CX23" s="845" t="s">
        <v>1613</v>
      </c>
      <c r="CY23" s="846"/>
      <c r="CZ23" s="846"/>
      <c r="DA23" s="846"/>
      <c r="DB23" s="846"/>
      <c r="DC23" s="846"/>
      <c r="DD23" s="846"/>
      <c r="DE23" s="327"/>
      <c r="DF23" s="327"/>
      <c r="DG23" s="327"/>
      <c r="DZ23" s="372">
        <v>11541</v>
      </c>
      <c r="EA23" s="372" t="s">
        <v>1484</v>
      </c>
      <c r="EB23" s="372" t="s">
        <v>1713</v>
      </c>
      <c r="EC23" s="372" t="s">
        <v>1707</v>
      </c>
      <c r="ED23" s="447" t="s">
        <v>13799</v>
      </c>
      <c r="EE23" s="372" t="s">
        <v>14344</v>
      </c>
      <c r="EF23" s="372" t="s">
        <v>1714</v>
      </c>
      <c r="EG23" s="372">
        <v>12</v>
      </c>
      <c r="EH23" s="372" t="s">
        <v>1715</v>
      </c>
      <c r="EI23" s="372" t="s">
        <v>1716</v>
      </c>
      <c r="EJ23" s="372" t="s">
        <v>1717</v>
      </c>
      <c r="EK23" s="372" t="s">
        <v>14345</v>
      </c>
      <c r="EL23" s="372"/>
      <c r="EM23" s="372" t="s">
        <v>1633</v>
      </c>
      <c r="EN23" s="372">
        <v>8553</v>
      </c>
      <c r="EO23" s="369"/>
      <c r="EP23" s="369"/>
      <c r="EQ23" s="369"/>
      <c r="ER23" s="193"/>
      <c r="ES23" s="219"/>
      <c r="ET23" s="194"/>
      <c r="FU23" s="612" t="s">
        <v>13700</v>
      </c>
    </row>
    <row r="24" spans="1:177" s="232" customFormat="1" ht="69" thickBot="1">
      <c r="A24" s="226"/>
      <c r="B24" s="784"/>
      <c r="C24" s="917"/>
      <c r="D24" s="918"/>
      <c r="E24" s="843" t="str">
        <f>IF($E$23&lt;&gt;"","Frequência","")</f>
        <v>Frequência</v>
      </c>
      <c r="F24" s="844"/>
      <c r="G24" s="262" t="str">
        <f>IF($E$23&lt;&gt;"","Lanche (4h)","")</f>
        <v>Lanche (4h)</v>
      </c>
      <c r="H24" s="262" t="str">
        <f>IF($E$23&lt;&gt;"","Lanche (6h)","")</f>
        <v>Lanche (6h)</v>
      </c>
      <c r="I24" s="262" t="str">
        <f>IF(AND(E23&lt;&gt;"",B59&gt;0),"Troca de refeição por lanche","")</f>
        <v/>
      </c>
      <c r="J24" s="262" t="str">
        <f>IF($E$23&lt;&gt;"","Refeição","")</f>
        <v>Refeição</v>
      </c>
      <c r="K24" s="262" t="str">
        <f>IF($E$23&lt;&gt;"","Repetição da refeição","")</f>
        <v>Repetição da refeição</v>
      </c>
      <c r="L24" s="262" t="str">
        <f>IF($E$23&lt;&gt;"","Sobremesa","")</f>
        <v>Sobremesa</v>
      </c>
      <c r="M24" s="262" t="str">
        <f>IF($E$23&lt;&gt;"","Repetição da sobremesa","")</f>
        <v>Repetição da sobremesa</v>
      </c>
      <c r="N24" s="262" t="str">
        <f>IF($E$23&lt;&gt;"","2a Refeição","")</f>
        <v>2a Refeição</v>
      </c>
      <c r="O24" s="262" t="str">
        <f>IF($E$23&lt;&gt;"","Repetição da  2a refeição","")</f>
        <v>Repetição da  2a refeição</v>
      </c>
      <c r="P24" s="262" t="str">
        <f>IF($E$23&lt;&gt;"","2a Sobremesa","")</f>
        <v>2a Sobremesa</v>
      </c>
      <c r="Q24" s="227" t="str">
        <f>IF($E$23&lt;&gt;"","2a Repetição da sobremesa","")</f>
        <v>2a Repetição da sobremesa</v>
      </c>
      <c r="R24" s="926" t="str">
        <f>IF($R$23&lt;&gt;"","Frequência","")</f>
        <v>Frequência</v>
      </c>
      <c r="S24" s="927"/>
      <c r="T24" s="230" t="str">
        <f>IF($R$23&lt;&gt;"","Lanche (4h)","")</f>
        <v>Lanche (4h)</v>
      </c>
      <c r="U24" s="814" t="str">
        <f>IF($R$23&lt;&gt;"","Lanche (6h)","")</f>
        <v>Lanche (6h)</v>
      </c>
      <c r="V24" s="814"/>
      <c r="W24" s="230" t="str">
        <f>IF($R$23&lt;&gt;"","Sobremesa","")</f>
        <v>Sobremesa</v>
      </c>
      <c r="X24" s="814" t="str">
        <f>IF($R$23&lt;&gt;"","Refeição","")</f>
        <v>Refeição</v>
      </c>
      <c r="Y24" s="814"/>
      <c r="Z24" s="814"/>
      <c r="AA24" s="230" t="str">
        <f>IF($AK$23&lt;&gt;"","Lanche (4h)","")</f>
        <v>Lanche (4h)</v>
      </c>
      <c r="AB24" s="230" t="str">
        <f>IF($R$23&lt;&gt;"","Repetição da refeição","")</f>
        <v>Repetição da refeição</v>
      </c>
      <c r="AC24" s="230" t="str">
        <f>IF($AK$23&lt;&gt;"","Refeição","")</f>
        <v>Refeição</v>
      </c>
      <c r="AD24" s="230"/>
      <c r="AE24" s="814" t="str">
        <f>IF($R$23&lt;&gt;"","Sobremesa","")</f>
        <v>Sobremesa</v>
      </c>
      <c r="AF24" s="814"/>
      <c r="AG24" s="814"/>
      <c r="AH24" s="230" t="str">
        <f>IF($AK$23&lt;&gt;"","Repetição da sobremesa","")</f>
        <v>Repetição da sobremesa</v>
      </c>
      <c r="AI24" s="229" t="str">
        <f>IF($R$23&lt;&gt;"","Repetição da sobremesa","")</f>
        <v>Repetição da sobremesa</v>
      </c>
      <c r="AJ24" s="322" t="str">
        <f>IF($AU$23&lt;&gt;"","Frequência","")</f>
        <v>Frequência</v>
      </c>
      <c r="AK24" s="264" t="str">
        <f>IF($AK$23&lt;&gt;"","Frequência","")</f>
        <v>Frequência</v>
      </c>
      <c r="AL24" s="230" t="str">
        <f>IF($AK$23&lt;&gt;"","Lanche (4h)","")</f>
        <v>Lanche (4h)</v>
      </c>
      <c r="AM24" s="230" t="str">
        <f>IF($AK$23&lt;&gt;"","Refeição","")</f>
        <v>Refeição</v>
      </c>
      <c r="AN24" s="230" t="str">
        <f>IF($AU$23&lt;&gt;"","Refeição","")</f>
        <v>Refeição</v>
      </c>
      <c r="AO24" s="230" t="str">
        <f>IF($AK$23&lt;&gt;"","Repetição da refeição","")</f>
        <v>Repetição da refeição</v>
      </c>
      <c r="AP24" s="230" t="str">
        <f>IF($AU$23&lt;&gt;"","Repetição da refeição","")</f>
        <v>Repetição da refeição</v>
      </c>
      <c r="AQ24" s="230" t="str">
        <f>IF($AK$23&lt;&gt;"","Sobremesa","")</f>
        <v>Sobremesa</v>
      </c>
      <c r="AR24" s="230" t="str">
        <f>IF($AU$23&lt;&gt;"","Sobremesa","")</f>
        <v>Sobremesa</v>
      </c>
      <c r="AS24" s="229" t="str">
        <f>IF($AK$23&lt;&gt;"","Repetição da sobremesa","")</f>
        <v>Repetição da sobremesa</v>
      </c>
      <c r="AT24" s="322" t="str">
        <f>IF($AU$23&lt;&gt;"","Repetição da sobremesa","")</f>
        <v>Repetição da sobremesa</v>
      </c>
      <c r="AU24" s="264" t="str">
        <f>IF($AU$23&lt;&gt;"","Frequência","")</f>
        <v>Frequência</v>
      </c>
      <c r="AV24" s="230" t="e">
        <f>IF(#REF!&lt;&gt;"","Frequência","")</f>
        <v>#REF!</v>
      </c>
      <c r="AW24" s="230" t="str">
        <f>IF($AU23&lt;&gt;"","Lanche(4h)","")</f>
        <v>Lanche(4h)</v>
      </c>
      <c r="AX24" s="230" t="e">
        <f>IF(#REF!&lt;&gt;"","Lanche (4h)","")</f>
        <v>#REF!</v>
      </c>
      <c r="AY24" s="814" t="str">
        <f>IF($AU$23&lt;&gt;"","Lanche (6h)","")</f>
        <v>Lanche (6h)</v>
      </c>
      <c r="AZ24" s="814"/>
      <c r="BA24" s="814"/>
      <c r="BB24" s="814"/>
      <c r="BC24" s="814"/>
      <c r="BD24" s="814"/>
      <c r="BE24" s="814" t="str">
        <f>IF($AU$23&lt;&gt;"","Refeição","")</f>
        <v>Refeição</v>
      </c>
      <c r="BF24" s="814"/>
      <c r="BG24" s="814"/>
      <c r="BH24" s="230"/>
      <c r="BI24" s="230" t="str">
        <f>IF($AU$23&lt;&gt;"","Repetição da refeição","")</f>
        <v>Repetição da refeição</v>
      </c>
      <c r="BJ24" s="814" t="str">
        <f>IF($AU$23&lt;&gt;"","Sobremesa","")</f>
        <v>Sobremesa</v>
      </c>
      <c r="BK24" s="814"/>
      <c r="BL24" s="231"/>
      <c r="BM24" s="231"/>
      <c r="BN24" s="231"/>
      <c r="BO24" s="231"/>
      <c r="BP24" s="231"/>
      <c r="BQ24" s="229" t="str">
        <f>IF($AU$23&lt;&gt;"","Repetição da sobremesa","")</f>
        <v>Repetição da sobremesa</v>
      </c>
      <c r="BR24" s="386" t="s">
        <v>1611</v>
      </c>
      <c r="BS24" s="387"/>
      <c r="BT24" s="387"/>
      <c r="BU24" s="388" t="s">
        <v>1612</v>
      </c>
      <c r="BV24" s="388" t="s">
        <v>131</v>
      </c>
      <c r="BW24" s="389" t="s">
        <v>1613</v>
      </c>
      <c r="BY24" s="843" t="str">
        <f>IF($E$23&lt;&gt;"","Frequência","")</f>
        <v>Frequência</v>
      </c>
      <c r="BZ24" s="844"/>
      <c r="CA24" s="262" t="str">
        <f>IF($E$23&lt;&gt;"","Lanche (4h)","")</f>
        <v>Lanche (4h)</v>
      </c>
      <c r="CB24" s="262" t="str">
        <f>IF($E$23&lt;&gt;"","Lanche (6h)","")</f>
        <v>Lanche (6h)</v>
      </c>
      <c r="CC24" s="262" t="str">
        <f>IF($E$23&lt;&gt;"","Refeição","")</f>
        <v>Refeição</v>
      </c>
      <c r="CD24" s="262" t="str">
        <f>IF($E$23&lt;&gt;"","Repetição da refeição","")</f>
        <v>Repetição da refeição</v>
      </c>
      <c r="CE24" s="262" t="str">
        <f>IF($E$23&lt;&gt;"","Sobremesa","")</f>
        <v>Sobremesa</v>
      </c>
      <c r="CF24" s="262" t="str">
        <f>IF($E$23&lt;&gt;"","Repetição da sobremesa","")</f>
        <v>Repetição da sobremesa</v>
      </c>
      <c r="CG24" s="262" t="str">
        <f>IF($E$23&lt;&gt;"","2a Refeição","")</f>
        <v>2a Refeição</v>
      </c>
      <c r="CH24" s="262" t="str">
        <f>IF($E$23&lt;&gt;"","Repetição da  2a refeição","")</f>
        <v>Repetição da  2a refeição</v>
      </c>
      <c r="CI24" s="262" t="str">
        <f>IF($E$23&lt;&gt;"","2a Sobremesa","")</f>
        <v>2a Sobremesa</v>
      </c>
      <c r="CJ24" s="227" t="str">
        <f>IF($E$23&lt;&gt;"","2a Repetição da sobremesa","")</f>
        <v>2a Repetição da sobremesa</v>
      </c>
      <c r="CK24" s="264" t="str">
        <f>IF($R$23&lt;&gt;"","Frequência","")</f>
        <v>Frequência</v>
      </c>
      <c r="CL24" s="230" t="str">
        <f>IF($R$23&lt;&gt;"","Lanche (4h)","")</f>
        <v>Lanche (4h)</v>
      </c>
      <c r="CM24" s="230" t="str">
        <f>IF($R$23&lt;&gt;"","Lanche (6h)","")</f>
        <v>Lanche (6h)</v>
      </c>
      <c r="CN24" s="230" t="s">
        <v>3557</v>
      </c>
      <c r="CO24" s="230" t="str">
        <f>IF($R$23&lt;&gt;"","Repetição da refeição","")</f>
        <v>Repetição da refeição</v>
      </c>
      <c r="CP24" s="230" t="s">
        <v>140</v>
      </c>
      <c r="CQ24" s="230" t="s">
        <v>3558</v>
      </c>
      <c r="CR24" s="264" t="str">
        <f>IF($R$23&lt;&gt;"","Frequência","")</f>
        <v>Frequência</v>
      </c>
      <c r="CS24" s="230" t="str">
        <f>IF($R$23&lt;&gt;"","Lanche (4h)","")</f>
        <v>Lanche (4h)</v>
      </c>
      <c r="CT24" s="230" t="s">
        <v>3557</v>
      </c>
      <c r="CU24" s="230" t="str">
        <f>IF($R$23&lt;&gt;"","Repetição da refeição","")</f>
        <v>Repetição da refeição</v>
      </c>
      <c r="CV24" s="230" t="s">
        <v>140</v>
      </c>
      <c r="CW24" s="230" t="s">
        <v>3558</v>
      </c>
      <c r="CX24" s="264" t="str">
        <f>IF($R$23&lt;&gt;"","Frequência","")</f>
        <v>Frequência</v>
      </c>
      <c r="CY24" s="230" t="str">
        <f>IF($R$23&lt;&gt;"","Lanche (4h)","")</f>
        <v>Lanche (4h)</v>
      </c>
      <c r="CZ24" s="230" t="str">
        <f>IF($R$23&lt;&gt;"","Lanche (6h)","")</f>
        <v>Lanche (6h)</v>
      </c>
      <c r="DA24" s="230" t="s">
        <v>3557</v>
      </c>
      <c r="DB24" s="230" t="str">
        <f>IF($R$23&lt;&gt;"","Repetição da refeição","")</f>
        <v>Repetição da refeição</v>
      </c>
      <c r="DC24" s="230" t="s">
        <v>140</v>
      </c>
      <c r="DD24" s="230" t="s">
        <v>3558</v>
      </c>
      <c r="DE24" s="328"/>
      <c r="DF24" s="328"/>
      <c r="DG24" s="328"/>
      <c r="DL24" s="58"/>
      <c r="DM24" s="58"/>
      <c r="DN24" s="58"/>
      <c r="DO24" s="854"/>
      <c r="DP24" s="58"/>
      <c r="DQ24" s="88"/>
      <c r="DR24" s="58"/>
      <c r="DS24" s="58"/>
      <c r="DT24" s="58"/>
      <c r="DU24" s="58"/>
      <c r="DV24" s="58"/>
      <c r="DW24" s="58"/>
      <c r="DX24" s="58"/>
      <c r="DY24" s="58"/>
      <c r="DZ24" s="372">
        <v>11568</v>
      </c>
      <c r="EA24" s="372" t="s">
        <v>1484</v>
      </c>
      <c r="EB24" s="372" t="s">
        <v>1495</v>
      </c>
      <c r="EC24" s="372" t="s">
        <v>1486</v>
      </c>
      <c r="ED24" s="372" t="s">
        <v>161</v>
      </c>
      <c r="EE24" s="372" t="s">
        <v>13889</v>
      </c>
      <c r="EF24" s="372" t="s">
        <v>1496</v>
      </c>
      <c r="EG24" s="372">
        <v>79</v>
      </c>
      <c r="EH24" s="372" t="s">
        <v>1497</v>
      </c>
      <c r="EI24" s="372" t="s">
        <v>1498</v>
      </c>
      <c r="EJ24" s="372" t="s">
        <v>1718</v>
      </c>
      <c r="EK24" s="372" t="s">
        <v>1499</v>
      </c>
      <c r="EL24" s="372"/>
      <c r="EM24" s="372" t="s">
        <v>1669</v>
      </c>
      <c r="EN24" s="372">
        <v>6594</v>
      </c>
      <c r="EO24" s="369"/>
      <c r="EP24" s="369"/>
      <c r="EQ24" s="369"/>
      <c r="ER24" s="193"/>
      <c r="ES24" s="219"/>
      <c r="ET24" s="194"/>
      <c r="FU24" s="613"/>
    </row>
    <row r="25" spans="1:177" ht="15" hidden="1">
      <c r="B25" s="275"/>
      <c r="C25" s="297"/>
      <c r="D25" s="298"/>
      <c r="E25" s="235"/>
      <c r="F25" s="276"/>
      <c r="G25" s="276"/>
      <c r="H25" s="276"/>
      <c r="I25" s="236"/>
      <c r="J25" s="236"/>
      <c r="K25" s="236"/>
      <c r="L25" s="276"/>
      <c r="M25" s="276"/>
      <c r="N25" s="236"/>
      <c r="O25" s="236"/>
      <c r="P25" s="276"/>
      <c r="Q25" s="277"/>
      <c r="R25" s="233"/>
      <c r="S25" s="236"/>
      <c r="T25" s="236"/>
      <c r="U25" s="236"/>
      <c r="V25" s="236"/>
      <c r="W25" s="236"/>
      <c r="X25" s="236"/>
      <c r="Y25" s="236"/>
      <c r="Z25" s="236"/>
      <c r="AA25" s="236"/>
      <c r="AB25" s="237"/>
      <c r="AC25" s="236"/>
      <c r="AD25" s="236"/>
      <c r="AE25" s="236"/>
      <c r="AF25" s="236"/>
      <c r="AG25" s="236"/>
      <c r="AH25" s="236"/>
      <c r="AI25" s="234"/>
      <c r="AJ25" s="280"/>
      <c r="AK25" s="281"/>
      <c r="AL25" s="236"/>
      <c r="AM25" s="237"/>
      <c r="AN25" s="236"/>
      <c r="AO25" s="236"/>
      <c r="AP25" s="236"/>
      <c r="AQ25" s="236"/>
      <c r="AR25" s="236"/>
      <c r="AS25" s="234"/>
      <c r="AT25" s="280"/>
      <c r="AU25" s="281"/>
      <c r="AV25" s="236"/>
      <c r="AW25" s="236"/>
      <c r="AX25" s="236"/>
      <c r="AY25" s="236"/>
      <c r="AZ25" s="236"/>
      <c r="BA25" s="236"/>
      <c r="BB25" s="236"/>
      <c r="BC25" s="236"/>
      <c r="BD25" s="237"/>
      <c r="BE25" s="236"/>
      <c r="BF25" s="236"/>
      <c r="BG25" s="236"/>
      <c r="BH25" s="236"/>
      <c r="BI25" s="236"/>
      <c r="BJ25" s="236"/>
      <c r="BK25" s="236"/>
      <c r="BL25" s="236"/>
      <c r="BM25" s="236"/>
      <c r="BN25" s="236"/>
      <c r="BO25" s="236"/>
      <c r="BP25" s="236"/>
      <c r="BQ25" s="234"/>
      <c r="BR25" s="281"/>
      <c r="BS25" s="236"/>
      <c r="BT25" s="236"/>
      <c r="BU25" s="236"/>
      <c r="BV25" s="236"/>
      <c r="BW25" s="234"/>
      <c r="BY25" s="235"/>
      <c r="BZ25" s="276"/>
      <c r="CA25" s="276"/>
      <c r="CB25" s="276"/>
      <c r="CC25" s="236"/>
      <c r="CD25" s="236"/>
      <c r="CE25" s="276"/>
      <c r="CF25" s="276"/>
      <c r="CG25" s="236"/>
      <c r="CH25" s="236"/>
      <c r="CI25" s="276"/>
      <c r="CJ25" s="277"/>
      <c r="CK25" s="233"/>
      <c r="CL25" s="236"/>
      <c r="CM25" s="236"/>
      <c r="CN25" s="236"/>
      <c r="CO25" s="236"/>
      <c r="CP25" s="237"/>
      <c r="CQ25" s="236"/>
      <c r="CR25" s="233"/>
      <c r="CS25" s="236"/>
      <c r="CT25" s="236"/>
      <c r="CU25" s="236"/>
      <c r="CV25" s="237"/>
      <c r="CW25" s="236"/>
      <c r="CX25" s="233"/>
      <c r="CY25" s="236"/>
      <c r="CZ25" s="236"/>
      <c r="DA25" s="236"/>
      <c r="DB25" s="236"/>
      <c r="DC25" s="237"/>
      <c r="DD25" s="236"/>
      <c r="DO25" s="855"/>
      <c r="DP25" s="805"/>
      <c r="DQ25" s="805"/>
      <c r="DR25" s="805"/>
      <c r="DS25" s="805"/>
      <c r="DT25" s="698"/>
      <c r="DU25" s="698"/>
      <c r="DV25" s="698"/>
      <c r="DW25" s="698"/>
      <c r="DX25" s="698"/>
      <c r="DY25" s="698"/>
      <c r="DZ25" s="372">
        <v>11886</v>
      </c>
      <c r="EA25" s="372" t="s">
        <v>1484</v>
      </c>
      <c r="EB25" s="372" t="s">
        <v>1719</v>
      </c>
      <c r="EC25" s="372" t="s">
        <v>1617</v>
      </c>
      <c r="ED25" s="372" t="s">
        <v>1618</v>
      </c>
      <c r="EE25" s="372" t="s">
        <v>14012</v>
      </c>
      <c r="EF25" s="372" t="s">
        <v>1720</v>
      </c>
      <c r="EG25" s="372">
        <v>258</v>
      </c>
      <c r="EH25" s="372" t="s">
        <v>1572</v>
      </c>
      <c r="EI25" s="372" t="s">
        <v>1721</v>
      </c>
      <c r="EJ25" s="372" t="s">
        <v>1722</v>
      </c>
      <c r="EK25" s="372" t="s">
        <v>14013</v>
      </c>
      <c r="EL25" s="372" t="s">
        <v>1723</v>
      </c>
      <c r="EM25" s="372" t="s">
        <v>1624</v>
      </c>
      <c r="EN25" s="372">
        <v>8481</v>
      </c>
      <c r="EO25" s="398"/>
      <c r="EP25" s="398"/>
      <c r="EQ25" s="369"/>
      <c r="ER25" s="193"/>
      <c r="ES25" s="219"/>
      <c r="ET25" s="194"/>
    </row>
    <row r="26" spans="1:177" ht="15" hidden="1">
      <c r="B26" s="273"/>
      <c r="C26" s="299"/>
      <c r="D26" s="300"/>
      <c r="E26" s="269"/>
      <c r="F26" s="60"/>
      <c r="G26" s="60"/>
      <c r="H26" s="60"/>
      <c r="I26" s="267"/>
      <c r="J26" s="267"/>
      <c r="K26" s="267"/>
      <c r="L26" s="60"/>
      <c r="M26" s="60"/>
      <c r="N26" s="267"/>
      <c r="O26" s="267"/>
      <c r="P26" s="60"/>
      <c r="Q26" s="271"/>
      <c r="R26" s="278"/>
      <c r="S26" s="267"/>
      <c r="T26" s="267"/>
      <c r="U26" s="267"/>
      <c r="V26" s="267"/>
      <c r="W26" s="267"/>
      <c r="X26" s="267"/>
      <c r="Y26" s="267"/>
      <c r="Z26" s="267"/>
      <c r="AA26" s="267"/>
      <c r="AB26" s="268"/>
      <c r="AC26" s="267"/>
      <c r="AD26" s="267"/>
      <c r="AE26" s="267"/>
      <c r="AF26" s="267"/>
      <c r="AG26" s="267"/>
      <c r="AH26" s="267"/>
      <c r="AI26" s="279"/>
      <c r="AJ26" s="280"/>
      <c r="AK26" s="270"/>
      <c r="AL26" s="267"/>
      <c r="AM26" s="268"/>
      <c r="AN26" s="267"/>
      <c r="AO26" s="267"/>
      <c r="AP26" s="267"/>
      <c r="AQ26" s="267"/>
      <c r="AR26" s="267"/>
      <c r="AS26" s="279"/>
      <c r="AT26" s="280"/>
      <c r="AU26" s="270"/>
      <c r="AV26" s="267"/>
      <c r="AW26" s="267"/>
      <c r="AX26" s="267"/>
      <c r="AY26" s="267"/>
      <c r="AZ26" s="267"/>
      <c r="BA26" s="267"/>
      <c r="BB26" s="267"/>
      <c r="BC26" s="267"/>
      <c r="BD26" s="268"/>
      <c r="BE26" s="267"/>
      <c r="BF26" s="267"/>
      <c r="BG26" s="267"/>
      <c r="BH26" s="267"/>
      <c r="BI26" s="267"/>
      <c r="BJ26" s="267"/>
      <c r="BK26" s="267"/>
      <c r="BL26" s="267"/>
      <c r="BM26" s="267"/>
      <c r="BN26" s="267"/>
      <c r="BO26" s="267"/>
      <c r="BP26" s="267"/>
      <c r="BQ26" s="279"/>
      <c r="BR26" s="270"/>
      <c r="BS26" s="267"/>
      <c r="BT26" s="267"/>
      <c r="BU26" s="267"/>
      <c r="BV26" s="267"/>
      <c r="BW26" s="279"/>
      <c r="BY26" s="269"/>
      <c r="BZ26" s="60"/>
      <c r="CA26" s="60"/>
      <c r="CB26" s="60"/>
      <c r="CC26" s="267"/>
      <c r="CD26" s="267"/>
      <c r="CE26" s="60"/>
      <c r="CF26" s="60"/>
      <c r="CG26" s="267"/>
      <c r="CH26" s="267"/>
      <c r="CI26" s="60"/>
      <c r="CJ26" s="271"/>
      <c r="CK26" s="278"/>
      <c r="CL26" s="267"/>
      <c r="CM26" s="267"/>
      <c r="CN26" s="267"/>
      <c r="CO26" s="267"/>
      <c r="CP26" s="268"/>
      <c r="CQ26" s="267"/>
      <c r="CR26" s="278"/>
      <c r="CS26" s="267"/>
      <c r="CT26" s="267"/>
      <c r="CU26" s="267"/>
      <c r="CV26" s="268"/>
      <c r="CW26" s="267"/>
      <c r="CX26" s="278"/>
      <c r="CY26" s="267"/>
      <c r="CZ26" s="267"/>
      <c r="DA26" s="267"/>
      <c r="DB26" s="267"/>
      <c r="DC26" s="268"/>
      <c r="DD26" s="267"/>
      <c r="DL26" s="110" t="s">
        <v>103</v>
      </c>
      <c r="DM26" s="111" t="s">
        <v>104</v>
      </c>
      <c r="DN26" s="86"/>
      <c r="DO26" s="855"/>
      <c r="DP26" s="82"/>
      <c r="DQ26" s="82"/>
      <c r="DR26" s="112"/>
      <c r="DS26" s="112"/>
      <c r="DT26" s="113"/>
      <c r="DU26" s="113"/>
      <c r="DV26" s="113"/>
      <c r="DW26" s="114"/>
      <c r="DX26" s="114"/>
      <c r="DY26" s="114"/>
      <c r="DZ26" s="372">
        <v>12246</v>
      </c>
      <c r="EA26" s="372" t="s">
        <v>1484</v>
      </c>
      <c r="EB26" s="372" t="s">
        <v>1724</v>
      </c>
      <c r="EC26" s="372" t="s">
        <v>1707</v>
      </c>
      <c r="ED26" s="447" t="s">
        <v>13799</v>
      </c>
      <c r="EE26" s="372" t="s">
        <v>14299</v>
      </c>
      <c r="EF26" s="372" t="s">
        <v>1726</v>
      </c>
      <c r="EG26" s="372">
        <v>365</v>
      </c>
      <c r="EH26" s="372" t="s">
        <v>1727</v>
      </c>
      <c r="EI26" s="372" t="s">
        <v>1728</v>
      </c>
      <c r="EJ26" s="372" t="s">
        <v>1729</v>
      </c>
      <c r="EK26" s="372" t="s">
        <v>14300</v>
      </c>
      <c r="EL26" s="372"/>
      <c r="EM26" s="372" t="s">
        <v>1633</v>
      </c>
      <c r="EN26" s="372">
        <v>6703</v>
      </c>
      <c r="EO26" s="369"/>
      <c r="EP26" s="369"/>
      <c r="EQ26" s="369"/>
      <c r="ER26" s="193"/>
      <c r="ES26" s="219"/>
      <c r="ET26" s="194"/>
    </row>
    <row r="27" spans="1:177" ht="16" hidden="1" thickBot="1">
      <c r="B27" s="274"/>
      <c r="C27" s="632">
        <v>42947</v>
      </c>
      <c r="D27" s="633"/>
      <c r="E27" s="634"/>
      <c r="F27" s="618"/>
      <c r="G27" s="324"/>
      <c r="H27" s="324"/>
      <c r="I27" s="256"/>
      <c r="J27" s="324"/>
      <c r="K27" s="324"/>
      <c r="L27" s="324"/>
      <c r="M27" s="324"/>
      <c r="N27" s="324"/>
      <c r="O27" s="324"/>
      <c r="P27" s="324"/>
      <c r="Q27" s="272"/>
      <c r="R27" s="635"/>
      <c r="S27" s="634"/>
      <c r="T27" s="324"/>
      <c r="U27" s="618"/>
      <c r="V27" s="619"/>
      <c r="W27" s="256"/>
      <c r="X27" s="618"/>
      <c r="Y27" s="619"/>
      <c r="Z27" s="619"/>
      <c r="AA27" s="256"/>
      <c r="AB27" s="256"/>
      <c r="AC27" s="256"/>
      <c r="AD27" s="256"/>
      <c r="AE27" s="618"/>
      <c r="AF27" s="619"/>
      <c r="AG27" s="619"/>
      <c r="AH27" s="256"/>
      <c r="AI27" s="272"/>
      <c r="AJ27" s="266"/>
      <c r="AK27" s="325"/>
      <c r="AL27" s="324"/>
      <c r="AM27" s="324"/>
      <c r="AN27" s="256"/>
      <c r="AO27" s="256"/>
      <c r="AP27" s="256"/>
      <c r="AQ27" s="324"/>
      <c r="AR27" s="256"/>
      <c r="AS27" s="286"/>
      <c r="AT27" s="266"/>
      <c r="AU27" s="325"/>
      <c r="AV27" s="256"/>
      <c r="AW27" s="324"/>
      <c r="AX27" s="256"/>
      <c r="AY27" s="618"/>
      <c r="AZ27" s="619"/>
      <c r="BA27" s="619"/>
      <c r="BB27" s="619"/>
      <c r="BC27" s="619"/>
      <c r="BD27" s="619"/>
      <c r="BE27" s="618"/>
      <c r="BF27" s="619"/>
      <c r="BG27" s="619"/>
      <c r="BH27" s="256"/>
      <c r="BI27" s="256"/>
      <c r="BJ27" s="618"/>
      <c r="BK27" s="619"/>
      <c r="BL27" s="256"/>
      <c r="BM27" s="256"/>
      <c r="BN27" s="256"/>
      <c r="BO27" s="256"/>
      <c r="BP27" s="256"/>
      <c r="BQ27" s="286"/>
      <c r="BR27" s="287"/>
      <c r="BS27" s="256"/>
      <c r="BT27" s="256"/>
      <c r="BU27" s="256"/>
      <c r="BV27" s="256"/>
      <c r="BW27" s="286"/>
      <c r="BY27" s="634"/>
      <c r="BZ27" s="618"/>
      <c r="CA27" s="324"/>
      <c r="CB27" s="324"/>
      <c r="CC27" s="324"/>
      <c r="CD27" s="324"/>
      <c r="CE27" s="324"/>
      <c r="CF27" s="324"/>
      <c r="CG27" s="324"/>
      <c r="CH27" s="324"/>
      <c r="CI27" s="324"/>
      <c r="CJ27" s="324"/>
      <c r="CK27" s="325"/>
      <c r="CL27" s="324"/>
      <c r="CM27" s="324"/>
      <c r="CN27" s="324"/>
      <c r="CO27" s="256"/>
      <c r="CP27" s="256"/>
      <c r="CQ27" s="256"/>
      <c r="CR27" s="325"/>
      <c r="CS27" s="324"/>
      <c r="CT27" s="324"/>
      <c r="CU27" s="256"/>
      <c r="CV27" s="256"/>
      <c r="CW27" s="256"/>
      <c r="CX27" s="325"/>
      <c r="CY27" s="324"/>
      <c r="CZ27" s="324"/>
      <c r="DA27" s="324"/>
      <c r="DB27" s="256"/>
      <c r="DC27" s="256"/>
      <c r="DD27" s="256"/>
      <c r="DE27" s="329"/>
      <c r="DF27" s="329"/>
      <c r="DG27" s="329"/>
      <c r="DH27" s="329"/>
      <c r="DL27" s="255"/>
      <c r="DM27" s="255"/>
      <c r="DN27" s="86"/>
      <c r="DP27" s="82"/>
      <c r="DQ27" s="82"/>
      <c r="DR27" s="112"/>
      <c r="DS27" s="112"/>
      <c r="DT27" s="113"/>
      <c r="DU27" s="113"/>
      <c r="DV27" s="113"/>
      <c r="DW27" s="114"/>
      <c r="DX27" s="114"/>
      <c r="DY27" s="114"/>
      <c r="DZ27" s="372">
        <v>13111</v>
      </c>
      <c r="EA27" s="372" t="s">
        <v>1484</v>
      </c>
      <c r="EB27" s="372" t="s">
        <v>1730</v>
      </c>
      <c r="EC27" s="372" t="s">
        <v>1626</v>
      </c>
      <c r="ED27" s="447" t="s">
        <v>13763</v>
      </c>
      <c r="EE27" s="372" t="s">
        <v>13937</v>
      </c>
      <c r="EF27" s="372" t="s">
        <v>1731</v>
      </c>
      <c r="EG27" s="372">
        <v>74</v>
      </c>
      <c r="EH27" s="372" t="s">
        <v>1732</v>
      </c>
      <c r="EI27" s="372" t="s">
        <v>1733</v>
      </c>
      <c r="EJ27" s="372" t="s">
        <v>1734</v>
      </c>
      <c r="EK27" s="372" t="s">
        <v>13938</v>
      </c>
      <c r="EL27" s="372" t="s">
        <v>1735</v>
      </c>
      <c r="EM27" s="372" t="s">
        <v>1633</v>
      </c>
      <c r="EN27" s="372">
        <v>8503</v>
      </c>
      <c r="EO27" s="369"/>
      <c r="EP27" s="369"/>
      <c r="EQ27" s="369"/>
      <c r="ER27" s="193"/>
      <c r="ES27" s="219"/>
      <c r="ET27" s="194"/>
    </row>
    <row r="28" spans="1:177" ht="18.75" customHeight="1">
      <c r="A28" s="115" t="str">
        <f>IF($BK$7="","",VLOOKUP($BK$7,$DI$28:$DK$39,3))</f>
        <v>SEX</v>
      </c>
      <c r="B28" s="274"/>
      <c r="C28" s="747">
        <v>1</v>
      </c>
      <c r="D28" s="873"/>
      <c r="E28" s="923"/>
      <c r="F28" s="924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1"/>
      <c r="R28" s="923">
        <v>156</v>
      </c>
      <c r="S28" s="924"/>
      <c r="T28" s="420"/>
      <c r="U28" s="642">
        <v>145</v>
      </c>
      <c r="V28" s="644"/>
      <c r="W28" s="422"/>
      <c r="X28" s="642">
        <v>156</v>
      </c>
      <c r="Y28" s="644"/>
      <c r="Z28" s="644"/>
      <c r="AA28" s="422"/>
      <c r="AB28" s="422">
        <v>21</v>
      </c>
      <c r="AC28" s="422"/>
      <c r="AD28" s="423"/>
      <c r="AE28" s="642">
        <v>156</v>
      </c>
      <c r="AF28" s="644"/>
      <c r="AG28" s="644"/>
      <c r="AH28" s="422"/>
      <c r="AI28" s="421">
        <v>0</v>
      </c>
      <c r="AJ28" s="424"/>
      <c r="AK28" s="542"/>
      <c r="AL28" s="420"/>
      <c r="AM28" s="420"/>
      <c r="AN28" s="422"/>
      <c r="AO28" s="422"/>
      <c r="AP28" s="422"/>
      <c r="AQ28" s="420"/>
      <c r="AR28" s="420"/>
      <c r="AS28" s="421"/>
      <c r="AT28" s="425"/>
      <c r="AU28" s="542">
        <v>191</v>
      </c>
      <c r="AV28" s="420"/>
      <c r="AW28" s="420"/>
      <c r="AX28" s="420"/>
      <c r="AY28" s="642">
        <v>186</v>
      </c>
      <c r="AZ28" s="642"/>
      <c r="BA28" s="644"/>
      <c r="BB28" s="644"/>
      <c r="BC28" s="644"/>
      <c r="BD28" s="644"/>
      <c r="BE28" s="642">
        <v>191</v>
      </c>
      <c r="BF28" s="644"/>
      <c r="BG28" s="644"/>
      <c r="BH28" s="423"/>
      <c r="BI28" s="422">
        <v>38</v>
      </c>
      <c r="BJ28" s="642">
        <v>191</v>
      </c>
      <c r="BK28" s="644"/>
      <c r="BL28" s="644"/>
      <c r="BM28" s="423"/>
      <c r="BN28" s="423"/>
      <c r="BO28" s="423"/>
      <c r="BP28" s="423"/>
      <c r="BQ28" s="426">
        <v>0</v>
      </c>
      <c r="BR28" s="393"/>
      <c r="BS28" s="394"/>
      <c r="BT28" s="394"/>
      <c r="BU28" s="394" t="s">
        <v>59</v>
      </c>
      <c r="BV28" s="394"/>
      <c r="BW28" s="548" t="s">
        <v>59</v>
      </c>
      <c r="BX28" s="526"/>
      <c r="BY28" s="1000">
        <f>IF(OR(C28=$P$1,C28=$Q$1,C28=$R$1,C28=$S$1,C28=$T$1,C28=$U$1,C28=$V$1),0,IF(AND($L$15&gt;0,$E$59&gt;0,E28="",AND(A28&lt;&gt;"DOM",A28&lt;&gt;"SAB")),1,0))</f>
        <v>0</v>
      </c>
      <c r="BZ28" s="1001"/>
      <c r="CA28" s="525">
        <f>IF(OR(C28=$P$1,C28=$Q$1,C28=$R$1,C28=$S$1,C28=$T$1,C28=$U$1,C28=$V$1),0,IF(AND($L$15&gt;0,$G$59&gt;0,G28="",AND(A28&lt;&gt;"DOM",A28&lt;&gt;"SAB")),1,0))</f>
        <v>0</v>
      </c>
      <c r="CB28" s="525">
        <f>IF(OR(C28=$P$1,C28=$Q$1,C28=$R$1,C28=$S$1,C28=$T$1,C28=$U$1,C28=$V$1),0,IF(AND($L$15&gt;0,$H$59&gt;0,H28="",AND(A28&lt;&gt;"DOM",A28&lt;&gt;"SAB")),1,0))</f>
        <v>0</v>
      </c>
      <c r="CC28" s="525">
        <f>IF(OR(C28=$P$1,C28=$Q$1,C28=$R$1,C28=$S$1,C28=$T$1,C28=$U$1,C28=$V$1),0,IF(AND($L$15&gt;0,$J$59&gt;0,J28="",AND(A28&lt;&gt;"DOM",A28&lt;&gt;"SAB")),1,0))</f>
        <v>0</v>
      </c>
      <c r="CD28" s="525">
        <f>IF(OR(C28=$P$1,C28=$Q$1,C28=$R$1,C28=$S$1,C28=$T$1,C28=$U$1,C28=$V$1),0,IF(AND($L$15&gt;0,$K$59&gt;0,K28="",AND(A28&lt;&gt;"DOM",A28&lt;&gt;"SAB")),1,0))</f>
        <v>0</v>
      </c>
      <c r="CE28" s="525">
        <f>IF(OR(C28=$P$1,C28=$Q$1,C28=$R$1,C28=$S$1,C28=$T$1,C28=$U$1,C28=$V$1),0,IF(AND($L$15&gt;0,$L$59&gt;0,L28="",AND(A28&lt;&gt;"DOM",A28&lt;&gt;"SAB")),1,0))</f>
        <v>0</v>
      </c>
      <c r="CF28" s="525">
        <f>IF(OR(C28=$P$1,C28=$Q$1,C28=$R$1,C28=$S$1,C28=$T$1,C28=$U$1,C28=$V$1),0,IF(AND($L$15&gt;0,$M$59&gt;0,M28="",AND(A28&lt;&gt;"DOM",A28&lt;&gt;"SAB")),1,0))</f>
        <v>0</v>
      </c>
      <c r="CG28" s="525">
        <f>IF(OR(C28=$P$1,C28=$Q$1,C28=$R$1,C28=$S$1,C28=$T$1,C28=$U$1,C28=$V$1),0,IF(AND($L$15&gt;0,$N$59&gt;0,N28="",AND(A28&lt;&gt;"DOM",A28&lt;&gt;"SAB")),1,0))</f>
        <v>0</v>
      </c>
      <c r="CH28" s="525">
        <f>IF(OR(C28=$P$1,C28=$Q$1,C28=$R$1,C28=$S$1,C28=$T$1,C28=$U$1,C28=$V$1),0,IF(AND($L$15&gt;0,$O$59&gt;0,O28="",AND(A28&lt;&gt;"DOM",A28&lt;&gt;"SAB")),1,0))</f>
        <v>0</v>
      </c>
      <c r="CI28" s="525">
        <f>IF(OR(C28=$P$1,C28=$Q$1,C28=$R$1,C28=$S$1,C28=$T$1,C28=$U$1,C28=$V$1),0,IF(AND($L$15&gt;0,$P$59&gt;0,P28="",AND(A28&lt;&gt;"DOM",A28&lt;&gt;"SAB")),1,0))</f>
        <v>0</v>
      </c>
      <c r="CJ28" s="525">
        <f>IF(OR(C28=$P$1,C28=$Q$1,C28=$R$1,C28=$S$1,C28=$T$1,C28=$U$1,C28=$V$1),0,IF(AND($L$15&gt;0,$Q$59&gt;0,Q28="",AND(A28&lt;&gt;"DOM",A28&lt;&gt;"SAB")),1,0))</f>
        <v>0</v>
      </c>
      <c r="CK28" s="524">
        <f>IF(OR(C28=$P$1,C28=$Q$1,C28=$R$1,C28=$S$1,C28=$T$1,C28=$U$1,C28=$V$1),0,IF(AND($L$16&gt;0,$R$59&gt;0,R28="",AND(A28&lt;&gt;"DOM",A28&lt;&gt;"SAB")),1,0))</f>
        <v>0</v>
      </c>
      <c r="CL28" s="525">
        <f>IF(OR(C28=$P$1,C28=$Q$1,C28=$R$1,C28=$S$1,C28=$T$1,C28=$U$1,C28=$V$1),0,IF(AND($L$16&gt;0,$T$59&gt;0,T28="",AND(A28&lt;&gt;"DOM",A28&lt;&gt;"SAB")),1,0))</f>
        <v>0</v>
      </c>
      <c r="CM28" s="525">
        <f>IF(OR(C28=$P$1,C28=$Q$1,C28=$R$1,C28=$S$1,C28=$T$1,C28=$U$1,C28=$V$1),0,IF(AND($L$16&gt;0,$U$59&gt;0,U28="",AND(A28&lt;&gt;"DOM",A28&lt;&gt;"SAB")),1,0))</f>
        <v>0</v>
      </c>
      <c r="CN28" s="525">
        <f>IF(OR(C28=$P$1,C28=$Q$1,C28=$R$1,C28=$S$1,C28=$T$1,C28=$U$1,C28=$V$1),0,IF(AND($L$16&gt;0,$X$59&gt;0,X28="",AND(A28&lt;&gt;"DOM",A28&lt;&gt;"SAB")),1,0))</f>
        <v>0</v>
      </c>
      <c r="CO28" s="525">
        <f>IF(OR(C28=$P$1,C28=$Q$1,C28=$R$1,C28=$S$1,C28=$T$1,C28=$U$1,C28=$V$1),0,IF(AND($L$16&gt;0,$AB$59&gt;0,AB28="",AND(A28&lt;&gt;"DOM",A28&lt;&gt;"SAB")),1,0))</f>
        <v>0</v>
      </c>
      <c r="CP28" s="525">
        <f>IF(OR(C28=$P$1,C28=$Q$1,C28=$R$1,C28=$S$1,C28=$T$1,C28=$U$1,C28=$V$1),0,IF(AND($L$16&gt;0,$AE$59&gt;0,AE28="",AND(A28&lt;&gt;"DOM",A28&lt;&gt;"SAB")),1,0))</f>
        <v>0</v>
      </c>
      <c r="CQ28" s="525">
        <f>IF(OR(C28=$P$1,C28=$Q$1,C28=$R$1,C28=$S$1,C28=$T$1,C28=$U$1,C28=$V$1),0,IF(AND($L$16&gt;0,$AI$59&gt;0,AI28="",AND(A28&lt;&gt;"DOM",A28&lt;&gt;"SAB")),1,0))</f>
        <v>0</v>
      </c>
      <c r="CR28" s="524">
        <f>IF(OR(C28=$P$1,C28=$Q$1,C28=$R$1,C28=$S$1,C28=$T$1,C28=$U$1,C28=$V$1),0,IF(AND($L$17&gt;0,$AK$59&gt;0,AK28="",AND(A28&lt;&gt;"DOM",A28&lt;&gt;"SAB")),1,0))</f>
        <v>0</v>
      </c>
      <c r="CS28" s="525">
        <f>IF(OR(C28=$P$1,C28=$Q$1,C28=$R$1,C28=$S$1,C28=$T$1,C28=$U$1,C28=$V$1),0,IF(AND($L$17&gt;0,$AL$59&gt;0,AL28="",AND(A28&lt;&gt;"DOM",A28&lt;&gt;"SAB")),1,0))</f>
        <v>0</v>
      </c>
      <c r="CT28" s="525">
        <f>IF(OR(C28=$P$1,C28=$Q$1,C28=$R$1,C28=$S$1,C28=$T$1,C28=$U$1,C28=$V$1),0,IF(AND($L$17&gt;0,$AM$59&gt;0,AM28="",AND(A28&lt;&gt;"DOM",A28&lt;&gt;"SAB")),1,0))</f>
        <v>0</v>
      </c>
      <c r="CU28" s="525">
        <f>IF(OR(C28=$P$1,C28=$Q$1,C28=$R$1,C28=$S$1,C28=$T$1,C28=$U$1,C28=$V$1),0,IF(AND($L$17&gt;0,$AO$59&gt;0,AO28="",AND(A28&lt;&gt;"DOM",A28&lt;&gt;"SAB")),1,0))</f>
        <v>0</v>
      </c>
      <c r="CV28" s="525">
        <f>IF(OR(C28=$P$1,C28=$Q$1,C28=$R$1,C28=$S$1,C28=$T$1,C28=$U$1,C28=$V$1),0,IF(AND($L$17&gt;0,$AQ$59&gt;0,AQ28="",AND(A28&lt;&gt;"DOM",A28&lt;&gt;"SAB")),1,0))</f>
        <v>0</v>
      </c>
      <c r="CW28" s="525">
        <f>IF(OR(C28=$P$1,C28=$Q$1,C28=$R$1,C28=$S$1,C28=$T$1,C28=$U$1,C28=$V$1),0,IF(AND($L$17&gt;0,$AS$59&gt;0,AS28="",AND(A28&lt;&gt;"DOM",A28&lt;&gt;"SAB")),1,0))</f>
        <v>0</v>
      </c>
      <c r="CX28" s="524">
        <f>IF(OR(C28=$P$1,C28=$Q$1,C28=$R$1,C28=$S$1,C28=$T$1,C28=$U$1,C28=$V$1),0,IF(AND($L$18&gt;0,$AU$59&gt;0,AU28="",AND(A28&lt;&gt;"DOM",A28&lt;&gt;"SAB")),1,0))</f>
        <v>0</v>
      </c>
      <c r="CY28" s="525">
        <f>IF(OR(C28=$P$1,C28=$Q$1,C28=$R$1,C28=$S$1,C28=$T$1,C28=$U$1,C28=$V$1),0,IF(AND($L$18&gt;0,$AW$59&gt;0,AW28="",AND(A28&lt;&gt;"DOM",A28&lt;&gt;"SAB")),1,0))</f>
        <v>0</v>
      </c>
      <c r="CZ28" s="525">
        <f>IF(OR(C28=$P$1,C28=$Q$1,C28=$R$1,C28=$S$1,C28=$T$1,C28=$U$1,C28=$V$1),0,IF(AND($L$18&gt;0,$AY$59&gt;0,AY28="",AND(A28&lt;&gt;"DOM",A28&lt;&gt;"SAB")),1,0))</f>
        <v>0</v>
      </c>
      <c r="DA28" s="525">
        <f>IF(OR(C28=$P$1,C28=$Q$1,C28=$R$1,C28=$S$1,C28=$T$1,C28=$U$1,C28=$V$1),0,IF(AND($L$18&gt;0,$BE$59&gt;0,BE28="",AND(A28&lt;&gt;"DOM",A28&lt;&gt;"SAB")),1,0))</f>
        <v>0</v>
      </c>
      <c r="DB28" s="525">
        <f>IF(OR(C28=$P$1,C28=$Q$1,C28=$R$1,C28=$S$1,C28=$T$1,C28=$U$1,C28=$V$1),0,IF(AND($L$18&gt;0,$BI$59&gt;0,BI28="",AND(A28&lt;&gt;"DOM",A28&lt;&gt;"SAB")),1,0))</f>
        <v>0</v>
      </c>
      <c r="DC28" s="525">
        <f>IF(OR(C28=$P$1,C28=$Q$1,C28=$R$1,C28=$S$1,C28=$T$1,C28=$U$1,C28=$V$1),0,IF(AND($L$18&gt;0,$BJ$59&gt;0,BJ28="",AND(A28&lt;&gt;"DOM",A28&lt;&gt;"SAB")),1,0))</f>
        <v>0</v>
      </c>
      <c r="DD28" s="525">
        <f>IF(OR(C28=$P$1,C28=$Q$1,C28=$R$1,C28=$S$1,C28=$T$1,C28=$U$1,C28=$V$1),0,IF(AND($L$18&gt;0,$BQ$59&gt;0,BQ28="",AND(A28&lt;&gt;"DOM",A28&lt;&gt;"SAB")),1,0))</f>
        <v>0</v>
      </c>
      <c r="DE28" s="527">
        <f t="shared" ref="DE28:DE58" si="1">IF(AND($L$15="",BR28&lt;&gt;""),1,0)</f>
        <v>0</v>
      </c>
      <c r="DF28" s="527">
        <f t="shared" ref="DF28:DF58" si="2">IF(AND($L$16="",BU28&lt;&gt;""),1,0)</f>
        <v>0</v>
      </c>
      <c r="DG28" s="527">
        <f t="shared" ref="DG28:DG58" si="3">IF(AND($L$17="",BV28&lt;&gt;""),1,0)</f>
        <v>0</v>
      </c>
      <c r="DH28" s="527">
        <f t="shared" ref="DH28:DH58" si="4">IF(AND($L$18="",BW28&lt;&gt;""),1,0)</f>
        <v>0</v>
      </c>
      <c r="DI28" s="528" t="s">
        <v>49</v>
      </c>
      <c r="DJ28" s="528">
        <v>2025</v>
      </c>
      <c r="DK28" s="529" t="s">
        <v>26</v>
      </c>
      <c r="DL28" s="526"/>
      <c r="DM28" s="526"/>
      <c r="DN28" s="530"/>
      <c r="DO28" s="531"/>
      <c r="DP28" s="532"/>
      <c r="DQ28" s="532"/>
      <c r="DR28" s="532"/>
      <c r="DS28" s="532"/>
      <c r="DT28" s="532"/>
      <c r="DU28" s="532"/>
      <c r="DV28" s="532"/>
      <c r="DW28" s="532"/>
      <c r="DX28" s="532"/>
      <c r="DY28" s="532"/>
      <c r="DZ28" s="533">
        <v>13218</v>
      </c>
      <c r="EA28" s="533" t="s">
        <v>1484</v>
      </c>
      <c r="EB28" s="533" t="s">
        <v>1736</v>
      </c>
      <c r="EC28" s="533" t="s">
        <v>1707</v>
      </c>
      <c r="ED28" s="534" t="s">
        <v>13799</v>
      </c>
      <c r="EE28" s="533" t="s">
        <v>14336</v>
      </c>
      <c r="EF28" s="533" t="s">
        <v>1737</v>
      </c>
      <c r="EG28" s="533">
        <v>235</v>
      </c>
      <c r="EH28" s="533" t="s">
        <v>1738</v>
      </c>
      <c r="EI28" s="533" t="s">
        <v>1739</v>
      </c>
      <c r="EJ28" s="533" t="s">
        <v>1740</v>
      </c>
      <c r="EK28" s="533" t="s">
        <v>14337</v>
      </c>
      <c r="EL28" s="533"/>
      <c r="EM28" s="533" t="s">
        <v>1633</v>
      </c>
      <c r="EN28" s="533">
        <v>8506</v>
      </c>
      <c r="EO28" s="535"/>
      <c r="EP28" s="535"/>
      <c r="EQ28" s="535"/>
      <c r="ER28" s="536"/>
      <c r="ES28" s="537"/>
      <c r="ET28" s="538"/>
      <c r="EU28" s="526"/>
      <c r="EV28" s="526"/>
      <c r="EW28" s="526"/>
      <c r="EX28" s="526"/>
      <c r="EY28" s="526"/>
      <c r="EZ28" s="526"/>
      <c r="FA28" s="526"/>
      <c r="FB28" s="526"/>
      <c r="FC28" s="526"/>
      <c r="FD28" s="526"/>
      <c r="FE28" s="526"/>
      <c r="FF28" s="526"/>
      <c r="FG28" s="526"/>
      <c r="FH28" s="526"/>
      <c r="FI28" s="526"/>
      <c r="FJ28" s="526"/>
      <c r="FK28" s="526"/>
      <c r="FL28" s="526"/>
      <c r="FM28" s="526"/>
      <c r="FN28" s="526"/>
      <c r="FO28" s="526"/>
      <c r="FP28" s="526"/>
      <c r="FQ28" s="526"/>
      <c r="FR28" s="526"/>
      <c r="FS28" s="526"/>
      <c r="FT28" s="526"/>
      <c r="FU28" s="571">
        <v>1</v>
      </c>
    </row>
    <row r="29" spans="1:177" ht="18.75" customHeight="1">
      <c r="A29" s="115" t="str">
        <f>IF(A28=$DO$6,$DP$6,IF(A28=$DP$6,$DQ$6,IF(A28=$DQ$6,$DR$6,IF(A28=$DR$6,$DS$6,IF(A28=$DS$6,$DT$6,IF(A28=$DT$6,$DU$6,IF(A28=$DU$6,$DO$6)))))))</f>
        <v>SAB</v>
      </c>
      <c r="B29" s="274"/>
      <c r="C29" s="747">
        <v>2</v>
      </c>
      <c r="D29" s="873"/>
      <c r="E29" s="923"/>
      <c r="F29" s="924"/>
      <c r="G29" s="420"/>
      <c r="H29" s="420"/>
      <c r="I29" s="420"/>
      <c r="J29" s="420"/>
      <c r="K29" s="420"/>
      <c r="L29" s="420"/>
      <c r="M29" s="420"/>
      <c r="N29" s="420"/>
      <c r="O29" s="420"/>
      <c r="P29" s="420"/>
      <c r="Q29" s="421"/>
      <c r="R29" s="923"/>
      <c r="S29" s="924"/>
      <c r="T29" s="420"/>
      <c r="U29" s="642"/>
      <c r="V29" s="644"/>
      <c r="W29" s="422"/>
      <c r="X29" s="642"/>
      <c r="Y29" s="644"/>
      <c r="Z29" s="644"/>
      <c r="AA29" s="422"/>
      <c r="AB29" s="422"/>
      <c r="AC29" s="422"/>
      <c r="AD29" s="423"/>
      <c r="AE29" s="642"/>
      <c r="AF29" s="644"/>
      <c r="AG29" s="644"/>
      <c r="AH29" s="422"/>
      <c r="AI29" s="421"/>
      <c r="AJ29" s="424"/>
      <c r="AK29" s="542"/>
      <c r="AL29" s="420"/>
      <c r="AM29" s="420"/>
      <c r="AN29" s="422"/>
      <c r="AO29" s="422"/>
      <c r="AP29" s="422"/>
      <c r="AQ29" s="420"/>
      <c r="AR29" s="420"/>
      <c r="AS29" s="421"/>
      <c r="AT29" s="425"/>
      <c r="AU29" s="542"/>
      <c r="AV29" s="420"/>
      <c r="AW29" s="420"/>
      <c r="AX29" s="420"/>
      <c r="AY29" s="642"/>
      <c r="AZ29" s="642"/>
      <c r="BA29" s="644"/>
      <c r="BB29" s="644"/>
      <c r="BC29" s="644"/>
      <c r="BD29" s="644"/>
      <c r="BE29" s="642"/>
      <c r="BF29" s="644"/>
      <c r="BG29" s="644"/>
      <c r="BH29" s="423"/>
      <c r="BI29" s="422"/>
      <c r="BJ29" s="642"/>
      <c r="BK29" s="644"/>
      <c r="BL29" s="644"/>
      <c r="BM29" s="423"/>
      <c r="BN29" s="423"/>
      <c r="BO29" s="423"/>
      <c r="BP29" s="423"/>
      <c r="BQ29" s="426"/>
      <c r="BR29" s="401"/>
      <c r="BS29" s="392"/>
      <c r="BT29" s="392"/>
      <c r="BU29" s="392"/>
      <c r="BV29" s="392"/>
      <c r="BW29" s="391"/>
      <c r="BX29" s="238"/>
      <c r="BY29" s="1000">
        <f t="shared" ref="BY29:BY57" si="5">IF(OR(C29=$P$1,C29=$Q$1,C29=$R$1,C29=$S$1,C29=$T$1,C29=$U$1,C29=$V$1),0,IF(AND($L$15&gt;0,$E$59&gt;0,E29="",AND(A29&lt;&gt;"DOM",A29&lt;&gt;"SAB")),1,0))</f>
        <v>0</v>
      </c>
      <c r="BZ29" s="1001"/>
      <c r="CA29" s="394">
        <f t="shared" ref="CA29:CA58" si="6">IF(OR(C29=$P$1,C29=$Q$1,C29=$R$1,C29=$S$1,C29=$T$1,C29=$U$1,C29=$V$1),0,IF(AND($L$15&gt;0,$G$59&gt;0,G29="",AND(A29&lt;&gt;"DOM",A29&lt;&gt;"SAB")),1,0))</f>
        <v>0</v>
      </c>
      <c r="CB29" s="394">
        <f t="shared" ref="CB29:CB58" si="7">IF(OR(C29=$P$1,C29=$Q$1,C29=$R$1,C29=$S$1,C29=$T$1,C29=$U$1,C29=$V$1),0,IF(AND($L$15&gt;0,$H$59&gt;0,H29="",AND(A29&lt;&gt;"DOM",A29&lt;&gt;"SAB")),1,0))</f>
        <v>0</v>
      </c>
      <c r="CC29" s="394">
        <f t="shared" ref="CC29:CC58" si="8">IF(OR(C29=$P$1,C29=$Q$1,C29=$R$1,C29=$S$1,C29=$T$1,C29=$U$1,C29=$V$1),0,IF(AND($L$15&gt;0,$J$59&gt;0,J29="",AND(A29&lt;&gt;"DOM",A29&lt;&gt;"SAB")),1,0))</f>
        <v>0</v>
      </c>
      <c r="CD29" s="394">
        <f t="shared" ref="CD29:CD58" si="9">IF(OR(C29=$P$1,C29=$Q$1,C29=$R$1,C29=$S$1,C29=$T$1,C29=$U$1,C29=$V$1),0,IF(AND($L$15&gt;0,$K$59&gt;0,K29="",AND(A29&lt;&gt;"DOM",A29&lt;&gt;"SAB")),1,0))</f>
        <v>0</v>
      </c>
      <c r="CE29" s="394">
        <f t="shared" ref="CE29:CE58" si="10">IF(OR(C29=$P$1,C29=$Q$1,C29=$R$1,C29=$S$1,C29=$T$1,C29=$U$1,C29=$V$1),0,IF(AND($L$15&gt;0,$L$59&gt;0,L29="",AND(A29&lt;&gt;"DOM",A29&lt;&gt;"SAB")),1,0))</f>
        <v>0</v>
      </c>
      <c r="CF29" s="394">
        <f t="shared" ref="CF29:CF58" si="11">IF(OR(C29=$P$1,C29=$Q$1,C29=$R$1,C29=$S$1,C29=$T$1,C29=$U$1,C29=$V$1),0,IF(AND($L$15&gt;0,$M$59&gt;0,M29="",AND(A29&lt;&gt;"DOM",A29&lt;&gt;"SAB")),1,0))</f>
        <v>0</v>
      </c>
      <c r="CG29" s="394">
        <f t="shared" ref="CG29:CG58" si="12">IF(OR(C29=$P$1,C29=$Q$1,C29=$R$1,C29=$S$1,C29=$T$1,C29=$U$1,C29=$V$1),0,IF(AND($L$15&gt;0,$N$59&gt;0,N29="",AND(A29&lt;&gt;"DOM",A29&lt;&gt;"SAB")),1,0))</f>
        <v>0</v>
      </c>
      <c r="CH29" s="394">
        <f t="shared" ref="CH29:CH58" si="13">IF(OR(C29=$P$1,C29=$Q$1,C29=$R$1,C29=$S$1,C29=$T$1,C29=$U$1,C29=$V$1),0,IF(AND($L$15&gt;0,$O$59&gt;0,O29="",AND(A29&lt;&gt;"DOM",A29&lt;&gt;"SAB")),1,0))</f>
        <v>0</v>
      </c>
      <c r="CI29" s="394">
        <f t="shared" ref="CI29:CI58" si="14">IF(OR(C29=$P$1,C29=$Q$1,C29=$R$1,C29=$S$1,C29=$T$1,C29=$U$1,C29=$V$1),0,IF(AND($L$15&gt;0,$P$59&gt;0,P29="",AND(A29&lt;&gt;"DOM",A29&lt;&gt;"SAB")),1,0))</f>
        <v>0</v>
      </c>
      <c r="CJ29" s="394">
        <f t="shared" ref="CJ29:CJ58" si="15">IF(OR(C29=$P$1,C29=$Q$1,C29=$R$1,C29=$S$1,C29=$T$1,C29=$U$1,C29=$V$1),0,IF(AND($L$15&gt;0,$Q$59&gt;0,Q29="",AND(A29&lt;&gt;"DOM",A29&lt;&gt;"SAB")),1,0))</f>
        <v>0</v>
      </c>
      <c r="CK29" s="393">
        <f t="shared" ref="CK29:CK58" si="16">IF(OR(C29=$P$1,C29=$Q$1,C29=$R$1,C29=$S$1,C29=$T$1,C29=$U$1,C29=$V$1),0,IF(AND($L$16&gt;0,$R$59&gt;0,R29="",AND(A29&lt;&gt;"DOM",A29&lt;&gt;"SAB")),1,0))</f>
        <v>0</v>
      </c>
      <c r="CL29" s="394">
        <f t="shared" ref="CL29:CL58" si="17">IF(OR(C29=$P$1,C29=$Q$1,C29=$R$1,C29=$S$1,C29=$T$1,C29=$U$1,C29=$V$1),0,IF(AND($L$16&gt;0,$T$59&gt;0,T29="",AND(A29&lt;&gt;"DOM",A29&lt;&gt;"SAB")),1,0))</f>
        <v>0</v>
      </c>
      <c r="CM29" s="394">
        <f t="shared" ref="CM29:CM58" si="18">IF(OR(C29=$P$1,C29=$Q$1,C29=$R$1,C29=$S$1,C29=$T$1,C29=$U$1,C29=$V$1),0,IF(AND($L$16&gt;0,$U$59&gt;0,U29="",AND(A29&lt;&gt;"DOM",A29&lt;&gt;"SAB")),1,0))</f>
        <v>0</v>
      </c>
      <c r="CN29" s="394">
        <f t="shared" ref="CN29:CN58" si="19">IF(OR(C29=$P$1,C29=$Q$1,C29=$R$1,C29=$S$1,C29=$T$1,C29=$U$1,C29=$V$1),0,IF(AND($L$16&gt;0,$X$59&gt;0,X29="",AND(A29&lt;&gt;"DOM",A29&lt;&gt;"SAB")),1,0))</f>
        <v>0</v>
      </c>
      <c r="CO29" s="394">
        <f t="shared" ref="CO29:CO58" si="20">IF(OR(C29=$P$1,C29=$Q$1,C29=$R$1,C29=$S$1,C29=$T$1,C29=$U$1,C29=$V$1),0,IF(AND($L$16&gt;0,$AB$59&gt;0,AB29="",AND(A29&lt;&gt;"DOM",A29&lt;&gt;"SAB")),1,0))</f>
        <v>0</v>
      </c>
      <c r="CP29" s="394">
        <f t="shared" ref="CP29:CP58" si="21">IF(OR(C29=$P$1,C29=$Q$1,C29=$R$1,C29=$S$1,C29=$T$1,C29=$U$1,C29=$V$1),0,IF(AND($L$16&gt;0,$AE$59&gt;0,AE29="",AND(A29&lt;&gt;"DOM",A29&lt;&gt;"SAB")),1,0))</f>
        <v>0</v>
      </c>
      <c r="CQ29" s="394">
        <f t="shared" ref="CQ29:CQ58" si="22">IF(OR(C29=$P$1,C29=$Q$1,C29=$R$1,C29=$S$1,C29=$T$1,C29=$U$1,C29=$V$1),0,IF(AND($L$16&gt;0,$AI$59&gt;0,AI29="",AND(A29&lt;&gt;"DOM",A29&lt;&gt;"SAB")),1,0))</f>
        <v>0</v>
      </c>
      <c r="CR29" s="393">
        <f t="shared" ref="CR29:CR58" si="23">IF(OR(C29=$P$1,C29=$Q$1,C29=$R$1,C29=$S$1,C29=$T$1,C29=$U$1,C29=$V$1),0,IF(AND($L$17&gt;0,$AK$59&gt;0,AK29="",AND(A29&lt;&gt;"DOM",A29&lt;&gt;"SAB")),1,0))</f>
        <v>0</v>
      </c>
      <c r="CS29" s="394">
        <f t="shared" ref="CS29:CS58" si="24">IF(OR(C29=$P$1,C29=$Q$1,C29=$R$1,C29=$S$1,C29=$T$1,C29=$U$1,C29=$V$1),0,IF(AND($L$17&gt;0,$AL$59&gt;0,AL29="",AND(A29&lt;&gt;"DOM",A29&lt;&gt;"SAB")),1,0))</f>
        <v>0</v>
      </c>
      <c r="CT29" s="394">
        <f t="shared" ref="CT29:CT58" si="25">IF(OR(C29=$P$1,C29=$Q$1,C29=$R$1,C29=$S$1,C29=$T$1,C29=$U$1,C29=$V$1),0,IF(AND($L$17&gt;0,$AM$59&gt;0,AM29="",AND(A29&lt;&gt;"DOM",A29&lt;&gt;"SAB")),1,0))</f>
        <v>0</v>
      </c>
      <c r="CU29" s="394">
        <f t="shared" ref="CU29:CU58" si="26">IF(OR(C29=$P$1,C29=$Q$1,C29=$R$1,C29=$S$1,C29=$T$1,C29=$U$1,C29=$V$1),0,IF(AND($L$17&gt;0,$AO$59&gt;0,AO29="",AND(A29&lt;&gt;"DOM",A29&lt;&gt;"SAB")),1,0))</f>
        <v>0</v>
      </c>
      <c r="CV29" s="394">
        <f t="shared" ref="CV29:CV58" si="27">IF(OR(C29=$P$1,C29=$Q$1,C29=$R$1,C29=$S$1,C29=$T$1,C29=$U$1,C29=$V$1),0,IF(AND($L$17&gt;0,$AQ$59&gt;0,AQ29="",AND(A29&lt;&gt;"DOM",A29&lt;&gt;"SAB")),1,0))</f>
        <v>0</v>
      </c>
      <c r="CW29" s="394">
        <f t="shared" ref="CW29:CW58" si="28">IF(OR(C29=$P$1,C29=$Q$1,C29=$R$1,C29=$S$1,C29=$T$1,C29=$U$1,C29=$V$1),0,IF(AND($L$17&gt;0,$AS$59&gt;0,AS29="",AND(A29&lt;&gt;"DOM",A29&lt;&gt;"SAB")),1,0))</f>
        <v>0</v>
      </c>
      <c r="CX29" s="393">
        <f t="shared" ref="CX29:CX58" si="29">IF(OR(C29=$P$1,C29=$Q$1,C29=$R$1,C29=$S$1,C29=$T$1,C29=$U$1,C29=$V$1),0,IF(AND($L$18&gt;0,$AU$59&gt;0,AU29="",AND(A29&lt;&gt;"DOM",A29&lt;&gt;"SAB")),1,0))</f>
        <v>0</v>
      </c>
      <c r="CY29" s="394">
        <f t="shared" ref="CY29:CY58" si="30">IF(OR(C29=$P$1,C29=$Q$1,C29=$R$1,C29=$S$1,C29=$T$1,C29=$U$1,C29=$V$1),0,IF(AND($L$18&gt;0,$AW$59&gt;0,AW29="",AND(A29&lt;&gt;"DOM",A29&lt;&gt;"SAB")),1,0))</f>
        <v>0</v>
      </c>
      <c r="CZ29" s="394">
        <f t="shared" ref="CZ29:CZ58" si="31">IF(OR(C29=$P$1,C29=$Q$1,C29=$R$1,C29=$S$1,C29=$T$1,C29=$U$1,C29=$V$1),0,IF(AND($L$18&gt;0,$AY$59&gt;0,AY29="",AND(A29&lt;&gt;"DOM",A29&lt;&gt;"SAB")),1,0))</f>
        <v>0</v>
      </c>
      <c r="DA29" s="394">
        <f t="shared" ref="DA29:DA58" si="32">IF(OR(C29=$P$1,C29=$Q$1,C29=$R$1,C29=$S$1,C29=$T$1,C29=$U$1,C29=$V$1),0,IF(AND($L$18&gt;0,$BE$59&gt;0,BE29="",AND(A29&lt;&gt;"DOM",A29&lt;&gt;"SAB")),1,0))</f>
        <v>0</v>
      </c>
      <c r="DB29" s="394">
        <f t="shared" ref="DB29:DB58" si="33">IF(OR(C29=$P$1,C29=$Q$1,C29=$R$1,C29=$S$1,C29=$T$1,C29=$U$1,C29=$V$1),0,IF(AND($L$18&gt;0,$BI$59&gt;0,BI29="",AND(A29&lt;&gt;"DOM",A29&lt;&gt;"SAB")),1,0))</f>
        <v>0</v>
      </c>
      <c r="DC29" s="394">
        <f t="shared" ref="DC29:DC58" si="34">IF(OR(C29=$P$1,C29=$Q$1,C29=$R$1,C29=$S$1,C29=$T$1,C29=$U$1,C29=$V$1),0,IF(AND($L$18&gt;0,$BJ$59&gt;0,BJ29="",AND(A29&lt;&gt;"DOM",A29&lt;&gt;"SAB")),1,0))</f>
        <v>0</v>
      </c>
      <c r="DD29" s="394">
        <f t="shared" ref="DD29:DD58" si="35">IF(OR(C29=$P$1,C29=$Q$1,C29=$R$1,C29=$S$1,C29=$T$1,C29=$U$1,C29=$V$1),0,IF(AND($L$18&gt;0,$BQ$59&gt;0,BQ29="",AND(A29&lt;&gt;"DOM",A29&lt;&gt;"SAB")),1,0))</f>
        <v>0</v>
      </c>
      <c r="DE29" s="395">
        <f t="shared" si="1"/>
        <v>0</v>
      </c>
      <c r="DF29" s="395">
        <f t="shared" si="2"/>
        <v>0</v>
      </c>
      <c r="DG29" s="395">
        <f t="shared" si="3"/>
        <v>0</v>
      </c>
      <c r="DH29" s="395">
        <f t="shared" si="4"/>
        <v>0</v>
      </c>
      <c r="DI29" s="59"/>
      <c r="DJ29" s="59">
        <v>2024</v>
      </c>
      <c r="DK29" s="402" t="s">
        <v>25</v>
      </c>
      <c r="DL29" s="238"/>
      <c r="DM29" s="238"/>
      <c r="DN29" s="403"/>
      <c r="DO29" s="203"/>
      <c r="DP29" s="397"/>
      <c r="DQ29" s="397"/>
      <c r="DR29" s="397"/>
      <c r="DS29" s="397"/>
      <c r="DT29" s="397"/>
      <c r="DU29" s="397"/>
      <c r="DV29" s="397"/>
      <c r="DW29" s="397"/>
      <c r="DX29" s="397"/>
      <c r="DY29" s="397"/>
      <c r="DZ29" s="406">
        <v>13226</v>
      </c>
      <c r="EA29" s="406" t="s">
        <v>3387</v>
      </c>
      <c r="EB29" s="406" t="s">
        <v>3388</v>
      </c>
      <c r="EC29" s="406" t="s">
        <v>1707</v>
      </c>
      <c r="ED29" s="459" t="s">
        <v>13799</v>
      </c>
      <c r="EE29" s="406" t="s">
        <v>13841</v>
      </c>
      <c r="EF29" s="406" t="s">
        <v>3389</v>
      </c>
      <c r="EG29" s="406">
        <v>141</v>
      </c>
      <c r="EH29" s="406" t="s">
        <v>3390</v>
      </c>
      <c r="EI29" s="406" t="s">
        <v>3391</v>
      </c>
      <c r="EJ29" s="406" t="s">
        <v>3392</v>
      </c>
      <c r="EK29" s="406" t="s">
        <v>13842</v>
      </c>
      <c r="EL29" s="406"/>
      <c r="EM29" s="406" t="s">
        <v>1633</v>
      </c>
      <c r="EN29" s="406">
        <v>7238</v>
      </c>
      <c r="EO29" s="365"/>
      <c r="EP29" s="365"/>
      <c r="EQ29" s="366"/>
      <c r="ER29" s="399"/>
      <c r="ES29" s="400"/>
      <c r="ET29" s="196"/>
      <c r="EU29" s="238"/>
      <c r="EV29" s="238"/>
      <c r="EW29" s="238"/>
      <c r="EX29" s="238"/>
      <c r="EY29" s="238"/>
      <c r="EZ29" s="238"/>
      <c r="FA29" s="238"/>
      <c r="FB29" s="238"/>
      <c r="FC29" s="238"/>
      <c r="FD29" s="238"/>
      <c r="FE29" s="238"/>
      <c r="FF29" s="238"/>
      <c r="FG29" s="238"/>
      <c r="FH29" s="238"/>
      <c r="FI29" s="238"/>
      <c r="FJ29" s="238"/>
      <c r="FK29" s="238"/>
      <c r="FL29" s="238"/>
      <c r="FM29" s="238"/>
      <c r="FN29" s="238"/>
      <c r="FO29" s="238"/>
      <c r="FP29" s="238"/>
      <c r="FQ29" s="238"/>
      <c r="FR29" s="238"/>
      <c r="FS29" s="238"/>
      <c r="FT29" s="238"/>
      <c r="FU29" s="572">
        <v>2</v>
      </c>
    </row>
    <row r="30" spans="1:177" ht="18.75" customHeight="1">
      <c r="A30" s="115" t="str">
        <f t="shared" ref="A30:A58" si="36">IF(A29=$DO$6,$DP$6,IF(A29=$DP$6,$DQ$6,IF(A29=$DQ$6,$DR$6,IF(A29=$DR$6,$DS$6,IF(A29=$DS$6,$DT$6,IF(A29=$DT$6,$DU$6,IF(A29=$DU$6,$DO$6)))))))</f>
        <v>DOM</v>
      </c>
      <c r="B30" s="274"/>
      <c r="C30" s="747">
        <v>3</v>
      </c>
      <c r="D30" s="873"/>
      <c r="E30" s="923"/>
      <c r="F30" s="924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1"/>
      <c r="R30" s="923"/>
      <c r="S30" s="924"/>
      <c r="T30" s="420"/>
      <c r="U30" s="642"/>
      <c r="V30" s="644"/>
      <c r="W30" s="422"/>
      <c r="X30" s="642"/>
      <c r="Y30" s="644"/>
      <c r="Z30" s="644"/>
      <c r="AA30" s="422"/>
      <c r="AB30" s="422"/>
      <c r="AC30" s="422"/>
      <c r="AD30" s="423"/>
      <c r="AE30" s="642"/>
      <c r="AF30" s="644"/>
      <c r="AG30" s="644"/>
      <c r="AH30" s="422"/>
      <c r="AI30" s="421"/>
      <c r="AJ30" s="424"/>
      <c r="AK30" s="542"/>
      <c r="AL30" s="420"/>
      <c r="AM30" s="420"/>
      <c r="AN30" s="422"/>
      <c r="AO30" s="422"/>
      <c r="AP30" s="422"/>
      <c r="AQ30" s="420"/>
      <c r="AR30" s="420"/>
      <c r="AS30" s="421"/>
      <c r="AT30" s="425"/>
      <c r="AU30" s="542"/>
      <c r="AV30" s="420"/>
      <c r="AW30" s="420"/>
      <c r="AX30" s="420"/>
      <c r="AY30" s="642"/>
      <c r="AZ30" s="642"/>
      <c r="BA30" s="644"/>
      <c r="BB30" s="644"/>
      <c r="BC30" s="644"/>
      <c r="BD30" s="644"/>
      <c r="BE30" s="642"/>
      <c r="BF30" s="644"/>
      <c r="BG30" s="644"/>
      <c r="BH30" s="423"/>
      <c r="BI30" s="422"/>
      <c r="BJ30" s="642"/>
      <c r="BK30" s="644"/>
      <c r="BL30" s="644"/>
      <c r="BM30" s="423"/>
      <c r="BN30" s="423"/>
      <c r="BO30" s="423"/>
      <c r="BP30" s="423"/>
      <c r="BQ30" s="426"/>
      <c r="BR30" s="285"/>
      <c r="BS30" s="282"/>
      <c r="BT30" s="282"/>
      <c r="BU30" s="282"/>
      <c r="BV30" s="282"/>
      <c r="BW30" s="284"/>
      <c r="BY30" s="1000">
        <f t="shared" si="5"/>
        <v>0</v>
      </c>
      <c r="BZ30" s="1001"/>
      <c r="CA30" s="324">
        <f t="shared" si="6"/>
        <v>0</v>
      </c>
      <c r="CB30" s="324">
        <f t="shared" si="7"/>
        <v>0</v>
      </c>
      <c r="CC30" s="324">
        <f t="shared" si="8"/>
        <v>0</v>
      </c>
      <c r="CD30" s="324">
        <f t="shared" si="9"/>
        <v>0</v>
      </c>
      <c r="CE30" s="324">
        <f t="shared" si="10"/>
        <v>0</v>
      </c>
      <c r="CF30" s="324">
        <f t="shared" si="11"/>
        <v>0</v>
      </c>
      <c r="CG30" s="324">
        <f t="shared" si="12"/>
        <v>0</v>
      </c>
      <c r="CH30" s="324">
        <f t="shared" si="13"/>
        <v>0</v>
      </c>
      <c r="CI30" s="324">
        <f t="shared" si="14"/>
        <v>0</v>
      </c>
      <c r="CJ30" s="324">
        <f t="shared" si="15"/>
        <v>0</v>
      </c>
      <c r="CK30" s="325">
        <f t="shared" si="16"/>
        <v>0</v>
      </c>
      <c r="CL30" s="324">
        <f t="shared" si="17"/>
        <v>0</v>
      </c>
      <c r="CM30" s="324">
        <f t="shared" si="18"/>
        <v>0</v>
      </c>
      <c r="CN30" s="324">
        <f t="shared" si="19"/>
        <v>0</v>
      </c>
      <c r="CO30" s="256">
        <f t="shared" si="20"/>
        <v>0</v>
      </c>
      <c r="CP30" s="256">
        <f t="shared" si="21"/>
        <v>0</v>
      </c>
      <c r="CQ30" s="256">
        <f t="shared" si="22"/>
        <v>0</v>
      </c>
      <c r="CR30" s="325">
        <f t="shared" si="23"/>
        <v>0</v>
      </c>
      <c r="CS30" s="324">
        <f t="shared" si="24"/>
        <v>0</v>
      </c>
      <c r="CT30" s="324">
        <f t="shared" si="25"/>
        <v>0</v>
      </c>
      <c r="CU30" s="256">
        <f t="shared" si="26"/>
        <v>0</v>
      </c>
      <c r="CV30" s="256">
        <f t="shared" si="27"/>
        <v>0</v>
      </c>
      <c r="CW30" s="256">
        <f t="shared" si="28"/>
        <v>0</v>
      </c>
      <c r="CX30" s="325">
        <f t="shared" si="29"/>
        <v>0</v>
      </c>
      <c r="CY30" s="324">
        <f t="shared" si="30"/>
        <v>0</v>
      </c>
      <c r="CZ30" s="324">
        <f t="shared" si="31"/>
        <v>0</v>
      </c>
      <c r="DA30" s="324">
        <f t="shared" si="32"/>
        <v>0</v>
      </c>
      <c r="DB30" s="256">
        <f t="shared" si="33"/>
        <v>0</v>
      </c>
      <c r="DC30" s="256">
        <f t="shared" si="34"/>
        <v>0</v>
      </c>
      <c r="DD30" s="256">
        <f t="shared" si="35"/>
        <v>0</v>
      </c>
      <c r="DE30" s="329">
        <f t="shared" si="1"/>
        <v>0</v>
      </c>
      <c r="DF30" s="329">
        <f t="shared" si="2"/>
        <v>0</v>
      </c>
      <c r="DG30" s="329">
        <f t="shared" si="3"/>
        <v>0</v>
      </c>
      <c r="DH30" s="329">
        <f t="shared" si="4"/>
        <v>0</v>
      </c>
      <c r="DI30" s="59"/>
      <c r="DJ30" s="59">
        <v>2012</v>
      </c>
      <c r="DK30" s="117" t="s">
        <v>28</v>
      </c>
      <c r="DN30" s="88"/>
      <c r="DO30" s="79"/>
      <c r="DP30" s="116"/>
      <c r="DQ30" s="116"/>
      <c r="DR30" s="116"/>
      <c r="DS30" s="116"/>
      <c r="DT30" s="116"/>
      <c r="DU30" s="116"/>
      <c r="DV30" s="116"/>
      <c r="DW30" s="116"/>
      <c r="DX30" s="116"/>
      <c r="DY30" s="116"/>
      <c r="DZ30" s="372">
        <v>13315</v>
      </c>
      <c r="EA30" s="372" t="s">
        <v>1484</v>
      </c>
      <c r="EB30" s="372" t="s">
        <v>1741</v>
      </c>
      <c r="EC30" s="372" t="s">
        <v>1626</v>
      </c>
      <c r="ED30" s="447" t="s">
        <v>13763</v>
      </c>
      <c r="EE30" s="372" t="s">
        <v>13956</v>
      </c>
      <c r="EF30" s="372" t="s">
        <v>1742</v>
      </c>
      <c r="EG30" s="372">
        <v>303</v>
      </c>
      <c r="EH30" s="372" t="s">
        <v>1743</v>
      </c>
      <c r="EI30" s="372" t="s">
        <v>1744</v>
      </c>
      <c r="EJ30" s="372" t="s">
        <v>1745</v>
      </c>
      <c r="EK30" s="372" t="s">
        <v>1746</v>
      </c>
      <c r="EL30" s="372" t="s">
        <v>1746</v>
      </c>
      <c r="EM30" s="372" t="s">
        <v>1633</v>
      </c>
      <c r="EN30" s="372">
        <v>8569</v>
      </c>
      <c r="EO30" s="366"/>
      <c r="EP30" s="366"/>
      <c r="EQ30" s="366"/>
      <c r="ER30" s="193"/>
      <c r="ES30" s="219"/>
      <c r="ET30" s="194"/>
      <c r="FU30" s="572">
        <v>3</v>
      </c>
    </row>
    <row r="31" spans="1:177" ht="18.75" customHeight="1">
      <c r="A31" s="115" t="str">
        <f t="shared" si="36"/>
        <v>SEG</v>
      </c>
      <c r="B31" s="274"/>
      <c r="C31" s="747">
        <v>4</v>
      </c>
      <c r="D31" s="873"/>
      <c r="E31" s="923"/>
      <c r="F31" s="924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1"/>
      <c r="R31" s="645">
        <v>225</v>
      </c>
      <c r="S31" s="644"/>
      <c r="T31" s="420"/>
      <c r="U31" s="642">
        <v>214</v>
      </c>
      <c r="V31" s="644"/>
      <c r="W31" s="422"/>
      <c r="X31" s="642">
        <v>225</v>
      </c>
      <c r="Y31" s="644"/>
      <c r="Z31" s="644"/>
      <c r="AA31" s="422"/>
      <c r="AB31" s="422">
        <v>25</v>
      </c>
      <c r="AC31" s="422"/>
      <c r="AD31" s="423"/>
      <c r="AE31" s="642">
        <v>225</v>
      </c>
      <c r="AF31" s="644"/>
      <c r="AG31" s="644"/>
      <c r="AH31" s="422"/>
      <c r="AI31" s="421">
        <v>28</v>
      </c>
      <c r="AJ31" s="424"/>
      <c r="AK31" s="542"/>
      <c r="AL31" s="420"/>
      <c r="AM31" s="420"/>
      <c r="AN31" s="422"/>
      <c r="AO31" s="422"/>
      <c r="AP31" s="422"/>
      <c r="AQ31" s="420"/>
      <c r="AR31" s="420"/>
      <c r="AS31" s="421"/>
      <c r="AT31" s="425"/>
      <c r="AU31" s="542">
        <v>231</v>
      </c>
      <c r="AV31" s="420"/>
      <c r="AW31" s="420"/>
      <c r="AX31" s="420"/>
      <c r="AY31" s="642">
        <v>226</v>
      </c>
      <c r="AZ31" s="642"/>
      <c r="BA31" s="644"/>
      <c r="BB31" s="644"/>
      <c r="BC31" s="644"/>
      <c r="BD31" s="644"/>
      <c r="BE31" s="642">
        <v>231</v>
      </c>
      <c r="BF31" s="644"/>
      <c r="BG31" s="644"/>
      <c r="BH31" s="423"/>
      <c r="BI31" s="422">
        <v>30</v>
      </c>
      <c r="BJ31" s="642">
        <v>231</v>
      </c>
      <c r="BK31" s="644"/>
      <c r="BL31" s="644"/>
      <c r="BM31" s="423"/>
      <c r="BN31" s="423"/>
      <c r="BO31" s="423"/>
      <c r="BP31" s="423"/>
      <c r="BQ31" s="426">
        <v>30</v>
      </c>
      <c r="BR31" s="285"/>
      <c r="BS31" s="282"/>
      <c r="BT31" s="282"/>
      <c r="BU31" s="282"/>
      <c r="BV31" s="282"/>
      <c r="BW31" s="284"/>
      <c r="BY31" s="1000">
        <f t="shared" si="5"/>
        <v>0</v>
      </c>
      <c r="BZ31" s="1001"/>
      <c r="CA31" s="324">
        <f t="shared" si="6"/>
        <v>0</v>
      </c>
      <c r="CB31" s="324">
        <f t="shared" si="7"/>
        <v>0</v>
      </c>
      <c r="CC31" s="324">
        <f t="shared" si="8"/>
        <v>0</v>
      </c>
      <c r="CD31" s="324">
        <f t="shared" si="9"/>
        <v>0</v>
      </c>
      <c r="CE31" s="324">
        <f t="shared" si="10"/>
        <v>0</v>
      </c>
      <c r="CF31" s="324">
        <f t="shared" si="11"/>
        <v>0</v>
      </c>
      <c r="CG31" s="324">
        <f t="shared" si="12"/>
        <v>0</v>
      </c>
      <c r="CH31" s="324">
        <f t="shared" si="13"/>
        <v>0</v>
      </c>
      <c r="CI31" s="324">
        <f t="shared" si="14"/>
        <v>0</v>
      </c>
      <c r="CJ31" s="324">
        <f t="shared" si="15"/>
        <v>0</v>
      </c>
      <c r="CK31" s="325">
        <f t="shared" si="16"/>
        <v>0</v>
      </c>
      <c r="CL31" s="324">
        <f t="shared" si="17"/>
        <v>0</v>
      </c>
      <c r="CM31" s="324">
        <f t="shared" si="18"/>
        <v>0</v>
      </c>
      <c r="CN31" s="324">
        <f t="shared" si="19"/>
        <v>0</v>
      </c>
      <c r="CO31" s="256">
        <f t="shared" si="20"/>
        <v>0</v>
      </c>
      <c r="CP31" s="256">
        <f t="shared" si="21"/>
        <v>0</v>
      </c>
      <c r="CQ31" s="256">
        <f t="shared" si="22"/>
        <v>0</v>
      </c>
      <c r="CR31" s="325">
        <f t="shared" si="23"/>
        <v>0</v>
      </c>
      <c r="CS31" s="324">
        <f t="shared" si="24"/>
        <v>0</v>
      </c>
      <c r="CT31" s="324">
        <f t="shared" si="25"/>
        <v>0</v>
      </c>
      <c r="CU31" s="256">
        <f t="shared" si="26"/>
        <v>0</v>
      </c>
      <c r="CV31" s="256">
        <f t="shared" si="27"/>
        <v>0</v>
      </c>
      <c r="CW31" s="256">
        <f t="shared" si="28"/>
        <v>0</v>
      </c>
      <c r="CX31" s="325">
        <f t="shared" si="29"/>
        <v>0</v>
      </c>
      <c r="CY31" s="324">
        <f t="shared" si="30"/>
        <v>0</v>
      </c>
      <c r="CZ31" s="324">
        <f t="shared" si="31"/>
        <v>0</v>
      </c>
      <c r="DA31" s="324">
        <f t="shared" si="32"/>
        <v>0</v>
      </c>
      <c r="DB31" s="256">
        <f t="shared" si="33"/>
        <v>0</v>
      </c>
      <c r="DC31" s="256">
        <f t="shared" si="34"/>
        <v>0</v>
      </c>
      <c r="DD31" s="256">
        <f t="shared" si="35"/>
        <v>0</v>
      </c>
      <c r="DE31" s="329">
        <f t="shared" si="1"/>
        <v>0</v>
      </c>
      <c r="DF31" s="329">
        <f t="shared" si="2"/>
        <v>0</v>
      </c>
      <c r="DG31" s="329">
        <f t="shared" si="3"/>
        <v>0</v>
      </c>
      <c r="DH31" s="329">
        <f t="shared" si="4"/>
        <v>0</v>
      </c>
      <c r="DI31" s="59"/>
      <c r="DJ31" s="59">
        <v>2022</v>
      </c>
      <c r="DK31" s="117" t="s">
        <v>28</v>
      </c>
      <c r="DN31" s="88"/>
      <c r="DO31" s="79"/>
      <c r="DP31" s="116"/>
      <c r="DQ31" s="116"/>
      <c r="DR31" s="116"/>
      <c r="DS31" s="116"/>
      <c r="DT31" s="116"/>
      <c r="DU31" s="116"/>
      <c r="DV31" s="116"/>
      <c r="DW31" s="116"/>
      <c r="DX31" s="116"/>
      <c r="DY31" s="116"/>
      <c r="DZ31" s="372">
        <v>13358</v>
      </c>
      <c r="EA31" s="372" t="s">
        <v>1484</v>
      </c>
      <c r="EB31" s="372" t="s">
        <v>1747</v>
      </c>
      <c r="EC31" s="372" t="s">
        <v>1640</v>
      </c>
      <c r="ED31" s="372" t="s">
        <v>1641</v>
      </c>
      <c r="EE31" s="372" t="s">
        <v>14231</v>
      </c>
      <c r="EF31" s="372" t="s">
        <v>1748</v>
      </c>
      <c r="EG31" s="372">
        <v>240</v>
      </c>
      <c r="EH31" s="372" t="s">
        <v>1749</v>
      </c>
      <c r="EI31" s="372" t="s">
        <v>1750</v>
      </c>
      <c r="EJ31" s="372" t="s">
        <v>1751</v>
      </c>
      <c r="EK31" s="372" t="s">
        <v>14232</v>
      </c>
      <c r="EL31" s="372" t="s">
        <v>1752</v>
      </c>
      <c r="EM31" s="372" t="s">
        <v>1633</v>
      </c>
      <c r="EN31" s="372">
        <v>8571</v>
      </c>
      <c r="EO31" s="367"/>
      <c r="EP31" s="367"/>
      <c r="EQ31" s="367"/>
      <c r="ER31" s="193"/>
      <c r="ES31" s="219"/>
      <c r="ET31" s="194"/>
      <c r="FU31" s="572">
        <v>4</v>
      </c>
    </row>
    <row r="32" spans="1:177" ht="18.75" customHeight="1">
      <c r="A32" s="115" t="str">
        <f t="shared" si="36"/>
        <v>TER</v>
      </c>
      <c r="B32" s="274"/>
      <c r="C32" s="747">
        <v>5</v>
      </c>
      <c r="D32" s="873"/>
      <c r="E32" s="923"/>
      <c r="F32" s="924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1"/>
      <c r="R32" s="645">
        <v>234</v>
      </c>
      <c r="S32" s="644"/>
      <c r="T32" s="420"/>
      <c r="U32" s="642">
        <v>222</v>
      </c>
      <c r="V32" s="644"/>
      <c r="W32" s="422"/>
      <c r="X32" s="642">
        <v>234</v>
      </c>
      <c r="Y32" s="644"/>
      <c r="Z32" s="644"/>
      <c r="AA32" s="422"/>
      <c r="AB32" s="422">
        <v>38</v>
      </c>
      <c r="AC32" s="422"/>
      <c r="AD32" s="423"/>
      <c r="AE32" s="642">
        <v>234</v>
      </c>
      <c r="AF32" s="644"/>
      <c r="AG32" s="644"/>
      <c r="AH32" s="422"/>
      <c r="AI32" s="421">
        <v>30</v>
      </c>
      <c r="AJ32" s="424"/>
      <c r="AK32" s="542"/>
      <c r="AL32" s="420"/>
      <c r="AM32" s="420"/>
      <c r="AN32" s="422"/>
      <c r="AO32" s="422"/>
      <c r="AP32" s="422"/>
      <c r="AQ32" s="420"/>
      <c r="AR32" s="420"/>
      <c r="AS32" s="421"/>
      <c r="AT32" s="425"/>
      <c r="AU32" s="542">
        <v>240</v>
      </c>
      <c r="AV32" s="420"/>
      <c r="AW32" s="420"/>
      <c r="AX32" s="420"/>
      <c r="AY32" s="642">
        <v>234</v>
      </c>
      <c r="AZ32" s="642"/>
      <c r="BA32" s="644"/>
      <c r="BB32" s="644"/>
      <c r="BC32" s="644"/>
      <c r="BD32" s="644"/>
      <c r="BE32" s="642">
        <v>240</v>
      </c>
      <c r="BF32" s="644"/>
      <c r="BG32" s="644"/>
      <c r="BH32" s="423"/>
      <c r="BI32" s="422">
        <v>46</v>
      </c>
      <c r="BJ32" s="642">
        <v>240</v>
      </c>
      <c r="BK32" s="644"/>
      <c r="BL32" s="644"/>
      <c r="BM32" s="423"/>
      <c r="BN32" s="423"/>
      <c r="BO32" s="423"/>
      <c r="BP32" s="423"/>
      <c r="BQ32" s="426">
        <v>39</v>
      </c>
      <c r="BR32" s="285"/>
      <c r="BS32" s="282"/>
      <c r="BT32" s="282"/>
      <c r="BU32" s="282"/>
      <c r="BV32" s="282"/>
      <c r="BW32" s="284"/>
      <c r="BY32" s="1000">
        <f t="shared" si="5"/>
        <v>0</v>
      </c>
      <c r="BZ32" s="1001"/>
      <c r="CA32" s="324">
        <f t="shared" si="6"/>
        <v>0</v>
      </c>
      <c r="CB32" s="324">
        <f t="shared" si="7"/>
        <v>0</v>
      </c>
      <c r="CC32" s="324">
        <f t="shared" si="8"/>
        <v>0</v>
      </c>
      <c r="CD32" s="324">
        <f t="shared" si="9"/>
        <v>0</v>
      </c>
      <c r="CE32" s="324">
        <f t="shared" si="10"/>
        <v>0</v>
      </c>
      <c r="CF32" s="324">
        <f t="shared" si="11"/>
        <v>0</v>
      </c>
      <c r="CG32" s="324">
        <f t="shared" si="12"/>
        <v>0</v>
      </c>
      <c r="CH32" s="324">
        <f t="shared" si="13"/>
        <v>0</v>
      </c>
      <c r="CI32" s="324">
        <f t="shared" si="14"/>
        <v>0</v>
      </c>
      <c r="CJ32" s="324">
        <f t="shared" si="15"/>
        <v>0</v>
      </c>
      <c r="CK32" s="325">
        <f t="shared" si="16"/>
        <v>0</v>
      </c>
      <c r="CL32" s="324">
        <f t="shared" si="17"/>
        <v>0</v>
      </c>
      <c r="CM32" s="324">
        <f t="shared" si="18"/>
        <v>0</v>
      </c>
      <c r="CN32" s="324">
        <f t="shared" si="19"/>
        <v>0</v>
      </c>
      <c r="CO32" s="256">
        <f t="shared" si="20"/>
        <v>0</v>
      </c>
      <c r="CP32" s="256">
        <f t="shared" si="21"/>
        <v>0</v>
      </c>
      <c r="CQ32" s="256">
        <f t="shared" si="22"/>
        <v>0</v>
      </c>
      <c r="CR32" s="325">
        <f t="shared" si="23"/>
        <v>0</v>
      </c>
      <c r="CS32" s="324">
        <f t="shared" si="24"/>
        <v>0</v>
      </c>
      <c r="CT32" s="324">
        <f t="shared" si="25"/>
        <v>0</v>
      </c>
      <c r="CU32" s="256">
        <f t="shared" si="26"/>
        <v>0</v>
      </c>
      <c r="CV32" s="256">
        <f t="shared" si="27"/>
        <v>0</v>
      </c>
      <c r="CW32" s="256">
        <f t="shared" si="28"/>
        <v>0</v>
      </c>
      <c r="CX32" s="325">
        <f t="shared" si="29"/>
        <v>0</v>
      </c>
      <c r="CY32" s="324">
        <f t="shared" si="30"/>
        <v>0</v>
      </c>
      <c r="CZ32" s="324">
        <f t="shared" si="31"/>
        <v>0</v>
      </c>
      <c r="DA32" s="324">
        <f t="shared" si="32"/>
        <v>0</v>
      </c>
      <c r="DB32" s="256">
        <f t="shared" si="33"/>
        <v>0</v>
      </c>
      <c r="DC32" s="256">
        <f t="shared" si="34"/>
        <v>0</v>
      </c>
      <c r="DD32" s="256">
        <f t="shared" si="35"/>
        <v>0</v>
      </c>
      <c r="DE32" s="329">
        <f t="shared" si="1"/>
        <v>0</v>
      </c>
      <c r="DF32" s="329">
        <f t="shared" si="2"/>
        <v>0</v>
      </c>
      <c r="DG32" s="329">
        <f t="shared" si="3"/>
        <v>0</v>
      </c>
      <c r="DH32" s="329">
        <f t="shared" si="4"/>
        <v>0</v>
      </c>
      <c r="DI32" s="62"/>
      <c r="DJ32" s="59">
        <v>2022</v>
      </c>
      <c r="DK32" s="60" t="s">
        <v>27</v>
      </c>
      <c r="DN32" s="88"/>
      <c r="DO32" s="79"/>
      <c r="DP32" s="116"/>
      <c r="DQ32" s="116"/>
      <c r="DR32" s="116"/>
      <c r="DS32" s="116"/>
      <c r="DT32" s="116"/>
      <c r="DU32" s="116"/>
      <c r="DV32" s="116"/>
      <c r="DW32" s="116"/>
      <c r="DX32" s="116"/>
      <c r="DY32" s="116"/>
      <c r="DZ32" s="372">
        <v>13447</v>
      </c>
      <c r="EA32" s="469" t="s">
        <v>1484</v>
      </c>
      <c r="EB32" s="372" t="s">
        <v>1753</v>
      </c>
      <c r="EC32" s="469" t="s">
        <v>1654</v>
      </c>
      <c r="ED32" s="372" t="s">
        <v>13774</v>
      </c>
      <c r="EE32" s="372" t="s">
        <v>14678</v>
      </c>
      <c r="EF32" s="469" t="s">
        <v>1754</v>
      </c>
      <c r="EG32" s="469">
        <v>156</v>
      </c>
      <c r="EH32" s="469" t="s">
        <v>1755</v>
      </c>
      <c r="EI32" s="371" t="s">
        <v>1756</v>
      </c>
      <c r="EJ32" s="469" t="s">
        <v>1757</v>
      </c>
      <c r="EK32" s="469" t="s">
        <v>14679</v>
      </c>
      <c r="EL32" s="469" t="s">
        <v>1758</v>
      </c>
      <c r="EM32" s="450" t="s">
        <v>7010</v>
      </c>
      <c r="EN32" s="470">
        <v>11326</v>
      </c>
      <c r="EO32" s="366"/>
      <c r="EP32" s="366"/>
      <c r="EQ32" s="366"/>
      <c r="ER32" s="193"/>
      <c r="ES32" s="219"/>
      <c r="ET32" s="194"/>
      <c r="FU32" s="572">
        <v>5</v>
      </c>
    </row>
    <row r="33" spans="1:177" ht="18.75" customHeight="1">
      <c r="A33" s="115" t="str">
        <f t="shared" si="36"/>
        <v>QUA</v>
      </c>
      <c r="B33" s="274"/>
      <c r="C33" s="874">
        <v>6</v>
      </c>
      <c r="D33" s="873"/>
      <c r="E33" s="923"/>
      <c r="F33" s="924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1"/>
      <c r="R33" s="645">
        <v>217</v>
      </c>
      <c r="S33" s="644"/>
      <c r="T33" s="420"/>
      <c r="U33" s="642">
        <v>206</v>
      </c>
      <c r="V33" s="644"/>
      <c r="W33" s="422"/>
      <c r="X33" s="642">
        <v>217</v>
      </c>
      <c r="Y33" s="644"/>
      <c r="Z33" s="644"/>
      <c r="AA33" s="422"/>
      <c r="AB33" s="422">
        <v>30</v>
      </c>
      <c r="AC33" s="422"/>
      <c r="AD33" s="423"/>
      <c r="AE33" s="642">
        <v>217</v>
      </c>
      <c r="AF33" s="644"/>
      <c r="AG33" s="644"/>
      <c r="AH33" s="422"/>
      <c r="AI33" s="421">
        <v>40</v>
      </c>
      <c r="AJ33" s="427"/>
      <c r="AK33" s="542"/>
      <c r="AL33" s="420"/>
      <c r="AM33" s="420"/>
      <c r="AN33" s="422"/>
      <c r="AO33" s="422"/>
      <c r="AP33" s="422"/>
      <c r="AQ33" s="420"/>
      <c r="AR33" s="420"/>
      <c r="AS33" s="421"/>
      <c r="AT33" s="425"/>
      <c r="AU33" s="542">
        <v>235</v>
      </c>
      <c r="AV33" s="420"/>
      <c r="AW33" s="420"/>
      <c r="AX33" s="420"/>
      <c r="AY33" s="642">
        <v>229</v>
      </c>
      <c r="AZ33" s="642"/>
      <c r="BA33" s="644"/>
      <c r="BB33" s="644"/>
      <c r="BC33" s="644"/>
      <c r="BD33" s="644"/>
      <c r="BE33" s="642">
        <v>235</v>
      </c>
      <c r="BF33" s="644"/>
      <c r="BG33" s="644"/>
      <c r="BH33" s="423"/>
      <c r="BI33" s="422">
        <v>38</v>
      </c>
      <c r="BJ33" s="642">
        <v>235</v>
      </c>
      <c r="BK33" s="644"/>
      <c r="BL33" s="644"/>
      <c r="BM33" s="423"/>
      <c r="BN33" s="423"/>
      <c r="BO33" s="423"/>
      <c r="BP33" s="423"/>
      <c r="BQ33" s="426">
        <v>45</v>
      </c>
      <c r="BR33" s="285"/>
      <c r="BS33" s="282"/>
      <c r="BT33" s="282"/>
      <c r="BU33" s="282"/>
      <c r="BV33" s="282"/>
      <c r="BW33" s="284"/>
      <c r="BY33" s="1000">
        <f t="shared" si="5"/>
        <v>0</v>
      </c>
      <c r="BZ33" s="1001"/>
      <c r="CA33" s="324">
        <f t="shared" si="6"/>
        <v>0</v>
      </c>
      <c r="CB33" s="324">
        <f t="shared" si="7"/>
        <v>0</v>
      </c>
      <c r="CC33" s="324">
        <f t="shared" si="8"/>
        <v>0</v>
      </c>
      <c r="CD33" s="324">
        <f t="shared" si="9"/>
        <v>0</v>
      </c>
      <c r="CE33" s="324">
        <f t="shared" si="10"/>
        <v>0</v>
      </c>
      <c r="CF33" s="324">
        <f t="shared" si="11"/>
        <v>0</v>
      </c>
      <c r="CG33" s="324">
        <f t="shared" si="12"/>
        <v>0</v>
      </c>
      <c r="CH33" s="324">
        <f t="shared" si="13"/>
        <v>0</v>
      </c>
      <c r="CI33" s="324">
        <f t="shared" si="14"/>
        <v>0</v>
      </c>
      <c r="CJ33" s="324">
        <f t="shared" si="15"/>
        <v>0</v>
      </c>
      <c r="CK33" s="325">
        <f t="shared" si="16"/>
        <v>0</v>
      </c>
      <c r="CL33" s="324">
        <f t="shared" si="17"/>
        <v>0</v>
      </c>
      <c r="CM33" s="324">
        <f t="shared" si="18"/>
        <v>0</v>
      </c>
      <c r="CN33" s="324">
        <f t="shared" si="19"/>
        <v>0</v>
      </c>
      <c r="CO33" s="256">
        <f t="shared" si="20"/>
        <v>0</v>
      </c>
      <c r="CP33" s="256">
        <f t="shared" si="21"/>
        <v>0</v>
      </c>
      <c r="CQ33" s="256">
        <f t="shared" si="22"/>
        <v>0</v>
      </c>
      <c r="CR33" s="325">
        <f t="shared" si="23"/>
        <v>0</v>
      </c>
      <c r="CS33" s="324">
        <f t="shared" si="24"/>
        <v>0</v>
      </c>
      <c r="CT33" s="324">
        <f t="shared" si="25"/>
        <v>0</v>
      </c>
      <c r="CU33" s="256">
        <f t="shared" si="26"/>
        <v>0</v>
      </c>
      <c r="CV33" s="256">
        <f t="shared" si="27"/>
        <v>0</v>
      </c>
      <c r="CW33" s="256">
        <f t="shared" si="28"/>
        <v>0</v>
      </c>
      <c r="CX33" s="325">
        <f t="shared" si="29"/>
        <v>0</v>
      </c>
      <c r="CY33" s="324">
        <f t="shared" si="30"/>
        <v>0</v>
      </c>
      <c r="CZ33" s="324">
        <f t="shared" si="31"/>
        <v>0</v>
      </c>
      <c r="DA33" s="324">
        <f t="shared" si="32"/>
        <v>0</v>
      </c>
      <c r="DB33" s="256">
        <f t="shared" si="33"/>
        <v>0</v>
      </c>
      <c r="DC33" s="256">
        <f t="shared" si="34"/>
        <v>0</v>
      </c>
      <c r="DD33" s="256">
        <f t="shared" si="35"/>
        <v>0</v>
      </c>
      <c r="DE33" s="329">
        <f t="shared" si="1"/>
        <v>0</v>
      </c>
      <c r="DF33" s="329">
        <f t="shared" si="2"/>
        <v>0</v>
      </c>
      <c r="DG33" s="329">
        <f t="shared" si="3"/>
        <v>0</v>
      </c>
      <c r="DH33" s="329">
        <f t="shared" si="4"/>
        <v>0</v>
      </c>
      <c r="DI33" s="59"/>
      <c r="DJ33" s="59">
        <v>2015</v>
      </c>
      <c r="DK33" s="60" t="s">
        <v>22</v>
      </c>
      <c r="DN33" s="88"/>
      <c r="DO33" s="79"/>
      <c r="DP33" s="116"/>
      <c r="DQ33" s="116"/>
      <c r="DR33" s="116"/>
      <c r="DS33" s="116"/>
      <c r="DT33" s="116"/>
      <c r="DU33" s="116"/>
      <c r="DV33" s="116"/>
      <c r="DW33" s="116"/>
      <c r="DX33" s="116"/>
      <c r="DY33" s="116"/>
      <c r="DZ33" s="372">
        <v>13471</v>
      </c>
      <c r="EA33" s="372" t="s">
        <v>1484</v>
      </c>
      <c r="EB33" s="372" t="s">
        <v>1759</v>
      </c>
      <c r="EC33" s="372" t="s">
        <v>1640</v>
      </c>
      <c r="ED33" s="372" t="s">
        <v>1641</v>
      </c>
      <c r="EE33" s="372" t="s">
        <v>14255</v>
      </c>
      <c r="EF33" s="372" t="s">
        <v>1760</v>
      </c>
      <c r="EG33" s="372">
        <v>2767</v>
      </c>
      <c r="EH33" s="372" t="s">
        <v>1761</v>
      </c>
      <c r="EI33" s="372" t="s">
        <v>1762</v>
      </c>
      <c r="EJ33" s="372" t="s">
        <v>1763</v>
      </c>
      <c r="EK33" s="372" t="s">
        <v>1764</v>
      </c>
      <c r="EL33" s="372" t="s">
        <v>1764</v>
      </c>
      <c r="EM33" s="372" t="s">
        <v>1633</v>
      </c>
      <c r="EN33" s="372">
        <v>8570</v>
      </c>
      <c r="ER33" s="193"/>
      <c r="ES33" s="219"/>
      <c r="ET33" s="194"/>
      <c r="FU33" s="572">
        <v>6</v>
      </c>
    </row>
    <row r="34" spans="1:177" ht="18.75" customHeight="1">
      <c r="A34" s="115" t="str">
        <f t="shared" si="36"/>
        <v>QUI</v>
      </c>
      <c r="B34" s="274"/>
      <c r="C34" s="747">
        <v>7</v>
      </c>
      <c r="D34" s="873"/>
      <c r="E34" s="923"/>
      <c r="F34" s="924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1"/>
      <c r="R34" s="645">
        <v>200</v>
      </c>
      <c r="S34" s="644"/>
      <c r="T34" s="420"/>
      <c r="U34" s="642">
        <v>189</v>
      </c>
      <c r="V34" s="644"/>
      <c r="W34" s="422"/>
      <c r="X34" s="642">
        <v>200</v>
      </c>
      <c r="Y34" s="644"/>
      <c r="Z34" s="644"/>
      <c r="AA34" s="422"/>
      <c r="AB34" s="422">
        <v>29</v>
      </c>
      <c r="AC34" s="422"/>
      <c r="AD34" s="423"/>
      <c r="AE34" s="642">
        <v>200</v>
      </c>
      <c r="AF34" s="644"/>
      <c r="AG34" s="644"/>
      <c r="AH34" s="422"/>
      <c r="AI34" s="421">
        <v>39</v>
      </c>
      <c r="AJ34" s="424"/>
      <c r="AK34" s="542"/>
      <c r="AL34" s="420"/>
      <c r="AM34" s="420"/>
      <c r="AN34" s="422"/>
      <c r="AO34" s="422"/>
      <c r="AP34" s="422"/>
      <c r="AQ34" s="420"/>
      <c r="AR34" s="420"/>
      <c r="AS34" s="421"/>
      <c r="AT34" s="425"/>
      <c r="AU34" s="542">
        <v>228</v>
      </c>
      <c r="AV34" s="420"/>
      <c r="AW34" s="420"/>
      <c r="AX34" s="420"/>
      <c r="AY34" s="642">
        <v>223</v>
      </c>
      <c r="AZ34" s="642"/>
      <c r="BA34" s="644"/>
      <c r="BB34" s="644"/>
      <c r="BC34" s="644"/>
      <c r="BD34" s="644"/>
      <c r="BE34" s="642">
        <v>228</v>
      </c>
      <c r="BF34" s="644"/>
      <c r="BG34" s="644"/>
      <c r="BH34" s="423"/>
      <c r="BI34" s="422">
        <v>39</v>
      </c>
      <c r="BJ34" s="642">
        <v>228</v>
      </c>
      <c r="BK34" s="644"/>
      <c r="BL34" s="644"/>
      <c r="BM34" s="423"/>
      <c r="BN34" s="423"/>
      <c r="BO34" s="423"/>
      <c r="BP34" s="423"/>
      <c r="BQ34" s="426">
        <v>39</v>
      </c>
      <c r="BR34" s="285"/>
      <c r="BS34" s="282"/>
      <c r="BT34" s="282"/>
      <c r="BU34" s="282"/>
      <c r="BV34" s="282"/>
      <c r="BW34" s="284"/>
      <c r="BY34" s="1000">
        <f t="shared" si="5"/>
        <v>0</v>
      </c>
      <c r="BZ34" s="1001"/>
      <c r="CA34" s="324">
        <f t="shared" si="6"/>
        <v>0</v>
      </c>
      <c r="CB34" s="324">
        <f t="shared" si="7"/>
        <v>0</v>
      </c>
      <c r="CC34" s="324">
        <f t="shared" si="8"/>
        <v>0</v>
      </c>
      <c r="CD34" s="324">
        <f t="shared" si="9"/>
        <v>0</v>
      </c>
      <c r="CE34" s="324">
        <f t="shared" si="10"/>
        <v>0</v>
      </c>
      <c r="CF34" s="324">
        <f t="shared" si="11"/>
        <v>0</v>
      </c>
      <c r="CG34" s="324">
        <f t="shared" si="12"/>
        <v>0</v>
      </c>
      <c r="CH34" s="324">
        <f t="shared" si="13"/>
        <v>0</v>
      </c>
      <c r="CI34" s="324">
        <f t="shared" si="14"/>
        <v>0</v>
      </c>
      <c r="CJ34" s="324">
        <f t="shared" si="15"/>
        <v>0</v>
      </c>
      <c r="CK34" s="325">
        <f t="shared" si="16"/>
        <v>0</v>
      </c>
      <c r="CL34" s="324">
        <f t="shared" si="17"/>
        <v>0</v>
      </c>
      <c r="CM34" s="324">
        <f t="shared" si="18"/>
        <v>0</v>
      </c>
      <c r="CN34" s="324">
        <f t="shared" si="19"/>
        <v>0</v>
      </c>
      <c r="CO34" s="256">
        <f t="shared" si="20"/>
        <v>0</v>
      </c>
      <c r="CP34" s="256">
        <f t="shared" si="21"/>
        <v>0</v>
      </c>
      <c r="CQ34" s="256">
        <f t="shared" si="22"/>
        <v>0</v>
      </c>
      <c r="CR34" s="325">
        <f t="shared" si="23"/>
        <v>0</v>
      </c>
      <c r="CS34" s="324">
        <f t="shared" si="24"/>
        <v>0</v>
      </c>
      <c r="CT34" s="324">
        <f t="shared" si="25"/>
        <v>0</v>
      </c>
      <c r="CU34" s="256">
        <f t="shared" si="26"/>
        <v>0</v>
      </c>
      <c r="CV34" s="256">
        <f t="shared" si="27"/>
        <v>0</v>
      </c>
      <c r="CW34" s="256">
        <f t="shared" si="28"/>
        <v>0</v>
      </c>
      <c r="CX34" s="325">
        <f t="shared" si="29"/>
        <v>0</v>
      </c>
      <c r="CY34" s="324">
        <f t="shared" si="30"/>
        <v>0</v>
      </c>
      <c r="CZ34" s="324">
        <f t="shared" si="31"/>
        <v>0</v>
      </c>
      <c r="DA34" s="324">
        <f t="shared" si="32"/>
        <v>0</v>
      </c>
      <c r="DB34" s="256">
        <f t="shared" si="33"/>
        <v>0</v>
      </c>
      <c r="DC34" s="256">
        <f t="shared" si="34"/>
        <v>0</v>
      </c>
      <c r="DD34" s="256">
        <f t="shared" si="35"/>
        <v>0</v>
      </c>
      <c r="DE34" s="329">
        <f t="shared" si="1"/>
        <v>0</v>
      </c>
      <c r="DF34" s="329">
        <f t="shared" si="2"/>
        <v>0</v>
      </c>
      <c r="DG34" s="329">
        <f t="shared" si="3"/>
        <v>0</v>
      </c>
      <c r="DH34" s="329">
        <f t="shared" si="4"/>
        <v>0</v>
      </c>
      <c r="DI34" s="59"/>
      <c r="DJ34" s="62">
        <v>2016</v>
      </c>
      <c r="DK34" s="60" t="s">
        <v>24</v>
      </c>
      <c r="DN34" s="88"/>
      <c r="DO34" s="79"/>
      <c r="DP34" s="116"/>
      <c r="DQ34" s="116"/>
      <c r="DR34" s="116"/>
      <c r="DS34" s="116"/>
      <c r="DT34" s="116"/>
      <c r="DU34" s="116"/>
      <c r="DV34" s="116"/>
      <c r="DW34" s="116"/>
      <c r="DX34" s="116"/>
      <c r="DY34" s="116"/>
      <c r="DZ34" s="372">
        <v>13498</v>
      </c>
      <c r="EA34" s="372" t="s">
        <v>1484</v>
      </c>
      <c r="EB34" s="372" t="s">
        <v>1765</v>
      </c>
      <c r="EC34" s="372" t="s">
        <v>1617</v>
      </c>
      <c r="ED34" s="372" t="s">
        <v>1618</v>
      </c>
      <c r="EE34" s="372" t="s">
        <v>14000</v>
      </c>
      <c r="EF34" s="372" t="s">
        <v>1766</v>
      </c>
      <c r="EG34" s="372">
        <v>120</v>
      </c>
      <c r="EH34" s="372" t="s">
        <v>1767</v>
      </c>
      <c r="EI34" s="372" t="s">
        <v>1768</v>
      </c>
      <c r="EJ34" s="372" t="s">
        <v>1769</v>
      </c>
      <c r="EK34" s="372" t="s">
        <v>14001</v>
      </c>
      <c r="EL34" s="372" t="s">
        <v>1770</v>
      </c>
      <c r="EM34" s="372" t="s">
        <v>1624</v>
      </c>
      <c r="EN34" s="372">
        <v>8542</v>
      </c>
      <c r="EO34" s="369"/>
      <c r="EP34" s="369"/>
      <c r="EQ34" s="369"/>
      <c r="ER34" s="193"/>
      <c r="ES34" s="219"/>
      <c r="ET34" s="194"/>
      <c r="FU34" s="572">
        <v>7</v>
      </c>
    </row>
    <row r="35" spans="1:177" ht="18.75" customHeight="1">
      <c r="A35" s="115" t="str">
        <f t="shared" si="36"/>
        <v>SEX</v>
      </c>
      <c r="B35" s="274"/>
      <c r="C35" s="747">
        <v>8</v>
      </c>
      <c r="D35" s="873"/>
      <c r="E35" s="923"/>
      <c r="F35" s="924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1"/>
      <c r="R35" s="645">
        <v>200</v>
      </c>
      <c r="S35" s="644"/>
      <c r="T35" s="420"/>
      <c r="U35" s="642">
        <v>189</v>
      </c>
      <c r="V35" s="644"/>
      <c r="W35" s="422"/>
      <c r="X35" s="642">
        <v>200</v>
      </c>
      <c r="Y35" s="644"/>
      <c r="Z35" s="644"/>
      <c r="AA35" s="422"/>
      <c r="AB35" s="422">
        <v>30</v>
      </c>
      <c r="AC35" s="422"/>
      <c r="AD35" s="423"/>
      <c r="AE35" s="642">
        <v>200</v>
      </c>
      <c r="AF35" s="644"/>
      <c r="AG35" s="644"/>
      <c r="AH35" s="422"/>
      <c r="AI35" s="421">
        <v>0</v>
      </c>
      <c r="AJ35" s="424"/>
      <c r="AK35" s="542"/>
      <c r="AL35" s="420"/>
      <c r="AM35" s="420"/>
      <c r="AN35" s="422"/>
      <c r="AO35" s="422"/>
      <c r="AP35" s="422"/>
      <c r="AQ35" s="420"/>
      <c r="AR35" s="420"/>
      <c r="AS35" s="421"/>
      <c r="AT35" s="425"/>
      <c r="AU35" s="542">
        <v>203</v>
      </c>
      <c r="AV35" s="420"/>
      <c r="AW35" s="420"/>
      <c r="AX35" s="420"/>
      <c r="AY35" s="642">
        <v>199</v>
      </c>
      <c r="AZ35" s="642"/>
      <c r="BA35" s="644"/>
      <c r="BB35" s="644"/>
      <c r="BC35" s="644"/>
      <c r="BD35" s="644"/>
      <c r="BE35" s="642">
        <v>203</v>
      </c>
      <c r="BF35" s="644"/>
      <c r="BG35" s="644"/>
      <c r="BH35" s="423"/>
      <c r="BI35" s="422">
        <v>45</v>
      </c>
      <c r="BJ35" s="642">
        <v>203</v>
      </c>
      <c r="BK35" s="644"/>
      <c r="BL35" s="644"/>
      <c r="BM35" s="423"/>
      <c r="BN35" s="423"/>
      <c r="BO35" s="423"/>
      <c r="BP35" s="423"/>
      <c r="BQ35" s="426">
        <v>0</v>
      </c>
      <c r="BR35" s="285"/>
      <c r="BS35" s="282"/>
      <c r="BT35" s="282"/>
      <c r="BU35" s="282" t="s">
        <v>59</v>
      </c>
      <c r="BV35" s="282"/>
      <c r="BW35" s="284" t="s">
        <v>59</v>
      </c>
      <c r="BY35" s="1000">
        <f t="shared" si="5"/>
        <v>0</v>
      </c>
      <c r="BZ35" s="1001"/>
      <c r="CA35" s="324">
        <f t="shared" si="6"/>
        <v>0</v>
      </c>
      <c r="CB35" s="324">
        <f t="shared" si="7"/>
        <v>0</v>
      </c>
      <c r="CC35" s="324">
        <f t="shared" si="8"/>
        <v>0</v>
      </c>
      <c r="CD35" s="324">
        <f t="shared" si="9"/>
        <v>0</v>
      </c>
      <c r="CE35" s="324">
        <f t="shared" si="10"/>
        <v>0</v>
      </c>
      <c r="CF35" s="324">
        <f t="shared" si="11"/>
        <v>0</v>
      </c>
      <c r="CG35" s="324">
        <f t="shared" si="12"/>
        <v>0</v>
      </c>
      <c r="CH35" s="324">
        <f t="shared" si="13"/>
        <v>0</v>
      </c>
      <c r="CI35" s="324">
        <f t="shared" si="14"/>
        <v>0</v>
      </c>
      <c r="CJ35" s="324">
        <f t="shared" si="15"/>
        <v>0</v>
      </c>
      <c r="CK35" s="325">
        <f t="shared" si="16"/>
        <v>0</v>
      </c>
      <c r="CL35" s="324">
        <f t="shared" si="17"/>
        <v>0</v>
      </c>
      <c r="CM35" s="324">
        <f t="shared" si="18"/>
        <v>0</v>
      </c>
      <c r="CN35" s="324">
        <f t="shared" si="19"/>
        <v>0</v>
      </c>
      <c r="CO35" s="256">
        <f t="shared" si="20"/>
        <v>0</v>
      </c>
      <c r="CP35" s="256">
        <f t="shared" si="21"/>
        <v>0</v>
      </c>
      <c r="CQ35" s="256">
        <f t="shared" si="22"/>
        <v>0</v>
      </c>
      <c r="CR35" s="325">
        <f t="shared" si="23"/>
        <v>0</v>
      </c>
      <c r="CS35" s="324">
        <f t="shared" si="24"/>
        <v>0</v>
      </c>
      <c r="CT35" s="324">
        <f t="shared" si="25"/>
        <v>0</v>
      </c>
      <c r="CU35" s="256">
        <f t="shared" si="26"/>
        <v>0</v>
      </c>
      <c r="CV35" s="256">
        <f t="shared" si="27"/>
        <v>0</v>
      </c>
      <c r="CW35" s="256">
        <f t="shared" si="28"/>
        <v>0</v>
      </c>
      <c r="CX35" s="325">
        <f t="shared" si="29"/>
        <v>0</v>
      </c>
      <c r="CY35" s="324">
        <f t="shared" si="30"/>
        <v>0</v>
      </c>
      <c r="CZ35" s="324">
        <f t="shared" si="31"/>
        <v>0</v>
      </c>
      <c r="DA35" s="324">
        <f t="shared" si="32"/>
        <v>0</v>
      </c>
      <c r="DB35" s="256">
        <f t="shared" si="33"/>
        <v>0</v>
      </c>
      <c r="DC35" s="256">
        <f t="shared" si="34"/>
        <v>0</v>
      </c>
      <c r="DD35" s="256">
        <f t="shared" si="35"/>
        <v>0</v>
      </c>
      <c r="DE35" s="329">
        <f t="shared" si="1"/>
        <v>0</v>
      </c>
      <c r="DF35" s="329">
        <f t="shared" si="2"/>
        <v>0</v>
      </c>
      <c r="DG35" s="329">
        <f t="shared" si="3"/>
        <v>0</v>
      </c>
      <c r="DH35" s="329">
        <f t="shared" si="4"/>
        <v>0</v>
      </c>
      <c r="DI35" s="59"/>
      <c r="DJ35" s="59">
        <v>2017</v>
      </c>
      <c r="DK35" s="63" t="s">
        <v>24</v>
      </c>
      <c r="DN35" s="88"/>
      <c r="DO35" s="79"/>
      <c r="DP35" s="116"/>
      <c r="DQ35" s="116"/>
      <c r="DR35" s="116"/>
      <c r="DS35" s="116"/>
      <c r="DT35" s="116"/>
      <c r="DU35" s="116"/>
      <c r="DV35" s="116"/>
      <c r="DW35" s="116"/>
      <c r="DX35" s="116"/>
      <c r="DY35" s="116"/>
      <c r="DZ35" s="372">
        <v>13501</v>
      </c>
      <c r="EA35" s="372" t="s">
        <v>1484</v>
      </c>
      <c r="EB35" s="372" t="s">
        <v>1771</v>
      </c>
      <c r="EC35" s="372" t="s">
        <v>1617</v>
      </c>
      <c r="ED35" s="372" t="s">
        <v>1618</v>
      </c>
      <c r="EE35" s="372" t="s">
        <v>13981</v>
      </c>
      <c r="EF35" s="372" t="s">
        <v>1772</v>
      </c>
      <c r="EG35" s="372">
        <v>16</v>
      </c>
      <c r="EH35" s="372" t="s">
        <v>1773</v>
      </c>
      <c r="EI35" s="372" t="s">
        <v>1774</v>
      </c>
      <c r="EJ35" s="372" t="s">
        <v>1775</v>
      </c>
      <c r="EK35" s="372" t="s">
        <v>13982</v>
      </c>
      <c r="EL35" s="372" t="s">
        <v>1776</v>
      </c>
      <c r="EM35" s="372" t="s">
        <v>1624</v>
      </c>
      <c r="EN35" s="372">
        <v>8543</v>
      </c>
      <c r="EO35" s="369"/>
      <c r="EP35" s="369"/>
      <c r="EQ35" s="369"/>
      <c r="ER35" s="193"/>
      <c r="ES35" s="219"/>
      <c r="ET35" s="194"/>
      <c r="FU35" s="572">
        <v>8</v>
      </c>
    </row>
    <row r="36" spans="1:177" ht="18.75" customHeight="1">
      <c r="A36" s="115" t="str">
        <f t="shared" si="36"/>
        <v>SAB</v>
      </c>
      <c r="B36" s="274"/>
      <c r="C36" s="874">
        <v>9</v>
      </c>
      <c r="D36" s="873"/>
      <c r="E36" s="923"/>
      <c r="F36" s="924"/>
      <c r="G36" s="420"/>
      <c r="H36" s="420"/>
      <c r="I36" s="420"/>
      <c r="J36" s="420"/>
      <c r="K36" s="420"/>
      <c r="L36" s="420"/>
      <c r="M36" s="420"/>
      <c r="N36" s="420"/>
      <c r="O36" s="420"/>
      <c r="P36" s="420"/>
      <c r="Q36" s="421"/>
      <c r="R36" s="645">
        <v>95</v>
      </c>
      <c r="S36" s="644"/>
      <c r="T36" s="420"/>
      <c r="U36" s="642">
        <v>92</v>
      </c>
      <c r="V36" s="644"/>
      <c r="W36" s="422"/>
      <c r="X36" s="642">
        <v>95</v>
      </c>
      <c r="Y36" s="644"/>
      <c r="Z36" s="644"/>
      <c r="AA36" s="422"/>
      <c r="AB36" s="422">
        <v>27</v>
      </c>
      <c r="AC36" s="422"/>
      <c r="AD36" s="423"/>
      <c r="AE36" s="642">
        <v>95</v>
      </c>
      <c r="AF36" s="644"/>
      <c r="AG36" s="644"/>
      <c r="AH36" s="422"/>
      <c r="AI36" s="421">
        <v>32</v>
      </c>
      <c r="AJ36" s="427"/>
      <c r="AK36" s="542"/>
      <c r="AL36" s="420"/>
      <c r="AM36" s="420"/>
      <c r="AN36" s="422"/>
      <c r="AO36" s="422"/>
      <c r="AP36" s="422"/>
      <c r="AQ36" s="420"/>
      <c r="AR36" s="420"/>
      <c r="AS36" s="421"/>
      <c r="AT36" s="425"/>
      <c r="AU36" s="542">
        <v>70</v>
      </c>
      <c r="AV36" s="420"/>
      <c r="AW36" s="420"/>
      <c r="AX36" s="420"/>
      <c r="AY36" s="642">
        <v>69</v>
      </c>
      <c r="AZ36" s="642"/>
      <c r="BA36" s="644"/>
      <c r="BB36" s="644"/>
      <c r="BC36" s="644"/>
      <c r="BD36" s="644"/>
      <c r="BE36" s="642">
        <v>70</v>
      </c>
      <c r="BF36" s="644"/>
      <c r="BG36" s="644"/>
      <c r="BH36" s="423"/>
      <c r="BI36" s="422">
        <v>21</v>
      </c>
      <c r="BJ36" s="642">
        <v>70</v>
      </c>
      <c r="BK36" s="644"/>
      <c r="BL36" s="644"/>
      <c r="BM36" s="423"/>
      <c r="BN36" s="423"/>
      <c r="BO36" s="423"/>
      <c r="BP36" s="423"/>
      <c r="BQ36" s="426">
        <v>11</v>
      </c>
      <c r="BR36" s="285"/>
      <c r="BS36" s="282"/>
      <c r="BT36" s="282"/>
      <c r="BU36" s="282"/>
      <c r="BV36" s="282"/>
      <c r="BW36" s="284"/>
      <c r="BY36" s="1000">
        <f t="shared" si="5"/>
        <v>0</v>
      </c>
      <c r="BZ36" s="1001"/>
      <c r="CA36" s="324">
        <f t="shared" si="6"/>
        <v>0</v>
      </c>
      <c r="CB36" s="324">
        <f t="shared" si="7"/>
        <v>0</v>
      </c>
      <c r="CC36" s="324">
        <f t="shared" si="8"/>
        <v>0</v>
      </c>
      <c r="CD36" s="324">
        <f t="shared" si="9"/>
        <v>0</v>
      </c>
      <c r="CE36" s="324">
        <f t="shared" si="10"/>
        <v>0</v>
      </c>
      <c r="CF36" s="324">
        <f t="shared" si="11"/>
        <v>0</v>
      </c>
      <c r="CG36" s="324">
        <f t="shared" si="12"/>
        <v>0</v>
      </c>
      <c r="CH36" s="324">
        <f t="shared" si="13"/>
        <v>0</v>
      </c>
      <c r="CI36" s="324">
        <f t="shared" si="14"/>
        <v>0</v>
      </c>
      <c r="CJ36" s="324">
        <f t="shared" si="15"/>
        <v>0</v>
      </c>
      <c r="CK36" s="325">
        <f t="shared" si="16"/>
        <v>0</v>
      </c>
      <c r="CL36" s="324">
        <f t="shared" si="17"/>
        <v>0</v>
      </c>
      <c r="CM36" s="324">
        <f t="shared" si="18"/>
        <v>0</v>
      </c>
      <c r="CN36" s="324">
        <f t="shared" si="19"/>
        <v>0</v>
      </c>
      <c r="CO36" s="256">
        <f t="shared" si="20"/>
        <v>0</v>
      </c>
      <c r="CP36" s="256">
        <f t="shared" si="21"/>
        <v>0</v>
      </c>
      <c r="CQ36" s="256">
        <f t="shared" si="22"/>
        <v>0</v>
      </c>
      <c r="CR36" s="325">
        <f t="shared" si="23"/>
        <v>0</v>
      </c>
      <c r="CS36" s="324">
        <f t="shared" si="24"/>
        <v>0</v>
      </c>
      <c r="CT36" s="324">
        <f t="shared" si="25"/>
        <v>0</v>
      </c>
      <c r="CU36" s="256">
        <f t="shared" si="26"/>
        <v>0</v>
      </c>
      <c r="CV36" s="256">
        <f t="shared" si="27"/>
        <v>0</v>
      </c>
      <c r="CW36" s="256">
        <f t="shared" si="28"/>
        <v>0</v>
      </c>
      <c r="CX36" s="325">
        <f t="shared" si="29"/>
        <v>0</v>
      </c>
      <c r="CY36" s="324">
        <f t="shared" si="30"/>
        <v>0</v>
      </c>
      <c r="CZ36" s="324">
        <f t="shared" si="31"/>
        <v>0</v>
      </c>
      <c r="DA36" s="324">
        <f t="shared" si="32"/>
        <v>0</v>
      </c>
      <c r="DB36" s="256">
        <f t="shared" si="33"/>
        <v>0</v>
      </c>
      <c r="DC36" s="256">
        <f t="shared" si="34"/>
        <v>0</v>
      </c>
      <c r="DD36" s="256">
        <f t="shared" si="35"/>
        <v>0</v>
      </c>
      <c r="DE36" s="329">
        <f t="shared" si="1"/>
        <v>0</v>
      </c>
      <c r="DF36" s="329">
        <f t="shared" si="2"/>
        <v>0</v>
      </c>
      <c r="DG36" s="329">
        <f t="shared" si="3"/>
        <v>0</v>
      </c>
      <c r="DH36" s="329">
        <f t="shared" si="4"/>
        <v>0</v>
      </c>
      <c r="DI36" s="59"/>
      <c r="DJ36" s="59">
        <v>2018</v>
      </c>
      <c r="DK36" s="60" t="s">
        <v>26</v>
      </c>
      <c r="DN36" s="88"/>
      <c r="DO36" s="79"/>
      <c r="DP36" s="116"/>
      <c r="DQ36" s="116"/>
      <c r="DR36" s="116"/>
      <c r="DS36" s="116"/>
      <c r="DT36" s="116"/>
      <c r="DU36" s="116"/>
      <c r="DV36" s="116"/>
      <c r="DW36" s="116"/>
      <c r="DX36" s="116"/>
      <c r="DY36" s="116"/>
      <c r="DZ36" s="372">
        <v>13692</v>
      </c>
      <c r="EA36" s="372" t="s">
        <v>1484</v>
      </c>
      <c r="EB36" s="372" t="s">
        <v>1777</v>
      </c>
      <c r="EC36" s="372" t="s">
        <v>1707</v>
      </c>
      <c r="ED36" s="447" t="s">
        <v>13799</v>
      </c>
      <c r="EE36" s="372" t="s">
        <v>14293</v>
      </c>
      <c r="EF36" s="372" t="s">
        <v>1778</v>
      </c>
      <c r="EG36" s="372">
        <v>365</v>
      </c>
      <c r="EH36" s="372" t="s">
        <v>1779</v>
      </c>
      <c r="EI36" s="372" t="s">
        <v>1780</v>
      </c>
      <c r="EJ36" s="372" t="s">
        <v>1781</v>
      </c>
      <c r="EK36" s="372" t="s">
        <v>14294</v>
      </c>
      <c r="EL36" s="372"/>
      <c r="EM36" s="372" t="s">
        <v>1633</v>
      </c>
      <c r="EN36" s="372">
        <v>8551</v>
      </c>
      <c r="EO36" s="369"/>
      <c r="EP36" s="369"/>
      <c r="EQ36" s="369"/>
      <c r="ER36" s="193"/>
      <c r="ES36" s="219"/>
      <c r="ET36" s="195"/>
      <c r="FU36" s="572">
        <v>9</v>
      </c>
    </row>
    <row r="37" spans="1:177" ht="18.75" customHeight="1">
      <c r="A37" s="115" t="str">
        <f t="shared" si="36"/>
        <v>DOM</v>
      </c>
      <c r="B37" s="274"/>
      <c r="C37" s="747">
        <v>10</v>
      </c>
      <c r="D37" s="873"/>
      <c r="E37" s="923"/>
      <c r="F37" s="924"/>
      <c r="G37" s="420"/>
      <c r="H37" s="420"/>
      <c r="I37" s="420"/>
      <c r="J37" s="420"/>
      <c r="K37" s="420"/>
      <c r="L37" s="420"/>
      <c r="M37" s="420"/>
      <c r="N37" s="420"/>
      <c r="O37" s="420"/>
      <c r="P37" s="420"/>
      <c r="Q37" s="421"/>
      <c r="R37" s="645"/>
      <c r="S37" s="644"/>
      <c r="T37" s="420"/>
      <c r="U37" s="642"/>
      <c r="V37" s="644"/>
      <c r="W37" s="422"/>
      <c r="X37" s="642"/>
      <c r="Y37" s="644"/>
      <c r="Z37" s="644"/>
      <c r="AA37" s="422"/>
      <c r="AB37" s="422"/>
      <c r="AC37" s="422"/>
      <c r="AD37" s="423"/>
      <c r="AE37" s="642"/>
      <c r="AF37" s="644"/>
      <c r="AG37" s="644"/>
      <c r="AH37" s="422"/>
      <c r="AI37" s="421"/>
      <c r="AJ37" s="424"/>
      <c r="AK37" s="542"/>
      <c r="AL37" s="420"/>
      <c r="AM37" s="420"/>
      <c r="AN37" s="422"/>
      <c r="AO37" s="422"/>
      <c r="AP37" s="422"/>
      <c r="AQ37" s="420"/>
      <c r="AR37" s="420"/>
      <c r="AS37" s="421"/>
      <c r="AT37" s="425"/>
      <c r="AU37" s="542"/>
      <c r="AV37" s="420"/>
      <c r="AW37" s="420"/>
      <c r="AX37" s="420"/>
      <c r="AY37" s="642"/>
      <c r="AZ37" s="642"/>
      <c r="BA37" s="644"/>
      <c r="BB37" s="644"/>
      <c r="BC37" s="644"/>
      <c r="BD37" s="644"/>
      <c r="BE37" s="642"/>
      <c r="BF37" s="644"/>
      <c r="BG37" s="644"/>
      <c r="BH37" s="423"/>
      <c r="BI37" s="422"/>
      <c r="BJ37" s="642"/>
      <c r="BK37" s="644"/>
      <c r="BL37" s="644"/>
      <c r="BM37" s="423"/>
      <c r="BN37" s="423"/>
      <c r="BO37" s="423"/>
      <c r="BP37" s="423"/>
      <c r="BQ37" s="426"/>
      <c r="BR37" s="285"/>
      <c r="BS37" s="282"/>
      <c r="BT37" s="282"/>
      <c r="BU37" s="282"/>
      <c r="BV37" s="282"/>
      <c r="BW37" s="284"/>
      <c r="BY37" s="1000">
        <f t="shared" si="5"/>
        <v>0</v>
      </c>
      <c r="BZ37" s="1001"/>
      <c r="CA37" s="324">
        <f t="shared" si="6"/>
        <v>0</v>
      </c>
      <c r="CB37" s="324">
        <f t="shared" si="7"/>
        <v>0</v>
      </c>
      <c r="CC37" s="324">
        <f t="shared" si="8"/>
        <v>0</v>
      </c>
      <c r="CD37" s="324">
        <f t="shared" si="9"/>
        <v>0</v>
      </c>
      <c r="CE37" s="324">
        <f t="shared" si="10"/>
        <v>0</v>
      </c>
      <c r="CF37" s="324">
        <f t="shared" si="11"/>
        <v>0</v>
      </c>
      <c r="CG37" s="324">
        <f t="shared" si="12"/>
        <v>0</v>
      </c>
      <c r="CH37" s="324">
        <f t="shared" si="13"/>
        <v>0</v>
      </c>
      <c r="CI37" s="324">
        <f t="shared" si="14"/>
        <v>0</v>
      </c>
      <c r="CJ37" s="324">
        <f t="shared" si="15"/>
        <v>0</v>
      </c>
      <c r="CK37" s="325">
        <f t="shared" si="16"/>
        <v>0</v>
      </c>
      <c r="CL37" s="324">
        <f t="shared" si="17"/>
        <v>0</v>
      </c>
      <c r="CM37" s="324">
        <f t="shared" si="18"/>
        <v>0</v>
      </c>
      <c r="CN37" s="324">
        <f t="shared" si="19"/>
        <v>0</v>
      </c>
      <c r="CO37" s="256">
        <f t="shared" si="20"/>
        <v>0</v>
      </c>
      <c r="CP37" s="256">
        <f t="shared" si="21"/>
        <v>0</v>
      </c>
      <c r="CQ37" s="256">
        <f t="shared" si="22"/>
        <v>0</v>
      </c>
      <c r="CR37" s="325">
        <f t="shared" si="23"/>
        <v>0</v>
      </c>
      <c r="CS37" s="324">
        <f t="shared" si="24"/>
        <v>0</v>
      </c>
      <c r="CT37" s="324">
        <f t="shared" si="25"/>
        <v>0</v>
      </c>
      <c r="CU37" s="256">
        <f t="shared" si="26"/>
        <v>0</v>
      </c>
      <c r="CV37" s="256">
        <f t="shared" si="27"/>
        <v>0</v>
      </c>
      <c r="CW37" s="256">
        <f t="shared" si="28"/>
        <v>0</v>
      </c>
      <c r="CX37" s="325">
        <f t="shared" si="29"/>
        <v>0</v>
      </c>
      <c r="CY37" s="324">
        <f t="shared" si="30"/>
        <v>0</v>
      </c>
      <c r="CZ37" s="324">
        <f t="shared" si="31"/>
        <v>0</v>
      </c>
      <c r="DA37" s="324">
        <f t="shared" si="32"/>
        <v>0</v>
      </c>
      <c r="DB37" s="256">
        <f t="shared" si="33"/>
        <v>0</v>
      </c>
      <c r="DC37" s="256">
        <f t="shared" si="34"/>
        <v>0</v>
      </c>
      <c r="DD37" s="256">
        <f t="shared" si="35"/>
        <v>0</v>
      </c>
      <c r="DE37" s="329">
        <f t="shared" si="1"/>
        <v>0</v>
      </c>
      <c r="DF37" s="329">
        <f t="shared" si="2"/>
        <v>0</v>
      </c>
      <c r="DG37" s="329">
        <f t="shared" si="3"/>
        <v>0</v>
      </c>
      <c r="DH37" s="329">
        <f t="shared" si="4"/>
        <v>0</v>
      </c>
      <c r="DI37" s="396"/>
      <c r="DJ37" s="59">
        <v>2019</v>
      </c>
      <c r="DK37" s="60" t="s">
        <v>26</v>
      </c>
      <c r="DN37" s="88"/>
      <c r="DO37" s="79"/>
      <c r="DP37" s="116"/>
      <c r="DQ37" s="116"/>
      <c r="DR37" s="116"/>
      <c r="DS37" s="116"/>
      <c r="DT37" s="116"/>
      <c r="DU37" s="116"/>
      <c r="DV37" s="116"/>
      <c r="DW37" s="116"/>
      <c r="DX37" s="116"/>
      <c r="DY37" s="116"/>
      <c r="DZ37" s="372">
        <v>14567</v>
      </c>
      <c r="EA37" s="372" t="s">
        <v>1484</v>
      </c>
      <c r="EB37" s="372" t="s">
        <v>1782</v>
      </c>
      <c r="EC37" s="372" t="s">
        <v>1626</v>
      </c>
      <c r="ED37" s="447" t="s">
        <v>13763</v>
      </c>
      <c r="EE37" s="372" t="s">
        <v>13964</v>
      </c>
      <c r="EF37" s="372" t="s">
        <v>1783</v>
      </c>
      <c r="EG37" s="372">
        <v>300</v>
      </c>
      <c r="EH37" s="372" t="s">
        <v>1784</v>
      </c>
      <c r="EI37" s="372" t="s">
        <v>1785</v>
      </c>
      <c r="EJ37" s="372" t="s">
        <v>1786</v>
      </c>
      <c r="EK37" s="372" t="s">
        <v>13965</v>
      </c>
      <c r="EL37" s="372" t="s">
        <v>1787</v>
      </c>
      <c r="EM37" s="372" t="s">
        <v>1633</v>
      </c>
      <c r="EN37" s="372">
        <v>8669</v>
      </c>
      <c r="EO37" s="369"/>
      <c r="EP37" s="369"/>
      <c r="EQ37" s="369"/>
      <c r="ER37" s="193"/>
      <c r="ES37" s="219"/>
      <c r="ET37" s="195"/>
      <c r="FU37" s="572">
        <v>10</v>
      </c>
    </row>
    <row r="38" spans="1:177" ht="18.75" customHeight="1">
      <c r="A38" s="115" t="str">
        <f t="shared" si="36"/>
        <v>SEG</v>
      </c>
      <c r="B38" s="274"/>
      <c r="C38" s="747">
        <v>11</v>
      </c>
      <c r="D38" s="873"/>
      <c r="E38" s="923"/>
      <c r="F38" s="924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1"/>
      <c r="R38" s="645">
        <v>175</v>
      </c>
      <c r="S38" s="644"/>
      <c r="T38" s="420"/>
      <c r="U38" s="642">
        <v>164</v>
      </c>
      <c r="V38" s="644"/>
      <c r="W38" s="422"/>
      <c r="X38" s="642">
        <v>175</v>
      </c>
      <c r="Y38" s="644"/>
      <c r="Z38" s="644"/>
      <c r="AA38" s="422"/>
      <c r="AB38" s="422">
        <v>30</v>
      </c>
      <c r="AC38" s="422"/>
      <c r="AD38" s="423"/>
      <c r="AE38" s="642">
        <v>175</v>
      </c>
      <c r="AF38" s="644"/>
      <c r="AG38" s="644"/>
      <c r="AH38" s="422"/>
      <c r="AI38" s="421">
        <v>0</v>
      </c>
      <c r="AJ38" s="424"/>
      <c r="AK38" s="542"/>
      <c r="AL38" s="420"/>
      <c r="AM38" s="420"/>
      <c r="AN38" s="422"/>
      <c r="AO38" s="422"/>
      <c r="AP38" s="422"/>
      <c r="AQ38" s="420"/>
      <c r="AR38" s="420"/>
      <c r="AS38" s="421"/>
      <c r="AT38" s="425"/>
      <c r="AU38" s="542">
        <v>207</v>
      </c>
      <c r="AV38" s="420"/>
      <c r="AW38" s="420"/>
      <c r="AX38" s="420"/>
      <c r="AY38" s="642">
        <v>202</v>
      </c>
      <c r="AZ38" s="642"/>
      <c r="BA38" s="644"/>
      <c r="BB38" s="644"/>
      <c r="BC38" s="644"/>
      <c r="BD38" s="644"/>
      <c r="BE38" s="642">
        <v>207</v>
      </c>
      <c r="BF38" s="644"/>
      <c r="BG38" s="644"/>
      <c r="BH38" s="423"/>
      <c r="BI38" s="422">
        <v>40</v>
      </c>
      <c r="BJ38" s="642">
        <v>207</v>
      </c>
      <c r="BK38" s="644"/>
      <c r="BL38" s="644"/>
      <c r="BM38" s="423"/>
      <c r="BN38" s="423"/>
      <c r="BO38" s="423"/>
      <c r="BP38" s="423"/>
      <c r="BQ38" s="426">
        <v>0</v>
      </c>
      <c r="BR38" s="285"/>
      <c r="BS38" s="282"/>
      <c r="BT38" s="282"/>
      <c r="BU38" s="282" t="s">
        <v>59</v>
      </c>
      <c r="BV38" s="282"/>
      <c r="BW38" s="284" t="s">
        <v>59</v>
      </c>
      <c r="BY38" s="1000">
        <f t="shared" si="5"/>
        <v>0</v>
      </c>
      <c r="BZ38" s="1001"/>
      <c r="CA38" s="324">
        <f t="shared" si="6"/>
        <v>0</v>
      </c>
      <c r="CB38" s="324">
        <f t="shared" si="7"/>
        <v>0</v>
      </c>
      <c r="CC38" s="324">
        <f t="shared" si="8"/>
        <v>0</v>
      </c>
      <c r="CD38" s="324">
        <f t="shared" si="9"/>
        <v>0</v>
      </c>
      <c r="CE38" s="324">
        <f t="shared" si="10"/>
        <v>0</v>
      </c>
      <c r="CF38" s="324">
        <f t="shared" si="11"/>
        <v>0</v>
      </c>
      <c r="CG38" s="324">
        <f t="shared" si="12"/>
        <v>0</v>
      </c>
      <c r="CH38" s="324">
        <f t="shared" si="13"/>
        <v>0</v>
      </c>
      <c r="CI38" s="324">
        <f t="shared" si="14"/>
        <v>0</v>
      </c>
      <c r="CJ38" s="324">
        <f t="shared" si="15"/>
        <v>0</v>
      </c>
      <c r="CK38" s="325">
        <f t="shared" si="16"/>
        <v>0</v>
      </c>
      <c r="CL38" s="324">
        <f t="shared" si="17"/>
        <v>0</v>
      </c>
      <c r="CM38" s="324">
        <f t="shared" si="18"/>
        <v>0</v>
      </c>
      <c r="CN38" s="324">
        <f t="shared" si="19"/>
        <v>0</v>
      </c>
      <c r="CO38" s="256">
        <f t="shared" si="20"/>
        <v>0</v>
      </c>
      <c r="CP38" s="256">
        <f t="shared" si="21"/>
        <v>0</v>
      </c>
      <c r="CQ38" s="256">
        <f t="shared" si="22"/>
        <v>0</v>
      </c>
      <c r="CR38" s="325">
        <f t="shared" si="23"/>
        <v>0</v>
      </c>
      <c r="CS38" s="324">
        <f t="shared" si="24"/>
        <v>0</v>
      </c>
      <c r="CT38" s="324">
        <f t="shared" si="25"/>
        <v>0</v>
      </c>
      <c r="CU38" s="256">
        <f t="shared" si="26"/>
        <v>0</v>
      </c>
      <c r="CV38" s="256">
        <f t="shared" si="27"/>
        <v>0</v>
      </c>
      <c r="CW38" s="256">
        <f t="shared" si="28"/>
        <v>0</v>
      </c>
      <c r="CX38" s="325">
        <f t="shared" si="29"/>
        <v>0</v>
      </c>
      <c r="CY38" s="324">
        <f t="shared" si="30"/>
        <v>0</v>
      </c>
      <c r="CZ38" s="324">
        <f t="shared" si="31"/>
        <v>0</v>
      </c>
      <c r="DA38" s="324">
        <f t="shared" si="32"/>
        <v>0</v>
      </c>
      <c r="DB38" s="256">
        <f t="shared" si="33"/>
        <v>0</v>
      </c>
      <c r="DC38" s="256">
        <f t="shared" si="34"/>
        <v>0</v>
      </c>
      <c r="DD38" s="256">
        <f t="shared" si="35"/>
        <v>0</v>
      </c>
      <c r="DE38" s="329">
        <f t="shared" si="1"/>
        <v>0</v>
      </c>
      <c r="DF38" s="329">
        <f t="shared" si="2"/>
        <v>0</v>
      </c>
      <c r="DG38" s="329">
        <f t="shared" si="3"/>
        <v>0</v>
      </c>
      <c r="DH38" s="329">
        <f t="shared" si="4"/>
        <v>0</v>
      </c>
      <c r="DI38" s="523"/>
      <c r="DJ38" s="59">
        <v>2023</v>
      </c>
      <c r="DK38" s="60" t="s">
        <v>26</v>
      </c>
      <c r="DN38" s="88"/>
      <c r="DO38" s="79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372">
        <v>14575</v>
      </c>
      <c r="EA38" s="372" t="s">
        <v>1484</v>
      </c>
      <c r="EB38" s="372" t="s">
        <v>1788</v>
      </c>
      <c r="EC38" s="372" t="s">
        <v>1661</v>
      </c>
      <c r="ED38" s="447" t="s">
        <v>13771</v>
      </c>
      <c r="EE38" s="372" t="s">
        <v>14063</v>
      </c>
      <c r="EF38" s="372" t="s">
        <v>1789</v>
      </c>
      <c r="EG38" s="372">
        <v>35</v>
      </c>
      <c r="EH38" s="372" t="s">
        <v>1790</v>
      </c>
      <c r="EI38" s="372" t="s">
        <v>1791</v>
      </c>
      <c r="EJ38" s="372" t="s">
        <v>1792</v>
      </c>
      <c r="EK38" s="372" t="s">
        <v>14064</v>
      </c>
      <c r="EL38" s="372" t="s">
        <v>1793</v>
      </c>
      <c r="EM38" s="372" t="s">
        <v>1669</v>
      </c>
      <c r="EN38" s="372">
        <v>7268</v>
      </c>
      <c r="EO38" s="369"/>
      <c r="EP38" s="369"/>
      <c r="EQ38" s="369"/>
      <c r="ER38" s="193"/>
      <c r="ES38" s="219"/>
      <c r="ET38" s="192"/>
      <c r="FU38" s="572">
        <v>11</v>
      </c>
    </row>
    <row r="39" spans="1:177" ht="18.75" customHeight="1">
      <c r="A39" s="115" t="str">
        <f t="shared" si="36"/>
        <v>TER</v>
      </c>
      <c r="B39" s="274"/>
      <c r="C39" s="874">
        <v>12</v>
      </c>
      <c r="D39" s="873"/>
      <c r="E39" s="923"/>
      <c r="F39" s="924"/>
      <c r="G39" s="420"/>
      <c r="H39" s="420"/>
      <c r="I39" s="420"/>
      <c r="J39" s="420"/>
      <c r="K39" s="420"/>
      <c r="L39" s="420"/>
      <c r="M39" s="420"/>
      <c r="N39" s="420"/>
      <c r="O39" s="420"/>
      <c r="P39" s="420"/>
      <c r="Q39" s="421"/>
      <c r="R39" s="645">
        <v>217</v>
      </c>
      <c r="S39" s="644"/>
      <c r="T39" s="420"/>
      <c r="U39" s="642">
        <v>206</v>
      </c>
      <c r="V39" s="644"/>
      <c r="W39" s="422"/>
      <c r="X39" s="642">
        <v>217</v>
      </c>
      <c r="Y39" s="644"/>
      <c r="Z39" s="644"/>
      <c r="AA39" s="422"/>
      <c r="AB39" s="422">
        <v>40</v>
      </c>
      <c r="AC39" s="422"/>
      <c r="AD39" s="423"/>
      <c r="AE39" s="642">
        <v>217</v>
      </c>
      <c r="AF39" s="644"/>
      <c r="AG39" s="644"/>
      <c r="AH39" s="422"/>
      <c r="AI39" s="421">
        <v>40</v>
      </c>
      <c r="AJ39" s="427"/>
      <c r="AK39" s="542"/>
      <c r="AL39" s="420"/>
      <c r="AM39" s="420"/>
      <c r="AN39" s="422"/>
      <c r="AO39" s="422"/>
      <c r="AP39" s="422"/>
      <c r="AQ39" s="420"/>
      <c r="AR39" s="420"/>
      <c r="AS39" s="421"/>
      <c r="AT39" s="425"/>
      <c r="AU39" s="542">
        <v>245</v>
      </c>
      <c r="AV39" s="420"/>
      <c r="AW39" s="420"/>
      <c r="AX39" s="420"/>
      <c r="AY39" s="642">
        <v>239</v>
      </c>
      <c r="AZ39" s="642"/>
      <c r="BA39" s="644"/>
      <c r="BB39" s="644"/>
      <c r="BC39" s="644"/>
      <c r="BD39" s="644"/>
      <c r="BE39" s="642">
        <v>245</v>
      </c>
      <c r="BF39" s="644"/>
      <c r="BG39" s="644"/>
      <c r="BH39" s="423"/>
      <c r="BI39" s="422">
        <v>40</v>
      </c>
      <c r="BJ39" s="642">
        <v>245</v>
      </c>
      <c r="BK39" s="644"/>
      <c r="BL39" s="644"/>
      <c r="BM39" s="423"/>
      <c r="BN39" s="423"/>
      <c r="BO39" s="423"/>
      <c r="BP39" s="423"/>
      <c r="BQ39" s="426">
        <v>40</v>
      </c>
      <c r="BR39" s="285"/>
      <c r="BS39" s="282"/>
      <c r="BT39" s="282"/>
      <c r="BU39" s="282"/>
      <c r="BV39" s="282"/>
      <c r="BW39" s="284"/>
      <c r="BY39" s="1000">
        <f t="shared" si="5"/>
        <v>0</v>
      </c>
      <c r="BZ39" s="1001"/>
      <c r="CA39" s="324">
        <f t="shared" si="6"/>
        <v>0</v>
      </c>
      <c r="CB39" s="324">
        <f t="shared" si="7"/>
        <v>0</v>
      </c>
      <c r="CC39" s="324">
        <f t="shared" si="8"/>
        <v>0</v>
      </c>
      <c r="CD39" s="324">
        <f t="shared" si="9"/>
        <v>0</v>
      </c>
      <c r="CE39" s="324">
        <f t="shared" si="10"/>
        <v>0</v>
      </c>
      <c r="CF39" s="324">
        <f t="shared" si="11"/>
        <v>0</v>
      </c>
      <c r="CG39" s="324">
        <f t="shared" si="12"/>
        <v>0</v>
      </c>
      <c r="CH39" s="324">
        <f t="shared" si="13"/>
        <v>0</v>
      </c>
      <c r="CI39" s="324">
        <f t="shared" si="14"/>
        <v>0</v>
      </c>
      <c r="CJ39" s="324">
        <f t="shared" si="15"/>
        <v>0</v>
      </c>
      <c r="CK39" s="325">
        <f t="shared" si="16"/>
        <v>0</v>
      </c>
      <c r="CL39" s="324">
        <f t="shared" si="17"/>
        <v>0</v>
      </c>
      <c r="CM39" s="324">
        <f t="shared" si="18"/>
        <v>0</v>
      </c>
      <c r="CN39" s="324">
        <f t="shared" si="19"/>
        <v>0</v>
      </c>
      <c r="CO39" s="256">
        <f t="shared" si="20"/>
        <v>0</v>
      </c>
      <c r="CP39" s="256">
        <f t="shared" si="21"/>
        <v>0</v>
      </c>
      <c r="CQ39" s="256">
        <f t="shared" si="22"/>
        <v>0</v>
      </c>
      <c r="CR39" s="325">
        <f t="shared" si="23"/>
        <v>0</v>
      </c>
      <c r="CS39" s="324">
        <f t="shared" si="24"/>
        <v>0</v>
      </c>
      <c r="CT39" s="324">
        <f t="shared" si="25"/>
        <v>0</v>
      </c>
      <c r="CU39" s="256">
        <f t="shared" si="26"/>
        <v>0</v>
      </c>
      <c r="CV39" s="256">
        <f t="shared" si="27"/>
        <v>0</v>
      </c>
      <c r="CW39" s="256">
        <f t="shared" si="28"/>
        <v>0</v>
      </c>
      <c r="CX39" s="325">
        <f t="shared" si="29"/>
        <v>0</v>
      </c>
      <c r="CY39" s="324">
        <f t="shared" si="30"/>
        <v>0</v>
      </c>
      <c r="CZ39" s="324">
        <f t="shared" si="31"/>
        <v>0</v>
      </c>
      <c r="DA39" s="324">
        <f t="shared" si="32"/>
        <v>0</v>
      </c>
      <c r="DB39" s="256">
        <f t="shared" si="33"/>
        <v>0</v>
      </c>
      <c r="DC39" s="256">
        <f t="shared" si="34"/>
        <v>0</v>
      </c>
      <c r="DD39" s="256">
        <f t="shared" si="35"/>
        <v>0</v>
      </c>
      <c r="DE39" s="329">
        <f t="shared" si="1"/>
        <v>0</v>
      </c>
      <c r="DF39" s="329">
        <f t="shared" si="2"/>
        <v>0</v>
      </c>
      <c r="DG39" s="329">
        <f t="shared" si="3"/>
        <v>0</v>
      </c>
      <c r="DH39" s="329">
        <f t="shared" si="4"/>
        <v>0</v>
      </c>
      <c r="DI39" s="443"/>
      <c r="DJ39" s="61">
        <v>2021</v>
      </c>
      <c r="DK39" s="60" t="s">
        <v>24</v>
      </c>
      <c r="DN39" s="88"/>
      <c r="DO39" s="79"/>
      <c r="DP39" s="116"/>
      <c r="DQ39" s="116"/>
      <c r="DR39" s="116"/>
      <c r="DS39" s="116"/>
      <c r="DT39" s="116"/>
      <c r="DU39" s="116"/>
      <c r="DV39" s="116"/>
      <c r="DW39" s="116"/>
      <c r="DX39" s="116"/>
      <c r="DY39" s="116"/>
      <c r="DZ39" s="372">
        <v>14672</v>
      </c>
      <c r="EA39" s="372" t="s">
        <v>1484</v>
      </c>
      <c r="EB39" s="372" t="s">
        <v>1794</v>
      </c>
      <c r="EC39" s="372" t="s">
        <v>1617</v>
      </c>
      <c r="ED39" s="372" t="s">
        <v>1618</v>
      </c>
      <c r="EE39" s="372" t="s">
        <v>13983</v>
      </c>
      <c r="EF39" s="372" t="s">
        <v>1795</v>
      </c>
      <c r="EG39" s="372">
        <v>425</v>
      </c>
      <c r="EH39" s="372" t="s">
        <v>1796</v>
      </c>
      <c r="EI39" s="372" t="s">
        <v>1797</v>
      </c>
      <c r="EJ39" s="372" t="s">
        <v>1798</v>
      </c>
      <c r="EK39" s="372" t="s">
        <v>13984</v>
      </c>
      <c r="EL39" s="372" t="s">
        <v>1799</v>
      </c>
      <c r="EM39" s="372" t="s">
        <v>1624</v>
      </c>
      <c r="EN39" s="372">
        <v>8691</v>
      </c>
      <c r="EO39" s="369"/>
      <c r="EP39" s="369"/>
      <c r="EQ39" s="369"/>
      <c r="ER39" s="193"/>
      <c r="ES39" s="219"/>
      <c r="ET39" s="192"/>
      <c r="FU39" s="572">
        <v>12</v>
      </c>
    </row>
    <row r="40" spans="1:177" ht="18.75" customHeight="1">
      <c r="A40" s="115" t="str">
        <f t="shared" si="36"/>
        <v>QUA</v>
      </c>
      <c r="B40" s="274"/>
      <c r="C40" s="747">
        <v>13</v>
      </c>
      <c r="D40" s="873"/>
      <c r="E40" s="923"/>
      <c r="F40" s="924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1"/>
      <c r="R40" s="645">
        <v>246</v>
      </c>
      <c r="S40" s="644"/>
      <c r="T40" s="420"/>
      <c r="U40" s="642">
        <v>235</v>
      </c>
      <c r="V40" s="644"/>
      <c r="W40" s="422"/>
      <c r="X40" s="642">
        <v>246</v>
      </c>
      <c r="Y40" s="644"/>
      <c r="Z40" s="644"/>
      <c r="AA40" s="422"/>
      <c r="AB40" s="422">
        <v>40</v>
      </c>
      <c r="AC40" s="422"/>
      <c r="AD40" s="423"/>
      <c r="AE40" s="642">
        <v>246</v>
      </c>
      <c r="AF40" s="644"/>
      <c r="AG40" s="644"/>
      <c r="AH40" s="422"/>
      <c r="AI40" s="421">
        <v>41</v>
      </c>
      <c r="AJ40" s="424"/>
      <c r="AK40" s="542"/>
      <c r="AL40" s="420"/>
      <c r="AM40" s="420"/>
      <c r="AN40" s="422"/>
      <c r="AO40" s="422"/>
      <c r="AP40" s="422"/>
      <c r="AQ40" s="420"/>
      <c r="AR40" s="420"/>
      <c r="AS40" s="421"/>
      <c r="AT40" s="425"/>
      <c r="AU40" s="542">
        <v>246</v>
      </c>
      <c r="AV40" s="420"/>
      <c r="AW40" s="420"/>
      <c r="AX40" s="420"/>
      <c r="AY40" s="642">
        <v>240</v>
      </c>
      <c r="AZ40" s="642"/>
      <c r="BA40" s="644"/>
      <c r="BB40" s="644"/>
      <c r="BC40" s="644"/>
      <c r="BD40" s="644"/>
      <c r="BE40" s="642">
        <v>246</v>
      </c>
      <c r="BF40" s="644"/>
      <c r="BG40" s="644"/>
      <c r="BH40" s="423"/>
      <c r="BI40" s="422">
        <v>41</v>
      </c>
      <c r="BJ40" s="642">
        <v>246</v>
      </c>
      <c r="BK40" s="644"/>
      <c r="BL40" s="644"/>
      <c r="BM40" s="423"/>
      <c r="BN40" s="423"/>
      <c r="BO40" s="423"/>
      <c r="BP40" s="423"/>
      <c r="BQ40" s="426">
        <v>41</v>
      </c>
      <c r="BR40" s="285"/>
      <c r="BS40" s="282"/>
      <c r="BT40" s="282"/>
      <c r="BU40" s="282"/>
      <c r="BV40" s="282"/>
      <c r="BW40" s="284"/>
      <c r="BY40" s="1000">
        <f t="shared" si="5"/>
        <v>0</v>
      </c>
      <c r="BZ40" s="1001"/>
      <c r="CA40" s="324">
        <f t="shared" si="6"/>
        <v>0</v>
      </c>
      <c r="CB40" s="324">
        <f t="shared" si="7"/>
        <v>0</v>
      </c>
      <c r="CC40" s="324">
        <f t="shared" si="8"/>
        <v>0</v>
      </c>
      <c r="CD40" s="324">
        <f t="shared" si="9"/>
        <v>0</v>
      </c>
      <c r="CE40" s="324">
        <f t="shared" si="10"/>
        <v>0</v>
      </c>
      <c r="CF40" s="324">
        <f t="shared" si="11"/>
        <v>0</v>
      </c>
      <c r="CG40" s="324">
        <f t="shared" si="12"/>
        <v>0</v>
      </c>
      <c r="CH40" s="324">
        <f t="shared" si="13"/>
        <v>0</v>
      </c>
      <c r="CI40" s="324">
        <f t="shared" si="14"/>
        <v>0</v>
      </c>
      <c r="CJ40" s="324">
        <f t="shared" si="15"/>
        <v>0</v>
      </c>
      <c r="CK40" s="325">
        <f t="shared" si="16"/>
        <v>0</v>
      </c>
      <c r="CL40" s="324">
        <f t="shared" si="17"/>
        <v>0</v>
      </c>
      <c r="CM40" s="324">
        <f t="shared" si="18"/>
        <v>0</v>
      </c>
      <c r="CN40" s="324">
        <f t="shared" si="19"/>
        <v>0</v>
      </c>
      <c r="CO40" s="256">
        <f t="shared" si="20"/>
        <v>0</v>
      </c>
      <c r="CP40" s="256">
        <f t="shared" si="21"/>
        <v>0</v>
      </c>
      <c r="CQ40" s="256">
        <f t="shared" si="22"/>
        <v>0</v>
      </c>
      <c r="CR40" s="325">
        <f t="shared" si="23"/>
        <v>0</v>
      </c>
      <c r="CS40" s="324">
        <f t="shared" si="24"/>
        <v>0</v>
      </c>
      <c r="CT40" s="324">
        <f t="shared" si="25"/>
        <v>0</v>
      </c>
      <c r="CU40" s="256">
        <f t="shared" si="26"/>
        <v>0</v>
      </c>
      <c r="CV40" s="256">
        <f t="shared" si="27"/>
        <v>0</v>
      </c>
      <c r="CW40" s="256">
        <f t="shared" si="28"/>
        <v>0</v>
      </c>
      <c r="CX40" s="325">
        <f t="shared" si="29"/>
        <v>0</v>
      </c>
      <c r="CY40" s="324">
        <f t="shared" si="30"/>
        <v>0</v>
      </c>
      <c r="CZ40" s="324">
        <f t="shared" si="31"/>
        <v>0</v>
      </c>
      <c r="DA40" s="324">
        <f t="shared" si="32"/>
        <v>0</v>
      </c>
      <c r="DB40" s="256">
        <f t="shared" si="33"/>
        <v>0</v>
      </c>
      <c r="DC40" s="256">
        <f t="shared" si="34"/>
        <v>0</v>
      </c>
      <c r="DD40" s="256">
        <f t="shared" si="35"/>
        <v>0</v>
      </c>
      <c r="DE40" s="329">
        <f t="shared" si="1"/>
        <v>0</v>
      </c>
      <c r="DF40" s="329">
        <f t="shared" si="2"/>
        <v>0</v>
      </c>
      <c r="DG40" s="329">
        <f t="shared" si="3"/>
        <v>0</v>
      </c>
      <c r="DH40" s="329">
        <f t="shared" si="4"/>
        <v>0</v>
      </c>
      <c r="DK40" s="198"/>
      <c r="DL40" s="198"/>
      <c r="DM40" s="61"/>
      <c r="DN40" s="88"/>
      <c r="DO40" s="79"/>
      <c r="DP40" s="116"/>
      <c r="DQ40" s="116"/>
      <c r="DR40" s="116"/>
      <c r="DS40" s="116"/>
      <c r="DT40" s="116"/>
      <c r="DU40" s="116"/>
      <c r="DV40" s="116"/>
      <c r="DW40" s="116"/>
      <c r="DX40" s="116"/>
      <c r="DY40" s="116"/>
      <c r="DZ40" s="372">
        <v>14681</v>
      </c>
      <c r="EA40" s="372" t="s">
        <v>1484</v>
      </c>
      <c r="EB40" s="372" t="s">
        <v>1800</v>
      </c>
      <c r="EC40" s="372" t="s">
        <v>1617</v>
      </c>
      <c r="ED40" s="372" t="s">
        <v>1618</v>
      </c>
      <c r="EE40" s="372" t="s">
        <v>13987</v>
      </c>
      <c r="EF40" s="372" t="s">
        <v>1801</v>
      </c>
      <c r="EG40" s="372">
        <v>520</v>
      </c>
      <c r="EH40" s="372" t="s">
        <v>1796</v>
      </c>
      <c r="EI40" s="372" t="s">
        <v>1802</v>
      </c>
      <c r="EJ40" s="372" t="s">
        <v>1803</v>
      </c>
      <c r="EK40" s="372" t="s">
        <v>13988</v>
      </c>
      <c r="EL40" s="372" t="s">
        <v>1804</v>
      </c>
      <c r="EM40" s="372" t="s">
        <v>1624</v>
      </c>
      <c r="EN40" s="372">
        <v>8866</v>
      </c>
      <c r="EO40" s="369"/>
      <c r="EP40" s="369"/>
      <c r="EQ40" s="369"/>
      <c r="ER40" s="193"/>
      <c r="ES40" s="219"/>
      <c r="ET40" s="194"/>
      <c r="FU40" s="572">
        <v>13</v>
      </c>
    </row>
    <row r="41" spans="1:177" ht="18.75" customHeight="1">
      <c r="A41" s="115" t="str">
        <f t="shared" si="36"/>
        <v>QUI</v>
      </c>
      <c r="B41" s="274"/>
      <c r="C41" s="747">
        <v>14</v>
      </c>
      <c r="D41" s="873"/>
      <c r="E41" s="923"/>
      <c r="F41" s="924"/>
      <c r="G41" s="420"/>
      <c r="H41" s="420"/>
      <c r="I41" s="420"/>
      <c r="J41" s="420"/>
      <c r="K41" s="420"/>
      <c r="L41" s="420"/>
      <c r="M41" s="420"/>
      <c r="N41" s="420"/>
      <c r="O41" s="420"/>
      <c r="P41" s="420"/>
      <c r="Q41" s="421"/>
      <c r="R41" s="645">
        <v>215</v>
      </c>
      <c r="S41" s="644"/>
      <c r="T41" s="420"/>
      <c r="U41" s="642">
        <v>203</v>
      </c>
      <c r="V41" s="644"/>
      <c r="W41" s="422"/>
      <c r="X41" s="642">
        <v>215</v>
      </c>
      <c r="Y41" s="644"/>
      <c r="Z41" s="644"/>
      <c r="AA41" s="422"/>
      <c r="AB41" s="422">
        <v>38</v>
      </c>
      <c r="AC41" s="422"/>
      <c r="AD41" s="423"/>
      <c r="AE41" s="642">
        <v>215</v>
      </c>
      <c r="AF41" s="644"/>
      <c r="AG41" s="644"/>
      <c r="AH41" s="422"/>
      <c r="AI41" s="421">
        <v>42</v>
      </c>
      <c r="AJ41" s="424"/>
      <c r="AK41" s="542"/>
      <c r="AL41" s="420"/>
      <c r="AM41" s="420"/>
      <c r="AN41" s="422"/>
      <c r="AO41" s="422"/>
      <c r="AP41" s="422"/>
      <c r="AQ41" s="420"/>
      <c r="AR41" s="420"/>
      <c r="AS41" s="421"/>
      <c r="AT41" s="425"/>
      <c r="AU41" s="542">
        <v>246</v>
      </c>
      <c r="AV41" s="420"/>
      <c r="AW41" s="420"/>
      <c r="AX41" s="420"/>
      <c r="AY41" s="642">
        <v>241</v>
      </c>
      <c r="AZ41" s="642"/>
      <c r="BA41" s="644"/>
      <c r="BB41" s="644"/>
      <c r="BC41" s="644"/>
      <c r="BD41" s="644"/>
      <c r="BE41" s="642">
        <v>246</v>
      </c>
      <c r="BF41" s="644"/>
      <c r="BG41" s="644"/>
      <c r="BH41" s="423"/>
      <c r="BI41" s="422">
        <v>43</v>
      </c>
      <c r="BJ41" s="642">
        <v>246</v>
      </c>
      <c r="BK41" s="644"/>
      <c r="BL41" s="644"/>
      <c r="BM41" s="423"/>
      <c r="BN41" s="423"/>
      <c r="BO41" s="423"/>
      <c r="BP41" s="423"/>
      <c r="BQ41" s="426">
        <v>43</v>
      </c>
      <c r="BR41" s="285"/>
      <c r="BS41" s="282"/>
      <c r="BT41" s="282"/>
      <c r="BU41" s="282"/>
      <c r="BV41" s="282"/>
      <c r="BW41" s="284"/>
      <c r="BY41" s="1000">
        <f t="shared" si="5"/>
        <v>0</v>
      </c>
      <c r="BZ41" s="1001"/>
      <c r="CA41" s="324">
        <f t="shared" si="6"/>
        <v>0</v>
      </c>
      <c r="CB41" s="324">
        <f t="shared" si="7"/>
        <v>0</v>
      </c>
      <c r="CC41" s="324">
        <f t="shared" si="8"/>
        <v>0</v>
      </c>
      <c r="CD41" s="324">
        <f t="shared" si="9"/>
        <v>0</v>
      </c>
      <c r="CE41" s="324">
        <f t="shared" si="10"/>
        <v>0</v>
      </c>
      <c r="CF41" s="324">
        <f t="shared" si="11"/>
        <v>0</v>
      </c>
      <c r="CG41" s="324">
        <f t="shared" si="12"/>
        <v>0</v>
      </c>
      <c r="CH41" s="324">
        <f t="shared" si="13"/>
        <v>0</v>
      </c>
      <c r="CI41" s="324">
        <f t="shared" si="14"/>
        <v>0</v>
      </c>
      <c r="CJ41" s="324">
        <f t="shared" si="15"/>
        <v>0</v>
      </c>
      <c r="CK41" s="325">
        <f t="shared" si="16"/>
        <v>0</v>
      </c>
      <c r="CL41" s="324">
        <f t="shared" si="17"/>
        <v>0</v>
      </c>
      <c r="CM41" s="324">
        <f t="shared" si="18"/>
        <v>0</v>
      </c>
      <c r="CN41" s="324">
        <f t="shared" si="19"/>
        <v>0</v>
      </c>
      <c r="CO41" s="256">
        <f t="shared" si="20"/>
        <v>0</v>
      </c>
      <c r="CP41" s="256">
        <f t="shared" si="21"/>
        <v>0</v>
      </c>
      <c r="CQ41" s="256">
        <f t="shared" si="22"/>
        <v>0</v>
      </c>
      <c r="CR41" s="325">
        <f t="shared" si="23"/>
        <v>0</v>
      </c>
      <c r="CS41" s="324">
        <f t="shared" si="24"/>
        <v>0</v>
      </c>
      <c r="CT41" s="324">
        <f t="shared" si="25"/>
        <v>0</v>
      </c>
      <c r="CU41" s="256">
        <f t="shared" si="26"/>
        <v>0</v>
      </c>
      <c r="CV41" s="256">
        <f t="shared" si="27"/>
        <v>0</v>
      </c>
      <c r="CW41" s="256">
        <f t="shared" si="28"/>
        <v>0</v>
      </c>
      <c r="CX41" s="325">
        <f t="shared" si="29"/>
        <v>0</v>
      </c>
      <c r="CY41" s="324">
        <f t="shared" si="30"/>
        <v>0</v>
      </c>
      <c r="CZ41" s="324">
        <f t="shared" si="31"/>
        <v>0</v>
      </c>
      <c r="DA41" s="324">
        <f t="shared" si="32"/>
        <v>0</v>
      </c>
      <c r="DB41" s="256">
        <f t="shared" si="33"/>
        <v>0</v>
      </c>
      <c r="DC41" s="256">
        <f t="shared" si="34"/>
        <v>0</v>
      </c>
      <c r="DD41" s="256">
        <f t="shared" si="35"/>
        <v>0</v>
      </c>
      <c r="DE41" s="329">
        <f t="shared" si="1"/>
        <v>0</v>
      </c>
      <c r="DF41" s="329">
        <f t="shared" si="2"/>
        <v>0</v>
      </c>
      <c r="DG41" s="329">
        <f t="shared" si="3"/>
        <v>0</v>
      </c>
      <c r="DH41" s="329">
        <f t="shared" si="4"/>
        <v>0</v>
      </c>
      <c r="DN41" s="88"/>
      <c r="DO41" s="79"/>
      <c r="DP41" s="116"/>
      <c r="DQ41" s="116"/>
      <c r="DR41" s="116"/>
      <c r="DS41" s="116"/>
      <c r="DT41" s="116"/>
      <c r="DU41" s="116"/>
      <c r="DV41" s="116"/>
      <c r="DW41" s="116"/>
      <c r="DX41" s="116"/>
      <c r="DY41" s="116"/>
      <c r="DZ41" s="372">
        <v>14893</v>
      </c>
      <c r="EA41" s="447" t="s">
        <v>1484</v>
      </c>
      <c r="EB41" s="372" t="s">
        <v>14569</v>
      </c>
      <c r="EC41" s="372" t="s">
        <v>13777</v>
      </c>
      <c r="ED41" s="371" t="s">
        <v>13778</v>
      </c>
      <c r="EE41" s="447" t="s">
        <v>14570</v>
      </c>
      <c r="EF41" s="371" t="s">
        <v>14571</v>
      </c>
      <c r="EG41" s="371">
        <v>147</v>
      </c>
      <c r="EH41" s="462" t="s">
        <v>2838</v>
      </c>
      <c r="EI41" s="371" t="str">
        <f>EF41&amp;", "&amp;EG41&amp;" - "&amp;EH41</f>
        <v>RUA MARTINO ARÓSIO, 147 - VILA AURORA</v>
      </c>
      <c r="EJ41" s="463">
        <v>5186150</v>
      </c>
      <c r="EK41" s="447" t="s">
        <v>14572</v>
      </c>
      <c r="EL41" s="447"/>
      <c r="EM41" s="372" t="s">
        <v>1633</v>
      </c>
      <c r="EN41" s="372">
        <v>8749</v>
      </c>
      <c r="EO41" s="369"/>
      <c r="EP41" s="369"/>
      <c r="EQ41" s="369"/>
      <c r="ER41" s="193"/>
      <c r="ES41" s="219"/>
      <c r="ET41" s="196"/>
      <c r="FU41" s="572">
        <v>14</v>
      </c>
    </row>
    <row r="42" spans="1:177" ht="18.75" customHeight="1">
      <c r="A42" s="115" t="str">
        <f t="shared" si="36"/>
        <v>SEX</v>
      </c>
      <c r="B42" s="274"/>
      <c r="C42" s="747">
        <v>15</v>
      </c>
      <c r="D42" s="873"/>
      <c r="E42" s="923"/>
      <c r="F42" s="924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1"/>
      <c r="R42" s="645">
        <v>198</v>
      </c>
      <c r="S42" s="644"/>
      <c r="T42" s="420"/>
      <c r="U42" s="642">
        <v>187</v>
      </c>
      <c r="V42" s="644"/>
      <c r="W42" s="422"/>
      <c r="X42" s="642">
        <v>198</v>
      </c>
      <c r="Y42" s="644"/>
      <c r="Z42" s="644"/>
      <c r="AA42" s="422"/>
      <c r="AB42" s="422">
        <v>36</v>
      </c>
      <c r="AC42" s="422"/>
      <c r="AD42" s="423"/>
      <c r="AE42" s="642">
        <v>198</v>
      </c>
      <c r="AF42" s="644"/>
      <c r="AG42" s="644"/>
      <c r="AH42" s="422"/>
      <c r="AI42" s="421">
        <v>21</v>
      </c>
      <c r="AJ42" s="424"/>
      <c r="AK42" s="542"/>
      <c r="AL42" s="420"/>
      <c r="AM42" s="420"/>
      <c r="AN42" s="422"/>
      <c r="AO42" s="422"/>
      <c r="AP42" s="422"/>
      <c r="AQ42" s="420"/>
      <c r="AR42" s="420"/>
      <c r="AS42" s="421"/>
      <c r="AT42" s="425"/>
      <c r="AU42" s="542">
        <v>214</v>
      </c>
      <c r="AV42" s="420"/>
      <c r="AW42" s="420"/>
      <c r="AX42" s="420"/>
      <c r="AY42" s="642">
        <v>210</v>
      </c>
      <c r="AZ42" s="642"/>
      <c r="BA42" s="644"/>
      <c r="BB42" s="644"/>
      <c r="BC42" s="644"/>
      <c r="BD42" s="644"/>
      <c r="BE42" s="642">
        <v>214</v>
      </c>
      <c r="BF42" s="644"/>
      <c r="BG42" s="644"/>
      <c r="BH42" s="423"/>
      <c r="BI42" s="422">
        <v>39</v>
      </c>
      <c r="BJ42" s="642">
        <v>214</v>
      </c>
      <c r="BK42" s="644"/>
      <c r="BL42" s="644"/>
      <c r="BM42" s="423"/>
      <c r="BN42" s="423"/>
      <c r="BO42" s="423"/>
      <c r="BP42" s="423"/>
      <c r="BQ42" s="426">
        <v>25</v>
      </c>
      <c r="BR42" s="285"/>
      <c r="BS42" s="282"/>
      <c r="BT42" s="282"/>
      <c r="BU42" s="282"/>
      <c r="BV42" s="282"/>
      <c r="BW42" s="284"/>
      <c r="BY42" s="1000">
        <f t="shared" si="5"/>
        <v>0</v>
      </c>
      <c r="BZ42" s="1001"/>
      <c r="CA42" s="324">
        <f t="shared" si="6"/>
        <v>0</v>
      </c>
      <c r="CB42" s="324">
        <f t="shared" si="7"/>
        <v>0</v>
      </c>
      <c r="CC42" s="324">
        <f t="shared" si="8"/>
        <v>0</v>
      </c>
      <c r="CD42" s="324">
        <f t="shared" si="9"/>
        <v>0</v>
      </c>
      <c r="CE42" s="324">
        <f t="shared" si="10"/>
        <v>0</v>
      </c>
      <c r="CF42" s="324">
        <f t="shared" si="11"/>
        <v>0</v>
      </c>
      <c r="CG42" s="324">
        <f t="shared" si="12"/>
        <v>0</v>
      </c>
      <c r="CH42" s="324">
        <f t="shared" si="13"/>
        <v>0</v>
      </c>
      <c r="CI42" s="324">
        <f t="shared" si="14"/>
        <v>0</v>
      </c>
      <c r="CJ42" s="324">
        <f t="shared" si="15"/>
        <v>0</v>
      </c>
      <c r="CK42" s="325">
        <f t="shared" si="16"/>
        <v>0</v>
      </c>
      <c r="CL42" s="324">
        <f t="shared" si="17"/>
        <v>0</v>
      </c>
      <c r="CM42" s="324">
        <f t="shared" si="18"/>
        <v>0</v>
      </c>
      <c r="CN42" s="324">
        <f t="shared" si="19"/>
        <v>0</v>
      </c>
      <c r="CO42" s="256">
        <f t="shared" si="20"/>
        <v>0</v>
      </c>
      <c r="CP42" s="256">
        <f t="shared" si="21"/>
        <v>0</v>
      </c>
      <c r="CQ42" s="256">
        <f t="shared" si="22"/>
        <v>0</v>
      </c>
      <c r="CR42" s="325">
        <f t="shared" si="23"/>
        <v>0</v>
      </c>
      <c r="CS42" s="324">
        <f t="shared" si="24"/>
        <v>0</v>
      </c>
      <c r="CT42" s="324">
        <f t="shared" si="25"/>
        <v>0</v>
      </c>
      <c r="CU42" s="256">
        <f t="shared" si="26"/>
        <v>0</v>
      </c>
      <c r="CV42" s="256">
        <f t="shared" si="27"/>
        <v>0</v>
      </c>
      <c r="CW42" s="256">
        <f t="shared" si="28"/>
        <v>0</v>
      </c>
      <c r="CX42" s="325">
        <f t="shared" si="29"/>
        <v>0</v>
      </c>
      <c r="CY42" s="324">
        <f t="shared" si="30"/>
        <v>0</v>
      </c>
      <c r="CZ42" s="324">
        <f t="shared" si="31"/>
        <v>0</v>
      </c>
      <c r="DA42" s="324">
        <f t="shared" si="32"/>
        <v>0</v>
      </c>
      <c r="DB42" s="256">
        <f t="shared" si="33"/>
        <v>0</v>
      </c>
      <c r="DC42" s="256">
        <f t="shared" si="34"/>
        <v>0</v>
      </c>
      <c r="DD42" s="256">
        <f t="shared" si="35"/>
        <v>0</v>
      </c>
      <c r="DE42" s="329">
        <f t="shared" si="1"/>
        <v>0</v>
      </c>
      <c r="DF42" s="329">
        <f t="shared" si="2"/>
        <v>0</v>
      </c>
      <c r="DG42" s="329">
        <f t="shared" si="3"/>
        <v>0</v>
      </c>
      <c r="DH42" s="329">
        <f t="shared" si="4"/>
        <v>0</v>
      </c>
      <c r="DI42" s="58" t="str">
        <f>BK7&amp;BU7</f>
        <v>AGOSTO2025</v>
      </c>
      <c r="DK42" s="58" t="str">
        <f>BR7&amp;BV7</f>
        <v/>
      </c>
      <c r="DN42" s="88"/>
      <c r="DO42" s="79"/>
      <c r="DP42" s="116"/>
      <c r="DQ42" s="116"/>
      <c r="DR42" s="116"/>
      <c r="DS42" s="116"/>
      <c r="DT42" s="116"/>
      <c r="DU42" s="116"/>
      <c r="DV42" s="116"/>
      <c r="DW42" s="116"/>
      <c r="DX42" s="116"/>
      <c r="DY42" s="116"/>
      <c r="DZ42" s="372">
        <v>16721</v>
      </c>
      <c r="EA42" s="372" t="s">
        <v>1484</v>
      </c>
      <c r="EB42" s="372" t="s">
        <v>1805</v>
      </c>
      <c r="EC42" s="372" t="s">
        <v>1640</v>
      </c>
      <c r="ED42" s="372" t="s">
        <v>1641</v>
      </c>
      <c r="EE42" s="372" t="s">
        <v>14205</v>
      </c>
      <c r="EF42" s="372" t="s">
        <v>1806</v>
      </c>
      <c r="EG42" s="372">
        <v>1000</v>
      </c>
      <c r="EH42" s="372" t="s">
        <v>1807</v>
      </c>
      <c r="EI42" s="372" t="s">
        <v>1808</v>
      </c>
      <c r="EJ42" s="372" t="s">
        <v>1809</v>
      </c>
      <c r="EK42" s="372" t="s">
        <v>14206</v>
      </c>
      <c r="EL42" s="372" t="s">
        <v>1810</v>
      </c>
      <c r="EM42" s="372" t="s">
        <v>1633</v>
      </c>
      <c r="EN42" s="372">
        <v>8846</v>
      </c>
      <c r="EO42" s="369"/>
      <c r="EP42" s="369"/>
      <c r="EQ42" s="369"/>
      <c r="FU42" s="572">
        <v>15</v>
      </c>
    </row>
    <row r="43" spans="1:177" ht="18.75" customHeight="1">
      <c r="A43" s="115" t="str">
        <f t="shared" si="36"/>
        <v>SAB</v>
      </c>
      <c r="B43" s="274"/>
      <c r="C43" s="747">
        <v>16</v>
      </c>
      <c r="D43" s="873"/>
      <c r="E43" s="923"/>
      <c r="F43" s="924"/>
      <c r="G43" s="420"/>
      <c r="H43" s="420"/>
      <c r="I43" s="420"/>
      <c r="J43" s="420"/>
      <c r="K43" s="420"/>
      <c r="L43" s="420"/>
      <c r="M43" s="420"/>
      <c r="N43" s="420"/>
      <c r="O43" s="420"/>
      <c r="P43" s="420"/>
      <c r="Q43" s="421"/>
      <c r="R43" s="645"/>
      <c r="S43" s="644"/>
      <c r="T43" s="420"/>
      <c r="U43" s="642"/>
      <c r="V43" s="644"/>
      <c r="W43" s="422"/>
      <c r="X43" s="642"/>
      <c r="Y43" s="644"/>
      <c r="Z43" s="644"/>
      <c r="AA43" s="422"/>
      <c r="AB43" s="422"/>
      <c r="AC43" s="422"/>
      <c r="AD43" s="423"/>
      <c r="AE43" s="642"/>
      <c r="AF43" s="644"/>
      <c r="AG43" s="644"/>
      <c r="AH43" s="422"/>
      <c r="AI43" s="421"/>
      <c r="AJ43" s="424"/>
      <c r="AK43" s="542"/>
      <c r="AL43" s="420"/>
      <c r="AM43" s="420"/>
      <c r="AN43" s="422"/>
      <c r="AO43" s="422"/>
      <c r="AP43" s="422"/>
      <c r="AQ43" s="420"/>
      <c r="AR43" s="420"/>
      <c r="AS43" s="421"/>
      <c r="AT43" s="425"/>
      <c r="AU43" s="542"/>
      <c r="AV43" s="420"/>
      <c r="AW43" s="420"/>
      <c r="AX43" s="420"/>
      <c r="AY43" s="642"/>
      <c r="AZ43" s="642"/>
      <c r="BA43" s="644"/>
      <c r="BB43" s="644"/>
      <c r="BC43" s="644"/>
      <c r="BD43" s="644"/>
      <c r="BE43" s="642"/>
      <c r="BF43" s="644"/>
      <c r="BG43" s="644"/>
      <c r="BH43" s="423"/>
      <c r="BI43" s="422"/>
      <c r="BJ43" s="642"/>
      <c r="BK43" s="644"/>
      <c r="BL43" s="644"/>
      <c r="BM43" s="423"/>
      <c r="BN43" s="423"/>
      <c r="BO43" s="423"/>
      <c r="BP43" s="423"/>
      <c r="BQ43" s="426"/>
      <c r="BR43" s="285"/>
      <c r="BS43" s="282"/>
      <c r="BT43" s="282"/>
      <c r="BU43" s="282"/>
      <c r="BV43" s="282"/>
      <c r="BW43" s="284"/>
      <c r="BY43" s="1000">
        <f t="shared" si="5"/>
        <v>0</v>
      </c>
      <c r="BZ43" s="1001"/>
      <c r="CA43" s="324">
        <f t="shared" si="6"/>
        <v>0</v>
      </c>
      <c r="CB43" s="324">
        <f t="shared" si="7"/>
        <v>0</v>
      </c>
      <c r="CC43" s="324">
        <f t="shared" si="8"/>
        <v>0</v>
      </c>
      <c r="CD43" s="324">
        <f t="shared" si="9"/>
        <v>0</v>
      </c>
      <c r="CE43" s="324">
        <f t="shared" si="10"/>
        <v>0</v>
      </c>
      <c r="CF43" s="324">
        <f t="shared" si="11"/>
        <v>0</v>
      </c>
      <c r="CG43" s="324">
        <f t="shared" si="12"/>
        <v>0</v>
      </c>
      <c r="CH43" s="324">
        <f t="shared" si="13"/>
        <v>0</v>
      </c>
      <c r="CI43" s="324">
        <f t="shared" si="14"/>
        <v>0</v>
      </c>
      <c r="CJ43" s="324">
        <f t="shared" si="15"/>
        <v>0</v>
      </c>
      <c r="CK43" s="325">
        <f t="shared" si="16"/>
        <v>0</v>
      </c>
      <c r="CL43" s="324">
        <f t="shared" si="17"/>
        <v>0</v>
      </c>
      <c r="CM43" s="324">
        <f t="shared" si="18"/>
        <v>0</v>
      </c>
      <c r="CN43" s="324">
        <f t="shared" si="19"/>
        <v>0</v>
      </c>
      <c r="CO43" s="256">
        <f t="shared" si="20"/>
        <v>0</v>
      </c>
      <c r="CP43" s="256">
        <f t="shared" si="21"/>
        <v>0</v>
      </c>
      <c r="CQ43" s="256">
        <f t="shared" si="22"/>
        <v>0</v>
      </c>
      <c r="CR43" s="325">
        <f t="shared" si="23"/>
        <v>0</v>
      </c>
      <c r="CS43" s="324">
        <f t="shared" si="24"/>
        <v>0</v>
      </c>
      <c r="CT43" s="324">
        <f t="shared" si="25"/>
        <v>0</v>
      </c>
      <c r="CU43" s="256">
        <f t="shared" si="26"/>
        <v>0</v>
      </c>
      <c r="CV43" s="256">
        <f t="shared" si="27"/>
        <v>0</v>
      </c>
      <c r="CW43" s="256">
        <f t="shared" si="28"/>
        <v>0</v>
      </c>
      <c r="CX43" s="325">
        <f t="shared" si="29"/>
        <v>0</v>
      </c>
      <c r="CY43" s="324">
        <f t="shared" si="30"/>
        <v>0</v>
      </c>
      <c r="CZ43" s="324">
        <f t="shared" si="31"/>
        <v>0</v>
      </c>
      <c r="DA43" s="324">
        <f t="shared" si="32"/>
        <v>0</v>
      </c>
      <c r="DB43" s="256">
        <f t="shared" si="33"/>
        <v>0</v>
      </c>
      <c r="DC43" s="256">
        <f t="shared" si="34"/>
        <v>0</v>
      </c>
      <c r="DD43" s="256">
        <f t="shared" si="35"/>
        <v>0</v>
      </c>
      <c r="DE43" s="329">
        <f t="shared" si="1"/>
        <v>0</v>
      </c>
      <c r="DF43" s="329">
        <f t="shared" si="2"/>
        <v>0</v>
      </c>
      <c r="DG43" s="329">
        <f t="shared" si="3"/>
        <v>0</v>
      </c>
      <c r="DH43" s="329">
        <f t="shared" si="4"/>
        <v>0</v>
      </c>
      <c r="DK43" s="118" t="s">
        <v>105</v>
      </c>
      <c r="DO43" s="79"/>
      <c r="DP43" s="116"/>
      <c r="DQ43" s="116"/>
      <c r="DR43" s="116"/>
      <c r="DS43" s="116"/>
      <c r="DT43" s="116"/>
      <c r="DU43" s="116"/>
      <c r="DV43" s="116"/>
      <c r="DW43" s="116"/>
      <c r="DX43" s="116"/>
      <c r="DY43" s="116"/>
      <c r="DZ43" s="372">
        <v>17329</v>
      </c>
      <c r="EA43" s="372" t="s">
        <v>1484</v>
      </c>
      <c r="EB43" s="372" t="s">
        <v>1811</v>
      </c>
      <c r="EC43" s="372" t="s">
        <v>1812</v>
      </c>
      <c r="ED43" s="372" t="s">
        <v>1813</v>
      </c>
      <c r="EE43" s="372" t="s">
        <v>14193</v>
      </c>
      <c r="EF43" s="372" t="s">
        <v>1814</v>
      </c>
      <c r="EG43" s="372">
        <v>60</v>
      </c>
      <c r="EH43" s="372" t="s">
        <v>1815</v>
      </c>
      <c r="EI43" s="372" t="s">
        <v>1816</v>
      </c>
      <c r="EJ43" s="372" t="s">
        <v>1817</v>
      </c>
      <c r="EK43" s="372" t="s">
        <v>1818</v>
      </c>
      <c r="EL43" s="372" t="s">
        <v>1818</v>
      </c>
      <c r="EM43" s="372" t="s">
        <v>14767</v>
      </c>
      <c r="EN43" s="372">
        <v>8935</v>
      </c>
      <c r="EO43" s="369"/>
      <c r="EP43" s="369"/>
      <c r="EQ43" s="369"/>
      <c r="FU43" s="572">
        <v>16</v>
      </c>
    </row>
    <row r="44" spans="1:177" ht="18.75" customHeight="1">
      <c r="A44" s="115" t="str">
        <f t="shared" si="36"/>
        <v>DOM</v>
      </c>
      <c r="B44" s="274"/>
      <c r="C44" s="747">
        <v>17</v>
      </c>
      <c r="D44" s="873"/>
      <c r="E44" s="923"/>
      <c r="F44" s="924"/>
      <c r="G44" s="420"/>
      <c r="H44" s="420"/>
      <c r="I44" s="420"/>
      <c r="J44" s="420"/>
      <c r="K44" s="420"/>
      <c r="L44" s="420"/>
      <c r="M44" s="420"/>
      <c r="N44" s="420"/>
      <c r="O44" s="420"/>
      <c r="P44" s="420"/>
      <c r="Q44" s="421"/>
      <c r="R44" s="645"/>
      <c r="S44" s="644"/>
      <c r="T44" s="420"/>
      <c r="U44" s="642"/>
      <c r="V44" s="644"/>
      <c r="W44" s="422"/>
      <c r="X44" s="642"/>
      <c r="Y44" s="644"/>
      <c r="Z44" s="644"/>
      <c r="AA44" s="422"/>
      <c r="AB44" s="422"/>
      <c r="AC44" s="422"/>
      <c r="AD44" s="423"/>
      <c r="AE44" s="642"/>
      <c r="AF44" s="644"/>
      <c r="AG44" s="644"/>
      <c r="AH44" s="422"/>
      <c r="AI44" s="421"/>
      <c r="AJ44" s="424"/>
      <c r="AK44" s="542"/>
      <c r="AL44" s="420"/>
      <c r="AM44" s="420"/>
      <c r="AN44" s="422"/>
      <c r="AO44" s="422"/>
      <c r="AP44" s="422"/>
      <c r="AQ44" s="420"/>
      <c r="AR44" s="420"/>
      <c r="AS44" s="421"/>
      <c r="AT44" s="425"/>
      <c r="AU44" s="542"/>
      <c r="AV44" s="420"/>
      <c r="AW44" s="420"/>
      <c r="AX44" s="420"/>
      <c r="AY44" s="642"/>
      <c r="AZ44" s="642"/>
      <c r="BA44" s="644"/>
      <c r="BB44" s="644"/>
      <c r="BC44" s="644"/>
      <c r="BD44" s="644"/>
      <c r="BE44" s="642"/>
      <c r="BF44" s="644"/>
      <c r="BG44" s="644"/>
      <c r="BH44" s="423"/>
      <c r="BI44" s="422"/>
      <c r="BJ44" s="642"/>
      <c r="BK44" s="644"/>
      <c r="BL44" s="644"/>
      <c r="BM44" s="423"/>
      <c r="BN44" s="423"/>
      <c r="BO44" s="423"/>
      <c r="BP44" s="423"/>
      <c r="BQ44" s="426"/>
      <c r="BR44" s="285"/>
      <c r="BS44" s="282"/>
      <c r="BT44" s="282"/>
      <c r="BU44" s="282"/>
      <c r="BV44" s="282"/>
      <c r="BW44" s="284"/>
      <c r="BY44" s="1000">
        <f t="shared" si="5"/>
        <v>0</v>
      </c>
      <c r="BZ44" s="1001"/>
      <c r="CA44" s="324">
        <f t="shared" si="6"/>
        <v>0</v>
      </c>
      <c r="CB44" s="324">
        <f t="shared" si="7"/>
        <v>0</v>
      </c>
      <c r="CC44" s="324">
        <f t="shared" si="8"/>
        <v>0</v>
      </c>
      <c r="CD44" s="324">
        <f t="shared" si="9"/>
        <v>0</v>
      </c>
      <c r="CE44" s="324">
        <f t="shared" si="10"/>
        <v>0</v>
      </c>
      <c r="CF44" s="324">
        <f t="shared" si="11"/>
        <v>0</v>
      </c>
      <c r="CG44" s="324">
        <f t="shared" si="12"/>
        <v>0</v>
      </c>
      <c r="CH44" s="324">
        <f t="shared" si="13"/>
        <v>0</v>
      </c>
      <c r="CI44" s="324">
        <f t="shared" si="14"/>
        <v>0</v>
      </c>
      <c r="CJ44" s="324">
        <f t="shared" si="15"/>
        <v>0</v>
      </c>
      <c r="CK44" s="325">
        <f t="shared" si="16"/>
        <v>0</v>
      </c>
      <c r="CL44" s="324">
        <f t="shared" si="17"/>
        <v>0</v>
      </c>
      <c r="CM44" s="324">
        <f t="shared" si="18"/>
        <v>0</v>
      </c>
      <c r="CN44" s="324">
        <f t="shared" si="19"/>
        <v>0</v>
      </c>
      <c r="CO44" s="256">
        <f t="shared" si="20"/>
        <v>0</v>
      </c>
      <c r="CP44" s="256">
        <f t="shared" si="21"/>
        <v>0</v>
      </c>
      <c r="CQ44" s="256">
        <f t="shared" si="22"/>
        <v>0</v>
      </c>
      <c r="CR44" s="325">
        <f t="shared" si="23"/>
        <v>0</v>
      </c>
      <c r="CS44" s="324">
        <f t="shared" si="24"/>
        <v>0</v>
      </c>
      <c r="CT44" s="324">
        <f t="shared" si="25"/>
        <v>0</v>
      </c>
      <c r="CU44" s="256">
        <f t="shared" si="26"/>
        <v>0</v>
      </c>
      <c r="CV44" s="256">
        <f t="shared" si="27"/>
        <v>0</v>
      </c>
      <c r="CW44" s="256">
        <f t="shared" si="28"/>
        <v>0</v>
      </c>
      <c r="CX44" s="325">
        <f t="shared" si="29"/>
        <v>0</v>
      </c>
      <c r="CY44" s="324">
        <f t="shared" si="30"/>
        <v>0</v>
      </c>
      <c r="CZ44" s="324">
        <f t="shared" si="31"/>
        <v>0</v>
      </c>
      <c r="DA44" s="324">
        <f t="shared" si="32"/>
        <v>0</v>
      </c>
      <c r="DB44" s="256">
        <f t="shared" si="33"/>
        <v>0</v>
      </c>
      <c r="DC44" s="256">
        <f t="shared" si="34"/>
        <v>0</v>
      </c>
      <c r="DD44" s="256">
        <f t="shared" si="35"/>
        <v>0</v>
      </c>
      <c r="DE44" s="329">
        <f t="shared" si="1"/>
        <v>0</v>
      </c>
      <c r="DF44" s="329">
        <f t="shared" si="2"/>
        <v>0</v>
      </c>
      <c r="DG44" s="329">
        <f t="shared" si="3"/>
        <v>0</v>
      </c>
      <c r="DH44" s="329">
        <f t="shared" si="4"/>
        <v>0</v>
      </c>
      <c r="DK44" s="60" t="s">
        <v>59</v>
      </c>
      <c r="DO44" s="79"/>
      <c r="DP44" s="116"/>
      <c r="DQ44" s="116"/>
      <c r="DR44" s="116"/>
      <c r="DS44" s="116"/>
      <c r="DT44" s="116"/>
      <c r="DU44" s="116"/>
      <c r="DV44" s="116"/>
      <c r="DW44" s="116"/>
      <c r="DX44" s="116"/>
      <c r="DY44" s="116"/>
      <c r="DZ44" s="372">
        <v>17337</v>
      </c>
      <c r="EA44" s="372" t="s">
        <v>1484</v>
      </c>
      <c r="EB44" s="372" t="s">
        <v>1819</v>
      </c>
      <c r="EC44" s="372" t="s">
        <v>1820</v>
      </c>
      <c r="ED44" s="447" t="s">
        <v>13802</v>
      </c>
      <c r="EE44" s="372" t="s">
        <v>14363</v>
      </c>
      <c r="EF44" s="372" t="s">
        <v>1822</v>
      </c>
      <c r="EG44" s="372">
        <v>990</v>
      </c>
      <c r="EH44" s="372" t="s">
        <v>1823</v>
      </c>
      <c r="EI44" s="372" t="s">
        <v>1824</v>
      </c>
      <c r="EJ44" s="372" t="s">
        <v>1825</v>
      </c>
      <c r="EK44" s="372" t="s">
        <v>1826</v>
      </c>
      <c r="EL44" s="372" t="s">
        <v>1826</v>
      </c>
      <c r="EM44" t="s">
        <v>14769</v>
      </c>
      <c r="EN44" s="372">
        <v>8955</v>
      </c>
      <c r="EO44" s="369"/>
      <c r="EP44" s="369"/>
      <c r="EQ44" s="369"/>
      <c r="FU44" s="572">
        <v>17</v>
      </c>
    </row>
    <row r="45" spans="1:177" ht="18.75" customHeight="1">
      <c r="A45" s="115" t="str">
        <f t="shared" si="36"/>
        <v>SEG</v>
      </c>
      <c r="B45" s="274"/>
      <c r="C45" s="747">
        <v>18</v>
      </c>
      <c r="D45" s="873"/>
      <c r="E45" s="923"/>
      <c r="F45" s="924"/>
      <c r="G45" s="420"/>
      <c r="H45" s="420"/>
      <c r="I45" s="420"/>
      <c r="J45" s="420"/>
      <c r="K45" s="420"/>
      <c r="L45" s="420"/>
      <c r="M45" s="420"/>
      <c r="N45" s="420"/>
      <c r="O45" s="420"/>
      <c r="P45" s="420"/>
      <c r="Q45" s="421"/>
      <c r="R45" s="645">
        <v>220</v>
      </c>
      <c r="S45" s="644"/>
      <c r="T45" s="420"/>
      <c r="U45" s="642">
        <v>209</v>
      </c>
      <c r="V45" s="644"/>
      <c r="W45" s="422"/>
      <c r="X45" s="642">
        <v>220</v>
      </c>
      <c r="Y45" s="644"/>
      <c r="Z45" s="644"/>
      <c r="AA45" s="422"/>
      <c r="AB45" s="422">
        <v>38</v>
      </c>
      <c r="AC45" s="422"/>
      <c r="AD45" s="423"/>
      <c r="AE45" s="642">
        <v>220</v>
      </c>
      <c r="AF45" s="644"/>
      <c r="AG45" s="644"/>
      <c r="AH45" s="422"/>
      <c r="AI45" s="421">
        <v>0</v>
      </c>
      <c r="AJ45" s="424"/>
      <c r="AK45" s="542"/>
      <c r="AL45" s="420"/>
      <c r="AM45" s="420"/>
      <c r="AN45" s="422"/>
      <c r="AO45" s="422"/>
      <c r="AP45" s="422"/>
      <c r="AQ45" s="420"/>
      <c r="AR45" s="420"/>
      <c r="AS45" s="421"/>
      <c r="AT45" s="425"/>
      <c r="AU45" s="542">
        <v>226</v>
      </c>
      <c r="AV45" s="420"/>
      <c r="AW45" s="420"/>
      <c r="AX45" s="420"/>
      <c r="AY45" s="642">
        <v>221</v>
      </c>
      <c r="AZ45" s="642"/>
      <c r="BA45" s="644"/>
      <c r="BB45" s="644"/>
      <c r="BC45" s="644"/>
      <c r="BD45" s="644"/>
      <c r="BE45" s="642">
        <v>226</v>
      </c>
      <c r="BF45" s="644"/>
      <c r="BG45" s="644"/>
      <c r="BH45" s="423"/>
      <c r="BI45" s="422">
        <v>32</v>
      </c>
      <c r="BJ45" s="642">
        <v>226</v>
      </c>
      <c r="BK45" s="644"/>
      <c r="BL45" s="644"/>
      <c r="BM45" s="423"/>
      <c r="BN45" s="423"/>
      <c r="BO45" s="423"/>
      <c r="BP45" s="423"/>
      <c r="BQ45" s="426">
        <v>0</v>
      </c>
      <c r="BR45" s="285"/>
      <c r="BS45" s="282"/>
      <c r="BT45" s="282"/>
      <c r="BU45" s="282" t="s">
        <v>59</v>
      </c>
      <c r="BV45" s="282"/>
      <c r="BW45" s="284" t="s">
        <v>59</v>
      </c>
      <c r="BY45" s="1000">
        <f t="shared" si="5"/>
        <v>0</v>
      </c>
      <c r="BZ45" s="1001"/>
      <c r="CA45" s="324">
        <f t="shared" si="6"/>
        <v>0</v>
      </c>
      <c r="CB45" s="324">
        <f t="shared" si="7"/>
        <v>0</v>
      </c>
      <c r="CC45" s="324">
        <f t="shared" si="8"/>
        <v>0</v>
      </c>
      <c r="CD45" s="324">
        <f t="shared" si="9"/>
        <v>0</v>
      </c>
      <c r="CE45" s="324">
        <f t="shared" si="10"/>
        <v>0</v>
      </c>
      <c r="CF45" s="324">
        <f t="shared" si="11"/>
        <v>0</v>
      </c>
      <c r="CG45" s="324">
        <f t="shared" si="12"/>
        <v>0</v>
      </c>
      <c r="CH45" s="324">
        <f t="shared" si="13"/>
        <v>0</v>
      </c>
      <c r="CI45" s="324">
        <f t="shared" si="14"/>
        <v>0</v>
      </c>
      <c r="CJ45" s="324">
        <f t="shared" si="15"/>
        <v>0</v>
      </c>
      <c r="CK45" s="325">
        <f t="shared" si="16"/>
        <v>0</v>
      </c>
      <c r="CL45" s="324">
        <f t="shared" si="17"/>
        <v>0</v>
      </c>
      <c r="CM45" s="324">
        <f t="shared" si="18"/>
        <v>0</v>
      </c>
      <c r="CN45" s="324">
        <f t="shared" si="19"/>
        <v>0</v>
      </c>
      <c r="CO45" s="256">
        <f t="shared" si="20"/>
        <v>0</v>
      </c>
      <c r="CP45" s="256">
        <f t="shared" si="21"/>
        <v>0</v>
      </c>
      <c r="CQ45" s="256">
        <f t="shared" si="22"/>
        <v>0</v>
      </c>
      <c r="CR45" s="325">
        <f t="shared" si="23"/>
        <v>0</v>
      </c>
      <c r="CS45" s="324">
        <f t="shared" si="24"/>
        <v>0</v>
      </c>
      <c r="CT45" s="324">
        <f t="shared" si="25"/>
        <v>0</v>
      </c>
      <c r="CU45" s="256">
        <f t="shared" si="26"/>
        <v>0</v>
      </c>
      <c r="CV45" s="256">
        <f t="shared" si="27"/>
        <v>0</v>
      </c>
      <c r="CW45" s="256">
        <f t="shared" si="28"/>
        <v>0</v>
      </c>
      <c r="CX45" s="325">
        <f t="shared" si="29"/>
        <v>0</v>
      </c>
      <c r="CY45" s="324">
        <f t="shared" si="30"/>
        <v>0</v>
      </c>
      <c r="CZ45" s="324">
        <f t="shared" si="31"/>
        <v>0</v>
      </c>
      <c r="DA45" s="324">
        <f t="shared" si="32"/>
        <v>0</v>
      </c>
      <c r="DB45" s="256">
        <f t="shared" si="33"/>
        <v>0</v>
      </c>
      <c r="DC45" s="256">
        <f t="shared" si="34"/>
        <v>0</v>
      </c>
      <c r="DD45" s="256">
        <f t="shared" si="35"/>
        <v>0</v>
      </c>
      <c r="DE45" s="329">
        <f t="shared" si="1"/>
        <v>0</v>
      </c>
      <c r="DF45" s="329">
        <f t="shared" si="2"/>
        <v>0</v>
      </c>
      <c r="DG45" s="329">
        <f t="shared" si="3"/>
        <v>0</v>
      </c>
      <c r="DH45" s="329">
        <f t="shared" si="4"/>
        <v>0</v>
      </c>
      <c r="DO45" s="79"/>
      <c r="DP45" s="116"/>
      <c r="DQ45" s="116"/>
      <c r="DR45" s="116"/>
      <c r="DS45" s="116"/>
      <c r="DT45" s="116"/>
      <c r="DU45" s="116"/>
      <c r="DV45" s="116"/>
      <c r="DW45" s="116"/>
      <c r="DX45" s="116"/>
      <c r="DY45" s="116"/>
      <c r="DZ45" s="372">
        <v>17451</v>
      </c>
      <c r="EA45" s="372" t="s">
        <v>1484</v>
      </c>
      <c r="EB45" s="372" t="s">
        <v>1827</v>
      </c>
      <c r="EC45" s="372" t="s">
        <v>1820</v>
      </c>
      <c r="ED45" s="447" t="s">
        <v>13802</v>
      </c>
      <c r="EE45" s="372" t="s">
        <v>14424</v>
      </c>
      <c r="EF45" s="372" t="s">
        <v>1829</v>
      </c>
      <c r="EG45" s="372">
        <v>373</v>
      </c>
      <c r="EH45" s="372" t="s">
        <v>1830</v>
      </c>
      <c r="EI45" s="372" t="s">
        <v>1831</v>
      </c>
      <c r="EJ45" s="372" t="s">
        <v>1832</v>
      </c>
      <c r="EK45" s="372" t="s">
        <v>14425</v>
      </c>
      <c r="EL45" s="372"/>
      <c r="EM45" t="s">
        <v>14769</v>
      </c>
      <c r="EN45" s="372">
        <v>8947</v>
      </c>
      <c r="EO45" s="369"/>
      <c r="EP45" s="369"/>
      <c r="EQ45" s="369"/>
      <c r="FU45" s="572">
        <v>18</v>
      </c>
    </row>
    <row r="46" spans="1:177" ht="18.75" customHeight="1">
      <c r="A46" s="115" t="str">
        <f t="shared" si="36"/>
        <v>TER</v>
      </c>
      <c r="B46" s="274"/>
      <c r="C46" s="747">
        <v>19</v>
      </c>
      <c r="D46" s="873"/>
      <c r="E46" s="923"/>
      <c r="F46" s="924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1"/>
      <c r="R46" s="636">
        <v>230</v>
      </c>
      <c r="S46" s="637"/>
      <c r="T46" s="428"/>
      <c r="U46" s="642">
        <v>219</v>
      </c>
      <c r="V46" s="644"/>
      <c r="W46" s="422"/>
      <c r="X46" s="642">
        <v>230</v>
      </c>
      <c r="Y46" s="644"/>
      <c r="Z46" s="644"/>
      <c r="AA46" s="422"/>
      <c r="AB46" s="422">
        <v>40</v>
      </c>
      <c r="AC46" s="422"/>
      <c r="AD46" s="423"/>
      <c r="AE46" s="642">
        <v>230</v>
      </c>
      <c r="AF46" s="644"/>
      <c r="AG46" s="644"/>
      <c r="AH46" s="422"/>
      <c r="AI46" s="421">
        <v>35</v>
      </c>
      <c r="AJ46" s="424"/>
      <c r="AK46" s="543"/>
      <c r="AL46" s="428"/>
      <c r="AM46" s="428"/>
      <c r="AN46" s="429"/>
      <c r="AO46" s="429"/>
      <c r="AP46" s="429"/>
      <c r="AQ46" s="428"/>
      <c r="AR46" s="428"/>
      <c r="AS46" s="430"/>
      <c r="AT46" s="431"/>
      <c r="AU46" s="543">
        <v>242</v>
      </c>
      <c r="AV46" s="428"/>
      <c r="AW46" s="428"/>
      <c r="AX46" s="420"/>
      <c r="AY46" s="642">
        <v>236</v>
      </c>
      <c r="AZ46" s="642"/>
      <c r="BA46" s="644"/>
      <c r="BB46" s="644"/>
      <c r="BC46" s="644"/>
      <c r="BD46" s="644"/>
      <c r="BE46" s="642">
        <v>242</v>
      </c>
      <c r="BF46" s="644"/>
      <c r="BG46" s="644"/>
      <c r="BH46" s="423"/>
      <c r="BI46" s="422">
        <v>35</v>
      </c>
      <c r="BJ46" s="642">
        <v>242</v>
      </c>
      <c r="BK46" s="644"/>
      <c r="BL46" s="644"/>
      <c r="BM46" s="423"/>
      <c r="BN46" s="423"/>
      <c r="BO46" s="423"/>
      <c r="BP46" s="423"/>
      <c r="BQ46" s="426">
        <v>31</v>
      </c>
      <c r="BR46" s="285"/>
      <c r="BS46" s="282"/>
      <c r="BT46" s="282"/>
      <c r="BU46" s="282"/>
      <c r="BV46" s="282"/>
      <c r="BW46" s="284"/>
      <c r="BY46" s="1000">
        <f t="shared" si="5"/>
        <v>0</v>
      </c>
      <c r="BZ46" s="1001"/>
      <c r="CA46" s="324">
        <f t="shared" si="6"/>
        <v>0</v>
      </c>
      <c r="CB46" s="324">
        <f t="shared" si="7"/>
        <v>0</v>
      </c>
      <c r="CC46" s="324">
        <f t="shared" si="8"/>
        <v>0</v>
      </c>
      <c r="CD46" s="324">
        <f t="shared" si="9"/>
        <v>0</v>
      </c>
      <c r="CE46" s="324">
        <f t="shared" si="10"/>
        <v>0</v>
      </c>
      <c r="CF46" s="324">
        <f t="shared" si="11"/>
        <v>0</v>
      </c>
      <c r="CG46" s="324">
        <f t="shared" si="12"/>
        <v>0</v>
      </c>
      <c r="CH46" s="324">
        <f t="shared" si="13"/>
        <v>0</v>
      </c>
      <c r="CI46" s="324">
        <f t="shared" si="14"/>
        <v>0</v>
      </c>
      <c r="CJ46" s="324">
        <f t="shared" si="15"/>
        <v>0</v>
      </c>
      <c r="CK46" s="325">
        <f t="shared" si="16"/>
        <v>0</v>
      </c>
      <c r="CL46" s="324">
        <f t="shared" si="17"/>
        <v>0</v>
      </c>
      <c r="CM46" s="324">
        <f t="shared" si="18"/>
        <v>0</v>
      </c>
      <c r="CN46" s="324">
        <f t="shared" si="19"/>
        <v>0</v>
      </c>
      <c r="CO46" s="256">
        <f t="shared" si="20"/>
        <v>0</v>
      </c>
      <c r="CP46" s="256">
        <f t="shared" si="21"/>
        <v>0</v>
      </c>
      <c r="CQ46" s="256">
        <f t="shared" si="22"/>
        <v>0</v>
      </c>
      <c r="CR46" s="325">
        <f t="shared" si="23"/>
        <v>0</v>
      </c>
      <c r="CS46" s="324">
        <f t="shared" si="24"/>
        <v>0</v>
      </c>
      <c r="CT46" s="324">
        <f t="shared" si="25"/>
        <v>0</v>
      </c>
      <c r="CU46" s="256">
        <f t="shared" si="26"/>
        <v>0</v>
      </c>
      <c r="CV46" s="256">
        <f t="shared" si="27"/>
        <v>0</v>
      </c>
      <c r="CW46" s="256">
        <f t="shared" si="28"/>
        <v>0</v>
      </c>
      <c r="CX46" s="325">
        <f t="shared" si="29"/>
        <v>0</v>
      </c>
      <c r="CY46" s="324">
        <f t="shared" si="30"/>
        <v>0</v>
      </c>
      <c r="CZ46" s="324">
        <f t="shared" si="31"/>
        <v>0</v>
      </c>
      <c r="DA46" s="324">
        <f t="shared" si="32"/>
        <v>0</v>
      </c>
      <c r="DB46" s="256">
        <f t="shared" si="33"/>
        <v>0</v>
      </c>
      <c r="DC46" s="256">
        <f t="shared" si="34"/>
        <v>0</v>
      </c>
      <c r="DD46" s="256">
        <f t="shared" si="35"/>
        <v>0</v>
      </c>
      <c r="DE46" s="329">
        <f t="shared" si="1"/>
        <v>0</v>
      </c>
      <c r="DF46" s="329">
        <f t="shared" si="2"/>
        <v>0</v>
      </c>
      <c r="DG46" s="329">
        <f t="shared" si="3"/>
        <v>0</v>
      </c>
      <c r="DH46" s="329">
        <f t="shared" si="4"/>
        <v>0</v>
      </c>
      <c r="DO46" s="79"/>
      <c r="DP46" s="116"/>
      <c r="DQ46" s="116"/>
      <c r="DR46" s="116"/>
      <c r="DS46" s="116"/>
      <c r="DT46" s="116"/>
      <c r="DU46" s="116"/>
      <c r="DV46" s="116"/>
      <c r="DW46" s="116"/>
      <c r="DX46" s="116"/>
      <c r="DY46" s="116"/>
      <c r="DZ46" s="372">
        <v>17515</v>
      </c>
      <c r="EA46" s="372" t="s">
        <v>1484</v>
      </c>
      <c r="EB46" s="372" t="s">
        <v>1833</v>
      </c>
      <c r="EC46" s="372" t="s">
        <v>1661</v>
      </c>
      <c r="ED46" s="447" t="s">
        <v>13771</v>
      </c>
      <c r="EE46" s="372" t="s">
        <v>14094</v>
      </c>
      <c r="EF46" s="372" t="s">
        <v>1834</v>
      </c>
      <c r="EG46" s="372">
        <v>550</v>
      </c>
      <c r="EH46" s="372" t="s">
        <v>1835</v>
      </c>
      <c r="EI46" s="372" t="s">
        <v>1836</v>
      </c>
      <c r="EJ46" s="372" t="s">
        <v>1837</v>
      </c>
      <c r="EK46" s="372" t="s">
        <v>14095</v>
      </c>
      <c r="EL46" s="372" t="s">
        <v>1838</v>
      </c>
      <c r="EM46" s="372" t="s">
        <v>1669</v>
      </c>
      <c r="EN46" s="372">
        <v>9025</v>
      </c>
      <c r="EO46" s="369"/>
      <c r="EP46" s="369"/>
      <c r="EQ46" s="369"/>
      <c r="FU46" s="572">
        <v>19</v>
      </c>
    </row>
    <row r="47" spans="1:177" ht="18.75" customHeight="1">
      <c r="A47" s="115" t="str">
        <f t="shared" si="36"/>
        <v>QUA</v>
      </c>
      <c r="B47" s="274"/>
      <c r="C47" s="747">
        <v>20</v>
      </c>
      <c r="D47" s="873"/>
      <c r="E47" s="923"/>
      <c r="F47" s="924"/>
      <c r="G47" s="420"/>
      <c r="H47" s="420"/>
      <c r="I47" s="420"/>
      <c r="J47" s="420"/>
      <c r="K47" s="420"/>
      <c r="L47" s="420"/>
      <c r="M47" s="420"/>
      <c r="N47" s="420"/>
      <c r="O47" s="420"/>
      <c r="P47" s="420"/>
      <c r="Q47" s="421"/>
      <c r="R47" s="636">
        <v>234</v>
      </c>
      <c r="S47" s="637"/>
      <c r="T47" s="428"/>
      <c r="U47" s="642">
        <v>223</v>
      </c>
      <c r="V47" s="644"/>
      <c r="W47" s="422"/>
      <c r="X47" s="642">
        <v>234</v>
      </c>
      <c r="Y47" s="644"/>
      <c r="Z47" s="644"/>
      <c r="AA47" s="422"/>
      <c r="AB47" s="422">
        <v>41</v>
      </c>
      <c r="AC47" s="422"/>
      <c r="AD47" s="423"/>
      <c r="AE47" s="642">
        <v>234</v>
      </c>
      <c r="AF47" s="644"/>
      <c r="AG47" s="644"/>
      <c r="AH47" s="422"/>
      <c r="AI47" s="421">
        <v>40</v>
      </c>
      <c r="AJ47" s="424"/>
      <c r="AK47" s="543"/>
      <c r="AL47" s="428"/>
      <c r="AM47" s="428"/>
      <c r="AN47" s="429"/>
      <c r="AO47" s="429"/>
      <c r="AP47" s="429"/>
      <c r="AQ47" s="428"/>
      <c r="AR47" s="428"/>
      <c r="AS47" s="430"/>
      <c r="AT47" s="431"/>
      <c r="AU47" s="543">
        <v>237</v>
      </c>
      <c r="AV47" s="428"/>
      <c r="AW47" s="428"/>
      <c r="AX47" s="420"/>
      <c r="AY47" s="642">
        <v>231</v>
      </c>
      <c r="AZ47" s="642"/>
      <c r="BA47" s="644"/>
      <c r="BB47" s="644"/>
      <c r="BC47" s="644"/>
      <c r="BD47" s="644"/>
      <c r="BE47" s="642">
        <v>237</v>
      </c>
      <c r="BF47" s="644"/>
      <c r="BG47" s="644"/>
      <c r="BH47" s="423"/>
      <c r="BI47" s="422">
        <v>40</v>
      </c>
      <c r="BJ47" s="642">
        <v>237</v>
      </c>
      <c r="BK47" s="644"/>
      <c r="BL47" s="644"/>
      <c r="BM47" s="423"/>
      <c r="BN47" s="423"/>
      <c r="BO47" s="423"/>
      <c r="BP47" s="423"/>
      <c r="BQ47" s="426">
        <v>41</v>
      </c>
      <c r="BR47" s="285"/>
      <c r="BS47" s="282"/>
      <c r="BT47" s="282"/>
      <c r="BU47" s="282"/>
      <c r="BV47" s="282"/>
      <c r="BW47" s="284"/>
      <c r="BY47" s="1000">
        <f t="shared" si="5"/>
        <v>0</v>
      </c>
      <c r="BZ47" s="1001"/>
      <c r="CA47" s="324">
        <f t="shared" si="6"/>
        <v>0</v>
      </c>
      <c r="CB47" s="324">
        <f t="shared" si="7"/>
        <v>0</v>
      </c>
      <c r="CC47" s="324">
        <f t="shared" si="8"/>
        <v>0</v>
      </c>
      <c r="CD47" s="324">
        <f t="shared" si="9"/>
        <v>0</v>
      </c>
      <c r="CE47" s="324">
        <f t="shared" si="10"/>
        <v>0</v>
      </c>
      <c r="CF47" s="324">
        <f t="shared" si="11"/>
        <v>0</v>
      </c>
      <c r="CG47" s="324">
        <f t="shared" si="12"/>
        <v>0</v>
      </c>
      <c r="CH47" s="324">
        <f t="shared" si="13"/>
        <v>0</v>
      </c>
      <c r="CI47" s="324">
        <f t="shared" si="14"/>
        <v>0</v>
      </c>
      <c r="CJ47" s="324">
        <f t="shared" si="15"/>
        <v>0</v>
      </c>
      <c r="CK47" s="325">
        <f t="shared" si="16"/>
        <v>0</v>
      </c>
      <c r="CL47" s="324">
        <f t="shared" si="17"/>
        <v>0</v>
      </c>
      <c r="CM47" s="324">
        <f t="shared" si="18"/>
        <v>0</v>
      </c>
      <c r="CN47" s="324">
        <f t="shared" si="19"/>
        <v>0</v>
      </c>
      <c r="CO47" s="256">
        <f t="shared" si="20"/>
        <v>0</v>
      </c>
      <c r="CP47" s="256">
        <f t="shared" si="21"/>
        <v>0</v>
      </c>
      <c r="CQ47" s="256">
        <f t="shared" si="22"/>
        <v>0</v>
      </c>
      <c r="CR47" s="325">
        <f t="shared" si="23"/>
        <v>0</v>
      </c>
      <c r="CS47" s="324">
        <f t="shared" si="24"/>
        <v>0</v>
      </c>
      <c r="CT47" s="324">
        <f t="shared" si="25"/>
        <v>0</v>
      </c>
      <c r="CU47" s="256">
        <f t="shared" si="26"/>
        <v>0</v>
      </c>
      <c r="CV47" s="256">
        <f t="shared" si="27"/>
        <v>0</v>
      </c>
      <c r="CW47" s="256">
        <f t="shared" si="28"/>
        <v>0</v>
      </c>
      <c r="CX47" s="325">
        <f t="shared" si="29"/>
        <v>0</v>
      </c>
      <c r="CY47" s="324">
        <f t="shared" si="30"/>
        <v>0</v>
      </c>
      <c r="CZ47" s="324">
        <f t="shared" si="31"/>
        <v>0</v>
      </c>
      <c r="DA47" s="324">
        <f t="shared" si="32"/>
        <v>0</v>
      </c>
      <c r="DB47" s="256">
        <f t="shared" si="33"/>
        <v>0</v>
      </c>
      <c r="DC47" s="256">
        <f t="shared" si="34"/>
        <v>0</v>
      </c>
      <c r="DD47" s="256">
        <f t="shared" si="35"/>
        <v>0</v>
      </c>
      <c r="DE47" s="329">
        <f t="shared" si="1"/>
        <v>0</v>
      </c>
      <c r="DF47" s="329">
        <f t="shared" si="2"/>
        <v>0</v>
      </c>
      <c r="DG47" s="329">
        <f t="shared" si="3"/>
        <v>0</v>
      </c>
      <c r="DH47" s="329">
        <f t="shared" si="4"/>
        <v>0</v>
      </c>
      <c r="DK47" s="61"/>
      <c r="DN47" s="119"/>
      <c r="DO47" s="79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372">
        <v>17531</v>
      </c>
      <c r="EA47" s="372" t="s">
        <v>1484</v>
      </c>
      <c r="EB47" s="372" t="s">
        <v>1839</v>
      </c>
      <c r="EC47" s="372" t="s">
        <v>1707</v>
      </c>
      <c r="ED47" s="447" t="s">
        <v>13799</v>
      </c>
      <c r="EE47" s="372" t="s">
        <v>14342</v>
      </c>
      <c r="EF47" s="372" t="s">
        <v>1840</v>
      </c>
      <c r="EG47" s="372">
        <v>120</v>
      </c>
      <c r="EH47" s="372" t="s">
        <v>1841</v>
      </c>
      <c r="EI47" s="372" t="s">
        <v>1842</v>
      </c>
      <c r="EJ47" s="372" t="s">
        <v>1843</v>
      </c>
      <c r="EK47" s="372" t="s">
        <v>14343</v>
      </c>
      <c r="EL47" s="372"/>
      <c r="EM47" s="372" t="s">
        <v>1633</v>
      </c>
      <c r="EN47" s="372">
        <v>8970</v>
      </c>
      <c r="EP47" s="369"/>
      <c r="EQ47" s="369"/>
      <c r="FU47" s="572">
        <v>20</v>
      </c>
    </row>
    <row r="48" spans="1:177" ht="18.75" customHeight="1">
      <c r="A48" s="115" t="str">
        <f t="shared" si="36"/>
        <v>QUI</v>
      </c>
      <c r="B48" s="274"/>
      <c r="C48" s="874">
        <v>21</v>
      </c>
      <c r="D48" s="873"/>
      <c r="E48" s="923"/>
      <c r="F48" s="924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1"/>
      <c r="R48" s="636">
        <v>228</v>
      </c>
      <c r="S48" s="637"/>
      <c r="T48" s="428"/>
      <c r="U48" s="642">
        <v>217</v>
      </c>
      <c r="V48" s="644"/>
      <c r="W48" s="422"/>
      <c r="X48" s="642">
        <v>228</v>
      </c>
      <c r="Y48" s="644"/>
      <c r="Z48" s="644"/>
      <c r="AA48" s="422"/>
      <c r="AB48" s="422">
        <v>34</v>
      </c>
      <c r="AC48" s="422"/>
      <c r="AD48" s="423"/>
      <c r="AE48" s="642">
        <v>228</v>
      </c>
      <c r="AF48" s="644"/>
      <c r="AG48" s="644"/>
      <c r="AH48" s="422"/>
      <c r="AI48" s="421">
        <v>32</v>
      </c>
      <c r="AJ48" s="427"/>
      <c r="AK48" s="543"/>
      <c r="AL48" s="428"/>
      <c r="AM48" s="428"/>
      <c r="AN48" s="429"/>
      <c r="AO48" s="429"/>
      <c r="AP48" s="429"/>
      <c r="AQ48" s="428"/>
      <c r="AR48" s="428"/>
      <c r="AS48" s="430"/>
      <c r="AT48" s="431"/>
      <c r="AU48" s="543">
        <v>246</v>
      </c>
      <c r="AV48" s="428"/>
      <c r="AW48" s="428"/>
      <c r="AX48" s="420"/>
      <c r="AY48" s="642">
        <v>240</v>
      </c>
      <c r="AZ48" s="642"/>
      <c r="BA48" s="644"/>
      <c r="BB48" s="644"/>
      <c r="BC48" s="644"/>
      <c r="BD48" s="644"/>
      <c r="BE48" s="642">
        <v>246</v>
      </c>
      <c r="BF48" s="644"/>
      <c r="BG48" s="644"/>
      <c r="BH48" s="423"/>
      <c r="BI48" s="422">
        <v>46</v>
      </c>
      <c r="BJ48" s="642">
        <v>246</v>
      </c>
      <c r="BK48" s="644"/>
      <c r="BL48" s="644"/>
      <c r="BM48" s="423"/>
      <c r="BN48" s="423"/>
      <c r="BO48" s="423"/>
      <c r="BP48" s="423"/>
      <c r="BQ48" s="426">
        <v>42</v>
      </c>
      <c r="BR48" s="285"/>
      <c r="BS48" s="282"/>
      <c r="BT48" s="282"/>
      <c r="BU48" s="282"/>
      <c r="BV48" s="282"/>
      <c r="BW48" s="284"/>
      <c r="BY48" s="1000">
        <f t="shared" si="5"/>
        <v>0</v>
      </c>
      <c r="BZ48" s="1001"/>
      <c r="CA48" s="324">
        <f t="shared" si="6"/>
        <v>0</v>
      </c>
      <c r="CB48" s="324">
        <f t="shared" si="7"/>
        <v>0</v>
      </c>
      <c r="CC48" s="324">
        <f t="shared" si="8"/>
        <v>0</v>
      </c>
      <c r="CD48" s="324">
        <f t="shared" si="9"/>
        <v>0</v>
      </c>
      <c r="CE48" s="324">
        <f t="shared" si="10"/>
        <v>0</v>
      </c>
      <c r="CF48" s="324">
        <f t="shared" si="11"/>
        <v>0</v>
      </c>
      <c r="CG48" s="324">
        <f t="shared" si="12"/>
        <v>0</v>
      </c>
      <c r="CH48" s="324">
        <f t="shared" si="13"/>
        <v>0</v>
      </c>
      <c r="CI48" s="324">
        <f t="shared" si="14"/>
        <v>0</v>
      </c>
      <c r="CJ48" s="324">
        <f t="shared" si="15"/>
        <v>0</v>
      </c>
      <c r="CK48" s="325">
        <f t="shared" si="16"/>
        <v>0</v>
      </c>
      <c r="CL48" s="324">
        <f t="shared" si="17"/>
        <v>0</v>
      </c>
      <c r="CM48" s="324">
        <f t="shared" si="18"/>
        <v>0</v>
      </c>
      <c r="CN48" s="324">
        <f t="shared" si="19"/>
        <v>0</v>
      </c>
      <c r="CO48" s="256">
        <f t="shared" si="20"/>
        <v>0</v>
      </c>
      <c r="CP48" s="256">
        <f t="shared" si="21"/>
        <v>0</v>
      </c>
      <c r="CQ48" s="256">
        <f t="shared" si="22"/>
        <v>0</v>
      </c>
      <c r="CR48" s="325">
        <f t="shared" si="23"/>
        <v>0</v>
      </c>
      <c r="CS48" s="324">
        <f t="shared" si="24"/>
        <v>0</v>
      </c>
      <c r="CT48" s="324">
        <f t="shared" si="25"/>
        <v>0</v>
      </c>
      <c r="CU48" s="256">
        <f t="shared" si="26"/>
        <v>0</v>
      </c>
      <c r="CV48" s="256">
        <f t="shared" si="27"/>
        <v>0</v>
      </c>
      <c r="CW48" s="256">
        <f t="shared" si="28"/>
        <v>0</v>
      </c>
      <c r="CX48" s="325">
        <f t="shared" si="29"/>
        <v>0</v>
      </c>
      <c r="CY48" s="324">
        <f t="shared" si="30"/>
        <v>0</v>
      </c>
      <c r="CZ48" s="324">
        <f t="shared" si="31"/>
        <v>0</v>
      </c>
      <c r="DA48" s="324">
        <f t="shared" si="32"/>
        <v>0</v>
      </c>
      <c r="DB48" s="256">
        <f t="shared" si="33"/>
        <v>0</v>
      </c>
      <c r="DC48" s="256">
        <f t="shared" si="34"/>
        <v>0</v>
      </c>
      <c r="DD48" s="256">
        <f t="shared" si="35"/>
        <v>0</v>
      </c>
      <c r="DE48" s="329">
        <f t="shared" si="1"/>
        <v>0</v>
      </c>
      <c r="DF48" s="329">
        <f t="shared" si="2"/>
        <v>0</v>
      </c>
      <c r="DG48" s="329">
        <f t="shared" si="3"/>
        <v>0</v>
      </c>
      <c r="DH48" s="329">
        <f t="shared" si="4"/>
        <v>0</v>
      </c>
      <c r="DL48" s="61"/>
      <c r="DM48" s="119"/>
      <c r="DN48" s="119"/>
      <c r="DO48" s="79"/>
      <c r="DP48" s="116"/>
      <c r="DQ48" s="116"/>
      <c r="DR48" s="116"/>
      <c r="DS48" s="116"/>
      <c r="DT48" s="116"/>
      <c r="DU48" s="116"/>
      <c r="DV48" s="116"/>
      <c r="DW48" s="116"/>
      <c r="DX48" s="116"/>
      <c r="DY48" s="116"/>
      <c r="DZ48" s="372">
        <v>17655</v>
      </c>
      <c r="EA48" s="372" t="s">
        <v>1484</v>
      </c>
      <c r="EB48" s="372" t="s">
        <v>1844</v>
      </c>
      <c r="EC48" s="372" t="s">
        <v>1707</v>
      </c>
      <c r="ED48" s="447" t="s">
        <v>13799</v>
      </c>
      <c r="EE48" s="372" t="s">
        <v>14334</v>
      </c>
      <c r="EF48" s="372" t="s">
        <v>1845</v>
      </c>
      <c r="EG48" s="372">
        <v>210</v>
      </c>
      <c r="EH48" s="372" t="s">
        <v>1846</v>
      </c>
      <c r="EI48" s="372" t="s">
        <v>1847</v>
      </c>
      <c r="EJ48" s="372" t="s">
        <v>1848</v>
      </c>
      <c r="EK48" s="372" t="s">
        <v>14335</v>
      </c>
      <c r="EL48" s="372"/>
      <c r="EM48" s="372" t="s">
        <v>1633</v>
      </c>
      <c r="EN48" s="372">
        <v>9098</v>
      </c>
      <c r="EO48" s="369"/>
      <c r="EP48" s="369"/>
      <c r="EQ48" s="369"/>
      <c r="FU48" s="572">
        <v>21</v>
      </c>
    </row>
    <row r="49" spans="1:177" ht="18.75" customHeight="1">
      <c r="A49" s="115" t="str">
        <f t="shared" si="36"/>
        <v>SEX</v>
      </c>
      <c r="B49" s="274"/>
      <c r="C49" s="747">
        <v>22</v>
      </c>
      <c r="D49" s="873"/>
      <c r="E49" s="923"/>
      <c r="F49" s="924"/>
      <c r="G49" s="420"/>
      <c r="H49" s="420"/>
      <c r="I49" s="420"/>
      <c r="J49" s="420"/>
      <c r="K49" s="420"/>
      <c r="L49" s="420"/>
      <c r="M49" s="420"/>
      <c r="N49" s="420"/>
      <c r="O49" s="420"/>
      <c r="P49" s="420"/>
      <c r="Q49" s="421"/>
      <c r="R49" s="636">
        <v>200</v>
      </c>
      <c r="S49" s="637"/>
      <c r="T49" s="428"/>
      <c r="U49" s="642">
        <v>190</v>
      </c>
      <c r="V49" s="644"/>
      <c r="W49" s="422"/>
      <c r="X49" s="642">
        <v>200</v>
      </c>
      <c r="Y49" s="644"/>
      <c r="Z49" s="644"/>
      <c r="AA49" s="422"/>
      <c r="AB49" s="422">
        <v>39</v>
      </c>
      <c r="AC49" s="422"/>
      <c r="AD49" s="423"/>
      <c r="AE49" s="642">
        <v>200</v>
      </c>
      <c r="AF49" s="644"/>
      <c r="AG49" s="644"/>
      <c r="AH49" s="422"/>
      <c r="AI49" s="421">
        <v>45</v>
      </c>
      <c r="AJ49" s="424"/>
      <c r="AK49" s="543"/>
      <c r="AL49" s="428"/>
      <c r="AM49" s="428"/>
      <c r="AN49" s="429"/>
      <c r="AO49" s="429"/>
      <c r="AP49" s="429"/>
      <c r="AQ49" s="428"/>
      <c r="AR49" s="428"/>
      <c r="AS49" s="430"/>
      <c r="AT49" s="431"/>
      <c r="AU49" s="543">
        <v>217</v>
      </c>
      <c r="AV49" s="428"/>
      <c r="AW49" s="428"/>
      <c r="AX49" s="420"/>
      <c r="AY49" s="642">
        <v>213</v>
      </c>
      <c r="AZ49" s="642"/>
      <c r="BA49" s="644"/>
      <c r="BB49" s="644"/>
      <c r="BC49" s="644"/>
      <c r="BD49" s="644"/>
      <c r="BE49" s="642">
        <v>217</v>
      </c>
      <c r="BF49" s="644"/>
      <c r="BG49" s="644"/>
      <c r="BH49" s="423"/>
      <c r="BI49" s="422">
        <v>40</v>
      </c>
      <c r="BJ49" s="642">
        <v>217</v>
      </c>
      <c r="BK49" s="644"/>
      <c r="BL49" s="644"/>
      <c r="BM49" s="423"/>
      <c r="BN49" s="423"/>
      <c r="BO49" s="423"/>
      <c r="BP49" s="423"/>
      <c r="BQ49" s="426">
        <v>43</v>
      </c>
      <c r="BR49" s="285"/>
      <c r="BS49" s="282"/>
      <c r="BT49" s="282"/>
      <c r="BU49" s="282"/>
      <c r="BV49" s="282"/>
      <c r="BW49" s="284"/>
      <c r="BY49" s="1000">
        <f t="shared" si="5"/>
        <v>0</v>
      </c>
      <c r="BZ49" s="1001"/>
      <c r="CA49" s="324">
        <f t="shared" si="6"/>
        <v>0</v>
      </c>
      <c r="CB49" s="324">
        <f t="shared" si="7"/>
        <v>0</v>
      </c>
      <c r="CC49" s="324">
        <f t="shared" si="8"/>
        <v>0</v>
      </c>
      <c r="CD49" s="324">
        <f t="shared" si="9"/>
        <v>0</v>
      </c>
      <c r="CE49" s="324">
        <f t="shared" si="10"/>
        <v>0</v>
      </c>
      <c r="CF49" s="324">
        <f t="shared" si="11"/>
        <v>0</v>
      </c>
      <c r="CG49" s="324">
        <f t="shared" si="12"/>
        <v>0</v>
      </c>
      <c r="CH49" s="324">
        <f t="shared" si="13"/>
        <v>0</v>
      </c>
      <c r="CI49" s="324">
        <f t="shared" si="14"/>
        <v>0</v>
      </c>
      <c r="CJ49" s="324">
        <f t="shared" si="15"/>
        <v>0</v>
      </c>
      <c r="CK49" s="325">
        <f t="shared" si="16"/>
        <v>0</v>
      </c>
      <c r="CL49" s="324">
        <f t="shared" si="17"/>
        <v>0</v>
      </c>
      <c r="CM49" s="324">
        <f t="shared" si="18"/>
        <v>0</v>
      </c>
      <c r="CN49" s="324">
        <f t="shared" si="19"/>
        <v>0</v>
      </c>
      <c r="CO49" s="256">
        <f t="shared" si="20"/>
        <v>0</v>
      </c>
      <c r="CP49" s="256">
        <f t="shared" si="21"/>
        <v>0</v>
      </c>
      <c r="CQ49" s="256">
        <f t="shared" si="22"/>
        <v>0</v>
      </c>
      <c r="CR49" s="325">
        <f t="shared" si="23"/>
        <v>0</v>
      </c>
      <c r="CS49" s="324">
        <f t="shared" si="24"/>
        <v>0</v>
      </c>
      <c r="CT49" s="324">
        <f t="shared" si="25"/>
        <v>0</v>
      </c>
      <c r="CU49" s="256">
        <f t="shared" si="26"/>
        <v>0</v>
      </c>
      <c r="CV49" s="256">
        <f t="shared" si="27"/>
        <v>0</v>
      </c>
      <c r="CW49" s="256">
        <f t="shared" si="28"/>
        <v>0</v>
      </c>
      <c r="CX49" s="325">
        <f t="shared" si="29"/>
        <v>0</v>
      </c>
      <c r="CY49" s="324">
        <f t="shared" si="30"/>
        <v>0</v>
      </c>
      <c r="CZ49" s="324">
        <f t="shared" si="31"/>
        <v>0</v>
      </c>
      <c r="DA49" s="324">
        <f t="shared" si="32"/>
        <v>0</v>
      </c>
      <c r="DB49" s="256">
        <f t="shared" si="33"/>
        <v>0</v>
      </c>
      <c r="DC49" s="256">
        <f t="shared" si="34"/>
        <v>0</v>
      </c>
      <c r="DD49" s="256">
        <f t="shared" si="35"/>
        <v>0</v>
      </c>
      <c r="DE49" s="329">
        <f t="shared" si="1"/>
        <v>0</v>
      </c>
      <c r="DF49" s="329">
        <f t="shared" si="2"/>
        <v>0</v>
      </c>
      <c r="DG49" s="329">
        <f t="shared" si="3"/>
        <v>0</v>
      </c>
      <c r="DH49" s="329">
        <f t="shared" si="4"/>
        <v>0</v>
      </c>
      <c r="DK49" s="119"/>
      <c r="DL49" s="61"/>
      <c r="DM49" s="202"/>
      <c r="DN49" s="202"/>
      <c r="DO49" s="79"/>
      <c r="DP49" s="116"/>
      <c r="DQ49" s="116"/>
      <c r="DR49" s="116"/>
      <c r="DS49" s="116"/>
      <c r="DT49" s="116"/>
      <c r="DU49" s="116"/>
      <c r="DV49" s="116"/>
      <c r="DW49" s="116"/>
      <c r="DX49" s="116"/>
      <c r="DY49" s="116"/>
      <c r="DZ49" s="450">
        <v>17710</v>
      </c>
      <c r="EA49" s="450" t="s">
        <v>1484</v>
      </c>
      <c r="EB49" s="450" t="s">
        <v>1849</v>
      </c>
      <c r="EC49" s="450" t="s">
        <v>1617</v>
      </c>
      <c r="ED49" s="450" t="s">
        <v>1618</v>
      </c>
      <c r="EE49" s="450" t="s">
        <v>13998</v>
      </c>
      <c r="EF49" s="450" t="s">
        <v>1850</v>
      </c>
      <c r="EG49" s="450">
        <v>851</v>
      </c>
      <c r="EH49" s="450" t="s">
        <v>1617</v>
      </c>
      <c r="EI49" s="450" t="s">
        <v>1851</v>
      </c>
      <c r="EJ49" s="450" t="s">
        <v>1852</v>
      </c>
      <c r="EK49" s="450" t="s">
        <v>13999</v>
      </c>
      <c r="EL49" s="450" t="s">
        <v>1853</v>
      </c>
      <c r="EM49" s="450" t="s">
        <v>1624</v>
      </c>
      <c r="EN49" s="450">
        <v>8999</v>
      </c>
      <c r="EO49" s="369"/>
      <c r="EP49" s="369"/>
      <c r="EQ49" s="369"/>
      <c r="FU49" s="572">
        <v>22</v>
      </c>
    </row>
    <row r="50" spans="1:177" ht="18.75" customHeight="1">
      <c r="A50" s="115" t="str">
        <f t="shared" si="36"/>
        <v>SAB</v>
      </c>
      <c r="B50" s="274"/>
      <c r="C50" s="747">
        <v>23</v>
      </c>
      <c r="D50" s="873"/>
      <c r="E50" s="923"/>
      <c r="F50" s="924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1"/>
      <c r="R50" s="636"/>
      <c r="S50" s="637"/>
      <c r="T50" s="428"/>
      <c r="U50" s="642"/>
      <c r="V50" s="644"/>
      <c r="W50" s="422"/>
      <c r="X50" s="642"/>
      <c r="Y50" s="644"/>
      <c r="Z50" s="644"/>
      <c r="AA50" s="422"/>
      <c r="AB50" s="422"/>
      <c r="AC50" s="422"/>
      <c r="AD50" s="423"/>
      <c r="AE50" s="642"/>
      <c r="AF50" s="644"/>
      <c r="AG50" s="644"/>
      <c r="AH50" s="422"/>
      <c r="AI50" s="421"/>
      <c r="AJ50" s="424"/>
      <c r="AK50" s="543"/>
      <c r="AL50" s="428"/>
      <c r="AM50" s="428"/>
      <c r="AN50" s="429"/>
      <c r="AO50" s="429"/>
      <c r="AP50" s="429"/>
      <c r="AQ50" s="428"/>
      <c r="AR50" s="428"/>
      <c r="AS50" s="430"/>
      <c r="AT50" s="431"/>
      <c r="AU50" s="543"/>
      <c r="AV50" s="428"/>
      <c r="AW50" s="428"/>
      <c r="AX50" s="420"/>
      <c r="AY50" s="642"/>
      <c r="AZ50" s="642"/>
      <c r="BA50" s="644"/>
      <c r="BB50" s="644"/>
      <c r="BC50" s="644"/>
      <c r="BD50" s="644"/>
      <c r="BE50" s="642"/>
      <c r="BF50" s="644"/>
      <c r="BG50" s="644"/>
      <c r="BH50" s="423"/>
      <c r="BI50" s="422"/>
      <c r="BJ50" s="642"/>
      <c r="BK50" s="644"/>
      <c r="BL50" s="644"/>
      <c r="BM50" s="423"/>
      <c r="BN50" s="423"/>
      <c r="BO50" s="423"/>
      <c r="BP50" s="423"/>
      <c r="BQ50" s="426"/>
      <c r="BR50" s="285"/>
      <c r="BS50" s="282"/>
      <c r="BT50" s="282"/>
      <c r="BU50" s="282"/>
      <c r="BV50" s="282"/>
      <c r="BW50" s="284"/>
      <c r="BY50" s="1000">
        <f t="shared" si="5"/>
        <v>0</v>
      </c>
      <c r="BZ50" s="1001"/>
      <c r="CA50" s="324">
        <f t="shared" si="6"/>
        <v>0</v>
      </c>
      <c r="CB50" s="324">
        <f t="shared" si="7"/>
        <v>0</v>
      </c>
      <c r="CC50" s="324">
        <f t="shared" si="8"/>
        <v>0</v>
      </c>
      <c r="CD50" s="324">
        <f t="shared" si="9"/>
        <v>0</v>
      </c>
      <c r="CE50" s="324">
        <f t="shared" si="10"/>
        <v>0</v>
      </c>
      <c r="CF50" s="324">
        <f t="shared" si="11"/>
        <v>0</v>
      </c>
      <c r="CG50" s="324">
        <f t="shared" si="12"/>
        <v>0</v>
      </c>
      <c r="CH50" s="324">
        <f t="shared" si="13"/>
        <v>0</v>
      </c>
      <c r="CI50" s="324">
        <f t="shared" si="14"/>
        <v>0</v>
      </c>
      <c r="CJ50" s="324">
        <f t="shared" si="15"/>
        <v>0</v>
      </c>
      <c r="CK50" s="325">
        <f t="shared" si="16"/>
        <v>0</v>
      </c>
      <c r="CL50" s="324">
        <f t="shared" si="17"/>
        <v>0</v>
      </c>
      <c r="CM50" s="324">
        <f t="shared" si="18"/>
        <v>0</v>
      </c>
      <c r="CN50" s="324">
        <f t="shared" si="19"/>
        <v>0</v>
      </c>
      <c r="CO50" s="256">
        <f t="shared" si="20"/>
        <v>0</v>
      </c>
      <c r="CP50" s="256">
        <f t="shared" si="21"/>
        <v>0</v>
      </c>
      <c r="CQ50" s="256">
        <f t="shared" si="22"/>
        <v>0</v>
      </c>
      <c r="CR50" s="325">
        <f t="shared" si="23"/>
        <v>0</v>
      </c>
      <c r="CS50" s="324">
        <f t="shared" si="24"/>
        <v>0</v>
      </c>
      <c r="CT50" s="324">
        <f t="shared" si="25"/>
        <v>0</v>
      </c>
      <c r="CU50" s="256">
        <f t="shared" si="26"/>
        <v>0</v>
      </c>
      <c r="CV50" s="256">
        <f t="shared" si="27"/>
        <v>0</v>
      </c>
      <c r="CW50" s="256">
        <f t="shared" si="28"/>
        <v>0</v>
      </c>
      <c r="CX50" s="325">
        <f t="shared" si="29"/>
        <v>0</v>
      </c>
      <c r="CY50" s="324">
        <f t="shared" si="30"/>
        <v>0</v>
      </c>
      <c r="CZ50" s="324">
        <f t="shared" si="31"/>
        <v>0</v>
      </c>
      <c r="DA50" s="324">
        <f t="shared" si="32"/>
        <v>0</v>
      </c>
      <c r="DB50" s="256">
        <f t="shared" si="33"/>
        <v>0</v>
      </c>
      <c r="DC50" s="256">
        <f t="shared" si="34"/>
        <v>0</v>
      </c>
      <c r="DD50" s="256">
        <f t="shared" si="35"/>
        <v>0</v>
      </c>
      <c r="DE50" s="329">
        <f t="shared" si="1"/>
        <v>0</v>
      </c>
      <c r="DF50" s="329">
        <f t="shared" si="2"/>
        <v>0</v>
      </c>
      <c r="DG50" s="329">
        <f t="shared" si="3"/>
        <v>0</v>
      </c>
      <c r="DH50" s="329">
        <f t="shared" si="4"/>
        <v>0</v>
      </c>
      <c r="DK50" s="120"/>
      <c r="DL50" s="121"/>
      <c r="DM50" s="64"/>
      <c r="DN50" s="122"/>
      <c r="DO50" s="79"/>
      <c r="DP50" s="116"/>
      <c r="DQ50" s="116"/>
      <c r="DR50" s="116"/>
      <c r="DS50" s="116"/>
      <c r="DT50" s="116"/>
      <c r="DU50" s="116"/>
      <c r="DV50" s="116"/>
      <c r="DW50" s="116"/>
      <c r="DX50" s="116"/>
      <c r="DY50" s="116"/>
      <c r="DZ50" s="450">
        <v>17728</v>
      </c>
      <c r="EA50" s="450" t="s">
        <v>1484</v>
      </c>
      <c r="EB50" s="450" t="s">
        <v>1854</v>
      </c>
      <c r="EC50" s="450" t="s">
        <v>1640</v>
      </c>
      <c r="ED50" s="450" t="s">
        <v>1641</v>
      </c>
      <c r="EE50" s="450" t="s">
        <v>14239</v>
      </c>
      <c r="EF50" s="450" t="s">
        <v>1855</v>
      </c>
      <c r="EG50" s="450">
        <v>120</v>
      </c>
      <c r="EH50" s="450" t="s">
        <v>1856</v>
      </c>
      <c r="EI50" s="450" t="s">
        <v>1857</v>
      </c>
      <c r="EJ50" s="450" t="s">
        <v>1858</v>
      </c>
      <c r="EK50" s="450" t="s">
        <v>14240</v>
      </c>
      <c r="EL50" s="450" t="s">
        <v>1859</v>
      </c>
      <c r="EM50" s="450" t="s">
        <v>1633</v>
      </c>
      <c r="EN50" s="450">
        <v>8995</v>
      </c>
      <c r="EO50" s="369"/>
      <c r="EP50" s="369"/>
      <c r="EQ50" s="369"/>
      <c r="FU50" s="572">
        <v>23</v>
      </c>
    </row>
    <row r="51" spans="1:177" ht="18.75" customHeight="1">
      <c r="A51" s="115" t="str">
        <f t="shared" si="36"/>
        <v>DOM</v>
      </c>
      <c r="B51" s="274"/>
      <c r="C51" s="747">
        <v>24</v>
      </c>
      <c r="D51" s="873"/>
      <c r="E51" s="923"/>
      <c r="F51" s="925"/>
      <c r="G51" s="420"/>
      <c r="H51" s="420"/>
      <c r="I51" s="420"/>
      <c r="J51" s="420"/>
      <c r="K51" s="420"/>
      <c r="L51" s="420"/>
      <c r="M51" s="420"/>
      <c r="N51" s="420"/>
      <c r="O51" s="420"/>
      <c r="P51" s="420"/>
      <c r="Q51" s="421"/>
      <c r="R51" s="636"/>
      <c r="S51" s="637"/>
      <c r="T51" s="428"/>
      <c r="U51" s="642"/>
      <c r="V51" s="644"/>
      <c r="W51" s="422"/>
      <c r="X51" s="642"/>
      <c r="Y51" s="644"/>
      <c r="Z51" s="644"/>
      <c r="AA51" s="422"/>
      <c r="AB51" s="422"/>
      <c r="AC51" s="422"/>
      <c r="AD51" s="423"/>
      <c r="AE51" s="642"/>
      <c r="AF51" s="644"/>
      <c r="AG51" s="644"/>
      <c r="AH51" s="422"/>
      <c r="AI51" s="421"/>
      <c r="AJ51" s="424"/>
      <c r="AK51" s="543"/>
      <c r="AL51" s="428"/>
      <c r="AM51" s="428"/>
      <c r="AN51" s="429"/>
      <c r="AO51" s="429"/>
      <c r="AP51" s="429"/>
      <c r="AQ51" s="428"/>
      <c r="AR51" s="428"/>
      <c r="AS51" s="430"/>
      <c r="AT51" s="431"/>
      <c r="AU51" s="543"/>
      <c r="AV51" s="428"/>
      <c r="AW51" s="428"/>
      <c r="AX51" s="420"/>
      <c r="AY51" s="642"/>
      <c r="AZ51" s="642"/>
      <c r="BA51" s="644"/>
      <c r="BB51" s="644"/>
      <c r="BC51" s="644"/>
      <c r="BD51" s="644"/>
      <c r="BE51" s="642"/>
      <c r="BF51" s="644"/>
      <c r="BG51" s="644"/>
      <c r="BH51" s="423"/>
      <c r="BI51" s="422"/>
      <c r="BJ51" s="642"/>
      <c r="BK51" s="644"/>
      <c r="BL51" s="644"/>
      <c r="BM51" s="423"/>
      <c r="BN51" s="423"/>
      <c r="BO51" s="423"/>
      <c r="BP51" s="423"/>
      <c r="BQ51" s="426"/>
      <c r="BR51" s="285"/>
      <c r="BS51" s="282"/>
      <c r="BT51" s="282"/>
      <c r="BU51" s="282"/>
      <c r="BV51" s="282"/>
      <c r="BW51" s="284"/>
      <c r="BY51" s="1000">
        <f t="shared" si="5"/>
        <v>0</v>
      </c>
      <c r="BZ51" s="1001"/>
      <c r="CA51" s="324">
        <f t="shared" si="6"/>
        <v>0</v>
      </c>
      <c r="CB51" s="324">
        <f t="shared" si="7"/>
        <v>0</v>
      </c>
      <c r="CC51" s="324">
        <f t="shared" si="8"/>
        <v>0</v>
      </c>
      <c r="CD51" s="324">
        <f t="shared" si="9"/>
        <v>0</v>
      </c>
      <c r="CE51" s="324">
        <f t="shared" si="10"/>
        <v>0</v>
      </c>
      <c r="CF51" s="324">
        <f t="shared" si="11"/>
        <v>0</v>
      </c>
      <c r="CG51" s="324">
        <f t="shared" si="12"/>
        <v>0</v>
      </c>
      <c r="CH51" s="324">
        <f t="shared" si="13"/>
        <v>0</v>
      </c>
      <c r="CI51" s="324">
        <f t="shared" si="14"/>
        <v>0</v>
      </c>
      <c r="CJ51" s="324">
        <f t="shared" si="15"/>
        <v>0</v>
      </c>
      <c r="CK51" s="325">
        <f t="shared" si="16"/>
        <v>0</v>
      </c>
      <c r="CL51" s="324">
        <f t="shared" si="17"/>
        <v>0</v>
      </c>
      <c r="CM51" s="324">
        <f t="shared" si="18"/>
        <v>0</v>
      </c>
      <c r="CN51" s="324">
        <f t="shared" si="19"/>
        <v>0</v>
      </c>
      <c r="CO51" s="256">
        <f t="shared" si="20"/>
        <v>0</v>
      </c>
      <c r="CP51" s="256">
        <f t="shared" si="21"/>
        <v>0</v>
      </c>
      <c r="CQ51" s="256">
        <f t="shared" si="22"/>
        <v>0</v>
      </c>
      <c r="CR51" s="325">
        <f t="shared" si="23"/>
        <v>0</v>
      </c>
      <c r="CS51" s="324">
        <f t="shared" si="24"/>
        <v>0</v>
      </c>
      <c r="CT51" s="324">
        <f t="shared" si="25"/>
        <v>0</v>
      </c>
      <c r="CU51" s="256">
        <f t="shared" si="26"/>
        <v>0</v>
      </c>
      <c r="CV51" s="256">
        <f t="shared" si="27"/>
        <v>0</v>
      </c>
      <c r="CW51" s="256">
        <f t="shared" si="28"/>
        <v>0</v>
      </c>
      <c r="CX51" s="325">
        <f t="shared" si="29"/>
        <v>0</v>
      </c>
      <c r="CY51" s="324">
        <f t="shared" si="30"/>
        <v>0</v>
      </c>
      <c r="CZ51" s="324">
        <f t="shared" si="31"/>
        <v>0</v>
      </c>
      <c r="DA51" s="324">
        <f t="shared" si="32"/>
        <v>0</v>
      </c>
      <c r="DB51" s="256">
        <f t="shared" si="33"/>
        <v>0</v>
      </c>
      <c r="DC51" s="256">
        <f t="shared" si="34"/>
        <v>0</v>
      </c>
      <c r="DD51" s="256">
        <f t="shared" si="35"/>
        <v>0</v>
      </c>
      <c r="DE51" s="329">
        <f t="shared" si="1"/>
        <v>0</v>
      </c>
      <c r="DF51" s="329">
        <f t="shared" si="2"/>
        <v>0</v>
      </c>
      <c r="DG51" s="329">
        <f t="shared" si="3"/>
        <v>0</v>
      </c>
      <c r="DH51" s="329">
        <f t="shared" si="4"/>
        <v>0</v>
      </c>
      <c r="DK51" s="120"/>
      <c r="DL51" s="121"/>
      <c r="DM51" s="61"/>
      <c r="DN51" s="61"/>
      <c r="DO51" s="79"/>
      <c r="DP51" s="116"/>
      <c r="DQ51" s="116"/>
      <c r="DR51" s="116"/>
      <c r="DS51" s="116"/>
      <c r="DT51" s="116"/>
      <c r="DU51" s="116"/>
      <c r="DV51" s="116"/>
      <c r="DW51" s="116"/>
      <c r="DX51" s="116"/>
      <c r="DY51" s="116"/>
      <c r="DZ51" s="450">
        <v>17736</v>
      </c>
      <c r="EA51" s="450" t="s">
        <v>1484</v>
      </c>
      <c r="EB51" s="372" t="s">
        <v>1860</v>
      </c>
      <c r="EC51" s="450" t="s">
        <v>1661</v>
      </c>
      <c r="ED51" s="447" t="s">
        <v>13771</v>
      </c>
      <c r="EE51" s="450" t="s">
        <v>14047</v>
      </c>
      <c r="EF51" s="450" t="s">
        <v>1861</v>
      </c>
      <c r="EG51" s="450">
        <v>34</v>
      </c>
      <c r="EH51" s="450" t="s">
        <v>1862</v>
      </c>
      <c r="EI51" s="450" t="s">
        <v>1863</v>
      </c>
      <c r="EJ51" s="450" t="s">
        <v>1864</v>
      </c>
      <c r="EK51" s="450" t="s">
        <v>14048</v>
      </c>
      <c r="EL51" s="450" t="s">
        <v>1865</v>
      </c>
      <c r="EM51" s="450" t="s">
        <v>1669</v>
      </c>
      <c r="EN51" s="450">
        <v>9023</v>
      </c>
      <c r="EO51" s="369"/>
      <c r="EP51" s="369"/>
      <c r="EQ51" s="369"/>
      <c r="FU51" s="572">
        <v>24</v>
      </c>
    </row>
    <row r="52" spans="1:177" ht="18.75" customHeight="1">
      <c r="A52" s="115" t="str">
        <f t="shared" si="36"/>
        <v>SEG</v>
      </c>
      <c r="B52" s="274"/>
      <c r="C52" s="874">
        <v>25</v>
      </c>
      <c r="D52" s="873"/>
      <c r="E52" s="923"/>
      <c r="F52" s="924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1"/>
      <c r="R52" s="636">
        <v>222</v>
      </c>
      <c r="S52" s="637"/>
      <c r="T52" s="428"/>
      <c r="U52" s="642">
        <v>211</v>
      </c>
      <c r="V52" s="644"/>
      <c r="W52" s="422"/>
      <c r="X52" s="642">
        <v>222</v>
      </c>
      <c r="Y52" s="644"/>
      <c r="Z52" s="644"/>
      <c r="AA52" s="422"/>
      <c r="AB52" s="422">
        <v>35</v>
      </c>
      <c r="AC52" s="422"/>
      <c r="AD52" s="423"/>
      <c r="AE52" s="642">
        <v>222</v>
      </c>
      <c r="AF52" s="644"/>
      <c r="AG52" s="644"/>
      <c r="AH52" s="422"/>
      <c r="AI52" s="421">
        <v>40</v>
      </c>
      <c r="AJ52" s="427"/>
      <c r="AK52" s="543"/>
      <c r="AL52" s="428"/>
      <c r="AM52" s="428"/>
      <c r="AN52" s="429"/>
      <c r="AO52" s="429"/>
      <c r="AP52" s="429"/>
      <c r="AQ52" s="428"/>
      <c r="AR52" s="428"/>
      <c r="AS52" s="430"/>
      <c r="AT52" s="431"/>
      <c r="AU52" s="543">
        <v>216</v>
      </c>
      <c r="AV52" s="428"/>
      <c r="AW52" s="428"/>
      <c r="AX52" s="420"/>
      <c r="AY52" s="642">
        <v>211</v>
      </c>
      <c r="AZ52" s="642"/>
      <c r="BA52" s="644"/>
      <c r="BB52" s="644"/>
      <c r="BC52" s="644"/>
      <c r="BD52" s="644"/>
      <c r="BE52" s="642">
        <v>216</v>
      </c>
      <c r="BF52" s="644"/>
      <c r="BG52" s="644"/>
      <c r="BH52" s="423"/>
      <c r="BI52" s="422">
        <v>39</v>
      </c>
      <c r="BJ52" s="642">
        <v>216</v>
      </c>
      <c r="BK52" s="644"/>
      <c r="BL52" s="644"/>
      <c r="BM52" s="423"/>
      <c r="BN52" s="423"/>
      <c r="BO52" s="423"/>
      <c r="BP52" s="423"/>
      <c r="BQ52" s="426">
        <v>42</v>
      </c>
      <c r="BR52" s="285"/>
      <c r="BS52" s="282"/>
      <c r="BT52" s="282"/>
      <c r="BU52" s="282"/>
      <c r="BV52" s="282"/>
      <c r="BW52" s="284"/>
      <c r="BY52" s="1000">
        <f t="shared" si="5"/>
        <v>0</v>
      </c>
      <c r="BZ52" s="1001"/>
      <c r="CA52" s="324">
        <f t="shared" si="6"/>
        <v>0</v>
      </c>
      <c r="CB52" s="324">
        <f t="shared" si="7"/>
        <v>0</v>
      </c>
      <c r="CC52" s="324">
        <f t="shared" si="8"/>
        <v>0</v>
      </c>
      <c r="CD52" s="324">
        <f t="shared" si="9"/>
        <v>0</v>
      </c>
      <c r="CE52" s="324">
        <f t="shared" si="10"/>
        <v>0</v>
      </c>
      <c r="CF52" s="324">
        <f t="shared" si="11"/>
        <v>0</v>
      </c>
      <c r="CG52" s="324">
        <f t="shared" si="12"/>
        <v>0</v>
      </c>
      <c r="CH52" s="324">
        <f t="shared" si="13"/>
        <v>0</v>
      </c>
      <c r="CI52" s="324">
        <f t="shared" si="14"/>
        <v>0</v>
      </c>
      <c r="CJ52" s="324">
        <f t="shared" si="15"/>
        <v>0</v>
      </c>
      <c r="CK52" s="325">
        <f t="shared" si="16"/>
        <v>0</v>
      </c>
      <c r="CL52" s="324">
        <f t="shared" si="17"/>
        <v>0</v>
      </c>
      <c r="CM52" s="324">
        <f t="shared" si="18"/>
        <v>0</v>
      </c>
      <c r="CN52" s="324">
        <f t="shared" si="19"/>
        <v>0</v>
      </c>
      <c r="CO52" s="256">
        <f t="shared" si="20"/>
        <v>0</v>
      </c>
      <c r="CP52" s="256">
        <f t="shared" si="21"/>
        <v>0</v>
      </c>
      <c r="CQ52" s="256">
        <f t="shared" si="22"/>
        <v>0</v>
      </c>
      <c r="CR52" s="325">
        <f t="shared" si="23"/>
        <v>0</v>
      </c>
      <c r="CS52" s="324">
        <f t="shared" si="24"/>
        <v>0</v>
      </c>
      <c r="CT52" s="324">
        <f t="shared" si="25"/>
        <v>0</v>
      </c>
      <c r="CU52" s="256">
        <f t="shared" si="26"/>
        <v>0</v>
      </c>
      <c r="CV52" s="256">
        <f t="shared" si="27"/>
        <v>0</v>
      </c>
      <c r="CW52" s="256">
        <f t="shared" si="28"/>
        <v>0</v>
      </c>
      <c r="CX52" s="325">
        <f t="shared" si="29"/>
        <v>0</v>
      </c>
      <c r="CY52" s="324">
        <f t="shared" si="30"/>
        <v>0</v>
      </c>
      <c r="CZ52" s="324">
        <f t="shared" si="31"/>
        <v>0</v>
      </c>
      <c r="DA52" s="324">
        <f t="shared" si="32"/>
        <v>0</v>
      </c>
      <c r="DB52" s="256">
        <f t="shared" si="33"/>
        <v>0</v>
      </c>
      <c r="DC52" s="256">
        <f t="shared" si="34"/>
        <v>0</v>
      </c>
      <c r="DD52" s="256">
        <f t="shared" si="35"/>
        <v>0</v>
      </c>
      <c r="DE52" s="329">
        <f t="shared" si="1"/>
        <v>0</v>
      </c>
      <c r="DF52" s="329">
        <f t="shared" si="2"/>
        <v>0</v>
      </c>
      <c r="DG52" s="329">
        <f t="shared" si="3"/>
        <v>0</v>
      </c>
      <c r="DH52" s="329">
        <f t="shared" si="4"/>
        <v>0</v>
      </c>
      <c r="DK52" s="120"/>
      <c r="DL52" s="61"/>
      <c r="DM52" s="61"/>
      <c r="DO52" s="79"/>
      <c r="DP52" s="116"/>
      <c r="DQ52" s="116"/>
      <c r="DR52" s="116"/>
      <c r="DS52" s="116"/>
      <c r="DT52" s="116"/>
      <c r="DU52" s="116"/>
      <c r="DV52" s="116"/>
      <c r="DW52" s="116"/>
      <c r="DX52" s="116"/>
      <c r="DY52" s="116"/>
      <c r="DZ52" s="372">
        <v>18201</v>
      </c>
      <c r="EA52" s="372" t="s">
        <v>1484</v>
      </c>
      <c r="EB52" s="372" t="s">
        <v>1866</v>
      </c>
      <c r="EC52" s="372" t="s">
        <v>1617</v>
      </c>
      <c r="ED52" s="372" t="s">
        <v>1618</v>
      </c>
      <c r="EE52" s="372" t="s">
        <v>14004</v>
      </c>
      <c r="EF52" s="372" t="s">
        <v>1867</v>
      </c>
      <c r="EG52" s="372">
        <v>55</v>
      </c>
      <c r="EH52" s="372" t="s">
        <v>1868</v>
      </c>
      <c r="EI52" s="372" t="s">
        <v>1869</v>
      </c>
      <c r="EJ52" s="372" t="s">
        <v>1870</v>
      </c>
      <c r="EK52" s="372" t="s">
        <v>14005</v>
      </c>
      <c r="EL52" s="372" t="s">
        <v>1871</v>
      </c>
      <c r="EM52" s="372" t="s">
        <v>1624</v>
      </c>
      <c r="EN52" s="372">
        <v>9042</v>
      </c>
      <c r="EO52" s="369"/>
      <c r="EP52" s="369"/>
      <c r="EQ52" s="369"/>
      <c r="FU52" s="572">
        <v>25</v>
      </c>
    </row>
    <row r="53" spans="1:177" ht="18.75" customHeight="1">
      <c r="A53" s="115" t="str">
        <f t="shared" si="36"/>
        <v>TER</v>
      </c>
      <c r="B53" s="274"/>
      <c r="C53" s="747">
        <v>26</v>
      </c>
      <c r="D53" s="873"/>
      <c r="E53" s="923"/>
      <c r="F53" s="924"/>
      <c r="G53" s="420"/>
      <c r="H53" s="420"/>
      <c r="I53" s="420"/>
      <c r="J53" s="420"/>
      <c r="K53" s="420"/>
      <c r="L53" s="420"/>
      <c r="M53" s="420"/>
      <c r="N53" s="420"/>
      <c r="O53" s="420"/>
      <c r="P53" s="420"/>
      <c r="Q53" s="421"/>
      <c r="R53" s="636">
        <v>238</v>
      </c>
      <c r="S53" s="637"/>
      <c r="T53" s="428"/>
      <c r="U53" s="642">
        <v>226</v>
      </c>
      <c r="V53" s="644"/>
      <c r="W53" s="422"/>
      <c r="X53" s="642">
        <v>238</v>
      </c>
      <c r="Y53" s="644"/>
      <c r="Z53" s="644"/>
      <c r="AA53" s="422"/>
      <c r="AB53" s="422">
        <v>39</v>
      </c>
      <c r="AC53" s="422"/>
      <c r="AD53" s="423"/>
      <c r="AE53" s="642">
        <v>238</v>
      </c>
      <c r="AF53" s="644"/>
      <c r="AG53" s="644"/>
      <c r="AH53" s="422"/>
      <c r="AI53" s="421">
        <v>45</v>
      </c>
      <c r="AJ53" s="424"/>
      <c r="AK53" s="543"/>
      <c r="AL53" s="428"/>
      <c r="AM53" s="428"/>
      <c r="AN53" s="429"/>
      <c r="AO53" s="429"/>
      <c r="AP53" s="429"/>
      <c r="AQ53" s="428"/>
      <c r="AR53" s="428"/>
      <c r="AS53" s="430"/>
      <c r="AT53" s="431"/>
      <c r="AU53" s="543">
        <v>226</v>
      </c>
      <c r="AV53" s="428"/>
      <c r="AW53" s="428"/>
      <c r="AX53" s="420"/>
      <c r="AY53" s="642">
        <v>220</v>
      </c>
      <c r="AZ53" s="642"/>
      <c r="BA53" s="644"/>
      <c r="BB53" s="644"/>
      <c r="BC53" s="644"/>
      <c r="BD53" s="644"/>
      <c r="BE53" s="642">
        <v>226</v>
      </c>
      <c r="BF53" s="644"/>
      <c r="BG53" s="644"/>
      <c r="BH53" s="423"/>
      <c r="BI53" s="422">
        <v>40</v>
      </c>
      <c r="BJ53" s="642">
        <v>226</v>
      </c>
      <c r="BK53" s="644"/>
      <c r="BL53" s="644"/>
      <c r="BM53" s="423"/>
      <c r="BN53" s="423"/>
      <c r="BO53" s="423"/>
      <c r="BP53" s="423"/>
      <c r="BQ53" s="426">
        <v>36</v>
      </c>
      <c r="BR53" s="285"/>
      <c r="BS53" s="282"/>
      <c r="BT53" s="282"/>
      <c r="BU53" s="282"/>
      <c r="BV53" s="282"/>
      <c r="BW53" s="284"/>
      <c r="BY53" s="1000">
        <f t="shared" si="5"/>
        <v>0</v>
      </c>
      <c r="BZ53" s="1001"/>
      <c r="CA53" s="324">
        <f t="shared" si="6"/>
        <v>0</v>
      </c>
      <c r="CB53" s="324">
        <f t="shared" si="7"/>
        <v>0</v>
      </c>
      <c r="CC53" s="324">
        <f t="shared" si="8"/>
        <v>0</v>
      </c>
      <c r="CD53" s="324">
        <f t="shared" si="9"/>
        <v>0</v>
      </c>
      <c r="CE53" s="324">
        <f t="shared" si="10"/>
        <v>0</v>
      </c>
      <c r="CF53" s="324">
        <f t="shared" si="11"/>
        <v>0</v>
      </c>
      <c r="CG53" s="324">
        <f t="shared" si="12"/>
        <v>0</v>
      </c>
      <c r="CH53" s="324">
        <f t="shared" si="13"/>
        <v>0</v>
      </c>
      <c r="CI53" s="324">
        <f t="shared" si="14"/>
        <v>0</v>
      </c>
      <c r="CJ53" s="324">
        <f t="shared" si="15"/>
        <v>0</v>
      </c>
      <c r="CK53" s="325">
        <f t="shared" si="16"/>
        <v>0</v>
      </c>
      <c r="CL53" s="324">
        <f t="shared" si="17"/>
        <v>0</v>
      </c>
      <c r="CM53" s="324">
        <f t="shared" si="18"/>
        <v>0</v>
      </c>
      <c r="CN53" s="324">
        <f t="shared" si="19"/>
        <v>0</v>
      </c>
      <c r="CO53" s="256">
        <f t="shared" si="20"/>
        <v>0</v>
      </c>
      <c r="CP53" s="256">
        <f t="shared" si="21"/>
        <v>0</v>
      </c>
      <c r="CQ53" s="256">
        <f t="shared" si="22"/>
        <v>0</v>
      </c>
      <c r="CR53" s="325">
        <f t="shared" si="23"/>
        <v>0</v>
      </c>
      <c r="CS53" s="324">
        <f t="shared" si="24"/>
        <v>0</v>
      </c>
      <c r="CT53" s="324">
        <f t="shared" si="25"/>
        <v>0</v>
      </c>
      <c r="CU53" s="256">
        <f t="shared" si="26"/>
        <v>0</v>
      </c>
      <c r="CV53" s="256">
        <f t="shared" si="27"/>
        <v>0</v>
      </c>
      <c r="CW53" s="256">
        <f t="shared" si="28"/>
        <v>0</v>
      </c>
      <c r="CX53" s="325">
        <f t="shared" si="29"/>
        <v>0</v>
      </c>
      <c r="CY53" s="324">
        <f t="shared" si="30"/>
        <v>0</v>
      </c>
      <c r="CZ53" s="324">
        <f t="shared" si="31"/>
        <v>0</v>
      </c>
      <c r="DA53" s="324">
        <f t="shared" si="32"/>
        <v>0</v>
      </c>
      <c r="DB53" s="256">
        <f t="shared" si="33"/>
        <v>0</v>
      </c>
      <c r="DC53" s="256">
        <f t="shared" si="34"/>
        <v>0</v>
      </c>
      <c r="DD53" s="256">
        <f t="shared" si="35"/>
        <v>0</v>
      </c>
      <c r="DE53" s="329">
        <f t="shared" si="1"/>
        <v>0</v>
      </c>
      <c r="DF53" s="329">
        <f t="shared" si="2"/>
        <v>0</v>
      </c>
      <c r="DG53" s="329">
        <f t="shared" si="3"/>
        <v>0</v>
      </c>
      <c r="DH53" s="329">
        <f t="shared" si="4"/>
        <v>0</v>
      </c>
      <c r="DK53" s="120"/>
      <c r="DL53" s="61"/>
      <c r="DM53" s="61"/>
      <c r="DO53" s="79"/>
      <c r="DP53" s="116"/>
      <c r="DQ53" s="116"/>
      <c r="DR53" s="116"/>
      <c r="DS53" s="116"/>
      <c r="DT53" s="116"/>
      <c r="DU53" s="116"/>
      <c r="DV53" s="116"/>
      <c r="DW53" s="116"/>
      <c r="DX53" s="116"/>
      <c r="DY53" s="116"/>
      <c r="DZ53" s="372">
        <v>18228</v>
      </c>
      <c r="EA53" s="469" t="s">
        <v>1484</v>
      </c>
      <c r="EB53" s="372" t="s">
        <v>1872</v>
      </c>
      <c r="EC53" s="469" t="s">
        <v>1654</v>
      </c>
      <c r="ED53" s="372" t="s">
        <v>13774</v>
      </c>
      <c r="EE53" s="372" t="s">
        <v>14702</v>
      </c>
      <c r="EF53" s="469" t="s">
        <v>1873</v>
      </c>
      <c r="EG53" s="469">
        <v>45</v>
      </c>
      <c r="EH53" s="469" t="s">
        <v>1874</v>
      </c>
      <c r="EI53" s="371" t="s">
        <v>1875</v>
      </c>
      <c r="EJ53" s="469" t="s">
        <v>1876</v>
      </c>
      <c r="EK53" s="469" t="s">
        <v>14703</v>
      </c>
      <c r="EL53" s="469" t="s">
        <v>1877</v>
      </c>
      <c r="EM53" s="450" t="s">
        <v>7010</v>
      </c>
      <c r="EN53" s="364">
        <v>11316</v>
      </c>
      <c r="EO53" s="369"/>
      <c r="EP53" s="369"/>
      <c r="EQ53" s="369"/>
      <c r="FU53" s="572">
        <v>26</v>
      </c>
    </row>
    <row r="54" spans="1:177" ht="18.75" customHeight="1">
      <c r="A54" s="115" t="str">
        <f t="shared" si="36"/>
        <v>QUA</v>
      </c>
      <c r="B54" s="274"/>
      <c r="C54" s="747">
        <v>27</v>
      </c>
      <c r="D54" s="873"/>
      <c r="E54" s="923"/>
      <c r="F54" s="924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1"/>
      <c r="R54" s="636">
        <v>203</v>
      </c>
      <c r="S54" s="637"/>
      <c r="T54" s="428"/>
      <c r="U54" s="642">
        <v>192</v>
      </c>
      <c r="V54" s="644"/>
      <c r="W54" s="422"/>
      <c r="X54" s="642">
        <v>203</v>
      </c>
      <c r="Y54" s="644"/>
      <c r="Z54" s="644"/>
      <c r="AA54" s="422"/>
      <c r="AB54" s="422">
        <v>29</v>
      </c>
      <c r="AC54" s="422"/>
      <c r="AD54" s="423"/>
      <c r="AE54" s="642">
        <v>203</v>
      </c>
      <c r="AF54" s="644"/>
      <c r="AG54" s="644"/>
      <c r="AH54" s="422"/>
      <c r="AI54" s="421">
        <v>32</v>
      </c>
      <c r="AJ54" s="424"/>
      <c r="AK54" s="543"/>
      <c r="AL54" s="428"/>
      <c r="AM54" s="428"/>
      <c r="AN54" s="429"/>
      <c r="AO54" s="429"/>
      <c r="AP54" s="429"/>
      <c r="AQ54" s="428"/>
      <c r="AR54" s="428"/>
      <c r="AS54" s="430"/>
      <c r="AT54" s="431"/>
      <c r="AU54" s="543">
        <v>227</v>
      </c>
      <c r="AV54" s="428"/>
      <c r="AW54" s="428"/>
      <c r="AX54" s="420"/>
      <c r="AY54" s="642">
        <v>221</v>
      </c>
      <c r="AZ54" s="642"/>
      <c r="BA54" s="644"/>
      <c r="BB54" s="644"/>
      <c r="BC54" s="644"/>
      <c r="BD54" s="644"/>
      <c r="BE54" s="642">
        <v>227</v>
      </c>
      <c r="BF54" s="644"/>
      <c r="BG54" s="644"/>
      <c r="BH54" s="423"/>
      <c r="BI54" s="422">
        <v>30</v>
      </c>
      <c r="BJ54" s="642">
        <v>227</v>
      </c>
      <c r="BK54" s="644"/>
      <c r="BL54" s="644"/>
      <c r="BM54" s="423"/>
      <c r="BN54" s="423"/>
      <c r="BO54" s="423"/>
      <c r="BP54" s="423"/>
      <c r="BQ54" s="426">
        <v>45</v>
      </c>
      <c r="BR54" s="285"/>
      <c r="BS54" s="282"/>
      <c r="BT54" s="282"/>
      <c r="BU54" s="282"/>
      <c r="BV54" s="282"/>
      <c r="BW54" s="284"/>
      <c r="BY54" s="1000">
        <f t="shared" si="5"/>
        <v>0</v>
      </c>
      <c r="BZ54" s="1001"/>
      <c r="CA54" s="324">
        <f t="shared" si="6"/>
        <v>0</v>
      </c>
      <c r="CB54" s="324">
        <f t="shared" si="7"/>
        <v>0</v>
      </c>
      <c r="CC54" s="324">
        <f t="shared" si="8"/>
        <v>0</v>
      </c>
      <c r="CD54" s="324">
        <f t="shared" si="9"/>
        <v>0</v>
      </c>
      <c r="CE54" s="324">
        <f t="shared" si="10"/>
        <v>0</v>
      </c>
      <c r="CF54" s="324">
        <f t="shared" si="11"/>
        <v>0</v>
      </c>
      <c r="CG54" s="324">
        <f t="shared" si="12"/>
        <v>0</v>
      </c>
      <c r="CH54" s="324">
        <f t="shared" si="13"/>
        <v>0</v>
      </c>
      <c r="CI54" s="324">
        <f t="shared" si="14"/>
        <v>0</v>
      </c>
      <c r="CJ54" s="324">
        <f t="shared" si="15"/>
        <v>0</v>
      </c>
      <c r="CK54" s="325">
        <f t="shared" si="16"/>
        <v>0</v>
      </c>
      <c r="CL54" s="324">
        <f t="shared" si="17"/>
        <v>0</v>
      </c>
      <c r="CM54" s="324">
        <f t="shared" si="18"/>
        <v>0</v>
      </c>
      <c r="CN54" s="324">
        <f t="shared" si="19"/>
        <v>0</v>
      </c>
      <c r="CO54" s="256">
        <f t="shared" si="20"/>
        <v>0</v>
      </c>
      <c r="CP54" s="256">
        <f t="shared" si="21"/>
        <v>0</v>
      </c>
      <c r="CQ54" s="256">
        <f t="shared" si="22"/>
        <v>0</v>
      </c>
      <c r="CR54" s="325">
        <f t="shared" si="23"/>
        <v>0</v>
      </c>
      <c r="CS54" s="324">
        <f t="shared" si="24"/>
        <v>0</v>
      </c>
      <c r="CT54" s="324">
        <f t="shared" si="25"/>
        <v>0</v>
      </c>
      <c r="CU54" s="256">
        <f t="shared" si="26"/>
        <v>0</v>
      </c>
      <c r="CV54" s="256">
        <f t="shared" si="27"/>
        <v>0</v>
      </c>
      <c r="CW54" s="256">
        <f t="shared" si="28"/>
        <v>0</v>
      </c>
      <c r="CX54" s="325">
        <f t="shared" si="29"/>
        <v>0</v>
      </c>
      <c r="CY54" s="324">
        <f t="shared" si="30"/>
        <v>0</v>
      </c>
      <c r="CZ54" s="324">
        <f t="shared" si="31"/>
        <v>0</v>
      </c>
      <c r="DA54" s="324">
        <f t="shared" si="32"/>
        <v>0</v>
      </c>
      <c r="DB54" s="256">
        <f t="shared" si="33"/>
        <v>0</v>
      </c>
      <c r="DC54" s="256">
        <f t="shared" si="34"/>
        <v>0</v>
      </c>
      <c r="DD54" s="256">
        <f t="shared" si="35"/>
        <v>0</v>
      </c>
      <c r="DE54" s="329">
        <f t="shared" si="1"/>
        <v>0</v>
      </c>
      <c r="DF54" s="329">
        <f t="shared" si="2"/>
        <v>0</v>
      </c>
      <c r="DG54" s="329">
        <f t="shared" si="3"/>
        <v>0</v>
      </c>
      <c r="DH54" s="329">
        <f t="shared" si="4"/>
        <v>0</v>
      </c>
      <c r="DK54" s="202"/>
      <c r="DL54" s="202"/>
      <c r="DM54" s="202"/>
      <c r="DN54" s="202"/>
      <c r="DO54" s="79"/>
      <c r="DP54" s="116"/>
      <c r="DQ54" s="116"/>
      <c r="DR54" s="116"/>
      <c r="DS54" s="116"/>
      <c r="DT54" s="116"/>
      <c r="DU54" s="116"/>
      <c r="DV54" s="116"/>
      <c r="DW54" s="116"/>
      <c r="DX54" s="116"/>
      <c r="DY54" s="116"/>
      <c r="DZ54" s="372">
        <v>18261</v>
      </c>
      <c r="EA54" s="447" t="s">
        <v>1484</v>
      </c>
      <c r="EB54" s="372" t="s">
        <v>14458</v>
      </c>
      <c r="EC54" s="372" t="s">
        <v>13777</v>
      </c>
      <c r="ED54" s="371" t="s">
        <v>13778</v>
      </c>
      <c r="EE54" s="447" t="s">
        <v>14459</v>
      </c>
      <c r="EF54" s="371" t="s">
        <v>14460</v>
      </c>
      <c r="EG54" s="371">
        <v>253</v>
      </c>
      <c r="EH54" s="462" t="s">
        <v>14461</v>
      </c>
      <c r="EI54" s="371" t="str">
        <f>EF54&amp;", "&amp;EG54&amp;" - "&amp;EH54</f>
        <v>RUA TARCON, 253 - JARDIM ADELFIORE</v>
      </c>
      <c r="EJ54" s="463">
        <v>5223070</v>
      </c>
      <c r="EK54" s="447" t="s">
        <v>14462</v>
      </c>
      <c r="EL54" s="447"/>
      <c r="EM54" s="372" t="s">
        <v>1633</v>
      </c>
      <c r="EN54" s="372">
        <v>9039</v>
      </c>
      <c r="EO54" s="369"/>
      <c r="EP54" s="369"/>
      <c r="EQ54" s="369"/>
      <c r="FU54" s="572">
        <v>27</v>
      </c>
    </row>
    <row r="55" spans="1:177" ht="18.75" customHeight="1">
      <c r="A55" s="115" t="str">
        <f t="shared" si="36"/>
        <v>QUI</v>
      </c>
      <c r="B55" s="274"/>
      <c r="C55" s="747">
        <v>28</v>
      </c>
      <c r="D55" s="873"/>
      <c r="E55" s="923"/>
      <c r="F55" s="924"/>
      <c r="G55" s="420"/>
      <c r="H55" s="420"/>
      <c r="I55" s="420"/>
      <c r="J55" s="420"/>
      <c r="K55" s="420"/>
      <c r="L55" s="420"/>
      <c r="M55" s="420"/>
      <c r="N55" s="420"/>
      <c r="O55" s="420"/>
      <c r="P55" s="420"/>
      <c r="Q55" s="421"/>
      <c r="R55" s="636">
        <v>220</v>
      </c>
      <c r="S55" s="637"/>
      <c r="T55" s="428"/>
      <c r="U55" s="642">
        <v>210</v>
      </c>
      <c r="V55" s="644"/>
      <c r="W55" s="422"/>
      <c r="X55" s="642">
        <v>220</v>
      </c>
      <c r="Y55" s="644"/>
      <c r="Z55" s="644"/>
      <c r="AA55" s="422"/>
      <c r="AB55" s="422">
        <v>30</v>
      </c>
      <c r="AC55" s="422"/>
      <c r="AD55" s="423"/>
      <c r="AE55" s="642">
        <v>220</v>
      </c>
      <c r="AF55" s="644"/>
      <c r="AG55" s="644"/>
      <c r="AH55" s="422"/>
      <c r="AI55" s="421">
        <v>40</v>
      </c>
      <c r="AJ55" s="424"/>
      <c r="AK55" s="543"/>
      <c r="AL55" s="428"/>
      <c r="AM55" s="428"/>
      <c r="AN55" s="429"/>
      <c r="AO55" s="429"/>
      <c r="AP55" s="429"/>
      <c r="AQ55" s="428"/>
      <c r="AR55" s="428"/>
      <c r="AS55" s="430"/>
      <c r="AT55" s="431"/>
      <c r="AU55" s="543">
        <v>224</v>
      </c>
      <c r="AV55" s="428"/>
      <c r="AW55" s="428"/>
      <c r="AX55" s="420"/>
      <c r="AY55" s="642">
        <v>218</v>
      </c>
      <c r="AZ55" s="642"/>
      <c r="BA55" s="644"/>
      <c r="BB55" s="644"/>
      <c r="BC55" s="644"/>
      <c r="BD55" s="644"/>
      <c r="BE55" s="642">
        <v>224</v>
      </c>
      <c r="BF55" s="644"/>
      <c r="BG55" s="644"/>
      <c r="BH55" s="423"/>
      <c r="BI55" s="422">
        <v>38</v>
      </c>
      <c r="BJ55" s="642">
        <v>224</v>
      </c>
      <c r="BK55" s="644"/>
      <c r="BL55" s="644"/>
      <c r="BM55" s="423"/>
      <c r="BN55" s="423"/>
      <c r="BO55" s="423"/>
      <c r="BP55" s="423"/>
      <c r="BQ55" s="426">
        <v>49</v>
      </c>
      <c r="BR55" s="285"/>
      <c r="BS55" s="282"/>
      <c r="BT55" s="282"/>
      <c r="BU55" s="282"/>
      <c r="BV55" s="282"/>
      <c r="BW55" s="284"/>
      <c r="BY55" s="1000">
        <f t="shared" si="5"/>
        <v>0</v>
      </c>
      <c r="BZ55" s="1001"/>
      <c r="CA55" s="324">
        <f t="shared" si="6"/>
        <v>0</v>
      </c>
      <c r="CB55" s="324">
        <f t="shared" si="7"/>
        <v>0</v>
      </c>
      <c r="CC55" s="324">
        <f t="shared" si="8"/>
        <v>0</v>
      </c>
      <c r="CD55" s="324">
        <f t="shared" si="9"/>
        <v>0</v>
      </c>
      <c r="CE55" s="324">
        <f t="shared" si="10"/>
        <v>0</v>
      </c>
      <c r="CF55" s="324">
        <f t="shared" si="11"/>
        <v>0</v>
      </c>
      <c r="CG55" s="324">
        <f t="shared" si="12"/>
        <v>0</v>
      </c>
      <c r="CH55" s="324">
        <f t="shared" si="13"/>
        <v>0</v>
      </c>
      <c r="CI55" s="324">
        <f t="shared" si="14"/>
        <v>0</v>
      </c>
      <c r="CJ55" s="324">
        <f t="shared" si="15"/>
        <v>0</v>
      </c>
      <c r="CK55" s="325">
        <f t="shared" si="16"/>
        <v>0</v>
      </c>
      <c r="CL55" s="324">
        <f t="shared" si="17"/>
        <v>0</v>
      </c>
      <c r="CM55" s="324">
        <f t="shared" si="18"/>
        <v>0</v>
      </c>
      <c r="CN55" s="324">
        <f t="shared" si="19"/>
        <v>0</v>
      </c>
      <c r="CO55" s="256">
        <f t="shared" si="20"/>
        <v>0</v>
      </c>
      <c r="CP55" s="256">
        <f t="shared" si="21"/>
        <v>0</v>
      </c>
      <c r="CQ55" s="256">
        <f t="shared" si="22"/>
        <v>0</v>
      </c>
      <c r="CR55" s="325">
        <f t="shared" si="23"/>
        <v>0</v>
      </c>
      <c r="CS55" s="324">
        <f t="shared" si="24"/>
        <v>0</v>
      </c>
      <c r="CT55" s="324">
        <f t="shared" si="25"/>
        <v>0</v>
      </c>
      <c r="CU55" s="256">
        <f t="shared" si="26"/>
        <v>0</v>
      </c>
      <c r="CV55" s="256">
        <f t="shared" si="27"/>
        <v>0</v>
      </c>
      <c r="CW55" s="256">
        <f t="shared" si="28"/>
        <v>0</v>
      </c>
      <c r="CX55" s="325">
        <f t="shared" si="29"/>
        <v>0</v>
      </c>
      <c r="CY55" s="324">
        <f t="shared" si="30"/>
        <v>0</v>
      </c>
      <c r="CZ55" s="324">
        <f t="shared" si="31"/>
        <v>0</v>
      </c>
      <c r="DA55" s="324">
        <f t="shared" si="32"/>
        <v>0</v>
      </c>
      <c r="DB55" s="256">
        <f t="shared" si="33"/>
        <v>0</v>
      </c>
      <c r="DC55" s="256">
        <f t="shared" si="34"/>
        <v>0</v>
      </c>
      <c r="DD55" s="256">
        <f t="shared" si="35"/>
        <v>0</v>
      </c>
      <c r="DE55" s="329">
        <f t="shared" si="1"/>
        <v>0</v>
      </c>
      <c r="DF55" s="329">
        <f t="shared" si="2"/>
        <v>0</v>
      </c>
      <c r="DG55" s="329">
        <f t="shared" si="3"/>
        <v>0</v>
      </c>
      <c r="DH55" s="329">
        <f t="shared" si="4"/>
        <v>0</v>
      </c>
      <c r="DK55" s="122"/>
      <c r="DL55" s="122"/>
      <c r="DM55" s="123"/>
      <c r="DN55" s="122"/>
      <c r="DO55" s="79"/>
      <c r="DP55" s="116"/>
      <c r="DQ55" s="116"/>
      <c r="DR55" s="116"/>
      <c r="DS55" s="116"/>
      <c r="DT55" s="116"/>
      <c r="DU55" s="116"/>
      <c r="DV55" s="116"/>
      <c r="DW55" s="116"/>
      <c r="DX55" s="116"/>
      <c r="DY55" s="116"/>
      <c r="DZ55" s="372">
        <v>18279</v>
      </c>
      <c r="EA55" s="372" t="s">
        <v>1484</v>
      </c>
      <c r="EB55" s="372" t="s">
        <v>1878</v>
      </c>
      <c r="EC55" s="372" t="s">
        <v>1820</v>
      </c>
      <c r="ED55" s="447" t="s">
        <v>13802</v>
      </c>
      <c r="EE55" s="372" t="s">
        <v>14354</v>
      </c>
      <c r="EF55" s="372" t="s">
        <v>1879</v>
      </c>
      <c r="EG55" s="372">
        <v>151</v>
      </c>
      <c r="EH55" s="372" t="s">
        <v>1880</v>
      </c>
      <c r="EI55" s="372" t="s">
        <v>1881</v>
      </c>
      <c r="EJ55" s="372" t="s">
        <v>1882</v>
      </c>
      <c r="EK55" s="372" t="s">
        <v>14355</v>
      </c>
      <c r="EL55" s="372" t="s">
        <v>1883</v>
      </c>
      <c r="EM55" t="s">
        <v>14769</v>
      </c>
      <c r="EN55" s="372">
        <v>9065</v>
      </c>
      <c r="EO55" s="369"/>
      <c r="EP55" s="369"/>
      <c r="EQ55" s="369"/>
      <c r="FU55" s="572">
        <v>28</v>
      </c>
    </row>
    <row r="56" spans="1:177" ht="18.75" customHeight="1">
      <c r="A56" s="115" t="str">
        <f t="shared" si="36"/>
        <v>SEX</v>
      </c>
      <c r="B56" s="274"/>
      <c r="C56" s="938">
        <v>29</v>
      </c>
      <c r="D56" s="939"/>
      <c r="E56" s="923"/>
      <c r="F56" s="924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1"/>
      <c r="R56" s="636">
        <v>0</v>
      </c>
      <c r="S56" s="637"/>
      <c r="T56" s="428"/>
      <c r="U56" s="642">
        <v>0</v>
      </c>
      <c r="V56" s="644"/>
      <c r="W56" s="422"/>
      <c r="X56" s="642">
        <v>0</v>
      </c>
      <c r="Y56" s="644"/>
      <c r="Z56" s="644"/>
      <c r="AA56" s="422"/>
      <c r="AB56" s="422">
        <v>0</v>
      </c>
      <c r="AC56" s="422"/>
      <c r="AD56" s="423"/>
      <c r="AE56" s="642">
        <v>0</v>
      </c>
      <c r="AF56" s="644"/>
      <c r="AG56" s="644"/>
      <c r="AH56" s="422"/>
      <c r="AI56" s="421">
        <v>0</v>
      </c>
      <c r="AJ56" s="427"/>
      <c r="AK56" s="543"/>
      <c r="AL56" s="428"/>
      <c r="AM56" s="428"/>
      <c r="AN56" s="429"/>
      <c r="AO56" s="429"/>
      <c r="AP56" s="429"/>
      <c r="AQ56" s="428"/>
      <c r="AR56" s="428"/>
      <c r="AS56" s="430"/>
      <c r="AT56" s="431"/>
      <c r="AU56" s="543">
        <v>0</v>
      </c>
      <c r="AV56" s="432"/>
      <c r="AW56" s="428"/>
      <c r="AX56" s="420"/>
      <c r="AY56" s="642">
        <v>0</v>
      </c>
      <c r="AZ56" s="642"/>
      <c r="BA56" s="644"/>
      <c r="BB56" s="644"/>
      <c r="BC56" s="644"/>
      <c r="BD56" s="644"/>
      <c r="BE56" s="642">
        <v>0</v>
      </c>
      <c r="BF56" s="644"/>
      <c r="BG56" s="644"/>
      <c r="BH56" s="423"/>
      <c r="BI56" s="422">
        <v>0</v>
      </c>
      <c r="BJ56" s="642">
        <v>0</v>
      </c>
      <c r="BK56" s="644"/>
      <c r="BL56" s="644"/>
      <c r="BM56" s="423"/>
      <c r="BN56" s="423"/>
      <c r="BO56" s="423"/>
      <c r="BP56" s="423"/>
      <c r="BQ56" s="426">
        <v>0</v>
      </c>
      <c r="BR56" s="285"/>
      <c r="BS56" s="282"/>
      <c r="BT56" s="282"/>
      <c r="BU56" s="282"/>
      <c r="BV56" s="282"/>
      <c r="BW56" s="284"/>
      <c r="BY56" s="1000">
        <f t="shared" si="5"/>
        <v>0</v>
      </c>
      <c r="BZ56" s="1001"/>
      <c r="CA56" s="324">
        <f t="shared" si="6"/>
        <v>0</v>
      </c>
      <c r="CB56" s="324">
        <f t="shared" si="7"/>
        <v>0</v>
      </c>
      <c r="CC56" s="324">
        <f t="shared" si="8"/>
        <v>0</v>
      </c>
      <c r="CD56" s="324">
        <f t="shared" si="9"/>
        <v>0</v>
      </c>
      <c r="CE56" s="324">
        <f t="shared" si="10"/>
        <v>0</v>
      </c>
      <c r="CF56" s="324">
        <f t="shared" si="11"/>
        <v>0</v>
      </c>
      <c r="CG56" s="324">
        <f t="shared" si="12"/>
        <v>0</v>
      </c>
      <c r="CH56" s="324">
        <f t="shared" si="13"/>
        <v>0</v>
      </c>
      <c r="CI56" s="324">
        <f t="shared" si="14"/>
        <v>0</v>
      </c>
      <c r="CJ56" s="324">
        <f t="shared" si="15"/>
        <v>0</v>
      </c>
      <c r="CK56" s="325">
        <f t="shared" si="16"/>
        <v>0</v>
      </c>
      <c r="CL56" s="324">
        <f t="shared" si="17"/>
        <v>0</v>
      </c>
      <c r="CM56" s="324">
        <f t="shared" si="18"/>
        <v>0</v>
      </c>
      <c r="CN56" s="324">
        <f t="shared" si="19"/>
        <v>0</v>
      </c>
      <c r="CO56" s="256">
        <f t="shared" si="20"/>
        <v>0</v>
      </c>
      <c r="CP56" s="256">
        <f t="shared" si="21"/>
        <v>0</v>
      </c>
      <c r="CQ56" s="256">
        <f t="shared" si="22"/>
        <v>0</v>
      </c>
      <c r="CR56" s="325">
        <f t="shared" si="23"/>
        <v>0</v>
      </c>
      <c r="CS56" s="324">
        <f t="shared" si="24"/>
        <v>0</v>
      </c>
      <c r="CT56" s="324">
        <f t="shared" si="25"/>
        <v>0</v>
      </c>
      <c r="CU56" s="256">
        <f t="shared" si="26"/>
        <v>0</v>
      </c>
      <c r="CV56" s="256">
        <f t="shared" si="27"/>
        <v>0</v>
      </c>
      <c r="CW56" s="256">
        <f t="shared" si="28"/>
        <v>0</v>
      </c>
      <c r="CX56" s="325">
        <f t="shared" si="29"/>
        <v>0</v>
      </c>
      <c r="CY56" s="324">
        <f t="shared" si="30"/>
        <v>0</v>
      </c>
      <c r="CZ56" s="324">
        <f t="shared" si="31"/>
        <v>0</v>
      </c>
      <c r="DA56" s="324">
        <f t="shared" si="32"/>
        <v>0</v>
      </c>
      <c r="DB56" s="256">
        <f t="shared" si="33"/>
        <v>0</v>
      </c>
      <c r="DC56" s="256">
        <f t="shared" si="34"/>
        <v>0</v>
      </c>
      <c r="DD56" s="256">
        <f t="shared" si="35"/>
        <v>0</v>
      </c>
      <c r="DE56" s="329">
        <f t="shared" si="1"/>
        <v>0</v>
      </c>
      <c r="DF56" s="329">
        <f t="shared" si="2"/>
        <v>0</v>
      </c>
      <c r="DG56" s="329">
        <f t="shared" si="3"/>
        <v>0</v>
      </c>
      <c r="DH56" s="329">
        <f t="shared" si="4"/>
        <v>0</v>
      </c>
      <c r="DM56" s="122"/>
      <c r="DN56" s="122"/>
      <c r="DO56" s="79"/>
      <c r="DP56" s="116"/>
      <c r="DQ56" s="116"/>
      <c r="DR56" s="116"/>
      <c r="DS56" s="116"/>
      <c r="DT56" s="116"/>
      <c r="DU56" s="116"/>
      <c r="DV56" s="116"/>
      <c r="DW56" s="116"/>
      <c r="DX56" s="116"/>
      <c r="DY56" s="116"/>
      <c r="DZ56" s="372">
        <v>18287</v>
      </c>
      <c r="EA56" s="447" t="s">
        <v>1484</v>
      </c>
      <c r="EB56" s="372" t="s">
        <v>14438</v>
      </c>
      <c r="EC56" s="372" t="s">
        <v>13777</v>
      </c>
      <c r="ED56" s="371" t="s">
        <v>13778</v>
      </c>
      <c r="EE56" s="447" t="s">
        <v>14439</v>
      </c>
      <c r="EF56" s="371" t="s">
        <v>14440</v>
      </c>
      <c r="EG56" s="371">
        <v>668</v>
      </c>
      <c r="EH56" s="462" t="s">
        <v>14436</v>
      </c>
      <c r="EI56" s="371" t="str">
        <f>EF56&amp;", "&amp;EG56&amp;" - "&amp;EH56</f>
        <v>RUA VICENTE ANTONIO DE OLIVEIRA, 668 - PIRITUBA</v>
      </c>
      <c r="EJ56" s="463">
        <v>2955080</v>
      </c>
      <c r="EK56" s="447" t="s">
        <v>14441</v>
      </c>
      <c r="EL56" s="447"/>
      <c r="EM56" s="372" t="s">
        <v>1633</v>
      </c>
      <c r="EN56" s="372">
        <v>9038</v>
      </c>
      <c r="EO56" s="369"/>
      <c r="EP56" s="369"/>
      <c r="EQ56" s="369"/>
      <c r="FU56" s="572">
        <v>29</v>
      </c>
    </row>
    <row r="57" spans="1:177" ht="18.75" customHeight="1">
      <c r="A57" s="115" t="str">
        <f t="shared" si="36"/>
        <v>SAB</v>
      </c>
      <c r="B57" s="274"/>
      <c r="C57" s="936">
        <f>IF(BK7="FEVEREIRO","",30)</f>
        <v>30</v>
      </c>
      <c r="D57" s="937"/>
      <c r="E57" s="921"/>
      <c r="F57" s="922"/>
      <c r="G57" s="433"/>
      <c r="H57" s="433"/>
      <c r="I57" s="420"/>
      <c r="J57" s="433"/>
      <c r="K57" s="433"/>
      <c r="L57" s="433"/>
      <c r="M57" s="433"/>
      <c r="N57" s="433"/>
      <c r="O57" s="433"/>
      <c r="P57" s="433"/>
      <c r="Q57" s="434"/>
      <c r="R57" s="636"/>
      <c r="S57" s="637"/>
      <c r="T57" s="428"/>
      <c r="U57" s="642"/>
      <c r="V57" s="644"/>
      <c r="W57" s="422"/>
      <c r="X57" s="642"/>
      <c r="Y57" s="644"/>
      <c r="Z57" s="644"/>
      <c r="AA57" s="422"/>
      <c r="AB57" s="422"/>
      <c r="AC57" s="422"/>
      <c r="AD57" s="423"/>
      <c r="AE57" s="642"/>
      <c r="AF57" s="644"/>
      <c r="AG57" s="644"/>
      <c r="AH57" s="422"/>
      <c r="AI57" s="421"/>
      <c r="AJ57" s="435"/>
      <c r="AK57" s="542"/>
      <c r="AL57" s="420"/>
      <c r="AM57" s="420"/>
      <c r="AN57" s="422"/>
      <c r="AO57" s="422"/>
      <c r="AP57" s="422"/>
      <c r="AQ57" s="420"/>
      <c r="AR57" s="420"/>
      <c r="AS57" s="421"/>
      <c r="AT57" s="425"/>
      <c r="AU57" s="542"/>
      <c r="AV57" s="433"/>
      <c r="AW57" s="420"/>
      <c r="AX57" s="420"/>
      <c r="AY57" s="642"/>
      <c r="AZ57" s="642"/>
      <c r="BA57" s="644"/>
      <c r="BB57" s="644"/>
      <c r="BC57" s="644"/>
      <c r="BD57" s="644"/>
      <c r="BE57" s="642"/>
      <c r="BF57" s="644"/>
      <c r="BG57" s="644"/>
      <c r="BH57" s="423"/>
      <c r="BI57" s="422"/>
      <c r="BJ57" s="642"/>
      <c r="BK57" s="644"/>
      <c r="BL57" s="644"/>
      <c r="BM57" s="423"/>
      <c r="BN57" s="423"/>
      <c r="BO57" s="423"/>
      <c r="BP57" s="423"/>
      <c r="BQ57" s="426"/>
      <c r="BR57" s="285"/>
      <c r="BS57" s="282"/>
      <c r="BT57" s="282"/>
      <c r="BU57" s="282"/>
      <c r="BV57" s="282"/>
      <c r="BW57" s="284"/>
      <c r="BY57" s="1000">
        <f t="shared" si="5"/>
        <v>0</v>
      </c>
      <c r="BZ57" s="1001"/>
      <c r="CA57" s="324">
        <f t="shared" si="6"/>
        <v>0</v>
      </c>
      <c r="CB57" s="324">
        <f t="shared" si="7"/>
        <v>0</v>
      </c>
      <c r="CC57" s="324">
        <f t="shared" si="8"/>
        <v>0</v>
      </c>
      <c r="CD57" s="324">
        <f t="shared" si="9"/>
        <v>0</v>
      </c>
      <c r="CE57" s="324">
        <f t="shared" si="10"/>
        <v>0</v>
      </c>
      <c r="CF57" s="324">
        <f t="shared" si="11"/>
        <v>0</v>
      </c>
      <c r="CG57" s="324">
        <f t="shared" si="12"/>
        <v>0</v>
      </c>
      <c r="CH57" s="324">
        <f t="shared" si="13"/>
        <v>0</v>
      </c>
      <c r="CI57" s="324">
        <f t="shared" si="14"/>
        <v>0</v>
      </c>
      <c r="CJ57" s="324">
        <f t="shared" si="15"/>
        <v>0</v>
      </c>
      <c r="CK57" s="325">
        <f t="shared" si="16"/>
        <v>0</v>
      </c>
      <c r="CL57" s="324">
        <f t="shared" si="17"/>
        <v>0</v>
      </c>
      <c r="CM57" s="324">
        <f t="shared" si="18"/>
        <v>0</v>
      </c>
      <c r="CN57" s="324">
        <f t="shared" si="19"/>
        <v>0</v>
      </c>
      <c r="CO57" s="256">
        <f t="shared" si="20"/>
        <v>0</v>
      </c>
      <c r="CP57" s="256">
        <f t="shared" si="21"/>
        <v>0</v>
      </c>
      <c r="CQ57" s="256">
        <f t="shared" si="22"/>
        <v>0</v>
      </c>
      <c r="CR57" s="325">
        <f t="shared" si="23"/>
        <v>0</v>
      </c>
      <c r="CS57" s="324">
        <f t="shared" si="24"/>
        <v>0</v>
      </c>
      <c r="CT57" s="324">
        <f t="shared" si="25"/>
        <v>0</v>
      </c>
      <c r="CU57" s="256">
        <f t="shared" si="26"/>
        <v>0</v>
      </c>
      <c r="CV57" s="256">
        <f t="shared" si="27"/>
        <v>0</v>
      </c>
      <c r="CW57" s="256">
        <f t="shared" si="28"/>
        <v>0</v>
      </c>
      <c r="CX57" s="325">
        <f t="shared" si="29"/>
        <v>0</v>
      </c>
      <c r="CY57" s="324">
        <f t="shared" si="30"/>
        <v>0</v>
      </c>
      <c r="CZ57" s="324">
        <f t="shared" si="31"/>
        <v>0</v>
      </c>
      <c r="DA57" s="324">
        <f t="shared" si="32"/>
        <v>0</v>
      </c>
      <c r="DB57" s="256">
        <f t="shared" si="33"/>
        <v>0</v>
      </c>
      <c r="DC57" s="256">
        <f t="shared" si="34"/>
        <v>0</v>
      </c>
      <c r="DD57" s="256">
        <f t="shared" si="35"/>
        <v>0</v>
      </c>
      <c r="DE57" s="329">
        <f t="shared" si="1"/>
        <v>0</v>
      </c>
      <c r="DF57" s="329">
        <f t="shared" si="2"/>
        <v>0</v>
      </c>
      <c r="DG57" s="329">
        <f t="shared" si="3"/>
        <v>0</v>
      </c>
      <c r="DH57" s="329">
        <f t="shared" si="4"/>
        <v>0</v>
      </c>
      <c r="DK57" s="851"/>
      <c r="DL57" s="124"/>
      <c r="DM57" s="124"/>
      <c r="DN57" s="124"/>
      <c r="DO57" s="79"/>
      <c r="DP57" s="116"/>
      <c r="DQ57" s="116"/>
      <c r="DR57" s="116"/>
      <c r="DS57" s="116"/>
      <c r="DT57" s="116"/>
      <c r="DU57" s="116"/>
      <c r="DV57" s="116"/>
      <c r="DW57" s="116"/>
      <c r="DX57" s="116"/>
      <c r="DY57" s="116"/>
      <c r="DZ57" s="372">
        <v>18295</v>
      </c>
      <c r="EA57" s="372" t="s">
        <v>1484</v>
      </c>
      <c r="EB57" s="372" t="s">
        <v>1884</v>
      </c>
      <c r="EC57" s="372" t="s">
        <v>1626</v>
      </c>
      <c r="ED57" s="447" t="s">
        <v>13763</v>
      </c>
      <c r="EE57" s="372" t="s">
        <v>13927</v>
      </c>
      <c r="EF57" s="372" t="s">
        <v>1885</v>
      </c>
      <c r="EG57" s="372">
        <v>185</v>
      </c>
      <c r="EH57" s="372" t="s">
        <v>1886</v>
      </c>
      <c r="EI57" s="372" t="s">
        <v>1887</v>
      </c>
      <c r="EJ57" s="372" t="s">
        <v>1888</v>
      </c>
      <c r="EK57" s="372" t="s">
        <v>1889</v>
      </c>
      <c r="EL57" s="372" t="s">
        <v>1889</v>
      </c>
      <c r="EM57" s="372" t="s">
        <v>1633</v>
      </c>
      <c r="EN57" s="372">
        <v>9168</v>
      </c>
      <c r="EO57" s="369"/>
      <c r="EP57" s="369"/>
      <c r="EQ57" s="369"/>
      <c r="FU57" s="572">
        <v>30</v>
      </c>
    </row>
    <row r="58" spans="1:177" ht="18.75" customHeight="1" thickBot="1">
      <c r="A58" s="115" t="str">
        <f t="shared" si="36"/>
        <v>DOM</v>
      </c>
      <c r="B58" s="291"/>
      <c r="C58" s="750">
        <v>31</v>
      </c>
      <c r="D58" s="935"/>
      <c r="E58" s="919"/>
      <c r="F58" s="920"/>
      <c r="G58" s="436"/>
      <c r="H58" s="436"/>
      <c r="I58" s="436"/>
      <c r="J58" s="436"/>
      <c r="K58" s="436"/>
      <c r="L58" s="436"/>
      <c r="M58" s="436"/>
      <c r="N58" s="436"/>
      <c r="O58" s="436"/>
      <c r="P58" s="436"/>
      <c r="Q58" s="437"/>
      <c r="R58" s="970"/>
      <c r="S58" s="948"/>
      <c r="T58" s="436"/>
      <c r="U58" s="947"/>
      <c r="V58" s="948"/>
      <c r="W58" s="438"/>
      <c r="X58" s="947"/>
      <c r="Y58" s="948"/>
      <c r="Z58" s="948"/>
      <c r="AA58" s="438"/>
      <c r="AB58" s="438"/>
      <c r="AC58" s="438"/>
      <c r="AD58" s="439"/>
      <c r="AE58" s="947"/>
      <c r="AF58" s="948"/>
      <c r="AG58" s="948"/>
      <c r="AH58" s="438"/>
      <c r="AI58" s="437"/>
      <c r="AJ58" s="440"/>
      <c r="AK58" s="541"/>
      <c r="AL58" s="436"/>
      <c r="AM58" s="436"/>
      <c r="AN58" s="438"/>
      <c r="AO58" s="438"/>
      <c r="AP58" s="438"/>
      <c r="AQ58" s="436"/>
      <c r="AR58" s="436"/>
      <c r="AS58" s="437"/>
      <c r="AT58" s="441"/>
      <c r="AU58" s="541"/>
      <c r="AV58" s="436"/>
      <c r="AW58" s="436"/>
      <c r="AX58" s="436"/>
      <c r="AY58" s="947"/>
      <c r="AZ58" s="947"/>
      <c r="BA58" s="948"/>
      <c r="BB58" s="948"/>
      <c r="BC58" s="948"/>
      <c r="BD58" s="948"/>
      <c r="BE58" s="947"/>
      <c r="BF58" s="948"/>
      <c r="BG58" s="948"/>
      <c r="BH58" s="439"/>
      <c r="BI58" s="438"/>
      <c r="BJ58" s="947"/>
      <c r="BK58" s="948"/>
      <c r="BL58" s="948"/>
      <c r="BM58" s="439"/>
      <c r="BN58" s="439"/>
      <c r="BO58" s="439"/>
      <c r="BP58" s="439"/>
      <c r="BQ58" s="442"/>
      <c r="BR58" s="296"/>
      <c r="BS58" s="292"/>
      <c r="BT58" s="292"/>
      <c r="BU58" s="292"/>
      <c r="BV58" s="292"/>
      <c r="BW58" s="295"/>
      <c r="BY58" s="1000">
        <f>IF(OR(C58=$P$1,C58=$Q$1,C58=$R$1,C58=$S$1,C58=$T$1,C58=$U$1,C58=$V$1),0,IF(AND($L$15&gt;0,$E$59&gt;0,E58="",AND(A58&lt;&gt;"DOM",A58&lt;&gt;"SAB")),1,0))</f>
        <v>0</v>
      </c>
      <c r="BZ58" s="1001"/>
      <c r="CA58" s="324">
        <f t="shared" si="6"/>
        <v>0</v>
      </c>
      <c r="CB58" s="324">
        <f t="shared" si="7"/>
        <v>0</v>
      </c>
      <c r="CC58" s="324">
        <f t="shared" si="8"/>
        <v>0</v>
      </c>
      <c r="CD58" s="324">
        <f t="shared" si="9"/>
        <v>0</v>
      </c>
      <c r="CE58" s="324">
        <f t="shared" si="10"/>
        <v>0</v>
      </c>
      <c r="CF58" s="324">
        <f t="shared" si="11"/>
        <v>0</v>
      </c>
      <c r="CG58" s="324">
        <f t="shared" si="12"/>
        <v>0</v>
      </c>
      <c r="CH58" s="324">
        <f t="shared" si="13"/>
        <v>0</v>
      </c>
      <c r="CI58" s="324">
        <f t="shared" si="14"/>
        <v>0</v>
      </c>
      <c r="CJ58" s="324">
        <f t="shared" si="15"/>
        <v>0</v>
      </c>
      <c r="CK58" s="325">
        <f t="shared" si="16"/>
        <v>0</v>
      </c>
      <c r="CL58" s="324">
        <f t="shared" si="17"/>
        <v>0</v>
      </c>
      <c r="CM58" s="324">
        <f t="shared" si="18"/>
        <v>0</v>
      </c>
      <c r="CN58" s="324">
        <f t="shared" si="19"/>
        <v>0</v>
      </c>
      <c r="CO58" s="256">
        <f t="shared" si="20"/>
        <v>0</v>
      </c>
      <c r="CP58" s="256">
        <f t="shared" si="21"/>
        <v>0</v>
      </c>
      <c r="CQ58" s="256">
        <f t="shared" si="22"/>
        <v>0</v>
      </c>
      <c r="CR58" s="325">
        <f t="shared" si="23"/>
        <v>0</v>
      </c>
      <c r="CS58" s="324">
        <f t="shared" si="24"/>
        <v>0</v>
      </c>
      <c r="CT58" s="324">
        <f t="shared" si="25"/>
        <v>0</v>
      </c>
      <c r="CU58" s="256">
        <f t="shared" si="26"/>
        <v>0</v>
      </c>
      <c r="CV58" s="256">
        <f t="shared" si="27"/>
        <v>0</v>
      </c>
      <c r="CW58" s="256">
        <f t="shared" si="28"/>
        <v>0</v>
      </c>
      <c r="CX58" s="325">
        <f t="shared" si="29"/>
        <v>0</v>
      </c>
      <c r="CY58" s="324">
        <f t="shared" si="30"/>
        <v>0</v>
      </c>
      <c r="CZ58" s="324">
        <f t="shared" si="31"/>
        <v>0</v>
      </c>
      <c r="DA58" s="324">
        <f t="shared" si="32"/>
        <v>0</v>
      </c>
      <c r="DB58" s="256">
        <f t="shared" si="33"/>
        <v>0</v>
      </c>
      <c r="DC58" s="256">
        <f t="shared" si="34"/>
        <v>0</v>
      </c>
      <c r="DD58" s="256">
        <f t="shared" si="35"/>
        <v>0</v>
      </c>
      <c r="DE58" s="329">
        <f t="shared" si="1"/>
        <v>0</v>
      </c>
      <c r="DF58" s="329">
        <f t="shared" si="2"/>
        <v>0</v>
      </c>
      <c r="DG58" s="329">
        <f t="shared" si="3"/>
        <v>0</v>
      </c>
      <c r="DH58" s="329">
        <f t="shared" si="4"/>
        <v>0</v>
      </c>
      <c r="DK58" s="851"/>
      <c r="DL58" s="124"/>
      <c r="DM58" s="124"/>
      <c r="DN58" s="124"/>
      <c r="DO58" s="79"/>
      <c r="DP58" s="116"/>
      <c r="DQ58" s="116"/>
      <c r="DR58" s="116"/>
      <c r="DS58" s="116"/>
      <c r="DT58" s="116"/>
      <c r="DU58" s="116"/>
      <c r="DV58" s="116"/>
      <c r="DW58" s="116"/>
      <c r="DX58" s="116"/>
      <c r="DY58" s="116"/>
      <c r="DZ58" s="372">
        <v>18309</v>
      </c>
      <c r="EA58" s="372" t="s">
        <v>1484</v>
      </c>
      <c r="EB58" s="372" t="s">
        <v>14264</v>
      </c>
      <c r="EC58" s="372" t="s">
        <v>1640</v>
      </c>
      <c r="ED58" s="372" t="s">
        <v>1641</v>
      </c>
      <c r="EE58" s="372" t="s">
        <v>14265</v>
      </c>
      <c r="EF58" s="372" t="s">
        <v>1890</v>
      </c>
      <c r="EG58" s="372">
        <v>2277</v>
      </c>
      <c r="EH58" s="372" t="s">
        <v>1891</v>
      </c>
      <c r="EI58" s="372" t="s">
        <v>1892</v>
      </c>
      <c r="EJ58" s="372" t="s">
        <v>1893</v>
      </c>
      <c r="EK58" s="372" t="s">
        <v>14266</v>
      </c>
      <c r="EL58" s="372" t="s">
        <v>1894</v>
      </c>
      <c r="EM58" s="372" t="s">
        <v>1633</v>
      </c>
      <c r="EN58" s="372">
        <v>9041</v>
      </c>
      <c r="EO58" s="369"/>
      <c r="EP58" s="369"/>
      <c r="EQ58" s="369"/>
      <c r="FU58" s="573"/>
    </row>
    <row r="59" spans="1:177" ht="18" customHeight="1" thickBot="1">
      <c r="A59" s="115"/>
      <c r="B59" s="493">
        <f>COUNTIF(B28:B58,"rpl")</f>
        <v>0</v>
      </c>
      <c r="C59" s="933" t="s">
        <v>47</v>
      </c>
      <c r="D59" s="934"/>
      <c r="E59" s="931">
        <f>SUM(E27:E58)</f>
        <v>0</v>
      </c>
      <c r="F59" s="932"/>
      <c r="G59" s="510">
        <f>SUM(G27:G58)</f>
        <v>0</v>
      </c>
      <c r="H59" s="511">
        <f>SUM(H27:H58)</f>
        <v>0</v>
      </c>
      <c r="I59" s="512">
        <f t="shared" ref="I59" si="37">SUM(I28:I58)</f>
        <v>0</v>
      </c>
      <c r="J59" s="511">
        <f t="shared" ref="J59:R59" si="38">SUM(J27:J58)</f>
        <v>0</v>
      </c>
      <c r="K59" s="511">
        <f t="shared" si="38"/>
        <v>0</v>
      </c>
      <c r="L59" s="511">
        <f t="shared" si="38"/>
        <v>0</v>
      </c>
      <c r="M59" s="511">
        <f t="shared" si="38"/>
        <v>0</v>
      </c>
      <c r="N59" s="511">
        <f t="shared" si="38"/>
        <v>0</v>
      </c>
      <c r="O59" s="511">
        <f t="shared" si="38"/>
        <v>0</v>
      </c>
      <c r="P59" s="511">
        <f t="shared" si="38"/>
        <v>0</v>
      </c>
      <c r="Q59" s="513">
        <f t="shared" si="38"/>
        <v>0</v>
      </c>
      <c r="R59" s="648">
        <f t="shared" si="38"/>
        <v>4373</v>
      </c>
      <c r="S59" s="649"/>
      <c r="T59" s="511">
        <f>SUM(T27:T58)</f>
        <v>0</v>
      </c>
      <c r="U59" s="949">
        <f>SUM(U27:U58)</f>
        <v>4149</v>
      </c>
      <c r="V59" s="949">
        <f t="shared" ref="V59:W59" si="39">SUM(V28:V58)</f>
        <v>0</v>
      </c>
      <c r="W59" s="511">
        <f t="shared" si="39"/>
        <v>0</v>
      </c>
      <c r="X59" s="949">
        <f>SUM(X27:X58)</f>
        <v>4373</v>
      </c>
      <c r="Y59" s="949">
        <f t="shared" ref="Y59" si="40">SUM(Y28:Y58)</f>
        <v>0</v>
      </c>
      <c r="Z59" s="949">
        <f t="shared" ref="Z59" si="41">SUM(Z28:Z58)</f>
        <v>0</v>
      </c>
      <c r="AA59" s="511">
        <f>SUM(AA28:AA58)</f>
        <v>0</v>
      </c>
      <c r="AB59" s="511">
        <f>SUM(AB27:AB58)</f>
        <v>709</v>
      </c>
      <c r="AC59" s="511">
        <f>SUM(AC28:AC58)</f>
        <v>0</v>
      </c>
      <c r="AD59" s="514"/>
      <c r="AE59" s="949">
        <f>SUM(AE27:AE58)</f>
        <v>4373</v>
      </c>
      <c r="AF59" s="949">
        <f t="shared" ref="AF59:AG59" si="42">SUM(AF28:AF58)</f>
        <v>0</v>
      </c>
      <c r="AG59" s="949">
        <f t="shared" si="42"/>
        <v>0</v>
      </c>
      <c r="AH59" s="511">
        <f>SUM(AH28:AH58)</f>
        <v>0</v>
      </c>
      <c r="AI59" s="513">
        <f>SUM(AI27:AI58)</f>
        <v>622</v>
      </c>
      <c r="AJ59" s="515">
        <f>SUM(AJ28:AJ58)</f>
        <v>0</v>
      </c>
      <c r="AK59" s="516">
        <f>SUM(AK27:AK58)</f>
        <v>0</v>
      </c>
      <c r="AL59" s="510">
        <f>SUM(AL27:AL58)</f>
        <v>0</v>
      </c>
      <c r="AM59" s="511">
        <f>SUM(AM27:AM58)</f>
        <v>0</v>
      </c>
      <c r="AN59" s="511">
        <f>SUM(AN28:AN58)</f>
        <v>0</v>
      </c>
      <c r="AO59" s="511">
        <f>SUM(AO27:AO58)</f>
        <v>0</v>
      </c>
      <c r="AP59" s="511">
        <f>SUM(AP28:AP58)</f>
        <v>0</v>
      </c>
      <c r="AQ59" s="511">
        <f>SUM(AQ27:AQ58)</f>
        <v>0</v>
      </c>
      <c r="AR59" s="511">
        <f>SUM(AR28:AR58)</f>
        <v>0</v>
      </c>
      <c r="AS59" s="513">
        <f>SUM(AS27:AS58)</f>
        <v>0</v>
      </c>
      <c r="AT59" s="515">
        <f>SUM(AT28:AT58)</f>
        <v>0</v>
      </c>
      <c r="AU59" s="516">
        <f>SUM(AU27:AU58)</f>
        <v>4617</v>
      </c>
      <c r="AV59" s="515">
        <f>SUM(AV28:AV58)</f>
        <v>0</v>
      </c>
      <c r="AW59" s="516">
        <f>SUM(AW27:AW58)</f>
        <v>0</v>
      </c>
      <c r="AX59" s="510">
        <f>SUM(AX28:AX58)</f>
        <v>0</v>
      </c>
      <c r="AY59" s="971">
        <f>SUM(AY27:AY58)</f>
        <v>4509</v>
      </c>
      <c r="AZ59" s="971"/>
      <c r="BA59" s="971"/>
      <c r="BB59" s="971"/>
      <c r="BC59" s="971"/>
      <c r="BD59" s="971"/>
      <c r="BE59" s="971">
        <f>SUM(BE27:BE58)</f>
        <v>4617</v>
      </c>
      <c r="BF59" s="971"/>
      <c r="BG59" s="971"/>
      <c r="BH59" s="514"/>
      <c r="BI59" s="511">
        <f>SUM(BI27:BI58)</f>
        <v>800</v>
      </c>
      <c r="BJ59" s="971">
        <f>SUM(BJ27:BJ58)</f>
        <v>4617</v>
      </c>
      <c r="BK59" s="971"/>
      <c r="BL59" s="517"/>
      <c r="BM59" s="517"/>
      <c r="BN59" s="517"/>
      <c r="BO59" s="517"/>
      <c r="BP59" s="517"/>
      <c r="BQ59" s="516">
        <f>SUM(BQ27:BQ58)</f>
        <v>642</v>
      </c>
      <c r="BR59" s="518"/>
      <c r="BS59" s="519"/>
      <c r="BT59" s="519"/>
      <c r="BU59" s="520"/>
      <c r="BV59" s="520"/>
      <c r="BW59" s="521"/>
      <c r="BX59" s="238"/>
      <c r="BY59" s="1008">
        <f>SUM(BY27:BZ58)</f>
        <v>0</v>
      </c>
      <c r="BZ59" s="1008"/>
      <c r="CA59" s="238">
        <f>SUM(CA27:CA58)</f>
        <v>0</v>
      </c>
      <c r="CB59" s="238">
        <f t="shared" ref="CB59:DH59" si="43">SUM(CB27:CB58)</f>
        <v>0</v>
      </c>
      <c r="CC59" s="238">
        <f t="shared" si="43"/>
        <v>0</v>
      </c>
      <c r="CD59" s="238">
        <f t="shared" si="43"/>
        <v>0</v>
      </c>
      <c r="CE59" s="238">
        <f t="shared" si="43"/>
        <v>0</v>
      </c>
      <c r="CF59" s="238">
        <f t="shared" si="43"/>
        <v>0</v>
      </c>
      <c r="CG59" s="238">
        <f t="shared" si="43"/>
        <v>0</v>
      </c>
      <c r="CH59" s="238">
        <f t="shared" si="43"/>
        <v>0</v>
      </c>
      <c r="CI59" s="238">
        <f t="shared" si="43"/>
        <v>0</v>
      </c>
      <c r="CJ59" s="238">
        <f t="shared" si="43"/>
        <v>0</v>
      </c>
      <c r="CK59" s="494">
        <f t="shared" si="43"/>
        <v>0</v>
      </c>
      <c r="CL59" s="238">
        <f t="shared" si="43"/>
        <v>0</v>
      </c>
      <c r="CM59" s="238">
        <f t="shared" si="43"/>
        <v>0</v>
      </c>
      <c r="CN59" s="238">
        <f t="shared" si="43"/>
        <v>0</v>
      </c>
      <c r="CO59" s="238">
        <f t="shared" si="43"/>
        <v>0</v>
      </c>
      <c r="CP59" s="238">
        <f t="shared" si="43"/>
        <v>0</v>
      </c>
      <c r="CQ59" s="238">
        <f t="shared" si="43"/>
        <v>0</v>
      </c>
      <c r="CR59" s="494">
        <f t="shared" si="43"/>
        <v>0</v>
      </c>
      <c r="CS59" s="238">
        <f t="shared" si="43"/>
        <v>0</v>
      </c>
      <c r="CT59" s="238">
        <f t="shared" si="43"/>
        <v>0</v>
      </c>
      <c r="CU59" s="238">
        <f t="shared" si="43"/>
        <v>0</v>
      </c>
      <c r="CV59" s="238">
        <f t="shared" si="43"/>
        <v>0</v>
      </c>
      <c r="CW59" s="238">
        <f t="shared" si="43"/>
        <v>0</v>
      </c>
      <c r="CX59" s="494">
        <f t="shared" si="43"/>
        <v>0</v>
      </c>
      <c r="CY59" s="238">
        <f t="shared" si="43"/>
        <v>0</v>
      </c>
      <c r="CZ59" s="238">
        <f t="shared" si="43"/>
        <v>0</v>
      </c>
      <c r="DA59" s="238">
        <f t="shared" si="43"/>
        <v>0</v>
      </c>
      <c r="DB59" s="238">
        <f t="shared" si="43"/>
        <v>0</v>
      </c>
      <c r="DC59" s="238">
        <f t="shared" si="43"/>
        <v>0</v>
      </c>
      <c r="DD59" s="238">
        <f t="shared" si="43"/>
        <v>0</v>
      </c>
      <c r="DE59" s="238">
        <f t="shared" si="43"/>
        <v>0</v>
      </c>
      <c r="DF59" s="238">
        <f t="shared" si="43"/>
        <v>0</v>
      </c>
      <c r="DG59" s="238">
        <f t="shared" si="43"/>
        <v>0</v>
      </c>
      <c r="DH59" s="238">
        <f t="shared" si="43"/>
        <v>0</v>
      </c>
      <c r="DI59" s="238"/>
      <c r="DJ59" s="238"/>
      <c r="DK59" s="495"/>
      <c r="DL59" s="496"/>
      <c r="DM59" s="496"/>
      <c r="DN59" s="496"/>
      <c r="DO59" s="238"/>
      <c r="DP59" s="497"/>
      <c r="DQ59" s="497"/>
      <c r="DR59" s="497"/>
      <c r="DS59" s="497"/>
      <c r="DT59" s="497"/>
      <c r="DU59" s="497"/>
      <c r="DV59" s="497"/>
      <c r="DW59" s="238"/>
      <c r="DX59" s="238"/>
      <c r="DY59" s="498"/>
      <c r="DZ59" s="499">
        <v>18350</v>
      </c>
      <c r="EA59" s="405" t="s">
        <v>1484</v>
      </c>
      <c r="EB59" s="406" t="s">
        <v>14646</v>
      </c>
      <c r="EC59" s="500" t="s">
        <v>1654</v>
      </c>
      <c r="ED59" s="406" t="s">
        <v>13774</v>
      </c>
      <c r="EE59" s="406" t="s">
        <v>14647</v>
      </c>
      <c r="EF59" s="405" t="s">
        <v>1895</v>
      </c>
      <c r="EG59" s="405">
        <v>132</v>
      </c>
      <c r="EH59" s="500" t="s">
        <v>1896</v>
      </c>
      <c r="EI59" s="405" t="s">
        <v>1897</v>
      </c>
      <c r="EJ59" s="501" t="s">
        <v>1898</v>
      </c>
      <c r="EK59" s="500" t="s">
        <v>14648</v>
      </c>
      <c r="EL59" s="500" t="s">
        <v>1899</v>
      </c>
      <c r="EM59" s="502" t="s">
        <v>7010</v>
      </c>
      <c r="EN59" s="503">
        <v>9037</v>
      </c>
      <c r="EO59" s="398"/>
      <c r="EP59" s="398"/>
      <c r="EQ59" s="398"/>
      <c r="ER59" s="238"/>
      <c r="ES59" s="238"/>
      <c r="ET59" s="238"/>
      <c r="EU59" s="238"/>
      <c r="EV59" s="238"/>
      <c r="EW59" s="238"/>
      <c r="EX59" s="238"/>
      <c r="EY59" s="238"/>
      <c r="EZ59" s="238"/>
      <c r="FA59" s="238"/>
      <c r="FB59" s="238"/>
      <c r="FC59" s="238"/>
      <c r="FD59" s="238"/>
      <c r="FE59" s="238"/>
      <c r="FF59" s="238"/>
      <c r="FG59" s="238"/>
      <c r="FH59" s="238"/>
      <c r="FI59" s="238"/>
      <c r="FJ59" s="238"/>
      <c r="FK59" s="238"/>
      <c r="FL59" s="238"/>
      <c r="FM59" s="238"/>
      <c r="FN59" s="238"/>
      <c r="FO59" s="238"/>
      <c r="FP59" s="238"/>
      <c r="FQ59" s="238"/>
      <c r="FR59" s="238"/>
      <c r="FS59" s="238"/>
      <c r="FT59" s="238"/>
      <c r="FU59" s="488" t="s">
        <v>47</v>
      </c>
    </row>
    <row r="60" spans="1:177" ht="15" hidden="1" thickBot="1">
      <c r="B60" s="84"/>
      <c r="DH60" s="197"/>
      <c r="DI60" s="197"/>
      <c r="DJ60" s="124"/>
      <c r="DK60" s="124"/>
      <c r="DL60" s="124"/>
      <c r="DN60" s="125"/>
      <c r="DO60" s="126"/>
      <c r="DP60" s="126"/>
      <c r="DQ60" s="126"/>
      <c r="DR60" s="126"/>
      <c r="DS60" s="126"/>
      <c r="DT60" s="126"/>
      <c r="DU60" s="126"/>
      <c r="DV60" s="125"/>
      <c r="DW60" s="125"/>
      <c r="DX60" s="125"/>
      <c r="DZ60" s="372">
        <v>18503</v>
      </c>
      <c r="EA60" s="372" t="s">
        <v>1484</v>
      </c>
      <c r="EB60" s="372" t="s">
        <v>1900</v>
      </c>
      <c r="EC60" s="372" t="s">
        <v>1661</v>
      </c>
      <c r="ED60" s="447" t="s">
        <v>13771</v>
      </c>
      <c r="EE60" s="372" t="s">
        <v>14088</v>
      </c>
      <c r="EF60" s="372" t="s">
        <v>1901</v>
      </c>
      <c r="EG60" s="372">
        <v>456</v>
      </c>
      <c r="EH60" s="372" t="s">
        <v>1902</v>
      </c>
      <c r="EI60" s="372" t="s">
        <v>1903</v>
      </c>
      <c r="EJ60" s="372" t="s">
        <v>1904</v>
      </c>
      <c r="EK60" s="372" t="s">
        <v>14089</v>
      </c>
      <c r="EL60" s="372" t="s">
        <v>1905</v>
      </c>
      <c r="EM60" s="372" t="s">
        <v>1669</v>
      </c>
      <c r="EN60" s="372">
        <v>9130</v>
      </c>
      <c r="EP60" s="369"/>
      <c r="EQ60" s="369"/>
    </row>
    <row r="61" spans="1:177" ht="15">
      <c r="B61" s="58"/>
      <c r="C61" s="989" t="s">
        <v>141</v>
      </c>
      <c r="D61" s="990"/>
      <c r="E61" s="990"/>
      <c r="F61" s="991"/>
      <c r="G61" s="994"/>
      <c r="H61" s="995"/>
      <c r="I61" s="995"/>
      <c r="J61" s="995"/>
      <c r="K61" s="995"/>
      <c r="L61" s="995"/>
      <c r="M61" s="995"/>
      <c r="N61" s="995"/>
      <c r="O61" s="995"/>
      <c r="P61" s="995"/>
      <c r="Q61" s="995"/>
      <c r="R61" s="995"/>
      <c r="S61" s="995"/>
      <c r="T61" s="995"/>
      <c r="U61" s="995"/>
      <c r="V61" s="995"/>
      <c r="W61" s="995"/>
      <c r="X61" s="995"/>
      <c r="Y61" s="995"/>
      <c r="Z61" s="995"/>
      <c r="AA61" s="995"/>
      <c r="AB61" s="995"/>
      <c r="AC61" s="995"/>
      <c r="AD61" s="995"/>
      <c r="AE61" s="995"/>
      <c r="AF61" s="995"/>
      <c r="AG61" s="995"/>
      <c r="AH61" s="995"/>
      <c r="AI61" s="995"/>
      <c r="AJ61" s="995"/>
      <c r="AK61" s="995"/>
      <c r="AL61" s="995"/>
      <c r="AM61" s="995"/>
      <c r="AN61" s="995"/>
      <c r="AO61" s="995"/>
      <c r="AP61" s="995"/>
      <c r="AQ61" s="995"/>
      <c r="AR61" s="995"/>
      <c r="AS61" s="995"/>
      <c r="AT61" s="995"/>
      <c r="AU61" s="995"/>
      <c r="AV61" s="995"/>
      <c r="AW61" s="995"/>
      <c r="AX61" s="995"/>
      <c r="AY61" s="995"/>
      <c r="AZ61" s="995"/>
      <c r="BA61" s="995"/>
      <c r="BB61" s="995"/>
      <c r="BC61" s="995"/>
      <c r="BD61" s="995"/>
      <c r="BE61" s="995"/>
      <c r="BF61" s="995"/>
      <c r="BG61" s="995"/>
      <c r="BH61" s="995"/>
      <c r="BI61" s="995"/>
      <c r="BJ61" s="995"/>
      <c r="BK61" s="995"/>
      <c r="BL61" s="995"/>
      <c r="BM61" s="995"/>
      <c r="BN61" s="995"/>
      <c r="BO61" s="995"/>
      <c r="BP61" s="995"/>
      <c r="BQ61" s="995"/>
      <c r="BR61" s="995"/>
      <c r="BS61" s="995"/>
      <c r="BT61" s="995"/>
      <c r="BU61" s="996"/>
      <c r="BV61" s="796" t="s">
        <v>108</v>
      </c>
      <c r="BW61" s="797"/>
      <c r="DH61" s="127"/>
      <c r="DI61" s="127"/>
      <c r="DJ61" s="127"/>
      <c r="DK61" s="127"/>
      <c r="DL61" s="125"/>
      <c r="DN61" s="127"/>
      <c r="DO61" s="127"/>
      <c r="DP61" s="127"/>
      <c r="DQ61" s="127"/>
      <c r="DR61" s="125"/>
      <c r="DS61" s="125"/>
      <c r="DT61" s="125"/>
      <c r="DU61" s="125"/>
      <c r="DV61" s="125"/>
      <c r="DW61" s="125"/>
      <c r="DZ61" s="372">
        <v>18520</v>
      </c>
      <c r="EA61" s="372" t="s">
        <v>1484</v>
      </c>
      <c r="EB61" s="372" t="s">
        <v>1906</v>
      </c>
      <c r="EC61" s="372" t="s">
        <v>1820</v>
      </c>
      <c r="ED61" s="447" t="s">
        <v>13802</v>
      </c>
      <c r="EE61" s="372" t="s">
        <v>14382</v>
      </c>
      <c r="EF61" s="372" t="s">
        <v>1907</v>
      </c>
      <c r="EG61" s="372">
        <v>167</v>
      </c>
      <c r="EH61" s="372" t="s">
        <v>1908</v>
      </c>
      <c r="EI61" s="372" t="s">
        <v>1909</v>
      </c>
      <c r="EJ61" s="372" t="s">
        <v>1910</v>
      </c>
      <c r="EK61" s="372" t="s">
        <v>14383</v>
      </c>
      <c r="EL61" s="372" t="s">
        <v>1911</v>
      </c>
      <c r="EM61" t="s">
        <v>14769</v>
      </c>
      <c r="EN61" s="372">
        <v>9895</v>
      </c>
      <c r="EO61" s="369"/>
      <c r="EP61" s="369"/>
      <c r="EQ61" s="369"/>
    </row>
    <row r="62" spans="1:177" ht="15" thickBot="1">
      <c r="B62" s="84"/>
      <c r="C62" s="992"/>
      <c r="D62" s="817"/>
      <c r="E62" s="817"/>
      <c r="F62" s="993"/>
      <c r="G62" s="997"/>
      <c r="H62" s="998"/>
      <c r="I62" s="998"/>
      <c r="J62" s="998"/>
      <c r="K62" s="998"/>
      <c r="L62" s="998"/>
      <c r="M62" s="998"/>
      <c r="N62" s="998"/>
      <c r="O62" s="998"/>
      <c r="P62" s="998"/>
      <c r="Q62" s="998"/>
      <c r="R62" s="998"/>
      <c r="S62" s="998"/>
      <c r="T62" s="998"/>
      <c r="U62" s="998"/>
      <c r="V62" s="998"/>
      <c r="W62" s="998"/>
      <c r="X62" s="998"/>
      <c r="Y62" s="998"/>
      <c r="Z62" s="998"/>
      <c r="AA62" s="998"/>
      <c r="AB62" s="998"/>
      <c r="AC62" s="998"/>
      <c r="AD62" s="998"/>
      <c r="AE62" s="998"/>
      <c r="AF62" s="998"/>
      <c r="AG62" s="998"/>
      <c r="AH62" s="998"/>
      <c r="AI62" s="998"/>
      <c r="AJ62" s="998"/>
      <c r="AK62" s="998"/>
      <c r="AL62" s="998"/>
      <c r="AM62" s="998"/>
      <c r="AN62" s="998"/>
      <c r="AO62" s="998"/>
      <c r="AP62" s="998"/>
      <c r="AQ62" s="998"/>
      <c r="AR62" s="998"/>
      <c r="AS62" s="998"/>
      <c r="AT62" s="998"/>
      <c r="AU62" s="998"/>
      <c r="AV62" s="998"/>
      <c r="AW62" s="998"/>
      <c r="AX62" s="998"/>
      <c r="AY62" s="998"/>
      <c r="AZ62" s="998"/>
      <c r="BA62" s="998"/>
      <c r="BB62" s="998"/>
      <c r="BC62" s="998"/>
      <c r="BD62" s="998"/>
      <c r="BE62" s="998"/>
      <c r="BF62" s="998"/>
      <c r="BG62" s="998"/>
      <c r="BH62" s="998"/>
      <c r="BI62" s="998"/>
      <c r="BJ62" s="998"/>
      <c r="BK62" s="998"/>
      <c r="BL62" s="998"/>
      <c r="BM62" s="998"/>
      <c r="BN62" s="998"/>
      <c r="BO62" s="998"/>
      <c r="BP62" s="998"/>
      <c r="BQ62" s="998"/>
      <c r="BR62" s="998"/>
      <c r="BS62" s="998"/>
      <c r="BT62" s="998"/>
      <c r="BU62" s="999"/>
      <c r="BV62" s="796"/>
      <c r="BW62" s="797"/>
      <c r="BY62" s="58">
        <f>IF(AND(E59&gt;0,SUM(G59:Q59)=0),1,0)</f>
        <v>0</v>
      </c>
      <c r="CK62" s="58">
        <f>IF(AND(R59&gt;0,SUM(T59:AI59)=0),1,0)</f>
        <v>0</v>
      </c>
      <c r="CR62" s="58">
        <f>IF(AND(AK59&gt;0,SUM(AL59:AS59)=0),1,0)</f>
        <v>0</v>
      </c>
      <c r="CX62" s="58">
        <f>IF(AND(AU59&gt;0,SUM(AW59:BQ59)=0),1,0)</f>
        <v>0</v>
      </c>
      <c r="DH62" s="125"/>
      <c r="DI62" s="125"/>
      <c r="DJ62" s="125"/>
      <c r="DK62" s="125"/>
      <c r="DL62" s="125"/>
      <c r="DN62" s="128"/>
      <c r="DO62" s="128"/>
      <c r="DP62" s="128"/>
      <c r="DQ62" s="128"/>
      <c r="DR62" s="125"/>
      <c r="DS62" s="125"/>
      <c r="DT62" s="125"/>
      <c r="DU62" s="125"/>
      <c r="DV62" s="125"/>
      <c r="DW62" s="125"/>
      <c r="DZ62" s="372">
        <v>18538</v>
      </c>
      <c r="EA62" s="372" t="s">
        <v>1484</v>
      </c>
      <c r="EB62" s="372" t="s">
        <v>1912</v>
      </c>
      <c r="EC62" s="372" t="s">
        <v>1617</v>
      </c>
      <c r="ED62" s="372" t="s">
        <v>1618</v>
      </c>
      <c r="EE62" s="372" t="s">
        <v>13994</v>
      </c>
      <c r="EF62" s="372" t="s">
        <v>1913</v>
      </c>
      <c r="EG62" s="372" t="s">
        <v>46</v>
      </c>
      <c r="EH62" s="372" t="s">
        <v>1914</v>
      </c>
      <c r="EI62" s="372" t="s">
        <v>1915</v>
      </c>
      <c r="EJ62" s="372" t="s">
        <v>1916</v>
      </c>
      <c r="EK62" s="372" t="s">
        <v>13995</v>
      </c>
      <c r="EL62" s="372" t="s">
        <v>1917</v>
      </c>
      <c r="EM62" s="372" t="s">
        <v>1624</v>
      </c>
      <c r="EN62" s="372">
        <v>9112</v>
      </c>
      <c r="EP62" s="369"/>
      <c r="EQ62" s="369"/>
    </row>
    <row r="63" spans="1:177" hidden="1">
      <c r="BW63" s="58"/>
      <c r="DH63" s="202"/>
      <c r="DI63" s="202"/>
      <c r="DJ63" s="202"/>
      <c r="DK63" s="202"/>
      <c r="DL63" s="129"/>
      <c r="DN63" s="130"/>
      <c r="DO63" s="130"/>
      <c r="DP63" s="130"/>
      <c r="DQ63" s="130"/>
      <c r="DR63" s="61"/>
      <c r="DS63" s="64"/>
      <c r="DT63" s="61"/>
      <c r="DU63" s="64"/>
      <c r="DV63" s="64"/>
      <c r="DW63" s="64"/>
      <c r="DZ63" s="372">
        <v>18554</v>
      </c>
      <c r="EA63" s="372" t="s">
        <v>1484</v>
      </c>
      <c r="EB63" s="372" t="s">
        <v>1918</v>
      </c>
      <c r="EC63" s="372" t="s">
        <v>1626</v>
      </c>
      <c r="ED63" s="447" t="s">
        <v>13763</v>
      </c>
      <c r="EE63" s="372" t="s">
        <v>13931</v>
      </c>
      <c r="EF63" s="372" t="s">
        <v>1919</v>
      </c>
      <c r="EG63" s="372">
        <v>100</v>
      </c>
      <c r="EH63" s="372" t="s">
        <v>1920</v>
      </c>
      <c r="EI63" s="372" t="s">
        <v>1921</v>
      </c>
      <c r="EJ63" s="372" t="s">
        <v>1922</v>
      </c>
      <c r="EK63" s="372" t="s">
        <v>13932</v>
      </c>
      <c r="EL63" s="372" t="s">
        <v>1923</v>
      </c>
      <c r="EM63" s="372" t="s">
        <v>1633</v>
      </c>
      <c r="EN63" s="372">
        <v>9095</v>
      </c>
      <c r="EO63" s="369"/>
      <c r="EP63" s="369"/>
      <c r="EQ63" s="369"/>
    </row>
    <row r="64" spans="1:177" hidden="1">
      <c r="BW64" s="58"/>
      <c r="DH64" s="202"/>
      <c r="DI64" s="202"/>
      <c r="DJ64" s="202"/>
      <c r="DK64" s="202"/>
      <c r="DL64" s="129"/>
      <c r="DN64" s="130"/>
      <c r="DO64" s="130"/>
      <c r="DP64" s="130"/>
      <c r="DQ64" s="130"/>
      <c r="DR64" s="61"/>
      <c r="DS64" s="64"/>
      <c r="DT64" s="61"/>
      <c r="DU64" s="64"/>
      <c r="DV64" s="64"/>
      <c r="DW64" s="64"/>
      <c r="DZ64" s="372">
        <v>19054</v>
      </c>
      <c r="EA64" s="372" t="s">
        <v>1484</v>
      </c>
      <c r="EB64" s="372" t="s">
        <v>1924</v>
      </c>
      <c r="EC64" s="372" t="s">
        <v>1654</v>
      </c>
      <c r="ED64" s="372" t="s">
        <v>13774</v>
      </c>
      <c r="EE64" s="372" t="s">
        <v>14638</v>
      </c>
      <c r="EF64" s="372" t="s">
        <v>1925</v>
      </c>
      <c r="EG64" s="372">
        <v>29</v>
      </c>
      <c r="EH64" s="372" t="s">
        <v>1926</v>
      </c>
      <c r="EI64" s="372" t="s">
        <v>1927</v>
      </c>
      <c r="EJ64" s="372" t="s">
        <v>1928</v>
      </c>
      <c r="EK64" s="372" t="s">
        <v>14639</v>
      </c>
      <c r="EL64" s="372" t="s">
        <v>1929</v>
      </c>
      <c r="EM64" s="450" t="s">
        <v>7010</v>
      </c>
      <c r="EN64" s="372">
        <v>11317</v>
      </c>
      <c r="EO64" s="369"/>
      <c r="EP64" s="369"/>
      <c r="EQ64" s="369"/>
    </row>
    <row r="65" spans="1:177" hidden="1">
      <c r="BW65" s="58"/>
      <c r="DH65" s="202"/>
      <c r="DI65" s="202"/>
      <c r="DJ65" s="202"/>
      <c r="DK65" s="65"/>
      <c r="DL65" s="65"/>
      <c r="DN65" s="64"/>
      <c r="DO65" s="64"/>
      <c r="DP65" s="64"/>
      <c r="DQ65" s="64"/>
      <c r="DR65" s="64"/>
      <c r="DZ65" s="372">
        <v>19062</v>
      </c>
      <c r="EA65" s="372" t="s">
        <v>1484</v>
      </c>
      <c r="EB65" s="372" t="s">
        <v>1930</v>
      </c>
      <c r="EC65" s="372" t="s">
        <v>1812</v>
      </c>
      <c r="ED65" s="372" t="s">
        <v>1813</v>
      </c>
      <c r="EE65" s="372" t="s">
        <v>14191</v>
      </c>
      <c r="EF65" s="372" t="s">
        <v>1931</v>
      </c>
      <c r="EG65" s="372">
        <v>200</v>
      </c>
      <c r="EH65" s="372" t="s">
        <v>1932</v>
      </c>
      <c r="EI65" s="372" t="s">
        <v>1933</v>
      </c>
      <c r="EJ65" s="372" t="s">
        <v>1934</v>
      </c>
      <c r="EK65" s="372" t="s">
        <v>14192</v>
      </c>
      <c r="EL65" s="372" t="s">
        <v>1935</v>
      </c>
      <c r="EM65" s="372" t="s">
        <v>14767</v>
      </c>
      <c r="EN65" s="372">
        <v>9177</v>
      </c>
      <c r="EO65" s="369"/>
      <c r="EP65" s="369"/>
      <c r="EQ65" s="369"/>
    </row>
    <row r="66" spans="1:177" hidden="1">
      <c r="B66" s="84"/>
      <c r="DH66" s="202"/>
      <c r="DI66" s="202"/>
      <c r="DJ66" s="202"/>
      <c r="DK66" s="65"/>
      <c r="DL66" s="65"/>
      <c r="DN66" s="64"/>
      <c r="DO66" s="64"/>
      <c r="DP66" s="64"/>
      <c r="DQ66" s="64"/>
      <c r="DR66" s="64"/>
      <c r="DZ66" s="372">
        <v>19071</v>
      </c>
      <c r="EA66" s="469" t="s">
        <v>1484</v>
      </c>
      <c r="EB66" s="372" t="s">
        <v>1936</v>
      </c>
      <c r="EC66" s="469" t="s">
        <v>1654</v>
      </c>
      <c r="ED66" s="372" t="s">
        <v>13774</v>
      </c>
      <c r="EE66" s="372" t="s">
        <v>14700</v>
      </c>
      <c r="EF66" s="469" t="s">
        <v>1937</v>
      </c>
      <c r="EG66" s="469">
        <v>51</v>
      </c>
      <c r="EH66" s="469" t="s">
        <v>1938</v>
      </c>
      <c r="EI66" s="371" t="s">
        <v>1939</v>
      </c>
      <c r="EJ66" s="469" t="s">
        <v>1940</v>
      </c>
      <c r="EK66" s="469" t="s">
        <v>14701</v>
      </c>
      <c r="EL66" s="469" t="s">
        <v>1941</v>
      </c>
      <c r="EM66" s="450" t="s">
        <v>7010</v>
      </c>
      <c r="EN66" s="364">
        <v>9172</v>
      </c>
      <c r="EO66" s="369"/>
      <c r="EP66" s="369"/>
      <c r="EQ66" s="369"/>
    </row>
    <row r="67" spans="1:177" hidden="1">
      <c r="BW67" s="58"/>
      <c r="DH67" s="202"/>
      <c r="DI67" s="202"/>
      <c r="DJ67" s="202"/>
      <c r="DK67" s="65"/>
      <c r="DL67" s="65"/>
      <c r="DN67" s="64"/>
      <c r="DO67" s="64"/>
      <c r="DP67" s="64"/>
      <c r="DQ67" s="64"/>
      <c r="DR67" s="64"/>
      <c r="DZ67" s="372">
        <v>19089</v>
      </c>
      <c r="EA67" s="372" t="s">
        <v>1484</v>
      </c>
      <c r="EB67" s="372" t="s">
        <v>1942</v>
      </c>
      <c r="EC67" s="372" t="s">
        <v>1812</v>
      </c>
      <c r="ED67" s="372" t="s">
        <v>1813</v>
      </c>
      <c r="EE67" s="372" t="s">
        <v>14163</v>
      </c>
      <c r="EF67" s="372" t="s">
        <v>1943</v>
      </c>
      <c r="EG67" s="372">
        <v>395</v>
      </c>
      <c r="EH67" s="372" t="s">
        <v>1944</v>
      </c>
      <c r="EI67" s="372" t="s">
        <v>1945</v>
      </c>
      <c r="EJ67" s="372" t="s">
        <v>1946</v>
      </c>
      <c r="EK67" s="372" t="s">
        <v>14164</v>
      </c>
      <c r="EL67" s="372" t="s">
        <v>1947</v>
      </c>
      <c r="EM67" s="372" t="s">
        <v>14767</v>
      </c>
      <c r="EN67" s="372">
        <v>9188</v>
      </c>
      <c r="EO67" s="369"/>
      <c r="EP67" s="369"/>
      <c r="EQ67" s="369"/>
    </row>
    <row r="68" spans="1:177" ht="15" hidden="1">
      <c r="BW68" s="58"/>
      <c r="BX68" s="202"/>
      <c r="BY68" s="202"/>
      <c r="BZ68" s="202"/>
      <c r="CA68" s="202"/>
      <c r="CB68" s="202"/>
      <c r="CC68" s="202"/>
      <c r="CD68" s="202"/>
      <c r="CE68" s="202"/>
      <c r="CF68" s="202"/>
      <c r="CG68" s="202"/>
      <c r="CH68" s="202"/>
      <c r="CI68" s="202"/>
      <c r="CJ68" s="202"/>
      <c r="CK68" s="202"/>
      <c r="CL68" s="202"/>
      <c r="CM68" s="202"/>
      <c r="CN68" s="202"/>
      <c r="CO68" s="202"/>
      <c r="CP68" s="202"/>
      <c r="CQ68" s="202"/>
      <c r="CR68" s="202"/>
      <c r="CS68" s="202"/>
      <c r="CT68" s="202"/>
      <c r="CU68" s="202"/>
      <c r="CV68" s="202"/>
      <c r="CW68" s="202"/>
      <c r="CX68" s="202"/>
      <c r="CY68" s="202"/>
      <c r="CZ68" s="202"/>
      <c r="DA68" s="202"/>
      <c r="DB68" s="202"/>
      <c r="DC68" s="202"/>
      <c r="DD68" s="202"/>
      <c r="DE68" s="202"/>
      <c r="DF68" s="202"/>
      <c r="DG68" s="202"/>
      <c r="DH68" s="65"/>
      <c r="DJ68" s="64"/>
      <c r="DK68" s="64"/>
      <c r="DL68" s="64"/>
      <c r="DM68" s="64"/>
      <c r="DN68" s="64"/>
      <c r="DZ68" s="372">
        <v>19101</v>
      </c>
      <c r="EA68" s="372" t="s">
        <v>1484</v>
      </c>
      <c r="EB68" s="372" t="s">
        <v>1948</v>
      </c>
      <c r="EC68" s="372" t="s">
        <v>1820</v>
      </c>
      <c r="ED68" s="447" t="s">
        <v>13802</v>
      </c>
      <c r="EE68" s="372" t="s">
        <v>14358</v>
      </c>
      <c r="EF68" s="372" t="s">
        <v>1949</v>
      </c>
      <c r="EG68" s="372">
        <v>736</v>
      </c>
      <c r="EH68" s="372" t="s">
        <v>1950</v>
      </c>
      <c r="EI68" s="372" t="s">
        <v>1951</v>
      </c>
      <c r="EJ68" s="372" t="s">
        <v>1952</v>
      </c>
      <c r="EK68" s="372" t="s">
        <v>14359</v>
      </c>
      <c r="EL68" s="372" t="s">
        <v>1953</v>
      </c>
      <c r="EM68" t="s">
        <v>14769</v>
      </c>
      <c r="EN68" s="372">
        <v>9179</v>
      </c>
      <c r="EO68" s="369"/>
      <c r="EP68" s="369"/>
      <c r="EQ68" s="369"/>
    </row>
    <row r="69" spans="1:177" ht="15" hidden="1">
      <c r="BW69" s="58"/>
      <c r="BX69" s="202"/>
      <c r="BY69" s="202"/>
      <c r="BZ69" s="202"/>
      <c r="CA69" s="202"/>
      <c r="CB69" s="202"/>
      <c r="CC69" s="202"/>
      <c r="CD69" s="202"/>
      <c r="CE69" s="202"/>
      <c r="CF69" s="202"/>
      <c r="CG69" s="202"/>
      <c r="CH69" s="202"/>
      <c r="CI69" s="202"/>
      <c r="CJ69" s="202"/>
      <c r="CK69" s="202"/>
      <c r="CL69" s="202"/>
      <c r="CM69" s="202"/>
      <c r="CN69" s="202"/>
      <c r="CO69" s="202"/>
      <c r="CP69" s="202"/>
      <c r="CQ69" s="202"/>
      <c r="CR69" s="202"/>
      <c r="CS69" s="202"/>
      <c r="CT69" s="202"/>
      <c r="CU69" s="202"/>
      <c r="CV69" s="202"/>
      <c r="CW69" s="202"/>
      <c r="CX69" s="202"/>
      <c r="CY69" s="202"/>
      <c r="CZ69" s="202"/>
      <c r="DA69" s="202"/>
      <c r="DB69" s="202"/>
      <c r="DC69" s="202"/>
      <c r="DD69" s="202"/>
      <c r="DE69" s="202"/>
      <c r="DF69" s="202"/>
      <c r="DG69" s="202"/>
      <c r="DH69" s="65"/>
      <c r="DJ69" s="64"/>
      <c r="DK69" s="64"/>
      <c r="DL69" s="64"/>
      <c r="DM69" s="64"/>
      <c r="DN69" s="64"/>
      <c r="DZ69" s="372">
        <v>19119</v>
      </c>
      <c r="EA69" s="372" t="s">
        <v>1484</v>
      </c>
      <c r="EB69" s="372" t="s">
        <v>1954</v>
      </c>
      <c r="EC69" s="372" t="s">
        <v>1820</v>
      </c>
      <c r="ED69" s="447" t="s">
        <v>13802</v>
      </c>
      <c r="EE69" s="372" t="s">
        <v>14414</v>
      </c>
      <c r="EF69" s="372" t="s">
        <v>1955</v>
      </c>
      <c r="EG69" s="372">
        <v>10</v>
      </c>
      <c r="EH69" s="372" t="s">
        <v>1956</v>
      </c>
      <c r="EI69" s="372" t="s">
        <v>1957</v>
      </c>
      <c r="EJ69" s="372" t="s">
        <v>1958</v>
      </c>
      <c r="EK69" s="372" t="s">
        <v>14415</v>
      </c>
      <c r="EL69" s="372" t="s">
        <v>1959</v>
      </c>
      <c r="EM69" t="s">
        <v>14769</v>
      </c>
      <c r="EN69" s="372">
        <v>9178</v>
      </c>
      <c r="EO69" s="369"/>
      <c r="EP69" s="369"/>
      <c r="EQ69" s="369"/>
    </row>
    <row r="70" spans="1:177" ht="15" hidden="1" thickBot="1">
      <c r="A70" s="115" t="str">
        <f>IF($BK$7="","",VLOOKUP($BK$7,$DI$28:$DK$39,3))</f>
        <v>SEX</v>
      </c>
      <c r="BW70" s="58"/>
      <c r="BX70" s="202"/>
      <c r="BY70" s="202"/>
      <c r="BZ70" s="202"/>
      <c r="CA70" s="202"/>
      <c r="CB70" s="202"/>
      <c r="CC70" s="202"/>
      <c r="CD70" s="202"/>
      <c r="CE70" s="202"/>
      <c r="CF70" s="202"/>
      <c r="CG70" s="202"/>
      <c r="CH70" s="202"/>
      <c r="CI70" s="202"/>
      <c r="CJ70" s="202"/>
      <c r="CK70" s="202"/>
      <c r="CL70" s="202"/>
      <c r="CM70" s="202"/>
      <c r="CN70" s="202"/>
      <c r="CO70" s="202"/>
      <c r="CP70" s="202"/>
      <c r="CQ70" s="202"/>
      <c r="CR70" s="202"/>
      <c r="CS70" s="202"/>
      <c r="CT70" s="202"/>
      <c r="CU70" s="202"/>
      <c r="CV70" s="202"/>
      <c r="CW70" s="202"/>
      <c r="CX70" s="202"/>
      <c r="CY70" s="202"/>
      <c r="CZ70" s="202"/>
      <c r="DA70" s="202"/>
      <c r="DB70" s="202"/>
      <c r="DC70" s="202"/>
      <c r="DD70" s="202"/>
      <c r="DE70" s="202"/>
      <c r="DF70" s="202"/>
      <c r="DG70" s="202"/>
      <c r="DH70" s="65"/>
      <c r="DZ70" s="372">
        <v>19127</v>
      </c>
      <c r="EA70" s="372" t="s">
        <v>1484</v>
      </c>
      <c r="EB70" s="372" t="s">
        <v>1960</v>
      </c>
      <c r="EC70" s="372" t="s">
        <v>1640</v>
      </c>
      <c r="ED70" s="372" t="s">
        <v>1641</v>
      </c>
      <c r="EE70" s="372" t="s">
        <v>14209</v>
      </c>
      <c r="EF70" s="372" t="s">
        <v>1961</v>
      </c>
      <c r="EG70" s="372" t="s">
        <v>46</v>
      </c>
      <c r="EH70" s="372" t="s">
        <v>1962</v>
      </c>
      <c r="EI70" s="372" t="s">
        <v>1963</v>
      </c>
      <c r="EJ70" s="372" t="s">
        <v>1964</v>
      </c>
      <c r="EK70" s="372" t="s">
        <v>14210</v>
      </c>
      <c r="EL70" s="372" t="s">
        <v>1965</v>
      </c>
      <c r="EM70" s="372" t="s">
        <v>1633</v>
      </c>
      <c r="EN70" s="372">
        <v>9174</v>
      </c>
      <c r="EO70" s="369"/>
      <c r="EP70" s="369"/>
      <c r="EQ70" s="369"/>
    </row>
    <row r="71" spans="1:177" ht="15" hidden="1" thickBot="1">
      <c r="A71" s="115" t="str">
        <f>IF(A70=$DO$6,$DP$6,IF(A70=$DP$6,$DQ$6,IF(A70=$DQ$6,$DR$6,IF(A70=$DR$6,$DS$6,IF(A70=$DS$6,$DT$6,IF(A70=$DT$6,$DU$6,IF(A70=$DU$6,$DO$6)))))))</f>
        <v>SAB</v>
      </c>
      <c r="AF71" s="239"/>
      <c r="AG71" s="198"/>
      <c r="AI71" s="198"/>
      <c r="AK71" s="198"/>
      <c r="AL71" s="198"/>
      <c r="AM71" s="198"/>
      <c r="AO71" s="198"/>
      <c r="BW71" s="58"/>
      <c r="BX71" s="207"/>
      <c r="BY71" s="207"/>
      <c r="BZ71" s="207"/>
      <c r="CA71" s="207"/>
      <c r="CB71" s="207"/>
      <c r="CC71" s="207"/>
      <c r="CD71" s="207"/>
      <c r="CE71" s="207"/>
      <c r="CF71" s="207"/>
      <c r="CG71" s="207"/>
      <c r="CH71" s="207"/>
      <c r="CI71" s="207"/>
      <c r="CJ71" s="207"/>
      <c r="CK71" s="207"/>
      <c r="CL71" s="207"/>
      <c r="CM71" s="207"/>
      <c r="CN71" s="207"/>
      <c r="CO71" s="207"/>
      <c r="CP71" s="207"/>
      <c r="CQ71" s="207"/>
      <c r="CR71" s="207"/>
      <c r="CS71" s="207"/>
      <c r="CT71" s="207"/>
      <c r="CU71" s="207"/>
      <c r="CV71" s="207"/>
      <c r="CW71" s="207"/>
      <c r="CX71" s="207"/>
      <c r="CY71" s="207"/>
      <c r="CZ71" s="207"/>
      <c r="DA71" s="207"/>
      <c r="DB71" s="207"/>
      <c r="DC71" s="207"/>
      <c r="DD71" s="207"/>
      <c r="DE71" s="207"/>
      <c r="DF71" s="207"/>
      <c r="DG71" s="207"/>
      <c r="DH71" s="207"/>
      <c r="DJ71" s="197"/>
      <c r="DK71" s="207"/>
      <c r="DL71" s="207"/>
      <c r="DZ71" s="372">
        <v>19135</v>
      </c>
      <c r="EA71" s="372" t="s">
        <v>1484</v>
      </c>
      <c r="EB71" s="372" t="s">
        <v>1966</v>
      </c>
      <c r="EC71" s="372" t="s">
        <v>1707</v>
      </c>
      <c r="ED71" s="447" t="s">
        <v>13799</v>
      </c>
      <c r="EE71" s="372" t="s">
        <v>14289</v>
      </c>
      <c r="EF71" s="372" t="s">
        <v>1967</v>
      </c>
      <c r="EG71" s="372">
        <v>15</v>
      </c>
      <c r="EH71" s="372" t="s">
        <v>1968</v>
      </c>
      <c r="EI71" s="372" t="s">
        <v>1969</v>
      </c>
      <c r="EJ71" s="372" t="s">
        <v>1970</v>
      </c>
      <c r="EK71" s="372" t="s">
        <v>14290</v>
      </c>
      <c r="EL71" s="372"/>
      <c r="EM71" s="372" t="s">
        <v>1633</v>
      </c>
      <c r="EN71" s="372">
        <v>9194</v>
      </c>
      <c r="EO71" s="369"/>
      <c r="EP71" s="369"/>
      <c r="EQ71" s="369"/>
    </row>
    <row r="72" spans="1:177" ht="15" thickBot="1">
      <c r="A72" s="115" t="str">
        <f>IF(A71=$DO$6,$DP$6,IF(A71=$DP$6,$DQ$6,IF(A71=$DQ$6,$DR$6,IF(A71=$DR$6,$DS$6,IF(A71=$DS$6,$DT$6,IF(A71=$DT$6,$DU$6,IF(A71=$DU$6,$DO$6)))))))</f>
        <v>DOM</v>
      </c>
      <c r="C72" s="612" t="s">
        <v>65</v>
      </c>
      <c r="D72" s="952" t="s">
        <v>13762</v>
      </c>
      <c r="E72" s="953"/>
      <c r="F72" s="953"/>
      <c r="G72" s="953"/>
      <c r="H72" s="953"/>
      <c r="I72" s="953"/>
      <c r="J72" s="953"/>
      <c r="K72" s="953"/>
      <c r="L72" s="953"/>
      <c r="M72" s="953"/>
      <c r="N72" s="953"/>
      <c r="O72" s="953"/>
      <c r="P72" s="953"/>
      <c r="Q72" s="953"/>
      <c r="R72" s="954"/>
      <c r="S72" s="955" t="s">
        <v>14747</v>
      </c>
      <c r="T72" s="955"/>
      <c r="U72" s="958" t="s">
        <v>134</v>
      </c>
      <c r="V72" s="959"/>
      <c r="W72" s="240"/>
      <c r="X72" s="964" t="s">
        <v>139</v>
      </c>
      <c r="Y72" s="965"/>
      <c r="Z72" s="965"/>
      <c r="AA72" s="965"/>
      <c r="AB72" s="965"/>
      <c r="AC72" s="965"/>
      <c r="AD72" s="965"/>
      <c r="AE72" s="965"/>
      <c r="AF72" s="965"/>
      <c r="AG72" s="966"/>
      <c r="AH72" s="240"/>
      <c r="AI72" s="972" t="s">
        <v>3562</v>
      </c>
      <c r="AJ72" s="973"/>
      <c r="AK72" s="973"/>
      <c r="AL72" s="973"/>
      <c r="AM72" s="973"/>
      <c r="AN72" s="973"/>
      <c r="AO72" s="973"/>
      <c r="AP72" s="973"/>
      <c r="AQ72" s="973"/>
      <c r="AR72" s="973"/>
      <c r="AS72" s="973"/>
      <c r="AT72" s="973"/>
      <c r="AU72" s="973"/>
      <c r="AV72" s="973"/>
      <c r="AW72" s="973"/>
      <c r="AX72" s="973"/>
      <c r="AY72" s="973"/>
      <c r="AZ72" s="973"/>
      <c r="BA72" s="973"/>
      <c r="BB72" s="973"/>
      <c r="BC72" s="973"/>
      <c r="BD72" s="973"/>
      <c r="BE72" s="973"/>
      <c r="BF72" s="973"/>
      <c r="BG72" s="973"/>
      <c r="BH72" s="973"/>
      <c r="BI72" s="973"/>
      <c r="BJ72" s="973"/>
      <c r="BK72" s="973"/>
      <c r="BL72" s="973"/>
      <c r="BM72" s="973"/>
      <c r="BN72" s="973"/>
      <c r="BO72" s="973"/>
      <c r="BP72" s="973"/>
      <c r="BQ72" s="973"/>
      <c r="BR72" s="973"/>
      <c r="BS72" s="973"/>
      <c r="BT72" s="973"/>
      <c r="BU72" s="973"/>
      <c r="BV72" s="973"/>
      <c r="BW72" s="974"/>
      <c r="BX72" s="207"/>
      <c r="BY72" s="207"/>
      <c r="BZ72" s="207">
        <f>IF(AND(R20&gt;0,SUM(D108:L108)=0),1,0)</f>
        <v>0</v>
      </c>
      <c r="CA72" s="207"/>
      <c r="CB72" s="207"/>
      <c r="CC72" s="207"/>
      <c r="CD72" s="207">
        <f>IF(AND(V20&gt;0,SUM(M108:R108)=0),1,0)</f>
        <v>0</v>
      </c>
      <c r="CE72" s="207"/>
      <c r="CF72" s="207"/>
      <c r="CG72" s="207"/>
      <c r="CH72" s="207"/>
      <c r="CI72" s="207"/>
      <c r="CJ72" s="207"/>
      <c r="CK72" s="207"/>
      <c r="CL72" s="207"/>
      <c r="CM72" s="207"/>
      <c r="CN72" s="207"/>
      <c r="CO72" s="207"/>
      <c r="CP72" s="207"/>
      <c r="CQ72" s="207"/>
      <c r="CR72" s="207"/>
      <c r="CS72" s="207"/>
      <c r="CT72" s="207"/>
      <c r="CU72" s="207"/>
      <c r="CV72" s="207"/>
      <c r="CW72" s="207"/>
      <c r="CX72" s="207"/>
      <c r="CY72" s="207"/>
      <c r="CZ72" s="207"/>
      <c r="DA72" s="207"/>
      <c r="DB72" s="207"/>
      <c r="DC72" s="207"/>
      <c r="DD72" s="207"/>
      <c r="DE72" s="207"/>
      <c r="DF72" s="207"/>
      <c r="DG72" s="207"/>
      <c r="DH72" s="207"/>
      <c r="DJ72" s="197"/>
      <c r="DK72" s="207"/>
      <c r="DL72" s="207"/>
      <c r="DZ72" s="372">
        <v>19151</v>
      </c>
      <c r="EA72" s="372" t="s">
        <v>1484</v>
      </c>
      <c r="EB72" s="372" t="s">
        <v>1500</v>
      </c>
      <c r="EC72" s="372" t="s">
        <v>1486</v>
      </c>
      <c r="ED72" s="372" t="s">
        <v>161</v>
      </c>
      <c r="EE72" s="372" t="s">
        <v>13885</v>
      </c>
      <c r="EF72" s="372" t="s">
        <v>1501</v>
      </c>
      <c r="EG72" s="372">
        <v>310</v>
      </c>
      <c r="EH72" s="372" t="s">
        <v>1502</v>
      </c>
      <c r="EI72" s="372" t="s">
        <v>1503</v>
      </c>
      <c r="EJ72" s="372" t="s">
        <v>1971</v>
      </c>
      <c r="EK72" s="372" t="s">
        <v>13886</v>
      </c>
      <c r="EL72" s="372"/>
      <c r="EM72" s="372" t="s">
        <v>1669</v>
      </c>
      <c r="EN72" s="372">
        <v>9195</v>
      </c>
      <c r="EO72" s="369"/>
      <c r="EP72" s="369"/>
      <c r="EQ72" s="369"/>
      <c r="FU72" s="614" t="s">
        <v>13700</v>
      </c>
    </row>
    <row r="73" spans="1:177" ht="33" customHeight="1" thickBot="1">
      <c r="A73" s="115" t="str">
        <f>IF(A72=$DO$6,$DP$6,IF(A72=$DP$6,$DQ$6,IF(A72=$DQ$6,$DR$6,IF(A72=$DR$6,$DS$6,IF(A72=$DS$6,$DT$6,IF(A72=$DT$6,$DU$6,IF(A72=$DU$6,$DO$6)))))))</f>
        <v>SEG</v>
      </c>
      <c r="C73" s="617"/>
      <c r="D73" s="806" t="s">
        <v>117</v>
      </c>
      <c r="E73" s="807"/>
      <c r="F73" s="807"/>
      <c r="G73" s="807"/>
      <c r="H73" s="807"/>
      <c r="I73" s="807"/>
      <c r="J73" s="807"/>
      <c r="K73" s="807"/>
      <c r="L73" s="808"/>
      <c r="M73" s="806" t="s">
        <v>118</v>
      </c>
      <c r="N73" s="807"/>
      <c r="O73" s="807"/>
      <c r="P73" s="807"/>
      <c r="Q73" s="807"/>
      <c r="R73" s="808"/>
      <c r="S73" s="956"/>
      <c r="T73" s="956"/>
      <c r="U73" s="960"/>
      <c r="V73" s="961"/>
      <c r="W73" s="241"/>
      <c r="X73" s="967"/>
      <c r="Y73" s="968"/>
      <c r="Z73" s="968"/>
      <c r="AA73" s="968"/>
      <c r="AB73" s="968"/>
      <c r="AC73" s="968"/>
      <c r="AD73" s="968"/>
      <c r="AE73" s="968"/>
      <c r="AF73" s="968"/>
      <c r="AG73" s="969"/>
      <c r="AH73" s="241"/>
      <c r="AI73" s="975"/>
      <c r="AJ73" s="976"/>
      <c r="AK73" s="976"/>
      <c r="AL73" s="976"/>
      <c r="AM73" s="976"/>
      <c r="AN73" s="976"/>
      <c r="AO73" s="976"/>
      <c r="AP73" s="976"/>
      <c r="AQ73" s="976"/>
      <c r="AR73" s="976"/>
      <c r="AS73" s="976"/>
      <c r="AT73" s="976"/>
      <c r="AU73" s="976"/>
      <c r="AV73" s="976"/>
      <c r="AW73" s="976"/>
      <c r="AX73" s="976"/>
      <c r="AY73" s="976"/>
      <c r="AZ73" s="976"/>
      <c r="BA73" s="976"/>
      <c r="BB73" s="976"/>
      <c r="BC73" s="976"/>
      <c r="BD73" s="976"/>
      <c r="BE73" s="976"/>
      <c r="BF73" s="976"/>
      <c r="BG73" s="976"/>
      <c r="BH73" s="976"/>
      <c r="BI73" s="976"/>
      <c r="BJ73" s="976"/>
      <c r="BK73" s="976"/>
      <c r="BL73" s="976"/>
      <c r="BM73" s="976"/>
      <c r="BN73" s="976"/>
      <c r="BO73" s="976"/>
      <c r="BP73" s="976"/>
      <c r="BQ73" s="976"/>
      <c r="BR73" s="976"/>
      <c r="BS73" s="976"/>
      <c r="BT73" s="976"/>
      <c r="BU73" s="976"/>
      <c r="BV73" s="976"/>
      <c r="BW73" s="977"/>
      <c r="BX73" s="207"/>
      <c r="BY73" s="207"/>
      <c r="BZ73" s="1004" t="s">
        <v>3560</v>
      </c>
      <c r="CA73" s="1005"/>
      <c r="CB73" s="1005"/>
      <c r="CC73" s="1006"/>
      <c r="CD73" s="1004" t="s">
        <v>3561</v>
      </c>
      <c r="CE73" s="1005"/>
      <c r="CF73" s="1006"/>
      <c r="CG73" s="207"/>
      <c r="CH73" s="207"/>
      <c r="CI73" s="207"/>
      <c r="CJ73" s="207"/>
      <c r="CK73" s="207"/>
      <c r="CL73" s="207"/>
      <c r="CM73" s="207"/>
      <c r="CN73" s="207"/>
      <c r="CO73" s="207"/>
      <c r="CP73" s="207"/>
      <c r="CQ73" s="207"/>
      <c r="CR73" s="207"/>
      <c r="CS73" s="207"/>
      <c r="CT73" s="207"/>
      <c r="CU73" s="207"/>
      <c r="CV73" s="207"/>
      <c r="CW73" s="207"/>
      <c r="CX73" s="207"/>
      <c r="CY73" s="207"/>
      <c r="CZ73" s="207"/>
      <c r="DA73" s="207"/>
      <c r="DB73" s="207"/>
      <c r="DC73" s="207"/>
      <c r="DD73" s="207"/>
      <c r="DE73" s="207"/>
      <c r="DF73" s="207"/>
      <c r="DG73" s="207"/>
      <c r="DH73" s="207"/>
      <c r="DJ73" s="197"/>
      <c r="DK73" s="207"/>
      <c r="DL73" s="207"/>
      <c r="DZ73" s="372">
        <v>19178</v>
      </c>
      <c r="EA73" s="372" t="s">
        <v>1484</v>
      </c>
      <c r="EB73" s="372" t="s">
        <v>1972</v>
      </c>
      <c r="EC73" s="372" t="s">
        <v>1640</v>
      </c>
      <c r="ED73" s="372" t="s">
        <v>1641</v>
      </c>
      <c r="EE73" s="372" t="s">
        <v>14247</v>
      </c>
      <c r="EF73" s="372" t="s">
        <v>1973</v>
      </c>
      <c r="EG73" s="372">
        <v>262</v>
      </c>
      <c r="EH73" s="372" t="s">
        <v>1974</v>
      </c>
      <c r="EI73" s="372" t="s">
        <v>1975</v>
      </c>
      <c r="EJ73" s="372" t="s">
        <v>1976</v>
      </c>
      <c r="EK73" s="372" t="s">
        <v>14248</v>
      </c>
      <c r="EL73" s="372" t="s">
        <v>1977</v>
      </c>
      <c r="EM73" s="372" t="s">
        <v>1633</v>
      </c>
      <c r="EN73" s="372">
        <v>9197</v>
      </c>
      <c r="EO73" s="369"/>
      <c r="EP73" s="369"/>
      <c r="EQ73" s="369"/>
      <c r="FU73" s="615"/>
    </row>
    <row r="74" spans="1:177" ht="75.75" customHeight="1" thickBot="1">
      <c r="A74" s="115"/>
      <c r="C74" s="613"/>
      <c r="D74" s="809" t="s">
        <v>136</v>
      </c>
      <c r="E74" s="810"/>
      <c r="F74" s="814" t="s">
        <v>135</v>
      </c>
      <c r="G74" s="814"/>
      <c r="H74" s="814" t="s">
        <v>142</v>
      </c>
      <c r="I74" s="814"/>
      <c r="J74" s="814"/>
      <c r="K74" s="814" t="s">
        <v>109</v>
      </c>
      <c r="L74" s="881"/>
      <c r="M74" s="809" t="s">
        <v>136</v>
      </c>
      <c r="N74" s="810"/>
      <c r="O74" s="814" t="s">
        <v>135</v>
      </c>
      <c r="P74" s="814"/>
      <c r="Q74" s="814" t="s">
        <v>142</v>
      </c>
      <c r="R74" s="881"/>
      <c r="S74" s="957"/>
      <c r="T74" s="957"/>
      <c r="U74" s="962"/>
      <c r="V74" s="963"/>
      <c r="W74" s="228"/>
      <c r="X74" s="379" t="s">
        <v>136</v>
      </c>
      <c r="Y74" s="490"/>
      <c r="Z74" s="943" t="s">
        <v>60</v>
      </c>
      <c r="AA74" s="943"/>
      <c r="AB74" s="943"/>
      <c r="AC74" s="490" t="str">
        <f>IF($S$72&lt;&gt;"","Sobremesa","")</f>
        <v>Sobremesa</v>
      </c>
      <c r="AD74" s="375"/>
      <c r="AE74" s="943" t="s">
        <v>140</v>
      </c>
      <c r="AF74" s="943"/>
      <c r="AG74" s="944"/>
      <c r="AH74" s="228" t="str">
        <f>IF($S$72&lt;&gt;"","Repetição da  2a refeição","")</f>
        <v>Repetição da  2a refeição</v>
      </c>
      <c r="AI74" s="978"/>
      <c r="AJ74" s="979"/>
      <c r="AK74" s="979"/>
      <c r="AL74" s="979"/>
      <c r="AM74" s="979"/>
      <c r="AN74" s="979"/>
      <c r="AO74" s="979"/>
      <c r="AP74" s="979"/>
      <c r="AQ74" s="979"/>
      <c r="AR74" s="979"/>
      <c r="AS74" s="979"/>
      <c r="AT74" s="979"/>
      <c r="AU74" s="979"/>
      <c r="AV74" s="979"/>
      <c r="AW74" s="979"/>
      <c r="AX74" s="979"/>
      <c r="AY74" s="979"/>
      <c r="AZ74" s="979"/>
      <c r="BA74" s="979"/>
      <c r="BB74" s="979"/>
      <c r="BC74" s="979"/>
      <c r="BD74" s="979"/>
      <c r="BE74" s="979"/>
      <c r="BF74" s="979"/>
      <c r="BG74" s="979"/>
      <c r="BH74" s="979"/>
      <c r="BI74" s="979"/>
      <c r="BJ74" s="979"/>
      <c r="BK74" s="979"/>
      <c r="BL74" s="979"/>
      <c r="BM74" s="979"/>
      <c r="BN74" s="979"/>
      <c r="BO74" s="979"/>
      <c r="BP74" s="979"/>
      <c r="BQ74" s="979"/>
      <c r="BR74" s="979"/>
      <c r="BS74" s="979"/>
      <c r="BT74" s="979"/>
      <c r="BU74" s="979"/>
      <c r="BV74" s="979"/>
      <c r="BW74" s="980"/>
      <c r="BX74" s="207"/>
      <c r="BY74" s="207"/>
      <c r="BZ74" s="264" t="str">
        <f>IF($R$23&lt;&gt;"","Frequência","")</f>
        <v>Frequência</v>
      </c>
      <c r="CA74" s="230" t="str">
        <f>IF($E$23&lt;&gt;"","Lanche (4h)","")</f>
        <v>Lanche (4h)</v>
      </c>
      <c r="CB74" s="230" t="str">
        <f>IF($E$23&lt;&gt;"","Lanche (6h)","")</f>
        <v>Lanche (6h)</v>
      </c>
      <c r="CC74" s="230" t="str">
        <f>IF($E$23&lt;&gt;"","Refeição","")</f>
        <v>Refeição</v>
      </c>
      <c r="CD74" s="264" t="str">
        <f>IF($R$23&lt;&gt;"","Frequência","")</f>
        <v>Frequência</v>
      </c>
      <c r="CE74" s="230" t="str">
        <f>IF($E$23&lt;&gt;"","Lanche (4h)","")</f>
        <v>Lanche (4h)</v>
      </c>
      <c r="CF74" s="230" t="str">
        <f>IF($E$23&lt;&gt;"","Lanche (6h)","")</f>
        <v>Lanche (6h)</v>
      </c>
      <c r="CG74" s="207"/>
      <c r="CH74" s="207"/>
      <c r="CI74" s="207"/>
      <c r="CJ74" s="207"/>
      <c r="CK74" s="207"/>
      <c r="CL74" s="207"/>
      <c r="CM74" s="207"/>
      <c r="CN74" s="207"/>
      <c r="CO74" s="207"/>
      <c r="CP74" s="207"/>
      <c r="CQ74" s="207"/>
      <c r="CR74" s="207"/>
      <c r="CS74" s="207"/>
      <c r="CT74" s="207"/>
      <c r="CU74" s="207"/>
      <c r="CV74" s="207"/>
      <c r="CW74" s="207"/>
      <c r="CX74" s="207"/>
      <c r="CY74" s="207"/>
      <c r="CZ74" s="207"/>
      <c r="DA74" s="207"/>
      <c r="DB74" s="207"/>
      <c r="DC74" s="207"/>
      <c r="DD74" s="207"/>
      <c r="DE74" s="207"/>
      <c r="DF74" s="207"/>
      <c r="DG74" s="207"/>
      <c r="DH74" s="207"/>
      <c r="DJ74" s="207"/>
      <c r="DK74" s="207"/>
      <c r="DL74" s="207"/>
      <c r="DZ74" s="372">
        <v>19186</v>
      </c>
      <c r="EA74" s="372" t="s">
        <v>1484</v>
      </c>
      <c r="EB74" s="372" t="s">
        <v>1978</v>
      </c>
      <c r="EC74" s="372" t="s">
        <v>1661</v>
      </c>
      <c r="ED74" s="447" t="s">
        <v>13771</v>
      </c>
      <c r="EE74" s="372" t="s">
        <v>1979</v>
      </c>
      <c r="EF74" s="372" t="s">
        <v>1980</v>
      </c>
      <c r="EG74" s="372" t="s">
        <v>46</v>
      </c>
      <c r="EH74" s="372" t="s">
        <v>1981</v>
      </c>
      <c r="EI74" s="372" t="s">
        <v>1982</v>
      </c>
      <c r="EJ74" s="372" t="s">
        <v>1983</v>
      </c>
      <c r="EK74" s="372" t="s">
        <v>14124</v>
      </c>
      <c r="EL74" s="372" t="s">
        <v>1984</v>
      </c>
      <c r="EM74" s="372" t="s">
        <v>1669</v>
      </c>
      <c r="EN74" s="372">
        <v>9267</v>
      </c>
      <c r="EO74" s="369"/>
      <c r="EP74" s="369"/>
      <c r="EQ74" s="369"/>
      <c r="FU74" s="615"/>
    </row>
    <row r="75" spans="1:177" ht="15" hidden="1" thickBot="1">
      <c r="A75" s="115"/>
      <c r="C75" s="263"/>
      <c r="D75" s="302"/>
      <c r="E75" s="276"/>
      <c r="F75" s="276"/>
      <c r="G75" s="236"/>
      <c r="H75" s="236"/>
      <c r="I75" s="276"/>
      <c r="J75" s="276"/>
      <c r="K75" s="236"/>
      <c r="L75" s="303"/>
      <c r="M75" s="281"/>
      <c r="N75" s="236"/>
      <c r="O75" s="276"/>
      <c r="P75" s="236"/>
      <c r="Q75" s="236"/>
      <c r="R75" s="277"/>
      <c r="S75" s="301"/>
      <c r="T75" s="242"/>
      <c r="U75" s="257"/>
      <c r="V75" s="258"/>
      <c r="W75" s="61"/>
      <c r="X75" s="380"/>
      <c r="Y75" s="377"/>
      <c r="Z75" s="377"/>
      <c r="AA75" s="377"/>
      <c r="AB75" s="377"/>
      <c r="AC75" s="376"/>
      <c r="AD75" s="377"/>
      <c r="AE75" s="376"/>
      <c r="AF75" s="376"/>
      <c r="AG75" s="381"/>
      <c r="AJ75" s="61"/>
      <c r="AK75" s="61"/>
      <c r="AL75" s="61"/>
      <c r="AM75" s="61"/>
      <c r="AO75" s="61"/>
      <c r="AR75" s="61"/>
      <c r="AT75" s="61"/>
      <c r="AU75" s="61"/>
      <c r="AW75" s="61"/>
      <c r="AY75" s="61"/>
      <c r="BE75" s="61"/>
      <c r="BF75" s="61"/>
      <c r="BG75" s="61"/>
      <c r="BI75" s="61"/>
      <c r="BS75" s="238"/>
      <c r="BV75" s="202"/>
      <c r="BW75" s="202"/>
      <c r="BX75" s="131"/>
      <c r="BY75" s="131"/>
      <c r="BZ75" s="131"/>
      <c r="CA75" s="131"/>
      <c r="CB75" s="131"/>
      <c r="CC75" s="131"/>
      <c r="CD75" s="131"/>
      <c r="CE75" s="131"/>
      <c r="CF75" s="131"/>
      <c r="CG75" s="131"/>
      <c r="CH75" s="131"/>
      <c r="CI75" s="131"/>
      <c r="CJ75" s="131"/>
      <c r="CK75" s="131"/>
      <c r="CL75" s="131"/>
      <c r="CM75" s="131"/>
      <c r="CN75" s="131"/>
      <c r="CO75" s="131"/>
      <c r="CP75" s="131"/>
      <c r="CQ75" s="131"/>
      <c r="CR75" s="131"/>
      <c r="CS75" s="131"/>
      <c r="CT75" s="131"/>
      <c r="CU75" s="131"/>
      <c r="CV75" s="131"/>
      <c r="CW75" s="131"/>
      <c r="CX75" s="131"/>
      <c r="CY75" s="131"/>
      <c r="CZ75" s="131"/>
      <c r="DA75" s="131"/>
      <c r="DB75" s="131"/>
      <c r="DC75" s="131"/>
      <c r="DD75" s="131"/>
      <c r="DE75" s="131"/>
      <c r="DF75" s="131"/>
      <c r="DG75" s="131"/>
      <c r="DJ75" s="78"/>
      <c r="DZ75" s="372">
        <v>19197</v>
      </c>
      <c r="EA75" s="372" t="s">
        <v>1484</v>
      </c>
      <c r="EB75" s="372" t="s">
        <v>1504</v>
      </c>
      <c r="EC75" s="372" t="s">
        <v>1486</v>
      </c>
      <c r="ED75" s="372" t="s">
        <v>161</v>
      </c>
      <c r="EE75" s="372" t="s">
        <v>13859</v>
      </c>
      <c r="EF75" s="372" t="s">
        <v>1505</v>
      </c>
      <c r="EG75" s="372">
        <v>560</v>
      </c>
      <c r="EH75" s="372" t="s">
        <v>1506</v>
      </c>
      <c r="EI75" s="372" t="s">
        <v>1507</v>
      </c>
      <c r="EJ75" s="372" t="s">
        <v>1985</v>
      </c>
      <c r="EK75" s="372" t="s">
        <v>13860</v>
      </c>
      <c r="EL75" s="372"/>
      <c r="EM75" s="372" t="s">
        <v>1669</v>
      </c>
      <c r="EN75" s="372">
        <v>9478</v>
      </c>
      <c r="EO75" s="369"/>
      <c r="EP75" s="369"/>
      <c r="EQ75" s="369"/>
      <c r="FU75" s="616"/>
    </row>
    <row r="76" spans="1:177" ht="15" hidden="1" thickBot="1">
      <c r="A76" s="115"/>
      <c r="C76" s="407">
        <v>42947</v>
      </c>
      <c r="D76" s="620"/>
      <c r="E76" s="621"/>
      <c r="F76" s="621"/>
      <c r="G76" s="621"/>
      <c r="H76" s="621"/>
      <c r="I76" s="621"/>
      <c r="J76" s="621"/>
      <c r="K76" s="621"/>
      <c r="L76" s="622"/>
      <c r="M76" s="620"/>
      <c r="N76" s="621"/>
      <c r="O76" s="621"/>
      <c r="P76" s="621"/>
      <c r="Q76" s="621"/>
      <c r="R76" s="623"/>
      <c r="S76" s="624"/>
      <c r="T76" s="624"/>
      <c r="U76" s="625"/>
      <c r="V76" s="626"/>
      <c r="W76" s="266"/>
      <c r="X76" s="382"/>
      <c r="Y76" s="489"/>
      <c r="Z76" s="627"/>
      <c r="AA76" s="627"/>
      <c r="AB76" s="627"/>
      <c r="AC76" s="489"/>
      <c r="AD76" s="489"/>
      <c r="AE76" s="627"/>
      <c r="AF76" s="627"/>
      <c r="AG76" s="628"/>
      <c r="AH76" s="265"/>
      <c r="AI76" s="629"/>
      <c r="AJ76" s="630"/>
      <c r="AK76" s="630"/>
      <c r="AL76" s="630"/>
      <c r="AM76" s="630"/>
      <c r="AN76" s="630"/>
      <c r="AO76" s="630"/>
      <c r="AP76" s="630"/>
      <c r="AQ76" s="630"/>
      <c r="AR76" s="630"/>
      <c r="AS76" s="630"/>
      <c r="AT76" s="630"/>
      <c r="AU76" s="630"/>
      <c r="AV76" s="630"/>
      <c r="AW76" s="630"/>
      <c r="AX76" s="630"/>
      <c r="AY76" s="630"/>
      <c r="AZ76" s="630"/>
      <c r="BA76" s="630"/>
      <c r="BB76" s="630"/>
      <c r="BC76" s="630"/>
      <c r="BD76" s="630"/>
      <c r="BE76" s="630"/>
      <c r="BF76" s="630"/>
      <c r="BG76" s="630"/>
      <c r="BH76" s="630"/>
      <c r="BI76" s="630"/>
      <c r="BJ76" s="630"/>
      <c r="BK76" s="630"/>
      <c r="BL76" s="630"/>
      <c r="BM76" s="630"/>
      <c r="BN76" s="630"/>
      <c r="BO76" s="630"/>
      <c r="BP76" s="630"/>
      <c r="BQ76" s="630"/>
      <c r="BR76" s="630"/>
      <c r="BS76" s="630"/>
      <c r="BT76" s="630"/>
      <c r="BU76" s="630"/>
      <c r="BV76" s="630"/>
      <c r="BW76" s="631"/>
      <c r="BX76" s="131"/>
      <c r="BY76" s="131"/>
      <c r="BZ76" s="326"/>
      <c r="CA76" s="326"/>
      <c r="CB76" s="326"/>
      <c r="CC76" s="326"/>
      <c r="CD76" s="326"/>
      <c r="CE76" s="326"/>
      <c r="CF76" s="326"/>
      <c r="CG76" s="131"/>
      <c r="CH76" s="131"/>
      <c r="CI76" s="131"/>
      <c r="CJ76" s="131"/>
      <c r="CK76" s="131"/>
      <c r="CL76" s="131"/>
      <c r="CM76" s="131"/>
      <c r="CN76" s="131"/>
      <c r="CO76" s="131"/>
      <c r="CP76" s="131"/>
      <c r="CQ76" s="131"/>
      <c r="CR76" s="131"/>
      <c r="CS76" s="131"/>
      <c r="CT76" s="131"/>
      <c r="CU76" s="131"/>
      <c r="CV76" s="131"/>
      <c r="CW76" s="131"/>
      <c r="CX76" s="131"/>
      <c r="CY76" s="131"/>
      <c r="CZ76" s="131"/>
      <c r="DA76" s="131"/>
      <c r="DB76" s="131"/>
      <c r="DC76" s="131"/>
      <c r="DD76" s="131"/>
      <c r="DE76" s="131"/>
      <c r="DF76" s="131"/>
      <c r="DG76" s="131"/>
      <c r="DJ76" s="78"/>
      <c r="DZ76" s="372">
        <v>19198</v>
      </c>
      <c r="EA76" s="372" t="s">
        <v>3387</v>
      </c>
      <c r="EB76" s="372" t="s">
        <v>3393</v>
      </c>
      <c r="EC76" s="372" t="s">
        <v>1486</v>
      </c>
      <c r="ED76" s="372" t="s">
        <v>161</v>
      </c>
      <c r="EE76" s="372" t="s">
        <v>13807</v>
      </c>
      <c r="EF76" s="372" t="s">
        <v>3394</v>
      </c>
      <c r="EG76" s="372">
        <v>7350</v>
      </c>
      <c r="EH76" s="372" t="s">
        <v>3395</v>
      </c>
      <c r="EI76" s="372" t="s">
        <v>3396</v>
      </c>
      <c r="EJ76" s="372" t="s">
        <v>3397</v>
      </c>
      <c r="EK76" s="372" t="s">
        <v>13808</v>
      </c>
      <c r="EL76" s="372"/>
      <c r="EM76" s="372" t="s">
        <v>1669</v>
      </c>
      <c r="EN76" s="372">
        <v>9856</v>
      </c>
      <c r="EO76" s="369"/>
      <c r="EP76" s="369"/>
      <c r="EQ76" s="369"/>
      <c r="FU76" s="238"/>
    </row>
    <row r="77" spans="1:177" ht="18.75" customHeight="1">
      <c r="A77" s="115" t="str">
        <f>IF($BK$7="","",VLOOKUP($BK$7,$DI$28:$DK$39,3))</f>
        <v>SEX</v>
      </c>
      <c r="C77" s="409">
        <v>1</v>
      </c>
      <c r="D77" s="811"/>
      <c r="E77" s="812"/>
      <c r="F77" s="813"/>
      <c r="G77" s="812"/>
      <c r="H77" s="813"/>
      <c r="I77" s="812"/>
      <c r="J77" s="812"/>
      <c r="K77" s="886"/>
      <c r="L77" s="887"/>
      <c r="M77" s="811">
        <v>16</v>
      </c>
      <c r="N77" s="812"/>
      <c r="O77" s="813"/>
      <c r="P77" s="812"/>
      <c r="Q77" s="813">
        <v>16</v>
      </c>
      <c r="R77" s="894"/>
      <c r="S77" s="911"/>
      <c r="T77" s="911"/>
      <c r="U77" s="909"/>
      <c r="V77" s="910"/>
      <c r="W77" s="304"/>
      <c r="X77" s="383"/>
      <c r="Y77" s="491"/>
      <c r="Z77" s="945"/>
      <c r="AA77" s="945"/>
      <c r="AB77" s="945"/>
      <c r="AC77" s="491"/>
      <c r="AD77" s="378"/>
      <c r="AE77" s="945"/>
      <c r="AF77" s="945"/>
      <c r="AG77" s="946"/>
      <c r="AH77" s="305"/>
      <c r="AI77" s="981"/>
      <c r="AJ77" s="982"/>
      <c r="AK77" s="982"/>
      <c r="AL77" s="982"/>
      <c r="AM77" s="982"/>
      <c r="AN77" s="982"/>
      <c r="AO77" s="982"/>
      <c r="AP77" s="982"/>
      <c r="AQ77" s="982"/>
      <c r="AR77" s="982"/>
      <c r="AS77" s="982"/>
      <c r="AT77" s="982"/>
      <c r="AU77" s="982"/>
      <c r="AV77" s="982"/>
      <c r="AW77" s="982"/>
      <c r="AX77" s="982"/>
      <c r="AY77" s="982"/>
      <c r="AZ77" s="982"/>
      <c r="BA77" s="982"/>
      <c r="BB77" s="982"/>
      <c r="BC77" s="982"/>
      <c r="BD77" s="982"/>
      <c r="BE77" s="982"/>
      <c r="BF77" s="982"/>
      <c r="BG77" s="982"/>
      <c r="BH77" s="982"/>
      <c r="BI77" s="982"/>
      <c r="BJ77" s="982"/>
      <c r="BK77" s="982"/>
      <c r="BL77" s="982"/>
      <c r="BM77" s="982"/>
      <c r="BN77" s="982"/>
      <c r="BO77" s="982"/>
      <c r="BP77" s="982"/>
      <c r="BQ77" s="982"/>
      <c r="BR77" s="982"/>
      <c r="BS77" s="982"/>
      <c r="BT77" s="982"/>
      <c r="BU77" s="982"/>
      <c r="BV77" s="982"/>
      <c r="BW77" s="983"/>
      <c r="BX77" s="238"/>
      <c r="BY77" s="238"/>
      <c r="BZ77" s="544">
        <f>IF(OR(C77=$P$1,C77=$Q$1,C77=$R$1,C77=$S$1,C77=$T$1,C77=$U$1,C77=$V$1),0,IF(AND($R$20&gt;0,$D$108&gt;0,D77="",AND(A77&lt;&gt;"SAB",A77&lt;&gt;"DOM")),1,0))</f>
        <v>0</v>
      </c>
      <c r="CA77" s="544">
        <f>IF(OR(C77=$P$1,C77=$Q$1,C77=$R$1,C77=$S$1,C77=$T$1,C77=$U$1,C77=$V$1),0,IF(AND($R$20&gt;0,$F$108&gt;0,F77="",AND(A77&lt;&gt;"SAB",A77&lt;&gt;"DOM")),1,0))</f>
        <v>0</v>
      </c>
      <c r="CB77" s="544">
        <f>IF(OR(C77=$P$1,C77=$Q$1,C77=$R$1,C77=$S$1,C77=$T$1,C77=$U$1,C77=$V$1),0,IF(AND($R$20&gt;0,$H$108&gt;0,H77="",AND(A77&lt;&gt;"SAB",A77&lt;&gt;"DOM")),1,0))</f>
        <v>0</v>
      </c>
      <c r="CC77" s="544">
        <f>IF(OR(C77=$P$1,C77=$Q$1,C77=$R$1,C77=$S$1,C77=$T$1,C77=$U$1,C77=$V$1),0,IF(AND($R$20&gt;0,$K$108&gt;0,K77="",AND(A77&lt;&gt;"SAB",A77&lt;&gt;"DOM")),1,0))</f>
        <v>0</v>
      </c>
      <c r="CD77" s="544">
        <f>IF(OR(C77=$P$1,C77=$Q$1,C77=$R$1,C77=$S$1,C77=$T$1,C77=$U$1,C77=$V$1),0,IF(AND($V$20&gt;0,$M$108&gt;0,M77="",AND(A77&lt;&gt;"SAB",A77&lt;&gt;"DOM")),1,0))</f>
        <v>0</v>
      </c>
      <c r="CE77" s="544">
        <f>IF(OR(C77=$P$1,C77=$Q$1,C77=$R$1,C77=$S$1,C77=$T$1,C77=$U$1,C77=$V$1),0,IF(AND($V$20&gt;0,$O$108&gt;0,O77="",AND(A77&lt;&gt;"SAB",A77&lt;&gt;"DOM")),1,0))</f>
        <v>0</v>
      </c>
      <c r="CF77" s="544">
        <f>IF(OR(C77=$P$1,C77=$Q$1,C77=$R$1,C77=$S$1,C77=$T$1,C77=$U$1,C77=$V$1),0,IF(AND($V$20&gt;0,$Q$108&gt;0,Q77="",AND(A77&lt;&gt;"SAB",A77&lt;&gt;"DOM")),1,0))</f>
        <v>0</v>
      </c>
      <c r="CG77" s="238"/>
      <c r="CH77" s="238"/>
      <c r="CI77" s="238"/>
      <c r="CJ77" s="238"/>
      <c r="CK77" s="238"/>
      <c r="CL77" s="238"/>
      <c r="CM77" s="238"/>
      <c r="CN77" s="238"/>
      <c r="CO77" s="238"/>
      <c r="CP77" s="238"/>
      <c r="CQ77" s="238"/>
      <c r="CR77" s="238"/>
      <c r="CS77" s="238"/>
      <c r="CT77" s="238"/>
      <c r="CU77" s="238"/>
      <c r="CV77" s="238"/>
      <c r="CW77" s="238"/>
      <c r="CX77" s="238"/>
      <c r="CY77" s="238"/>
      <c r="CZ77" s="238"/>
      <c r="DA77" s="238"/>
      <c r="DB77" s="238"/>
      <c r="DC77" s="238"/>
      <c r="DD77" s="238"/>
      <c r="DE77" s="238"/>
      <c r="DF77" s="238"/>
      <c r="DG77" s="238"/>
      <c r="DH77" s="238"/>
      <c r="DI77" s="238"/>
      <c r="DJ77" s="84"/>
      <c r="DK77" s="238"/>
      <c r="DL77" s="238"/>
      <c r="DM77" s="238"/>
      <c r="DN77" s="238"/>
      <c r="DO77" s="238"/>
      <c r="DP77" s="238"/>
      <c r="DQ77" s="238"/>
      <c r="DR77" s="238"/>
      <c r="DS77" s="238"/>
      <c r="DT77" s="238"/>
      <c r="DU77" s="238"/>
      <c r="DV77" s="238"/>
      <c r="DW77" s="238"/>
      <c r="DX77" s="238"/>
      <c r="DY77" s="238"/>
      <c r="DZ77" s="406">
        <v>19199</v>
      </c>
      <c r="EA77" s="406" t="s">
        <v>1484</v>
      </c>
      <c r="EB77" s="406" t="s">
        <v>1986</v>
      </c>
      <c r="EC77" s="406" t="s">
        <v>1707</v>
      </c>
      <c r="ED77" s="459" t="s">
        <v>13799</v>
      </c>
      <c r="EE77" s="406" t="s">
        <v>14287</v>
      </c>
      <c r="EF77" s="406" t="s">
        <v>1987</v>
      </c>
      <c r="EG77" s="406">
        <v>7</v>
      </c>
      <c r="EH77" s="406" t="s">
        <v>1710</v>
      </c>
      <c r="EI77" s="406" t="s">
        <v>1988</v>
      </c>
      <c r="EJ77" s="406" t="s">
        <v>1989</v>
      </c>
      <c r="EK77" s="406" t="s">
        <v>14288</v>
      </c>
      <c r="EL77" s="406" t="s">
        <v>1990</v>
      </c>
      <c r="EM77" s="406" t="s">
        <v>1633</v>
      </c>
      <c r="EN77" s="406">
        <v>9455</v>
      </c>
      <c r="EO77" s="398"/>
      <c r="EP77" s="398"/>
      <c r="EQ77" s="398"/>
      <c r="ER77" s="238"/>
      <c r="ES77" s="238"/>
      <c r="ET77" s="238"/>
      <c r="EU77" s="238"/>
      <c r="EV77" s="238"/>
      <c r="EW77" s="238"/>
      <c r="EX77" s="238"/>
      <c r="EY77" s="238"/>
      <c r="EZ77" s="238"/>
      <c r="FA77" s="238"/>
      <c r="FB77" s="238"/>
      <c r="FC77" s="238"/>
      <c r="FD77" s="238"/>
      <c r="FE77" s="238"/>
      <c r="FF77" s="238"/>
      <c r="FG77" s="238"/>
      <c r="FH77" s="238"/>
      <c r="FI77" s="238"/>
      <c r="FJ77" s="238"/>
      <c r="FK77" s="238"/>
      <c r="FL77" s="238"/>
      <c r="FM77" s="238"/>
      <c r="FN77" s="238"/>
      <c r="FO77" s="238"/>
      <c r="FP77" s="238"/>
      <c r="FQ77" s="238"/>
      <c r="FR77" s="238"/>
      <c r="FS77" s="238"/>
      <c r="FT77" s="238"/>
      <c r="FU77" s="571">
        <v>1</v>
      </c>
    </row>
    <row r="78" spans="1:177" ht="18.75" customHeight="1">
      <c r="A78" s="115" t="str">
        <f t="shared" ref="A78:A107" si="44">IF(A77=$DO$6,$DP$6,IF(A77=$DP$6,$DQ$6,IF(A77=$DQ$6,$DR$6,IF(A77=$DR$6,$DS$6,IF(A77=$DS$6,$DT$6,IF(A77=$DT$6,$DU$6,IF(A77=$DU$6,$DO$6)))))))</f>
        <v>SAB</v>
      </c>
      <c r="C78" s="410">
        <v>2</v>
      </c>
      <c r="D78" s="645"/>
      <c r="E78" s="644"/>
      <c r="F78" s="642"/>
      <c r="G78" s="644"/>
      <c r="H78" s="642"/>
      <c r="I78" s="644"/>
      <c r="J78" s="644"/>
      <c r="K78" s="882"/>
      <c r="L78" s="883"/>
      <c r="M78" s="645"/>
      <c r="N78" s="644"/>
      <c r="O78" s="642"/>
      <c r="P78" s="644"/>
      <c r="Q78" s="642"/>
      <c r="R78" s="643"/>
      <c r="S78" s="897"/>
      <c r="T78" s="897"/>
      <c r="U78" s="895"/>
      <c r="V78" s="896"/>
      <c r="W78" s="288"/>
      <c r="X78" s="383"/>
      <c r="Y78" s="491"/>
      <c r="Z78" s="945"/>
      <c r="AA78" s="945"/>
      <c r="AB78" s="945"/>
      <c r="AC78" s="491"/>
      <c r="AD78" s="378"/>
      <c r="AE78" s="945"/>
      <c r="AF78" s="945"/>
      <c r="AG78" s="946"/>
      <c r="AH78" s="283"/>
      <c r="AI78" s="981"/>
      <c r="AJ78" s="982"/>
      <c r="AK78" s="982"/>
      <c r="AL78" s="982"/>
      <c r="AM78" s="982"/>
      <c r="AN78" s="982"/>
      <c r="AO78" s="982"/>
      <c r="AP78" s="982"/>
      <c r="AQ78" s="982"/>
      <c r="AR78" s="982"/>
      <c r="AS78" s="982"/>
      <c r="AT78" s="982"/>
      <c r="AU78" s="982"/>
      <c r="AV78" s="982"/>
      <c r="AW78" s="982"/>
      <c r="AX78" s="982"/>
      <c r="AY78" s="982"/>
      <c r="AZ78" s="982"/>
      <c r="BA78" s="982"/>
      <c r="BB78" s="982"/>
      <c r="BC78" s="982"/>
      <c r="BD78" s="982"/>
      <c r="BE78" s="982"/>
      <c r="BF78" s="982"/>
      <c r="BG78" s="982"/>
      <c r="BH78" s="982"/>
      <c r="BI78" s="982"/>
      <c r="BJ78" s="982"/>
      <c r="BK78" s="982"/>
      <c r="BL78" s="982"/>
      <c r="BM78" s="982"/>
      <c r="BN78" s="982"/>
      <c r="BO78" s="982"/>
      <c r="BP78" s="982"/>
      <c r="BQ78" s="982"/>
      <c r="BR78" s="982"/>
      <c r="BS78" s="982"/>
      <c r="BT78" s="982"/>
      <c r="BU78" s="982"/>
      <c r="BV78" s="982"/>
      <c r="BW78" s="983"/>
      <c r="BX78" s="238"/>
      <c r="BY78" s="238"/>
      <c r="BZ78" s="544">
        <f t="shared" ref="BZ78:BZ107" si="45">IF(OR(C78=$P$1,C78=$Q$1,C78=$R$1,C78=$S$1,C78=$T$1,C78=$U$1,C78=$V$1),0,IF(AND($R$20&gt;0,$D$108&gt;0,D78="",AND(A78&lt;&gt;"SAB",A78&lt;&gt;"DOM")),1,0))</f>
        <v>0</v>
      </c>
      <c r="CA78" s="544">
        <f t="shared" ref="CA78:CA107" si="46">IF(OR(C78=$P$1,C78=$Q$1,C78=$R$1,C78=$S$1,C78=$T$1,C78=$U$1,C78=$V$1),0,IF(AND($R$20&gt;0,$F$108&gt;0,F78="",AND(A78&lt;&gt;"SAB",A78&lt;&gt;"DOM")),1,0))</f>
        <v>0</v>
      </c>
      <c r="CB78" s="544">
        <f t="shared" ref="CB78:CB107" si="47">IF(OR(C78=$P$1,C78=$Q$1,C78=$R$1,C78=$S$1,C78=$T$1,C78=$U$1,C78=$V$1),0,IF(AND($R$20&gt;0,$H$108&gt;0,H78="",AND(A78&lt;&gt;"SAB",A78&lt;&gt;"DOM")),1,0))</f>
        <v>0</v>
      </c>
      <c r="CC78" s="544">
        <f t="shared" ref="CC78:CC107" si="48">IF(OR(C78=$P$1,C78=$Q$1,C78=$R$1,C78=$S$1,C78=$T$1,C78=$U$1,C78=$V$1),0,IF(AND($R$20&gt;0,$K$108&gt;0,K78="",AND(A78&lt;&gt;"SAB",A78&lt;&gt;"DOM")),1,0))</f>
        <v>0</v>
      </c>
      <c r="CD78" s="544">
        <f t="shared" ref="CD78:CD107" si="49">IF(OR(C78=$P$1,C78=$Q$1,C78=$R$1,C78=$S$1,C78=$T$1,C78=$U$1,C78=$V$1),0,IF(AND($V$20&gt;0,$M$108&gt;0,M78="",AND(A78&lt;&gt;"SAB",A78&lt;&gt;"DOM")),1,0))</f>
        <v>0</v>
      </c>
      <c r="CE78" s="544">
        <f t="shared" ref="CE78:CE107" si="50">IF(OR(C78=$P$1,C78=$Q$1,C78=$R$1,C78=$S$1,C78=$T$1,C78=$U$1,C78=$V$1),0,IF(AND($V$20&gt;0,$O$108&gt;0,O78="",AND(A78&lt;&gt;"SAB",A78&lt;&gt;"DOM")),1,0))</f>
        <v>0</v>
      </c>
      <c r="CF78" s="544">
        <f t="shared" ref="CF78:CF107" si="51">IF(OR(C78=$P$1,C78=$Q$1,C78=$R$1,C78=$S$1,C78=$T$1,C78=$U$1,C78=$V$1),0,IF(AND($V$20&gt;0,$Q$108&gt;0,Q78="",AND(A78&lt;&gt;"SAB",A78&lt;&gt;"DOM")),1,0))</f>
        <v>0</v>
      </c>
      <c r="CG78" s="238"/>
      <c r="CH78" s="238"/>
      <c r="CI78" s="238"/>
      <c r="CJ78" s="238"/>
      <c r="CK78" s="238"/>
      <c r="CL78" s="238"/>
      <c r="CM78" s="238"/>
      <c r="CN78" s="238"/>
      <c r="CO78" s="238"/>
      <c r="CP78" s="238"/>
      <c r="CQ78" s="238"/>
      <c r="CR78" s="238"/>
      <c r="CS78" s="238"/>
      <c r="CT78" s="238"/>
      <c r="CU78" s="238"/>
      <c r="CV78" s="238"/>
      <c r="CW78" s="238"/>
      <c r="CX78" s="238"/>
      <c r="CY78" s="238"/>
      <c r="CZ78" s="238"/>
      <c r="DA78" s="238"/>
      <c r="DB78" s="238"/>
      <c r="DC78" s="238"/>
      <c r="DD78" s="238"/>
      <c r="DE78" s="238"/>
      <c r="DF78" s="238"/>
      <c r="DG78" s="238"/>
      <c r="DH78" s="238"/>
      <c r="DI78" s="238"/>
      <c r="DJ78" s="238"/>
      <c r="DK78" s="238"/>
      <c r="DL78" s="238"/>
      <c r="DM78" s="238"/>
      <c r="DN78" s="238"/>
      <c r="DO78" s="238"/>
      <c r="DP78" s="238"/>
      <c r="DQ78" s="238"/>
      <c r="DR78" s="238"/>
      <c r="DS78" s="238"/>
      <c r="DT78" s="238"/>
      <c r="DU78" s="238"/>
      <c r="DV78" s="238"/>
      <c r="DW78" s="238"/>
      <c r="DX78" s="238"/>
      <c r="DY78" s="238"/>
      <c r="DZ78" s="406">
        <v>19201</v>
      </c>
      <c r="EA78" s="406" t="s">
        <v>1484</v>
      </c>
      <c r="EB78" s="406" t="s">
        <v>1991</v>
      </c>
      <c r="EC78" s="406" t="s">
        <v>1707</v>
      </c>
      <c r="ED78" s="459" t="s">
        <v>13799</v>
      </c>
      <c r="EE78" s="406" t="s">
        <v>14323</v>
      </c>
      <c r="EF78" s="406" t="s">
        <v>1992</v>
      </c>
      <c r="EG78" s="406">
        <v>103</v>
      </c>
      <c r="EH78" s="406" t="s">
        <v>1710</v>
      </c>
      <c r="EI78" s="406" t="s">
        <v>1993</v>
      </c>
      <c r="EJ78" s="406" t="s">
        <v>1994</v>
      </c>
      <c r="EK78" s="406" t="s">
        <v>14324</v>
      </c>
      <c r="EL78" s="406"/>
      <c r="EM78" s="406" t="s">
        <v>1633</v>
      </c>
      <c r="EN78" s="406">
        <v>9456</v>
      </c>
      <c r="EO78" s="398"/>
      <c r="EP78" s="398"/>
      <c r="EQ78" s="398"/>
      <c r="ER78" s="238"/>
      <c r="ES78" s="238"/>
      <c r="ET78" s="238"/>
      <c r="EU78" s="238"/>
      <c r="EV78" s="238"/>
      <c r="EW78" s="238"/>
      <c r="EX78" s="238"/>
      <c r="EY78" s="238"/>
      <c r="EZ78" s="238"/>
      <c r="FA78" s="238"/>
      <c r="FB78" s="238"/>
      <c r="FC78" s="238"/>
      <c r="FD78" s="238"/>
      <c r="FE78" s="238"/>
      <c r="FF78" s="238"/>
      <c r="FG78" s="238"/>
      <c r="FH78" s="238"/>
      <c r="FI78" s="238"/>
      <c r="FJ78" s="238"/>
      <c r="FK78" s="238"/>
      <c r="FL78" s="238"/>
      <c r="FM78" s="238"/>
      <c r="FN78" s="238"/>
      <c r="FO78" s="238"/>
      <c r="FP78" s="238"/>
      <c r="FQ78" s="238"/>
      <c r="FR78" s="238"/>
      <c r="FS78" s="238"/>
      <c r="FT78" s="238"/>
      <c r="FU78" s="572">
        <v>2</v>
      </c>
    </row>
    <row r="79" spans="1:177" ht="18.75" customHeight="1">
      <c r="A79" s="115" t="str">
        <f t="shared" si="44"/>
        <v>DOM</v>
      </c>
      <c r="C79" s="410">
        <v>3</v>
      </c>
      <c r="D79" s="645"/>
      <c r="E79" s="644"/>
      <c r="F79" s="642"/>
      <c r="G79" s="644"/>
      <c r="H79" s="642"/>
      <c r="I79" s="644"/>
      <c r="J79" s="644"/>
      <c r="K79" s="882"/>
      <c r="L79" s="883"/>
      <c r="M79" s="645"/>
      <c r="N79" s="644"/>
      <c r="O79" s="642"/>
      <c r="P79" s="644"/>
      <c r="Q79" s="642"/>
      <c r="R79" s="643"/>
      <c r="S79" s="897"/>
      <c r="T79" s="897"/>
      <c r="U79" s="895"/>
      <c r="V79" s="896"/>
      <c r="W79" s="288"/>
      <c r="X79" s="383"/>
      <c r="Y79" s="491"/>
      <c r="Z79" s="945"/>
      <c r="AA79" s="945"/>
      <c r="AB79" s="945"/>
      <c r="AC79" s="491"/>
      <c r="AD79" s="378"/>
      <c r="AE79" s="945"/>
      <c r="AF79" s="945"/>
      <c r="AG79" s="946"/>
      <c r="AH79" s="306"/>
      <c r="AI79" s="981"/>
      <c r="AJ79" s="982"/>
      <c r="AK79" s="982"/>
      <c r="AL79" s="982"/>
      <c r="AM79" s="982"/>
      <c r="AN79" s="982"/>
      <c r="AO79" s="982"/>
      <c r="AP79" s="982"/>
      <c r="AQ79" s="982"/>
      <c r="AR79" s="982"/>
      <c r="AS79" s="982"/>
      <c r="AT79" s="982"/>
      <c r="AU79" s="982"/>
      <c r="AV79" s="982"/>
      <c r="AW79" s="982"/>
      <c r="AX79" s="982"/>
      <c r="AY79" s="982"/>
      <c r="AZ79" s="982"/>
      <c r="BA79" s="982"/>
      <c r="BB79" s="982"/>
      <c r="BC79" s="982"/>
      <c r="BD79" s="982"/>
      <c r="BE79" s="982"/>
      <c r="BF79" s="982"/>
      <c r="BG79" s="982"/>
      <c r="BH79" s="982"/>
      <c r="BI79" s="982"/>
      <c r="BJ79" s="982"/>
      <c r="BK79" s="982"/>
      <c r="BL79" s="982"/>
      <c r="BM79" s="982"/>
      <c r="BN79" s="982"/>
      <c r="BO79" s="982"/>
      <c r="BP79" s="982"/>
      <c r="BQ79" s="982"/>
      <c r="BR79" s="982"/>
      <c r="BS79" s="982"/>
      <c r="BT79" s="982"/>
      <c r="BU79" s="982"/>
      <c r="BV79" s="982"/>
      <c r="BW79" s="983"/>
      <c r="BX79" s="238"/>
      <c r="BY79" s="238"/>
      <c r="BZ79" s="544">
        <f t="shared" si="45"/>
        <v>0</v>
      </c>
      <c r="CA79" s="544">
        <f t="shared" si="46"/>
        <v>0</v>
      </c>
      <c r="CB79" s="544">
        <f t="shared" si="47"/>
        <v>0</v>
      </c>
      <c r="CC79" s="544">
        <f t="shared" si="48"/>
        <v>0</v>
      </c>
      <c r="CD79" s="544">
        <f t="shared" si="49"/>
        <v>0</v>
      </c>
      <c r="CE79" s="544">
        <f t="shared" si="50"/>
        <v>0</v>
      </c>
      <c r="CF79" s="544">
        <f t="shared" si="51"/>
        <v>0</v>
      </c>
      <c r="CG79" s="238"/>
      <c r="CH79" s="238"/>
      <c r="CI79" s="238"/>
      <c r="CJ79" s="238"/>
      <c r="CK79" s="238"/>
      <c r="CL79" s="238"/>
      <c r="CM79" s="238"/>
      <c r="CN79" s="238"/>
      <c r="CO79" s="238"/>
      <c r="CP79" s="238"/>
      <c r="CQ79" s="238"/>
      <c r="CR79" s="238"/>
      <c r="CS79" s="238"/>
      <c r="CT79" s="238"/>
      <c r="CU79" s="238"/>
      <c r="CV79" s="238"/>
      <c r="CW79" s="238"/>
      <c r="CX79" s="238"/>
      <c r="CY79" s="238"/>
      <c r="CZ79" s="238"/>
      <c r="DA79" s="238"/>
      <c r="DB79" s="238"/>
      <c r="DC79" s="238"/>
      <c r="DD79" s="238"/>
      <c r="DE79" s="238"/>
      <c r="DF79" s="238"/>
      <c r="DG79" s="238"/>
      <c r="DH79" s="238"/>
      <c r="DI79" s="238"/>
      <c r="DJ79" s="238"/>
      <c r="DK79" s="238"/>
      <c r="DL79" s="238"/>
      <c r="DM79" s="238"/>
      <c r="DN79" s="238"/>
      <c r="DO79" s="238"/>
      <c r="DP79" s="238"/>
      <c r="DQ79" s="238"/>
      <c r="DR79" s="238"/>
      <c r="DS79" s="238"/>
      <c r="DT79" s="238"/>
      <c r="DU79" s="238"/>
      <c r="DV79" s="238"/>
      <c r="DW79" s="238"/>
      <c r="DX79" s="238"/>
      <c r="DY79" s="238"/>
      <c r="DZ79" s="406">
        <v>19202</v>
      </c>
      <c r="EA79" s="459" t="s">
        <v>1484</v>
      </c>
      <c r="EB79" s="406" t="s">
        <v>14508</v>
      </c>
      <c r="EC79" s="406" t="s">
        <v>13777</v>
      </c>
      <c r="ED79" s="405" t="s">
        <v>13778</v>
      </c>
      <c r="EE79" s="459" t="s">
        <v>14509</v>
      </c>
      <c r="EF79" s="405" t="s">
        <v>14510</v>
      </c>
      <c r="EG79" s="405">
        <v>67</v>
      </c>
      <c r="EH79" s="460" t="s">
        <v>14475</v>
      </c>
      <c r="EI79" s="405" t="str">
        <f>EF79&amp;", "&amp;EG79&amp;" - "&amp;EH79</f>
        <v>RUA CAROLINA CARVALHO, 67 - JARAGUÁ</v>
      </c>
      <c r="EJ79" s="461">
        <v>5182210</v>
      </c>
      <c r="EK79" s="459" t="s">
        <v>14511</v>
      </c>
      <c r="EL79" s="459"/>
      <c r="EM79" s="406" t="s">
        <v>1633</v>
      </c>
      <c r="EN79" s="406">
        <v>9465</v>
      </c>
      <c r="EO79" s="398"/>
      <c r="EP79" s="398"/>
      <c r="EQ79" s="398"/>
      <c r="ER79" s="238"/>
      <c r="ES79" s="238"/>
      <c r="ET79" s="238"/>
      <c r="EU79" s="238"/>
      <c r="EV79" s="238"/>
      <c r="EW79" s="238"/>
      <c r="EX79" s="238"/>
      <c r="EY79" s="238"/>
      <c r="EZ79" s="238"/>
      <c r="FA79" s="238"/>
      <c r="FB79" s="238"/>
      <c r="FC79" s="238"/>
      <c r="FD79" s="238"/>
      <c r="FE79" s="238"/>
      <c r="FF79" s="238"/>
      <c r="FG79" s="238"/>
      <c r="FH79" s="238"/>
      <c r="FI79" s="238"/>
      <c r="FJ79" s="238"/>
      <c r="FK79" s="238"/>
      <c r="FL79" s="238"/>
      <c r="FM79" s="238"/>
      <c r="FN79" s="238"/>
      <c r="FO79" s="238"/>
      <c r="FP79" s="238"/>
      <c r="FQ79" s="238"/>
      <c r="FR79" s="238"/>
      <c r="FS79" s="238"/>
      <c r="FT79" s="238"/>
      <c r="FU79" s="572">
        <v>3</v>
      </c>
    </row>
    <row r="80" spans="1:177" ht="18.75" customHeight="1">
      <c r="A80" s="115" t="str">
        <f t="shared" si="44"/>
        <v>SEG</v>
      </c>
      <c r="C80" s="410">
        <v>4</v>
      </c>
      <c r="D80" s="645"/>
      <c r="E80" s="644"/>
      <c r="F80" s="642"/>
      <c r="G80" s="644"/>
      <c r="H80" s="642"/>
      <c r="I80" s="644"/>
      <c r="J80" s="644"/>
      <c r="K80" s="882"/>
      <c r="L80" s="883"/>
      <c r="M80" s="645">
        <v>16</v>
      </c>
      <c r="N80" s="644"/>
      <c r="O80" s="642"/>
      <c r="P80" s="644"/>
      <c r="Q80" s="642">
        <v>16</v>
      </c>
      <c r="R80" s="643"/>
      <c r="S80" s="897"/>
      <c r="T80" s="897"/>
      <c r="U80" s="895"/>
      <c r="V80" s="896"/>
      <c r="W80" s="288"/>
      <c r="X80" s="383"/>
      <c r="Y80" s="491"/>
      <c r="Z80" s="945"/>
      <c r="AA80" s="945"/>
      <c r="AB80" s="945"/>
      <c r="AC80" s="491"/>
      <c r="AD80" s="378"/>
      <c r="AE80" s="945"/>
      <c r="AF80" s="945"/>
      <c r="AG80" s="946"/>
      <c r="AH80" s="283"/>
      <c r="AI80" s="984"/>
      <c r="AJ80" s="982"/>
      <c r="AK80" s="982"/>
      <c r="AL80" s="982"/>
      <c r="AM80" s="982"/>
      <c r="AN80" s="982"/>
      <c r="AO80" s="982"/>
      <c r="AP80" s="982"/>
      <c r="AQ80" s="982"/>
      <c r="AR80" s="982"/>
      <c r="AS80" s="982"/>
      <c r="AT80" s="982"/>
      <c r="AU80" s="982"/>
      <c r="AV80" s="982"/>
      <c r="AW80" s="982"/>
      <c r="AX80" s="982"/>
      <c r="AY80" s="982"/>
      <c r="AZ80" s="982"/>
      <c r="BA80" s="982"/>
      <c r="BB80" s="982"/>
      <c r="BC80" s="982"/>
      <c r="BD80" s="982"/>
      <c r="BE80" s="982"/>
      <c r="BF80" s="982"/>
      <c r="BG80" s="982"/>
      <c r="BH80" s="982"/>
      <c r="BI80" s="982"/>
      <c r="BJ80" s="982"/>
      <c r="BK80" s="982"/>
      <c r="BL80" s="982"/>
      <c r="BM80" s="982"/>
      <c r="BN80" s="982"/>
      <c r="BO80" s="982"/>
      <c r="BP80" s="982"/>
      <c r="BQ80" s="982"/>
      <c r="BR80" s="982"/>
      <c r="BS80" s="982"/>
      <c r="BT80" s="982"/>
      <c r="BU80" s="982"/>
      <c r="BV80" s="982"/>
      <c r="BW80" s="983"/>
      <c r="BX80" s="238"/>
      <c r="BY80" s="238"/>
      <c r="BZ80" s="544">
        <f t="shared" si="45"/>
        <v>0</v>
      </c>
      <c r="CA80" s="544">
        <f t="shared" si="46"/>
        <v>0</v>
      </c>
      <c r="CB80" s="544">
        <f t="shared" si="47"/>
        <v>0</v>
      </c>
      <c r="CC80" s="544">
        <f t="shared" si="48"/>
        <v>0</v>
      </c>
      <c r="CD80" s="544">
        <f t="shared" si="49"/>
        <v>0</v>
      </c>
      <c r="CE80" s="544">
        <f t="shared" si="50"/>
        <v>0</v>
      </c>
      <c r="CF80" s="544">
        <f t="shared" si="51"/>
        <v>0</v>
      </c>
      <c r="CG80" s="238"/>
      <c r="CH80" s="238"/>
      <c r="CI80" s="238"/>
      <c r="CJ80" s="238"/>
      <c r="CK80" s="238"/>
      <c r="CL80" s="238"/>
      <c r="CM80" s="238"/>
      <c r="CN80" s="238"/>
      <c r="CO80" s="238"/>
      <c r="CP80" s="238"/>
      <c r="CQ80" s="238"/>
      <c r="CR80" s="238"/>
      <c r="CS80" s="238"/>
      <c r="CT80" s="238"/>
      <c r="CU80" s="238"/>
      <c r="CV80" s="238"/>
      <c r="CW80" s="238"/>
      <c r="CX80" s="238"/>
      <c r="CY80" s="238"/>
      <c r="CZ80" s="238"/>
      <c r="DA80" s="238"/>
      <c r="DB80" s="238"/>
      <c r="DC80" s="238"/>
      <c r="DD80" s="238"/>
      <c r="DE80" s="238"/>
      <c r="DF80" s="238"/>
      <c r="DG80" s="238"/>
      <c r="DH80" s="238"/>
      <c r="DI80" s="238"/>
      <c r="DJ80" s="238"/>
      <c r="DK80" s="238"/>
      <c r="DL80" s="238"/>
      <c r="DM80" s="238"/>
      <c r="DN80" s="238"/>
      <c r="DO80" s="238"/>
      <c r="DP80" s="238"/>
      <c r="DQ80" s="238"/>
      <c r="DR80" s="238"/>
      <c r="DS80" s="238"/>
      <c r="DT80" s="238"/>
      <c r="DU80" s="238"/>
      <c r="DV80" s="238"/>
      <c r="DW80" s="238"/>
      <c r="DX80" s="238"/>
      <c r="DY80" s="238"/>
      <c r="DZ80" s="406">
        <v>19203</v>
      </c>
      <c r="EA80" s="459" t="s">
        <v>1484</v>
      </c>
      <c r="EB80" s="406" t="s">
        <v>14491</v>
      </c>
      <c r="EC80" s="406" t="s">
        <v>13777</v>
      </c>
      <c r="ED80" s="405" t="s">
        <v>13778</v>
      </c>
      <c r="EE80" s="459" t="s">
        <v>14492</v>
      </c>
      <c r="EF80" s="405" t="s">
        <v>14493</v>
      </c>
      <c r="EG80" s="405" t="s">
        <v>46</v>
      </c>
      <c r="EH80" s="460" t="s">
        <v>14494</v>
      </c>
      <c r="EI80" s="405" t="str">
        <f>EF80&amp;", "&amp;EG80&amp;" - "&amp;EH80</f>
        <v>RUA JULIO NICOLAU, S/N - JARDIM FELICIDADE</v>
      </c>
      <c r="EJ80" s="461">
        <v>5142100</v>
      </c>
      <c r="EK80" s="459" t="s">
        <v>14495</v>
      </c>
      <c r="EL80" s="459"/>
      <c r="EM80" s="406" t="s">
        <v>1633</v>
      </c>
      <c r="EN80" s="406">
        <v>9466</v>
      </c>
      <c r="EO80" s="398"/>
      <c r="EP80" s="398"/>
      <c r="EQ80" s="398"/>
      <c r="ER80" s="238"/>
      <c r="ES80" s="238"/>
      <c r="ET80" s="238"/>
      <c r="EU80" s="238"/>
      <c r="EV80" s="238"/>
      <c r="EW80" s="238"/>
      <c r="EX80" s="238"/>
      <c r="EY80" s="238"/>
      <c r="EZ80" s="238"/>
      <c r="FA80" s="238"/>
      <c r="FB80" s="238"/>
      <c r="FC80" s="238"/>
      <c r="FD80" s="238"/>
      <c r="FE80" s="238"/>
      <c r="FF80" s="238"/>
      <c r="FG80" s="238"/>
      <c r="FH80" s="238"/>
      <c r="FI80" s="238"/>
      <c r="FJ80" s="238"/>
      <c r="FK80" s="238"/>
      <c r="FL80" s="238"/>
      <c r="FM80" s="238"/>
      <c r="FN80" s="238"/>
      <c r="FO80" s="238"/>
      <c r="FP80" s="238"/>
      <c r="FQ80" s="238"/>
      <c r="FR80" s="238"/>
      <c r="FS80" s="238"/>
      <c r="FT80" s="238"/>
      <c r="FU80" s="572">
        <v>4</v>
      </c>
    </row>
    <row r="81" spans="1:177" ht="18.75" customHeight="1">
      <c r="A81" s="115" t="str">
        <f t="shared" si="44"/>
        <v>TER</v>
      </c>
      <c r="C81" s="410">
        <v>5</v>
      </c>
      <c r="D81" s="645"/>
      <c r="E81" s="644"/>
      <c r="F81" s="642"/>
      <c r="G81" s="644"/>
      <c r="H81" s="642"/>
      <c r="I81" s="644"/>
      <c r="J81" s="644"/>
      <c r="K81" s="882"/>
      <c r="L81" s="883"/>
      <c r="M81" s="645">
        <v>18</v>
      </c>
      <c r="N81" s="644"/>
      <c r="O81" s="642"/>
      <c r="P81" s="644"/>
      <c r="Q81" s="642">
        <v>18</v>
      </c>
      <c r="R81" s="643"/>
      <c r="S81" s="897"/>
      <c r="T81" s="897"/>
      <c r="U81" s="895"/>
      <c r="V81" s="896"/>
      <c r="W81" s="288"/>
      <c r="X81" s="383"/>
      <c r="Y81" s="491"/>
      <c r="Z81" s="945"/>
      <c r="AA81" s="945"/>
      <c r="AB81" s="945"/>
      <c r="AC81" s="491"/>
      <c r="AD81" s="378"/>
      <c r="AE81" s="945"/>
      <c r="AF81" s="945"/>
      <c r="AG81" s="946"/>
      <c r="AH81" s="283"/>
      <c r="AI81" s="981"/>
      <c r="AJ81" s="982"/>
      <c r="AK81" s="982"/>
      <c r="AL81" s="982"/>
      <c r="AM81" s="982"/>
      <c r="AN81" s="982"/>
      <c r="AO81" s="982"/>
      <c r="AP81" s="982"/>
      <c r="AQ81" s="982"/>
      <c r="AR81" s="982"/>
      <c r="AS81" s="982"/>
      <c r="AT81" s="982"/>
      <c r="AU81" s="982"/>
      <c r="AV81" s="982"/>
      <c r="AW81" s="982"/>
      <c r="AX81" s="982"/>
      <c r="AY81" s="982"/>
      <c r="AZ81" s="982"/>
      <c r="BA81" s="982"/>
      <c r="BB81" s="982"/>
      <c r="BC81" s="982"/>
      <c r="BD81" s="982"/>
      <c r="BE81" s="982"/>
      <c r="BF81" s="982"/>
      <c r="BG81" s="982"/>
      <c r="BH81" s="982"/>
      <c r="BI81" s="982"/>
      <c r="BJ81" s="982"/>
      <c r="BK81" s="982"/>
      <c r="BL81" s="982"/>
      <c r="BM81" s="982"/>
      <c r="BN81" s="982"/>
      <c r="BO81" s="982"/>
      <c r="BP81" s="982"/>
      <c r="BQ81" s="982"/>
      <c r="BR81" s="982"/>
      <c r="BS81" s="982"/>
      <c r="BT81" s="982"/>
      <c r="BU81" s="982"/>
      <c r="BV81" s="982"/>
      <c r="BW81" s="983"/>
      <c r="BX81" s="238"/>
      <c r="BY81" s="238"/>
      <c r="BZ81" s="544">
        <f t="shared" si="45"/>
        <v>0</v>
      </c>
      <c r="CA81" s="544">
        <f t="shared" si="46"/>
        <v>0</v>
      </c>
      <c r="CB81" s="544">
        <f t="shared" si="47"/>
        <v>0</v>
      </c>
      <c r="CC81" s="544">
        <f t="shared" si="48"/>
        <v>0</v>
      </c>
      <c r="CD81" s="544">
        <f t="shared" si="49"/>
        <v>0</v>
      </c>
      <c r="CE81" s="544">
        <f t="shared" si="50"/>
        <v>0</v>
      </c>
      <c r="CF81" s="544">
        <f t="shared" si="51"/>
        <v>0</v>
      </c>
      <c r="CG81" s="238"/>
      <c r="CH81" s="238"/>
      <c r="CI81" s="238"/>
      <c r="CJ81" s="238"/>
      <c r="CK81" s="238"/>
      <c r="CL81" s="238"/>
      <c r="CM81" s="238"/>
      <c r="CN81" s="238"/>
      <c r="CO81" s="238"/>
      <c r="CP81" s="238"/>
      <c r="CQ81" s="238"/>
      <c r="CR81" s="238"/>
      <c r="CS81" s="238"/>
      <c r="CT81" s="238"/>
      <c r="CU81" s="238"/>
      <c r="CV81" s="238"/>
      <c r="CW81" s="238"/>
      <c r="CX81" s="238"/>
      <c r="CY81" s="238"/>
      <c r="CZ81" s="238"/>
      <c r="DA81" s="238"/>
      <c r="DB81" s="238"/>
      <c r="DC81" s="238"/>
      <c r="DD81" s="238"/>
      <c r="DE81" s="238"/>
      <c r="DF81" s="238"/>
      <c r="DG81" s="238"/>
      <c r="DH81" s="238"/>
      <c r="DI81" s="238"/>
      <c r="DJ81" s="238"/>
      <c r="DK81" s="238"/>
      <c r="DL81" s="238"/>
      <c r="DM81" s="238"/>
      <c r="DN81" s="238"/>
      <c r="DO81" s="238"/>
      <c r="DP81" s="238"/>
      <c r="DQ81" s="238"/>
      <c r="DR81" s="238"/>
      <c r="DS81" s="238"/>
      <c r="DT81" s="238"/>
      <c r="DU81" s="238"/>
      <c r="DV81" s="238"/>
      <c r="DW81" s="238"/>
      <c r="DX81" s="238"/>
      <c r="DY81" s="238"/>
      <c r="DZ81" s="406">
        <v>19205</v>
      </c>
      <c r="EA81" s="459" t="s">
        <v>1484</v>
      </c>
      <c r="EB81" s="406" t="s">
        <v>14496</v>
      </c>
      <c r="EC81" s="406" t="s">
        <v>13777</v>
      </c>
      <c r="ED81" s="405" t="s">
        <v>13778</v>
      </c>
      <c r="EE81" s="459" t="s">
        <v>14497</v>
      </c>
      <c r="EF81" s="405" t="s">
        <v>14498</v>
      </c>
      <c r="EG81" s="405" t="s">
        <v>46</v>
      </c>
      <c r="EH81" s="460" t="s">
        <v>14496</v>
      </c>
      <c r="EI81" s="405" t="str">
        <f>EF81&amp;", "&amp;EG81&amp;" - "&amp;EH81</f>
        <v>RUA PALMEIROPOLIS, S/N - JARDIM MONTE BELO</v>
      </c>
      <c r="EJ81" s="461">
        <v>5272005</v>
      </c>
      <c r="EK81" s="459" t="s">
        <v>14499</v>
      </c>
      <c r="EL81" s="459"/>
      <c r="EM81" s="406" t="s">
        <v>1633</v>
      </c>
      <c r="EN81" s="406">
        <v>9467</v>
      </c>
      <c r="EO81" s="398"/>
      <c r="EP81" s="398"/>
      <c r="EQ81" s="398"/>
      <c r="ER81" s="238"/>
      <c r="ES81" s="238"/>
      <c r="ET81" s="238"/>
      <c r="EU81" s="238"/>
      <c r="EV81" s="238"/>
      <c r="EW81" s="238"/>
      <c r="EX81" s="238"/>
      <c r="EY81" s="238"/>
      <c r="EZ81" s="238"/>
      <c r="FA81" s="238"/>
      <c r="FB81" s="238"/>
      <c r="FC81" s="238"/>
      <c r="FD81" s="238"/>
      <c r="FE81" s="238"/>
      <c r="FF81" s="238"/>
      <c r="FG81" s="238"/>
      <c r="FH81" s="238"/>
      <c r="FI81" s="238"/>
      <c r="FJ81" s="238"/>
      <c r="FK81" s="238"/>
      <c r="FL81" s="238"/>
      <c r="FM81" s="238"/>
      <c r="FN81" s="238"/>
      <c r="FO81" s="238"/>
      <c r="FP81" s="238"/>
      <c r="FQ81" s="238"/>
      <c r="FR81" s="238"/>
      <c r="FS81" s="238"/>
      <c r="FT81" s="238"/>
      <c r="FU81" s="572">
        <v>5</v>
      </c>
    </row>
    <row r="82" spans="1:177" ht="18.75" customHeight="1">
      <c r="A82" s="115" t="str">
        <f t="shared" si="44"/>
        <v>QUA</v>
      </c>
      <c r="C82" s="411">
        <v>6</v>
      </c>
      <c r="D82" s="645"/>
      <c r="E82" s="644"/>
      <c r="F82" s="642"/>
      <c r="G82" s="647"/>
      <c r="H82" s="642"/>
      <c r="I82" s="647"/>
      <c r="J82" s="647"/>
      <c r="K82" s="882"/>
      <c r="L82" s="883"/>
      <c r="M82" s="645">
        <v>17</v>
      </c>
      <c r="N82" s="647"/>
      <c r="O82" s="642"/>
      <c r="P82" s="647"/>
      <c r="Q82" s="642">
        <v>17</v>
      </c>
      <c r="R82" s="646"/>
      <c r="S82" s="902"/>
      <c r="T82" s="902"/>
      <c r="U82" s="895"/>
      <c r="V82" s="896"/>
      <c r="W82" s="289"/>
      <c r="X82" s="383"/>
      <c r="Y82" s="491"/>
      <c r="Z82" s="945"/>
      <c r="AA82" s="945"/>
      <c r="AB82" s="945"/>
      <c r="AC82" s="491"/>
      <c r="AD82" s="378"/>
      <c r="AE82" s="945"/>
      <c r="AF82" s="945"/>
      <c r="AG82" s="946"/>
      <c r="AH82" s="283"/>
      <c r="AI82" s="981"/>
      <c r="AJ82" s="982"/>
      <c r="AK82" s="982"/>
      <c r="AL82" s="982"/>
      <c r="AM82" s="982"/>
      <c r="AN82" s="982"/>
      <c r="AO82" s="982"/>
      <c r="AP82" s="982"/>
      <c r="AQ82" s="982"/>
      <c r="AR82" s="982"/>
      <c r="AS82" s="982"/>
      <c r="AT82" s="982"/>
      <c r="AU82" s="982"/>
      <c r="AV82" s="982"/>
      <c r="AW82" s="982"/>
      <c r="AX82" s="982"/>
      <c r="AY82" s="982"/>
      <c r="AZ82" s="982"/>
      <c r="BA82" s="982"/>
      <c r="BB82" s="982"/>
      <c r="BC82" s="982"/>
      <c r="BD82" s="982"/>
      <c r="BE82" s="982"/>
      <c r="BF82" s="982"/>
      <c r="BG82" s="982"/>
      <c r="BH82" s="982"/>
      <c r="BI82" s="982"/>
      <c r="BJ82" s="982"/>
      <c r="BK82" s="982"/>
      <c r="BL82" s="982"/>
      <c r="BM82" s="982"/>
      <c r="BN82" s="982"/>
      <c r="BO82" s="982"/>
      <c r="BP82" s="982"/>
      <c r="BQ82" s="982"/>
      <c r="BR82" s="982"/>
      <c r="BS82" s="982"/>
      <c r="BT82" s="982"/>
      <c r="BU82" s="982"/>
      <c r="BV82" s="982"/>
      <c r="BW82" s="983"/>
      <c r="BX82" s="238"/>
      <c r="BY82" s="238"/>
      <c r="BZ82" s="544">
        <f t="shared" si="45"/>
        <v>0</v>
      </c>
      <c r="CA82" s="544">
        <f t="shared" si="46"/>
        <v>0</v>
      </c>
      <c r="CB82" s="544">
        <f t="shared" si="47"/>
        <v>0</v>
      </c>
      <c r="CC82" s="544">
        <f t="shared" si="48"/>
        <v>0</v>
      </c>
      <c r="CD82" s="544">
        <f t="shared" si="49"/>
        <v>0</v>
      </c>
      <c r="CE82" s="544">
        <f t="shared" si="50"/>
        <v>0</v>
      </c>
      <c r="CF82" s="544">
        <f t="shared" si="51"/>
        <v>0</v>
      </c>
      <c r="CG82" s="238"/>
      <c r="CH82" s="238"/>
      <c r="CI82" s="238"/>
      <c r="CJ82" s="238"/>
      <c r="CK82" s="238"/>
      <c r="CL82" s="238"/>
      <c r="CM82" s="238"/>
      <c r="CN82" s="238"/>
      <c r="CO82" s="238"/>
      <c r="CP82" s="238"/>
      <c r="CQ82" s="238"/>
      <c r="CR82" s="238"/>
      <c r="CS82" s="238"/>
      <c r="CT82" s="238"/>
      <c r="CU82" s="238"/>
      <c r="CV82" s="238"/>
      <c r="CW82" s="238"/>
      <c r="CX82" s="238"/>
      <c r="CY82" s="238"/>
      <c r="CZ82" s="238"/>
      <c r="DA82" s="238"/>
      <c r="DB82" s="238"/>
      <c r="DC82" s="238"/>
      <c r="DD82" s="238"/>
      <c r="DE82" s="238"/>
      <c r="DF82" s="238"/>
      <c r="DG82" s="238"/>
      <c r="DH82" s="238"/>
      <c r="DI82" s="238"/>
      <c r="DJ82" s="238"/>
      <c r="DK82" s="238"/>
      <c r="DL82" s="238"/>
      <c r="DM82" s="238"/>
      <c r="DN82" s="238"/>
      <c r="DO82" s="238"/>
      <c r="DP82" s="238"/>
      <c r="DQ82" s="238"/>
      <c r="DR82" s="238"/>
      <c r="DS82" s="238"/>
      <c r="DT82" s="238"/>
      <c r="DU82" s="238"/>
      <c r="DV82" s="238"/>
      <c r="DW82" s="238"/>
      <c r="DX82" s="238"/>
      <c r="DY82" s="238"/>
      <c r="DZ82" s="406">
        <v>19206</v>
      </c>
      <c r="EA82" s="545" t="s">
        <v>1484</v>
      </c>
      <c r="EB82" s="406" t="s">
        <v>1995</v>
      </c>
      <c r="EC82" s="545" t="s">
        <v>1654</v>
      </c>
      <c r="ED82" s="406" t="s">
        <v>13774</v>
      </c>
      <c r="EE82" s="406" t="s">
        <v>14676</v>
      </c>
      <c r="EF82" s="545" t="s">
        <v>1996</v>
      </c>
      <c r="EG82" s="545">
        <v>5</v>
      </c>
      <c r="EH82" s="545" t="s">
        <v>1997</v>
      </c>
      <c r="EI82" s="405" t="s">
        <v>1998</v>
      </c>
      <c r="EJ82" s="545" t="s">
        <v>1999</v>
      </c>
      <c r="EK82" s="545" t="s">
        <v>14677</v>
      </c>
      <c r="EL82" s="545" t="s">
        <v>2000</v>
      </c>
      <c r="EM82" s="502" t="s">
        <v>7010</v>
      </c>
      <c r="EN82" s="546">
        <v>11319</v>
      </c>
      <c r="EO82" s="398"/>
      <c r="EP82" s="398"/>
      <c r="EQ82" s="398"/>
      <c r="ER82" s="238"/>
      <c r="ES82" s="238"/>
      <c r="ET82" s="238"/>
      <c r="EU82" s="238"/>
      <c r="EV82" s="238"/>
      <c r="EW82" s="238"/>
      <c r="EX82" s="238"/>
      <c r="EY82" s="238"/>
      <c r="EZ82" s="238"/>
      <c r="FA82" s="238"/>
      <c r="FB82" s="238"/>
      <c r="FC82" s="238"/>
      <c r="FD82" s="238"/>
      <c r="FE82" s="238"/>
      <c r="FF82" s="238"/>
      <c r="FG82" s="238"/>
      <c r="FH82" s="238"/>
      <c r="FI82" s="238"/>
      <c r="FJ82" s="238"/>
      <c r="FK82" s="238"/>
      <c r="FL82" s="238"/>
      <c r="FM82" s="238"/>
      <c r="FN82" s="238"/>
      <c r="FO82" s="238"/>
      <c r="FP82" s="238"/>
      <c r="FQ82" s="238"/>
      <c r="FR82" s="238"/>
      <c r="FS82" s="238"/>
      <c r="FT82" s="238"/>
      <c r="FU82" s="572">
        <v>6</v>
      </c>
    </row>
    <row r="83" spans="1:177" ht="18.75" customHeight="1">
      <c r="A83" s="115" t="str">
        <f t="shared" si="44"/>
        <v>QUI</v>
      </c>
      <c r="C83" s="410">
        <v>7</v>
      </c>
      <c r="D83" s="645"/>
      <c r="E83" s="644"/>
      <c r="F83" s="642"/>
      <c r="G83" s="644"/>
      <c r="H83" s="642"/>
      <c r="I83" s="644"/>
      <c r="J83" s="644"/>
      <c r="K83" s="882"/>
      <c r="L83" s="883"/>
      <c r="M83" s="645">
        <v>16</v>
      </c>
      <c r="N83" s="644"/>
      <c r="O83" s="642"/>
      <c r="P83" s="644"/>
      <c r="Q83" s="642">
        <v>16</v>
      </c>
      <c r="R83" s="643"/>
      <c r="S83" s="897"/>
      <c r="T83" s="897"/>
      <c r="U83" s="895"/>
      <c r="V83" s="896"/>
      <c r="W83" s="288"/>
      <c r="X83" s="383"/>
      <c r="Y83" s="491"/>
      <c r="Z83" s="945"/>
      <c r="AA83" s="945"/>
      <c r="AB83" s="945"/>
      <c r="AC83" s="491"/>
      <c r="AD83" s="491"/>
      <c r="AE83" s="945"/>
      <c r="AF83" s="945"/>
      <c r="AG83" s="946"/>
      <c r="AH83" s="283"/>
      <c r="AI83" s="981"/>
      <c r="AJ83" s="982"/>
      <c r="AK83" s="982"/>
      <c r="AL83" s="982"/>
      <c r="AM83" s="982"/>
      <c r="AN83" s="982"/>
      <c r="AO83" s="982"/>
      <c r="AP83" s="982"/>
      <c r="AQ83" s="982"/>
      <c r="AR83" s="982"/>
      <c r="AS83" s="982"/>
      <c r="AT83" s="982"/>
      <c r="AU83" s="982"/>
      <c r="AV83" s="982"/>
      <c r="AW83" s="982"/>
      <c r="AX83" s="982"/>
      <c r="AY83" s="982"/>
      <c r="AZ83" s="982"/>
      <c r="BA83" s="982"/>
      <c r="BB83" s="982"/>
      <c r="BC83" s="982"/>
      <c r="BD83" s="982"/>
      <c r="BE83" s="982"/>
      <c r="BF83" s="982"/>
      <c r="BG83" s="982"/>
      <c r="BH83" s="982"/>
      <c r="BI83" s="982"/>
      <c r="BJ83" s="982"/>
      <c r="BK83" s="982"/>
      <c r="BL83" s="982"/>
      <c r="BM83" s="982"/>
      <c r="BN83" s="982"/>
      <c r="BO83" s="982"/>
      <c r="BP83" s="982"/>
      <c r="BQ83" s="982"/>
      <c r="BR83" s="982"/>
      <c r="BS83" s="982"/>
      <c r="BT83" s="982"/>
      <c r="BU83" s="982"/>
      <c r="BV83" s="982"/>
      <c r="BW83" s="983"/>
      <c r="BX83" s="238"/>
      <c r="BY83" s="238"/>
      <c r="BZ83" s="544">
        <f t="shared" si="45"/>
        <v>0</v>
      </c>
      <c r="CA83" s="544">
        <f t="shared" si="46"/>
        <v>0</v>
      </c>
      <c r="CB83" s="544">
        <f t="shared" si="47"/>
        <v>0</v>
      </c>
      <c r="CC83" s="544">
        <f t="shared" si="48"/>
        <v>0</v>
      </c>
      <c r="CD83" s="544">
        <f t="shared" si="49"/>
        <v>0</v>
      </c>
      <c r="CE83" s="544">
        <f t="shared" si="50"/>
        <v>0</v>
      </c>
      <c r="CF83" s="544">
        <f t="shared" si="51"/>
        <v>0</v>
      </c>
      <c r="CG83" s="238"/>
      <c r="CH83" s="238"/>
      <c r="CI83" s="238"/>
      <c r="CJ83" s="238"/>
      <c r="CK83" s="238"/>
      <c r="CL83" s="238"/>
      <c r="CM83" s="238"/>
      <c r="CN83" s="238"/>
      <c r="CO83" s="238"/>
      <c r="CP83" s="238"/>
      <c r="CQ83" s="238"/>
      <c r="CR83" s="238"/>
      <c r="CS83" s="238"/>
      <c r="CT83" s="238"/>
      <c r="CU83" s="238"/>
      <c r="CV83" s="238"/>
      <c r="CW83" s="238"/>
      <c r="CX83" s="238"/>
      <c r="CY83" s="238"/>
      <c r="CZ83" s="238"/>
      <c r="DA83" s="238"/>
      <c r="DB83" s="238"/>
      <c r="DC83" s="238"/>
      <c r="DD83" s="238"/>
      <c r="DE83" s="238"/>
      <c r="DF83" s="238"/>
      <c r="DG83" s="238"/>
      <c r="DH83" s="238"/>
      <c r="DI83" s="238"/>
      <c r="DJ83" s="238"/>
      <c r="DK83" s="238"/>
      <c r="DL83" s="238"/>
      <c r="DM83" s="238"/>
      <c r="DN83" s="238"/>
      <c r="DO83" s="238"/>
      <c r="DP83" s="238"/>
      <c r="DQ83" s="238"/>
      <c r="DR83" s="238"/>
      <c r="DS83" s="238"/>
      <c r="DT83" s="238"/>
      <c r="DU83" s="238"/>
      <c r="DV83" s="238"/>
      <c r="DW83" s="238"/>
      <c r="DX83" s="238"/>
      <c r="DY83" s="238"/>
      <c r="DZ83" s="406">
        <v>19207</v>
      </c>
      <c r="EA83" s="406" t="s">
        <v>1484</v>
      </c>
      <c r="EB83" s="406" t="s">
        <v>14282</v>
      </c>
      <c r="EC83" s="406" t="s">
        <v>1707</v>
      </c>
      <c r="ED83" s="459" t="s">
        <v>13799</v>
      </c>
      <c r="EE83" s="406" t="s">
        <v>14283</v>
      </c>
      <c r="EF83" s="406" t="s">
        <v>2001</v>
      </c>
      <c r="EG83" s="406">
        <v>731</v>
      </c>
      <c r="EH83" s="406" t="s">
        <v>2002</v>
      </c>
      <c r="EI83" s="406" t="s">
        <v>2003</v>
      </c>
      <c r="EJ83" s="406" t="s">
        <v>2004</v>
      </c>
      <c r="EK83" s="406" t="s">
        <v>14284</v>
      </c>
      <c r="EL83" s="406" t="s">
        <v>2005</v>
      </c>
      <c r="EM83" s="406" t="s">
        <v>1633</v>
      </c>
      <c r="EN83" s="406">
        <v>9457</v>
      </c>
      <c r="EO83" s="398"/>
      <c r="EP83" s="398"/>
      <c r="EQ83" s="398"/>
      <c r="ER83" s="238"/>
      <c r="ES83" s="238"/>
      <c r="ET83" s="238"/>
      <c r="EU83" s="238"/>
      <c r="EV83" s="238"/>
      <c r="EW83" s="238"/>
      <c r="EX83" s="238"/>
      <c r="EY83" s="238"/>
      <c r="EZ83" s="238"/>
      <c r="FA83" s="238"/>
      <c r="FB83" s="238"/>
      <c r="FC83" s="238"/>
      <c r="FD83" s="238"/>
      <c r="FE83" s="238"/>
      <c r="FF83" s="238"/>
      <c r="FG83" s="238"/>
      <c r="FH83" s="238"/>
      <c r="FI83" s="238"/>
      <c r="FJ83" s="238"/>
      <c r="FK83" s="238"/>
      <c r="FL83" s="238"/>
      <c r="FM83" s="238"/>
      <c r="FN83" s="238"/>
      <c r="FO83" s="238"/>
      <c r="FP83" s="238"/>
      <c r="FQ83" s="238"/>
      <c r="FR83" s="238"/>
      <c r="FS83" s="238"/>
      <c r="FT83" s="238"/>
      <c r="FU83" s="572">
        <v>7</v>
      </c>
    </row>
    <row r="84" spans="1:177" ht="18.75" customHeight="1">
      <c r="A84" s="115" t="str">
        <f t="shared" si="44"/>
        <v>SEX</v>
      </c>
      <c r="C84" s="410">
        <v>8</v>
      </c>
      <c r="D84" s="645"/>
      <c r="E84" s="644"/>
      <c r="F84" s="642"/>
      <c r="G84" s="644"/>
      <c r="H84" s="642"/>
      <c r="I84" s="644"/>
      <c r="J84" s="644"/>
      <c r="K84" s="642"/>
      <c r="L84" s="885"/>
      <c r="M84" s="645">
        <v>15</v>
      </c>
      <c r="N84" s="644"/>
      <c r="O84" s="642"/>
      <c r="P84" s="644"/>
      <c r="Q84" s="642">
        <v>15</v>
      </c>
      <c r="R84" s="643"/>
      <c r="S84" s="897"/>
      <c r="T84" s="897"/>
      <c r="U84" s="895"/>
      <c r="V84" s="896"/>
      <c r="W84" s="288"/>
      <c r="X84" s="383"/>
      <c r="Y84" s="491"/>
      <c r="Z84" s="945"/>
      <c r="AA84" s="945"/>
      <c r="AB84" s="945"/>
      <c r="AC84" s="491"/>
      <c r="AD84" s="378"/>
      <c r="AE84" s="945"/>
      <c r="AF84" s="945"/>
      <c r="AG84" s="946"/>
      <c r="AH84" s="283"/>
      <c r="AI84" s="981"/>
      <c r="AJ84" s="982"/>
      <c r="AK84" s="982"/>
      <c r="AL84" s="982"/>
      <c r="AM84" s="982"/>
      <c r="AN84" s="982"/>
      <c r="AO84" s="982"/>
      <c r="AP84" s="982"/>
      <c r="AQ84" s="982"/>
      <c r="AR84" s="982"/>
      <c r="AS84" s="982"/>
      <c r="AT84" s="982"/>
      <c r="AU84" s="982"/>
      <c r="AV84" s="982"/>
      <c r="AW84" s="982"/>
      <c r="AX84" s="982"/>
      <c r="AY84" s="982"/>
      <c r="AZ84" s="982"/>
      <c r="BA84" s="982"/>
      <c r="BB84" s="982"/>
      <c r="BC84" s="982"/>
      <c r="BD84" s="982"/>
      <c r="BE84" s="982"/>
      <c r="BF84" s="982"/>
      <c r="BG84" s="982"/>
      <c r="BH84" s="982"/>
      <c r="BI84" s="982"/>
      <c r="BJ84" s="982"/>
      <c r="BK84" s="982"/>
      <c r="BL84" s="982"/>
      <c r="BM84" s="982"/>
      <c r="BN84" s="982"/>
      <c r="BO84" s="982"/>
      <c r="BP84" s="982"/>
      <c r="BQ84" s="982"/>
      <c r="BR84" s="982"/>
      <c r="BS84" s="982"/>
      <c r="BT84" s="982"/>
      <c r="BU84" s="982"/>
      <c r="BV84" s="982"/>
      <c r="BW84" s="983"/>
      <c r="BX84" s="238"/>
      <c r="BY84" s="238"/>
      <c r="BZ84" s="544">
        <f t="shared" si="45"/>
        <v>0</v>
      </c>
      <c r="CA84" s="544">
        <f t="shared" si="46"/>
        <v>0</v>
      </c>
      <c r="CB84" s="544">
        <f t="shared" si="47"/>
        <v>0</v>
      </c>
      <c r="CC84" s="544">
        <f t="shared" si="48"/>
        <v>0</v>
      </c>
      <c r="CD84" s="544">
        <f t="shared" si="49"/>
        <v>0</v>
      </c>
      <c r="CE84" s="544">
        <f t="shared" si="50"/>
        <v>0</v>
      </c>
      <c r="CF84" s="544">
        <f t="shared" si="51"/>
        <v>0</v>
      </c>
      <c r="CG84" s="238"/>
      <c r="CH84" s="238"/>
      <c r="CI84" s="238"/>
      <c r="CJ84" s="238"/>
      <c r="CK84" s="238"/>
      <c r="CL84" s="238"/>
      <c r="CM84" s="238"/>
      <c r="CN84" s="238"/>
      <c r="CO84" s="238"/>
      <c r="CP84" s="238"/>
      <c r="CQ84" s="238"/>
      <c r="CR84" s="238"/>
      <c r="CS84" s="238"/>
      <c r="CT84" s="238"/>
      <c r="CU84" s="238"/>
      <c r="CV84" s="238"/>
      <c r="CW84" s="238"/>
      <c r="CX84" s="238"/>
      <c r="CY84" s="238"/>
      <c r="CZ84" s="238"/>
      <c r="DA84" s="238"/>
      <c r="DB84" s="238"/>
      <c r="DC84" s="238"/>
      <c r="DD84" s="238"/>
      <c r="DE84" s="238"/>
      <c r="DF84" s="238"/>
      <c r="DG84" s="238"/>
      <c r="DH84" s="238"/>
      <c r="DI84" s="238"/>
      <c r="DJ84" s="238"/>
      <c r="DK84" s="238"/>
      <c r="DL84" s="238"/>
      <c r="DM84" s="238"/>
      <c r="DN84" s="238"/>
      <c r="DO84" s="238"/>
      <c r="DP84" s="238"/>
      <c r="DQ84" s="238"/>
      <c r="DR84" s="238"/>
      <c r="DS84" s="238"/>
      <c r="DT84" s="238"/>
      <c r="DU84" s="238"/>
      <c r="DV84" s="238"/>
      <c r="DW84" s="238"/>
      <c r="DX84" s="238"/>
      <c r="DY84" s="238"/>
      <c r="DZ84" s="406">
        <v>19209</v>
      </c>
      <c r="EA84" s="406" t="s">
        <v>1484</v>
      </c>
      <c r="EB84" s="406" t="s">
        <v>2006</v>
      </c>
      <c r="EC84" s="406" t="s">
        <v>1812</v>
      </c>
      <c r="ED84" s="406" t="s">
        <v>1813</v>
      </c>
      <c r="EE84" s="406" t="s">
        <v>14169</v>
      </c>
      <c r="EF84" s="406" t="s">
        <v>2007</v>
      </c>
      <c r="EG84" s="406">
        <v>50</v>
      </c>
      <c r="EH84" s="406" t="s">
        <v>2008</v>
      </c>
      <c r="EI84" s="406" t="s">
        <v>2009</v>
      </c>
      <c r="EJ84" s="406" t="s">
        <v>2010</v>
      </c>
      <c r="EK84" s="406" t="s">
        <v>14170</v>
      </c>
      <c r="EL84" s="406"/>
      <c r="EM84" s="406" t="s">
        <v>14767</v>
      </c>
      <c r="EN84" s="406">
        <v>9482</v>
      </c>
      <c r="EO84" s="398"/>
      <c r="EP84" s="398"/>
      <c r="EQ84" s="398"/>
      <c r="ER84" s="238"/>
      <c r="ES84" s="238"/>
      <c r="ET84" s="238"/>
      <c r="EU84" s="238"/>
      <c r="EV84" s="238"/>
      <c r="EW84" s="238"/>
      <c r="EX84" s="238"/>
      <c r="EY84" s="238"/>
      <c r="EZ84" s="238"/>
      <c r="FA84" s="238"/>
      <c r="FB84" s="238"/>
      <c r="FC84" s="238"/>
      <c r="FD84" s="238"/>
      <c r="FE84" s="238"/>
      <c r="FF84" s="238"/>
      <c r="FG84" s="238"/>
      <c r="FH84" s="238"/>
      <c r="FI84" s="238"/>
      <c r="FJ84" s="238"/>
      <c r="FK84" s="238"/>
      <c r="FL84" s="238"/>
      <c r="FM84" s="238"/>
      <c r="FN84" s="238"/>
      <c r="FO84" s="238"/>
      <c r="FP84" s="238"/>
      <c r="FQ84" s="238"/>
      <c r="FR84" s="238"/>
      <c r="FS84" s="238"/>
      <c r="FT84" s="238"/>
      <c r="FU84" s="572">
        <v>8</v>
      </c>
    </row>
    <row r="85" spans="1:177" ht="18.75" customHeight="1">
      <c r="A85" s="115" t="str">
        <f t="shared" si="44"/>
        <v>SAB</v>
      </c>
      <c r="C85" s="411">
        <v>9</v>
      </c>
      <c r="D85" s="645"/>
      <c r="E85" s="647"/>
      <c r="F85" s="642"/>
      <c r="G85" s="647"/>
      <c r="H85" s="642"/>
      <c r="I85" s="647"/>
      <c r="J85" s="647"/>
      <c r="K85" s="642"/>
      <c r="L85" s="884"/>
      <c r="M85" s="645">
        <v>4</v>
      </c>
      <c r="N85" s="647"/>
      <c r="O85" s="642"/>
      <c r="P85" s="647"/>
      <c r="Q85" s="642">
        <v>4</v>
      </c>
      <c r="R85" s="646"/>
      <c r="S85" s="902"/>
      <c r="T85" s="902"/>
      <c r="U85" s="900"/>
      <c r="V85" s="901"/>
      <c r="W85" s="289"/>
      <c r="X85" s="383"/>
      <c r="Y85" s="491"/>
      <c r="Z85" s="945"/>
      <c r="AA85" s="945"/>
      <c r="AB85" s="945"/>
      <c r="AC85" s="491"/>
      <c r="AD85" s="378"/>
      <c r="AE85" s="945"/>
      <c r="AF85" s="945"/>
      <c r="AG85" s="946"/>
      <c r="AH85" s="283"/>
      <c r="AI85" s="981" t="s">
        <v>14835</v>
      </c>
      <c r="AJ85" s="982"/>
      <c r="AK85" s="982"/>
      <c r="AL85" s="982"/>
      <c r="AM85" s="982"/>
      <c r="AN85" s="982"/>
      <c r="AO85" s="982"/>
      <c r="AP85" s="982"/>
      <c r="AQ85" s="982"/>
      <c r="AR85" s="982"/>
      <c r="AS85" s="982"/>
      <c r="AT85" s="982"/>
      <c r="AU85" s="982"/>
      <c r="AV85" s="982"/>
      <c r="AW85" s="982"/>
      <c r="AX85" s="982"/>
      <c r="AY85" s="982"/>
      <c r="AZ85" s="982"/>
      <c r="BA85" s="982"/>
      <c r="BB85" s="982"/>
      <c r="BC85" s="982"/>
      <c r="BD85" s="982"/>
      <c r="BE85" s="982"/>
      <c r="BF85" s="982"/>
      <c r="BG85" s="982"/>
      <c r="BH85" s="982"/>
      <c r="BI85" s="982"/>
      <c r="BJ85" s="982"/>
      <c r="BK85" s="982"/>
      <c r="BL85" s="982"/>
      <c r="BM85" s="982"/>
      <c r="BN85" s="982"/>
      <c r="BO85" s="982"/>
      <c r="BP85" s="982"/>
      <c r="BQ85" s="982"/>
      <c r="BR85" s="982"/>
      <c r="BS85" s="982"/>
      <c r="BT85" s="982"/>
      <c r="BU85" s="982"/>
      <c r="BV85" s="982"/>
      <c r="BW85" s="983"/>
      <c r="BX85" s="238"/>
      <c r="BY85" s="238"/>
      <c r="BZ85" s="544">
        <f t="shared" si="45"/>
        <v>0</v>
      </c>
      <c r="CA85" s="544">
        <f t="shared" si="46"/>
        <v>0</v>
      </c>
      <c r="CB85" s="544">
        <f t="shared" si="47"/>
        <v>0</v>
      </c>
      <c r="CC85" s="544">
        <f t="shared" si="48"/>
        <v>0</v>
      </c>
      <c r="CD85" s="544">
        <f t="shared" si="49"/>
        <v>0</v>
      </c>
      <c r="CE85" s="544">
        <f t="shared" si="50"/>
        <v>0</v>
      </c>
      <c r="CF85" s="544">
        <f t="shared" si="51"/>
        <v>0</v>
      </c>
      <c r="CG85" s="238"/>
      <c r="CH85" s="238"/>
      <c r="CI85" s="238"/>
      <c r="CJ85" s="238"/>
      <c r="CK85" s="238"/>
      <c r="CL85" s="238"/>
      <c r="CM85" s="238"/>
      <c r="CN85" s="238"/>
      <c r="CO85" s="238"/>
      <c r="CP85" s="238"/>
      <c r="CQ85" s="238"/>
      <c r="CR85" s="238"/>
      <c r="CS85" s="238"/>
      <c r="CT85" s="238"/>
      <c r="CU85" s="238"/>
      <c r="CV85" s="238"/>
      <c r="CW85" s="238"/>
      <c r="CX85" s="238"/>
      <c r="CY85" s="238"/>
      <c r="CZ85" s="238"/>
      <c r="DA85" s="238"/>
      <c r="DB85" s="238"/>
      <c r="DC85" s="238"/>
      <c r="DD85" s="238"/>
      <c r="DE85" s="238"/>
      <c r="DF85" s="238"/>
      <c r="DG85" s="238"/>
      <c r="DH85" s="238"/>
      <c r="DI85" s="238"/>
      <c r="DJ85" s="238"/>
      <c r="DK85" s="238"/>
      <c r="DL85" s="238"/>
      <c r="DM85" s="238"/>
      <c r="DN85" s="238"/>
      <c r="DO85" s="238"/>
      <c r="DP85" s="238"/>
      <c r="DQ85" s="238"/>
      <c r="DR85" s="238"/>
      <c r="DS85" s="238"/>
      <c r="DT85" s="238"/>
      <c r="DU85" s="238"/>
      <c r="DV85" s="238"/>
      <c r="DW85" s="238"/>
      <c r="DX85" s="238"/>
      <c r="DY85" s="238"/>
      <c r="DZ85" s="406">
        <v>19210</v>
      </c>
      <c r="EA85" s="406" t="s">
        <v>1484</v>
      </c>
      <c r="EB85" s="406" t="s">
        <v>1508</v>
      </c>
      <c r="EC85" s="406" t="s">
        <v>1486</v>
      </c>
      <c r="ED85" s="406" t="s">
        <v>161</v>
      </c>
      <c r="EE85" s="406" t="s">
        <v>13901</v>
      </c>
      <c r="EF85" s="406" t="s">
        <v>1509</v>
      </c>
      <c r="EG85" s="406" t="s">
        <v>46</v>
      </c>
      <c r="EH85" s="406" t="s">
        <v>1510</v>
      </c>
      <c r="EI85" s="406" t="s">
        <v>1511</v>
      </c>
      <c r="EJ85" s="406" t="s">
        <v>2011</v>
      </c>
      <c r="EK85" s="406" t="s">
        <v>13902</v>
      </c>
      <c r="EL85" s="406"/>
      <c r="EM85" s="406" t="s">
        <v>1669</v>
      </c>
      <c r="EN85" s="406">
        <v>9476</v>
      </c>
      <c r="EO85" s="398"/>
      <c r="EP85" s="398"/>
      <c r="EQ85" s="398"/>
      <c r="ER85" s="238"/>
      <c r="ES85" s="238"/>
      <c r="ET85" s="238"/>
      <c r="EU85" s="238"/>
      <c r="EV85" s="238"/>
      <c r="EW85" s="238"/>
      <c r="EX85" s="238"/>
      <c r="EY85" s="238"/>
      <c r="EZ85" s="238"/>
      <c r="FA85" s="238"/>
      <c r="FB85" s="238"/>
      <c r="FC85" s="238"/>
      <c r="FD85" s="238"/>
      <c r="FE85" s="238"/>
      <c r="FF85" s="238"/>
      <c r="FG85" s="238"/>
      <c r="FH85" s="238"/>
      <c r="FI85" s="238"/>
      <c r="FJ85" s="238"/>
      <c r="FK85" s="238"/>
      <c r="FL85" s="238"/>
      <c r="FM85" s="238"/>
      <c r="FN85" s="238"/>
      <c r="FO85" s="238"/>
      <c r="FP85" s="238"/>
      <c r="FQ85" s="238"/>
      <c r="FR85" s="238"/>
      <c r="FS85" s="238"/>
      <c r="FT85" s="238"/>
      <c r="FU85" s="572">
        <v>9</v>
      </c>
    </row>
    <row r="86" spans="1:177" ht="18.75" customHeight="1">
      <c r="A86" s="115" t="str">
        <f t="shared" si="44"/>
        <v>DOM</v>
      </c>
      <c r="C86" s="410">
        <v>10</v>
      </c>
      <c r="D86" s="645"/>
      <c r="E86" s="644"/>
      <c r="F86" s="642"/>
      <c r="G86" s="644"/>
      <c r="H86" s="642"/>
      <c r="I86" s="644"/>
      <c r="J86" s="644"/>
      <c r="K86" s="882"/>
      <c r="L86" s="883"/>
      <c r="M86" s="645"/>
      <c r="N86" s="644"/>
      <c r="O86" s="642"/>
      <c r="P86" s="644"/>
      <c r="Q86" s="642"/>
      <c r="R86" s="643"/>
      <c r="S86" s="897"/>
      <c r="T86" s="897"/>
      <c r="U86" s="895"/>
      <c r="V86" s="896"/>
      <c r="W86" s="288"/>
      <c r="X86" s="383"/>
      <c r="Y86" s="491"/>
      <c r="Z86" s="945"/>
      <c r="AA86" s="945"/>
      <c r="AB86" s="945"/>
      <c r="AC86" s="491"/>
      <c r="AD86" s="378"/>
      <c r="AE86" s="945"/>
      <c r="AF86" s="945"/>
      <c r="AG86" s="946"/>
      <c r="AH86" s="283"/>
      <c r="AI86" s="981"/>
      <c r="AJ86" s="982"/>
      <c r="AK86" s="982"/>
      <c r="AL86" s="982"/>
      <c r="AM86" s="982"/>
      <c r="AN86" s="982"/>
      <c r="AO86" s="982"/>
      <c r="AP86" s="982"/>
      <c r="AQ86" s="982"/>
      <c r="AR86" s="982"/>
      <c r="AS86" s="982"/>
      <c r="AT86" s="982"/>
      <c r="AU86" s="982"/>
      <c r="AV86" s="982"/>
      <c r="AW86" s="982"/>
      <c r="AX86" s="982"/>
      <c r="AY86" s="982"/>
      <c r="AZ86" s="982"/>
      <c r="BA86" s="982"/>
      <c r="BB86" s="982"/>
      <c r="BC86" s="982"/>
      <c r="BD86" s="982"/>
      <c r="BE86" s="982"/>
      <c r="BF86" s="982"/>
      <c r="BG86" s="982"/>
      <c r="BH86" s="982"/>
      <c r="BI86" s="982"/>
      <c r="BJ86" s="982"/>
      <c r="BK86" s="982"/>
      <c r="BL86" s="982"/>
      <c r="BM86" s="982"/>
      <c r="BN86" s="982"/>
      <c r="BO86" s="982"/>
      <c r="BP86" s="982"/>
      <c r="BQ86" s="982"/>
      <c r="BR86" s="982"/>
      <c r="BS86" s="982"/>
      <c r="BT86" s="982"/>
      <c r="BU86" s="982"/>
      <c r="BV86" s="982"/>
      <c r="BW86" s="983"/>
      <c r="BX86" s="238"/>
      <c r="BY86" s="238"/>
      <c r="BZ86" s="544">
        <f t="shared" si="45"/>
        <v>0</v>
      </c>
      <c r="CA86" s="544">
        <f t="shared" si="46"/>
        <v>0</v>
      </c>
      <c r="CB86" s="544">
        <f t="shared" si="47"/>
        <v>0</v>
      </c>
      <c r="CC86" s="544">
        <f t="shared" si="48"/>
        <v>0</v>
      </c>
      <c r="CD86" s="544">
        <f t="shared" si="49"/>
        <v>0</v>
      </c>
      <c r="CE86" s="544">
        <f t="shared" si="50"/>
        <v>0</v>
      </c>
      <c r="CF86" s="544">
        <f t="shared" si="51"/>
        <v>0</v>
      </c>
      <c r="CG86" s="238"/>
      <c r="CH86" s="238"/>
      <c r="CI86" s="238"/>
      <c r="CJ86" s="238"/>
      <c r="CK86" s="238"/>
      <c r="CL86" s="238"/>
      <c r="CM86" s="238"/>
      <c r="CN86" s="238"/>
      <c r="CO86" s="238"/>
      <c r="CP86" s="238"/>
      <c r="CQ86" s="238"/>
      <c r="CR86" s="238"/>
      <c r="CS86" s="238"/>
      <c r="CT86" s="238"/>
      <c r="CU86" s="238"/>
      <c r="CV86" s="238"/>
      <c r="CW86" s="238"/>
      <c r="CX86" s="238"/>
      <c r="CY86" s="238"/>
      <c r="CZ86" s="238"/>
      <c r="DA86" s="238"/>
      <c r="DB86" s="238"/>
      <c r="DC86" s="238"/>
      <c r="DD86" s="238"/>
      <c r="DE86" s="238"/>
      <c r="DF86" s="238"/>
      <c r="DG86" s="238"/>
      <c r="DH86" s="238"/>
      <c r="DI86" s="238"/>
      <c r="DJ86" s="238"/>
      <c r="DK86" s="238"/>
      <c r="DL86" s="238"/>
      <c r="DM86" s="238"/>
      <c r="DN86" s="238"/>
      <c r="DO86" s="238"/>
      <c r="DP86" s="238"/>
      <c r="DQ86" s="238"/>
      <c r="DR86" s="238"/>
      <c r="DS86" s="238"/>
      <c r="DT86" s="238"/>
      <c r="DU86" s="238"/>
      <c r="DV86" s="238"/>
      <c r="DW86" s="238"/>
      <c r="DX86" s="238"/>
      <c r="DY86" s="238"/>
      <c r="DZ86" s="406">
        <v>19212</v>
      </c>
      <c r="EA86" s="459" t="s">
        <v>1484</v>
      </c>
      <c r="EB86" s="406" t="s">
        <v>14577</v>
      </c>
      <c r="EC86" s="406" t="s">
        <v>13777</v>
      </c>
      <c r="ED86" s="405" t="s">
        <v>13778</v>
      </c>
      <c r="EE86" s="459" t="s">
        <v>14578</v>
      </c>
      <c r="EF86" s="405" t="s">
        <v>14579</v>
      </c>
      <c r="EG86" s="405">
        <v>1800</v>
      </c>
      <c r="EH86" s="460" t="s">
        <v>14580</v>
      </c>
      <c r="EI86" s="405" t="str">
        <f>EF86&amp;", "&amp;EG86&amp;" - "&amp;EH86</f>
        <v>ESTRADA DE TAIPAS, 1800 - JARDIM RINCÃO</v>
      </c>
      <c r="EJ86" s="461">
        <v>2991000</v>
      </c>
      <c r="EK86" s="459" t="s">
        <v>14581</v>
      </c>
      <c r="EL86" s="459"/>
      <c r="EM86" s="406" t="s">
        <v>1633</v>
      </c>
      <c r="EN86" s="406">
        <v>9468</v>
      </c>
      <c r="EO86" s="398"/>
      <c r="EP86" s="398"/>
      <c r="EQ86" s="398"/>
      <c r="ER86" s="238"/>
      <c r="ES86" s="238"/>
      <c r="ET86" s="238"/>
      <c r="EU86" s="238"/>
      <c r="EV86" s="238"/>
      <c r="EW86" s="238"/>
      <c r="EX86" s="238"/>
      <c r="EY86" s="238"/>
      <c r="EZ86" s="238"/>
      <c r="FA86" s="238"/>
      <c r="FB86" s="238"/>
      <c r="FC86" s="238"/>
      <c r="FD86" s="238"/>
      <c r="FE86" s="238"/>
      <c r="FF86" s="238"/>
      <c r="FG86" s="238"/>
      <c r="FH86" s="238"/>
      <c r="FI86" s="238"/>
      <c r="FJ86" s="238"/>
      <c r="FK86" s="238"/>
      <c r="FL86" s="238"/>
      <c r="FM86" s="238"/>
      <c r="FN86" s="238"/>
      <c r="FO86" s="238"/>
      <c r="FP86" s="238"/>
      <c r="FQ86" s="238"/>
      <c r="FR86" s="238"/>
      <c r="FS86" s="238"/>
      <c r="FT86" s="238"/>
      <c r="FU86" s="572">
        <v>10</v>
      </c>
    </row>
    <row r="87" spans="1:177" ht="18.75" customHeight="1">
      <c r="A87" s="115" t="str">
        <f t="shared" si="44"/>
        <v>SEG</v>
      </c>
      <c r="C87" s="410">
        <v>11</v>
      </c>
      <c r="D87" s="645"/>
      <c r="E87" s="644"/>
      <c r="F87" s="642"/>
      <c r="G87" s="644"/>
      <c r="H87" s="642"/>
      <c r="I87" s="644"/>
      <c r="J87" s="644"/>
      <c r="K87" s="882"/>
      <c r="L87" s="883"/>
      <c r="M87" s="645">
        <v>16</v>
      </c>
      <c r="N87" s="644"/>
      <c r="O87" s="642"/>
      <c r="P87" s="644"/>
      <c r="Q87" s="642">
        <v>16</v>
      </c>
      <c r="R87" s="643"/>
      <c r="S87" s="897"/>
      <c r="T87" s="897"/>
      <c r="U87" s="895"/>
      <c r="V87" s="896"/>
      <c r="W87" s="288"/>
      <c r="X87" s="383"/>
      <c r="Y87" s="491"/>
      <c r="Z87" s="945"/>
      <c r="AA87" s="945"/>
      <c r="AB87" s="945"/>
      <c r="AC87" s="491"/>
      <c r="AD87" s="378"/>
      <c r="AE87" s="945"/>
      <c r="AF87" s="945"/>
      <c r="AG87" s="946"/>
      <c r="AH87" s="283"/>
      <c r="AI87" s="984"/>
      <c r="AJ87" s="982"/>
      <c r="AK87" s="982"/>
      <c r="AL87" s="982"/>
      <c r="AM87" s="982"/>
      <c r="AN87" s="982"/>
      <c r="AO87" s="982"/>
      <c r="AP87" s="982"/>
      <c r="AQ87" s="982"/>
      <c r="AR87" s="982"/>
      <c r="AS87" s="982"/>
      <c r="AT87" s="982"/>
      <c r="AU87" s="982"/>
      <c r="AV87" s="982"/>
      <c r="AW87" s="982"/>
      <c r="AX87" s="982"/>
      <c r="AY87" s="982"/>
      <c r="AZ87" s="982"/>
      <c r="BA87" s="982"/>
      <c r="BB87" s="982"/>
      <c r="BC87" s="982"/>
      <c r="BD87" s="982"/>
      <c r="BE87" s="982"/>
      <c r="BF87" s="982"/>
      <c r="BG87" s="982"/>
      <c r="BH87" s="982"/>
      <c r="BI87" s="982"/>
      <c r="BJ87" s="982"/>
      <c r="BK87" s="982"/>
      <c r="BL87" s="982"/>
      <c r="BM87" s="982"/>
      <c r="BN87" s="982"/>
      <c r="BO87" s="982"/>
      <c r="BP87" s="982"/>
      <c r="BQ87" s="982"/>
      <c r="BR87" s="982"/>
      <c r="BS87" s="982"/>
      <c r="BT87" s="982"/>
      <c r="BU87" s="982"/>
      <c r="BV87" s="982"/>
      <c r="BW87" s="983"/>
      <c r="BX87" s="238"/>
      <c r="BY87" s="238"/>
      <c r="BZ87" s="544">
        <f t="shared" si="45"/>
        <v>0</v>
      </c>
      <c r="CA87" s="544">
        <f t="shared" si="46"/>
        <v>0</v>
      </c>
      <c r="CB87" s="544">
        <f t="shared" si="47"/>
        <v>0</v>
      </c>
      <c r="CC87" s="544">
        <f t="shared" si="48"/>
        <v>0</v>
      </c>
      <c r="CD87" s="544">
        <f t="shared" si="49"/>
        <v>0</v>
      </c>
      <c r="CE87" s="544">
        <f t="shared" si="50"/>
        <v>0</v>
      </c>
      <c r="CF87" s="544">
        <f t="shared" si="51"/>
        <v>0</v>
      </c>
      <c r="CG87" s="238"/>
      <c r="CH87" s="238"/>
      <c r="CI87" s="238"/>
      <c r="CJ87" s="238"/>
      <c r="CK87" s="238"/>
      <c r="CL87" s="238"/>
      <c r="CM87" s="238"/>
      <c r="CN87" s="238"/>
      <c r="CO87" s="238"/>
      <c r="CP87" s="238"/>
      <c r="CQ87" s="238"/>
      <c r="CR87" s="238"/>
      <c r="CS87" s="238"/>
      <c r="CT87" s="238"/>
      <c r="CU87" s="238"/>
      <c r="CV87" s="238"/>
      <c r="CW87" s="238"/>
      <c r="CX87" s="238"/>
      <c r="CY87" s="238"/>
      <c r="CZ87" s="238"/>
      <c r="DA87" s="238"/>
      <c r="DB87" s="238"/>
      <c r="DC87" s="238"/>
      <c r="DD87" s="238"/>
      <c r="DE87" s="238"/>
      <c r="DF87" s="238"/>
      <c r="DG87" s="238"/>
      <c r="DH87" s="238"/>
      <c r="DI87" s="238"/>
      <c r="DJ87" s="238"/>
      <c r="DK87" s="238"/>
      <c r="DL87" s="238"/>
      <c r="DM87" s="238"/>
      <c r="DN87" s="238"/>
      <c r="DO87" s="238"/>
      <c r="DP87" s="238"/>
      <c r="DQ87" s="238"/>
      <c r="DR87" s="238"/>
      <c r="DS87" s="238"/>
      <c r="DT87" s="238"/>
      <c r="DU87" s="238"/>
      <c r="DV87" s="238"/>
      <c r="DW87" s="238"/>
      <c r="DX87" s="238"/>
      <c r="DY87" s="238"/>
      <c r="DZ87" s="406">
        <v>19213</v>
      </c>
      <c r="EA87" s="406" t="s">
        <v>1484</v>
      </c>
      <c r="EB87" s="406" t="s">
        <v>13906</v>
      </c>
      <c r="EC87" s="406" t="s">
        <v>1486</v>
      </c>
      <c r="ED87" s="406" t="s">
        <v>161</v>
      </c>
      <c r="EE87" s="406" t="s">
        <v>13907</v>
      </c>
      <c r="EF87" s="406" t="s">
        <v>1512</v>
      </c>
      <c r="EG87" s="406" t="s">
        <v>46</v>
      </c>
      <c r="EH87" s="406" t="s">
        <v>1513</v>
      </c>
      <c r="EI87" s="406" t="s">
        <v>1514</v>
      </c>
      <c r="EJ87" s="406" t="s">
        <v>2012</v>
      </c>
      <c r="EK87" s="406" t="s">
        <v>13908</v>
      </c>
      <c r="EL87" s="406"/>
      <c r="EM87" s="406" t="s">
        <v>1669</v>
      </c>
      <c r="EN87" s="406">
        <v>9477</v>
      </c>
      <c r="EO87" s="398"/>
      <c r="EP87" s="398"/>
      <c r="EQ87" s="398"/>
      <c r="ER87" s="238"/>
      <c r="ES87" s="238"/>
      <c r="ET87" s="238"/>
      <c r="EU87" s="238"/>
      <c r="EV87" s="238"/>
      <c r="EW87" s="238"/>
      <c r="EX87" s="238"/>
      <c r="EY87" s="238"/>
      <c r="EZ87" s="238"/>
      <c r="FA87" s="238"/>
      <c r="FB87" s="238"/>
      <c r="FC87" s="238"/>
      <c r="FD87" s="238"/>
      <c r="FE87" s="238"/>
      <c r="FF87" s="238"/>
      <c r="FG87" s="238"/>
      <c r="FH87" s="238"/>
      <c r="FI87" s="238"/>
      <c r="FJ87" s="238"/>
      <c r="FK87" s="238"/>
      <c r="FL87" s="238"/>
      <c r="FM87" s="238"/>
      <c r="FN87" s="238"/>
      <c r="FO87" s="238"/>
      <c r="FP87" s="238"/>
      <c r="FQ87" s="238"/>
      <c r="FR87" s="238"/>
      <c r="FS87" s="238"/>
      <c r="FT87" s="238"/>
      <c r="FU87" s="572">
        <v>11</v>
      </c>
    </row>
    <row r="88" spans="1:177" ht="18.75" customHeight="1">
      <c r="A88" s="115" t="str">
        <f t="shared" si="44"/>
        <v>TER</v>
      </c>
      <c r="C88" s="411">
        <v>12</v>
      </c>
      <c r="D88" s="645"/>
      <c r="E88" s="647"/>
      <c r="F88" s="642"/>
      <c r="G88" s="647"/>
      <c r="H88" s="642"/>
      <c r="I88" s="647"/>
      <c r="J88" s="647"/>
      <c r="K88" s="882"/>
      <c r="L88" s="883"/>
      <c r="M88" s="645">
        <v>17</v>
      </c>
      <c r="N88" s="647"/>
      <c r="O88" s="642"/>
      <c r="P88" s="647"/>
      <c r="Q88" s="642">
        <v>17</v>
      </c>
      <c r="R88" s="646"/>
      <c r="S88" s="902"/>
      <c r="T88" s="902"/>
      <c r="U88" s="900"/>
      <c r="V88" s="901"/>
      <c r="W88" s="289"/>
      <c r="X88" s="383"/>
      <c r="Y88" s="491"/>
      <c r="Z88" s="945"/>
      <c r="AA88" s="945"/>
      <c r="AB88" s="945"/>
      <c r="AC88" s="491"/>
      <c r="AD88" s="378"/>
      <c r="AE88" s="945"/>
      <c r="AF88" s="945"/>
      <c r="AG88" s="946"/>
      <c r="AH88" s="283"/>
      <c r="AI88" s="981"/>
      <c r="AJ88" s="982"/>
      <c r="AK88" s="982"/>
      <c r="AL88" s="982"/>
      <c r="AM88" s="982"/>
      <c r="AN88" s="982"/>
      <c r="AO88" s="982"/>
      <c r="AP88" s="982"/>
      <c r="AQ88" s="982"/>
      <c r="AR88" s="982"/>
      <c r="AS88" s="982"/>
      <c r="AT88" s="982"/>
      <c r="AU88" s="982"/>
      <c r="AV88" s="982"/>
      <c r="AW88" s="982"/>
      <c r="AX88" s="982"/>
      <c r="AY88" s="982"/>
      <c r="AZ88" s="982"/>
      <c r="BA88" s="982"/>
      <c r="BB88" s="982"/>
      <c r="BC88" s="982"/>
      <c r="BD88" s="982"/>
      <c r="BE88" s="982"/>
      <c r="BF88" s="982"/>
      <c r="BG88" s="982"/>
      <c r="BH88" s="982"/>
      <c r="BI88" s="982"/>
      <c r="BJ88" s="982"/>
      <c r="BK88" s="982"/>
      <c r="BL88" s="982"/>
      <c r="BM88" s="982"/>
      <c r="BN88" s="982"/>
      <c r="BO88" s="982"/>
      <c r="BP88" s="982"/>
      <c r="BQ88" s="982"/>
      <c r="BR88" s="982"/>
      <c r="BS88" s="982"/>
      <c r="BT88" s="982"/>
      <c r="BU88" s="982"/>
      <c r="BV88" s="982"/>
      <c r="BW88" s="983"/>
      <c r="BX88" s="238"/>
      <c r="BY88" s="238"/>
      <c r="BZ88" s="544">
        <f t="shared" si="45"/>
        <v>0</v>
      </c>
      <c r="CA88" s="544">
        <f t="shared" si="46"/>
        <v>0</v>
      </c>
      <c r="CB88" s="544">
        <f t="shared" si="47"/>
        <v>0</v>
      </c>
      <c r="CC88" s="544">
        <f t="shared" si="48"/>
        <v>0</v>
      </c>
      <c r="CD88" s="544">
        <f t="shared" si="49"/>
        <v>0</v>
      </c>
      <c r="CE88" s="544">
        <f t="shared" si="50"/>
        <v>0</v>
      </c>
      <c r="CF88" s="544">
        <f t="shared" si="51"/>
        <v>0</v>
      </c>
      <c r="CG88" s="238"/>
      <c r="CH88" s="238"/>
      <c r="CI88" s="238"/>
      <c r="CJ88" s="238"/>
      <c r="CK88" s="238"/>
      <c r="CL88" s="238"/>
      <c r="CM88" s="238"/>
      <c r="CN88" s="238"/>
      <c r="CO88" s="238"/>
      <c r="CP88" s="238"/>
      <c r="CQ88" s="238"/>
      <c r="CR88" s="238"/>
      <c r="CS88" s="238"/>
      <c r="CT88" s="238"/>
      <c r="CU88" s="238"/>
      <c r="CV88" s="238"/>
      <c r="CW88" s="238"/>
      <c r="CX88" s="238"/>
      <c r="CY88" s="238"/>
      <c r="CZ88" s="238"/>
      <c r="DA88" s="238"/>
      <c r="DB88" s="238"/>
      <c r="DC88" s="238"/>
      <c r="DD88" s="238"/>
      <c r="DE88" s="238"/>
      <c r="DF88" s="238"/>
      <c r="DG88" s="238"/>
      <c r="DH88" s="238"/>
      <c r="DI88" s="238"/>
      <c r="DJ88" s="238"/>
      <c r="DK88" s="238"/>
      <c r="DL88" s="238"/>
      <c r="DM88" s="238"/>
      <c r="DN88" s="238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406">
        <v>19214</v>
      </c>
      <c r="EA88" s="406" t="s">
        <v>1484</v>
      </c>
      <c r="EB88" s="406" t="s">
        <v>2013</v>
      </c>
      <c r="EC88" s="406" t="s">
        <v>1812</v>
      </c>
      <c r="ED88" s="406" t="s">
        <v>1813</v>
      </c>
      <c r="EE88" s="406" t="s">
        <v>14159</v>
      </c>
      <c r="EF88" s="406" t="s">
        <v>2014</v>
      </c>
      <c r="EG88" s="406">
        <v>2171</v>
      </c>
      <c r="EH88" s="406" t="s">
        <v>2015</v>
      </c>
      <c r="EI88" s="406" t="s">
        <v>2016</v>
      </c>
      <c r="EJ88" s="406" t="s">
        <v>2017</v>
      </c>
      <c r="EK88" s="406" t="s">
        <v>14160</v>
      </c>
      <c r="EL88" s="406"/>
      <c r="EM88" s="406" t="s">
        <v>14767</v>
      </c>
      <c r="EN88" s="406">
        <v>9481</v>
      </c>
      <c r="EO88" s="398"/>
      <c r="EP88" s="398"/>
      <c r="EQ88" s="398"/>
      <c r="ER88" s="238"/>
      <c r="ES88" s="238"/>
      <c r="ET88" s="238"/>
      <c r="EU88" s="238"/>
      <c r="EV88" s="238"/>
      <c r="EW88" s="238"/>
      <c r="EX88" s="238"/>
      <c r="EY88" s="238"/>
      <c r="EZ88" s="238"/>
      <c r="FA88" s="238"/>
      <c r="FB88" s="238"/>
      <c r="FC88" s="238"/>
      <c r="FD88" s="238"/>
      <c r="FE88" s="238"/>
      <c r="FF88" s="238"/>
      <c r="FG88" s="238"/>
      <c r="FH88" s="238"/>
      <c r="FI88" s="238"/>
      <c r="FJ88" s="238"/>
      <c r="FK88" s="238"/>
      <c r="FL88" s="238"/>
      <c r="FM88" s="238"/>
      <c r="FN88" s="238"/>
      <c r="FO88" s="238"/>
      <c r="FP88" s="238"/>
      <c r="FQ88" s="238"/>
      <c r="FR88" s="238"/>
      <c r="FS88" s="238"/>
      <c r="FT88" s="238"/>
      <c r="FU88" s="572">
        <v>12</v>
      </c>
    </row>
    <row r="89" spans="1:177" ht="18.75" customHeight="1">
      <c r="A89" s="115" t="str">
        <f t="shared" si="44"/>
        <v>QUA</v>
      </c>
      <c r="C89" s="410">
        <v>13</v>
      </c>
      <c r="D89" s="645"/>
      <c r="E89" s="644"/>
      <c r="F89" s="642"/>
      <c r="G89" s="644"/>
      <c r="H89" s="642"/>
      <c r="I89" s="644"/>
      <c r="J89" s="644"/>
      <c r="K89" s="882"/>
      <c r="L89" s="883"/>
      <c r="M89" s="645">
        <v>17</v>
      </c>
      <c r="N89" s="644"/>
      <c r="O89" s="642"/>
      <c r="P89" s="644"/>
      <c r="Q89" s="642">
        <v>17</v>
      </c>
      <c r="R89" s="643"/>
      <c r="S89" s="897"/>
      <c r="T89" s="897"/>
      <c r="U89" s="895"/>
      <c r="V89" s="896"/>
      <c r="W89" s="288"/>
      <c r="X89" s="383"/>
      <c r="Y89" s="491"/>
      <c r="Z89" s="945"/>
      <c r="AA89" s="945"/>
      <c r="AB89" s="945"/>
      <c r="AC89" s="491"/>
      <c r="AD89" s="378"/>
      <c r="AE89" s="945"/>
      <c r="AF89" s="945"/>
      <c r="AG89" s="946"/>
      <c r="AH89" s="283"/>
      <c r="AI89" s="981"/>
      <c r="AJ89" s="982"/>
      <c r="AK89" s="982"/>
      <c r="AL89" s="982"/>
      <c r="AM89" s="982"/>
      <c r="AN89" s="982"/>
      <c r="AO89" s="982"/>
      <c r="AP89" s="982"/>
      <c r="AQ89" s="982"/>
      <c r="AR89" s="982"/>
      <c r="AS89" s="982"/>
      <c r="AT89" s="982"/>
      <c r="AU89" s="982"/>
      <c r="AV89" s="982"/>
      <c r="AW89" s="982"/>
      <c r="AX89" s="982"/>
      <c r="AY89" s="982"/>
      <c r="AZ89" s="982"/>
      <c r="BA89" s="982"/>
      <c r="BB89" s="982"/>
      <c r="BC89" s="982"/>
      <c r="BD89" s="982"/>
      <c r="BE89" s="982"/>
      <c r="BF89" s="982"/>
      <c r="BG89" s="982"/>
      <c r="BH89" s="982"/>
      <c r="BI89" s="982"/>
      <c r="BJ89" s="982"/>
      <c r="BK89" s="982"/>
      <c r="BL89" s="982"/>
      <c r="BM89" s="982"/>
      <c r="BN89" s="982"/>
      <c r="BO89" s="982"/>
      <c r="BP89" s="982"/>
      <c r="BQ89" s="982"/>
      <c r="BR89" s="982"/>
      <c r="BS89" s="982"/>
      <c r="BT89" s="982"/>
      <c r="BU89" s="982"/>
      <c r="BV89" s="982"/>
      <c r="BW89" s="983"/>
      <c r="BX89" s="238"/>
      <c r="BY89" s="238"/>
      <c r="BZ89" s="544">
        <f t="shared" si="45"/>
        <v>0</v>
      </c>
      <c r="CA89" s="544">
        <f t="shared" si="46"/>
        <v>0</v>
      </c>
      <c r="CB89" s="544">
        <f t="shared" si="47"/>
        <v>0</v>
      </c>
      <c r="CC89" s="544">
        <f t="shared" si="48"/>
        <v>0</v>
      </c>
      <c r="CD89" s="544">
        <f t="shared" si="49"/>
        <v>0</v>
      </c>
      <c r="CE89" s="544">
        <f t="shared" si="50"/>
        <v>0</v>
      </c>
      <c r="CF89" s="544">
        <f t="shared" si="51"/>
        <v>0</v>
      </c>
      <c r="CG89" s="238"/>
      <c r="CH89" s="238"/>
      <c r="CI89" s="238"/>
      <c r="CJ89" s="238"/>
      <c r="CK89" s="238"/>
      <c r="CL89" s="238"/>
      <c r="CM89" s="238"/>
      <c r="CN89" s="238"/>
      <c r="CO89" s="238"/>
      <c r="CP89" s="238"/>
      <c r="CQ89" s="238"/>
      <c r="CR89" s="238"/>
      <c r="CS89" s="238"/>
      <c r="CT89" s="238"/>
      <c r="CU89" s="238"/>
      <c r="CV89" s="238"/>
      <c r="CW89" s="238"/>
      <c r="CX89" s="238"/>
      <c r="CY89" s="238"/>
      <c r="CZ89" s="238"/>
      <c r="DA89" s="238"/>
      <c r="DB89" s="238"/>
      <c r="DC89" s="238"/>
      <c r="DD89" s="238"/>
      <c r="DE89" s="238"/>
      <c r="DF89" s="238"/>
      <c r="DG89" s="238"/>
      <c r="DH89" s="238"/>
      <c r="DI89" s="238"/>
      <c r="DJ89" s="238"/>
      <c r="DK89" s="238"/>
      <c r="DL89" s="238"/>
      <c r="DM89" s="238"/>
      <c r="DN89" s="238"/>
      <c r="DO89" s="238"/>
      <c r="DP89" s="238"/>
      <c r="DQ89" s="238"/>
      <c r="DR89" s="238"/>
      <c r="DS89" s="238"/>
      <c r="DT89" s="238"/>
      <c r="DU89" s="238"/>
      <c r="DV89" s="238"/>
      <c r="DW89" s="238"/>
      <c r="DX89" s="238"/>
      <c r="DY89" s="238"/>
      <c r="DZ89" s="406">
        <v>19230</v>
      </c>
      <c r="EA89" s="406" t="s">
        <v>1484</v>
      </c>
      <c r="EB89" s="406" t="s">
        <v>2018</v>
      </c>
      <c r="EC89" s="406" t="s">
        <v>1820</v>
      </c>
      <c r="ED89" s="459" t="s">
        <v>13802</v>
      </c>
      <c r="EE89" s="406" t="s">
        <v>14412</v>
      </c>
      <c r="EF89" s="406" t="s">
        <v>2019</v>
      </c>
      <c r="EG89" s="406">
        <v>1360</v>
      </c>
      <c r="EH89" s="406" t="s">
        <v>2020</v>
      </c>
      <c r="EI89" s="406" t="s">
        <v>2021</v>
      </c>
      <c r="EJ89" s="406" t="s">
        <v>2022</v>
      </c>
      <c r="EK89" s="406" t="s">
        <v>14413</v>
      </c>
      <c r="EL89" s="406"/>
      <c r="EM89" s="547" t="s">
        <v>14769</v>
      </c>
      <c r="EN89" s="406">
        <v>9459</v>
      </c>
      <c r="EO89" s="398"/>
      <c r="EP89" s="398"/>
      <c r="EQ89" s="398"/>
      <c r="ER89" s="238"/>
      <c r="ES89" s="238"/>
      <c r="ET89" s="238"/>
      <c r="EU89" s="238"/>
      <c r="EV89" s="238"/>
      <c r="EW89" s="238"/>
      <c r="EX89" s="238"/>
      <c r="EY89" s="238"/>
      <c r="EZ89" s="238"/>
      <c r="FA89" s="238"/>
      <c r="FB89" s="238"/>
      <c r="FC89" s="238"/>
      <c r="FD89" s="238"/>
      <c r="FE89" s="238"/>
      <c r="FF89" s="238"/>
      <c r="FG89" s="238"/>
      <c r="FH89" s="238"/>
      <c r="FI89" s="238"/>
      <c r="FJ89" s="238"/>
      <c r="FK89" s="238"/>
      <c r="FL89" s="238"/>
      <c r="FM89" s="238"/>
      <c r="FN89" s="238"/>
      <c r="FO89" s="238"/>
      <c r="FP89" s="238"/>
      <c r="FQ89" s="238"/>
      <c r="FR89" s="238"/>
      <c r="FS89" s="238"/>
      <c r="FT89" s="238"/>
      <c r="FU89" s="572">
        <v>13</v>
      </c>
    </row>
    <row r="90" spans="1:177" ht="18.75" customHeight="1">
      <c r="A90" s="115" t="str">
        <f t="shared" si="44"/>
        <v>QUI</v>
      </c>
      <c r="C90" s="410">
        <v>14</v>
      </c>
      <c r="D90" s="645"/>
      <c r="E90" s="644"/>
      <c r="F90" s="642"/>
      <c r="G90" s="644"/>
      <c r="H90" s="642"/>
      <c r="I90" s="644"/>
      <c r="J90" s="644"/>
      <c r="K90" s="882"/>
      <c r="L90" s="883"/>
      <c r="M90" s="645">
        <v>17</v>
      </c>
      <c r="N90" s="644"/>
      <c r="O90" s="642"/>
      <c r="P90" s="644"/>
      <c r="Q90" s="642">
        <v>17</v>
      </c>
      <c r="R90" s="643"/>
      <c r="S90" s="897"/>
      <c r="T90" s="897"/>
      <c r="U90" s="895"/>
      <c r="V90" s="896"/>
      <c r="W90" s="288"/>
      <c r="X90" s="383"/>
      <c r="Y90" s="491"/>
      <c r="Z90" s="945"/>
      <c r="AA90" s="945"/>
      <c r="AB90" s="945"/>
      <c r="AC90" s="491"/>
      <c r="AD90" s="378"/>
      <c r="AE90" s="945"/>
      <c r="AF90" s="945"/>
      <c r="AG90" s="946"/>
      <c r="AH90" s="283"/>
      <c r="AI90" s="981"/>
      <c r="AJ90" s="982"/>
      <c r="AK90" s="982"/>
      <c r="AL90" s="982"/>
      <c r="AM90" s="982"/>
      <c r="AN90" s="982"/>
      <c r="AO90" s="982"/>
      <c r="AP90" s="982"/>
      <c r="AQ90" s="982"/>
      <c r="AR90" s="982"/>
      <c r="AS90" s="982"/>
      <c r="AT90" s="982"/>
      <c r="AU90" s="982"/>
      <c r="AV90" s="982"/>
      <c r="AW90" s="982"/>
      <c r="AX90" s="982"/>
      <c r="AY90" s="982"/>
      <c r="AZ90" s="982"/>
      <c r="BA90" s="982"/>
      <c r="BB90" s="982"/>
      <c r="BC90" s="982"/>
      <c r="BD90" s="982"/>
      <c r="BE90" s="982"/>
      <c r="BF90" s="982"/>
      <c r="BG90" s="982"/>
      <c r="BH90" s="982"/>
      <c r="BI90" s="982"/>
      <c r="BJ90" s="982"/>
      <c r="BK90" s="982"/>
      <c r="BL90" s="982"/>
      <c r="BM90" s="982"/>
      <c r="BN90" s="982"/>
      <c r="BO90" s="982"/>
      <c r="BP90" s="982"/>
      <c r="BQ90" s="982"/>
      <c r="BR90" s="982"/>
      <c r="BS90" s="982"/>
      <c r="BT90" s="982"/>
      <c r="BU90" s="982"/>
      <c r="BV90" s="982"/>
      <c r="BW90" s="983"/>
      <c r="BX90" s="238"/>
      <c r="BY90" s="238"/>
      <c r="BZ90" s="544">
        <f t="shared" si="45"/>
        <v>0</v>
      </c>
      <c r="CA90" s="544">
        <f t="shared" si="46"/>
        <v>0</v>
      </c>
      <c r="CB90" s="544">
        <f t="shared" si="47"/>
        <v>0</v>
      </c>
      <c r="CC90" s="544">
        <f t="shared" si="48"/>
        <v>0</v>
      </c>
      <c r="CD90" s="544">
        <f t="shared" si="49"/>
        <v>0</v>
      </c>
      <c r="CE90" s="544">
        <f t="shared" si="50"/>
        <v>0</v>
      </c>
      <c r="CF90" s="544">
        <f t="shared" si="51"/>
        <v>0</v>
      </c>
      <c r="CG90" s="238"/>
      <c r="CH90" s="238"/>
      <c r="CI90" s="238"/>
      <c r="CJ90" s="238"/>
      <c r="CK90" s="238"/>
      <c r="CL90" s="238"/>
      <c r="CM90" s="238"/>
      <c r="CN90" s="238"/>
      <c r="CO90" s="238"/>
      <c r="CP90" s="238"/>
      <c r="CQ90" s="238"/>
      <c r="CR90" s="238"/>
      <c r="CS90" s="238"/>
      <c r="CT90" s="238"/>
      <c r="CU90" s="238"/>
      <c r="CV90" s="238"/>
      <c r="CW90" s="238"/>
      <c r="CX90" s="238"/>
      <c r="CY90" s="238"/>
      <c r="CZ90" s="238"/>
      <c r="DA90" s="238"/>
      <c r="DB90" s="238"/>
      <c r="DC90" s="238"/>
      <c r="DD90" s="238"/>
      <c r="DE90" s="238"/>
      <c r="DF90" s="238"/>
      <c r="DG90" s="238"/>
      <c r="DH90" s="238"/>
      <c r="DI90" s="238"/>
      <c r="DJ90" s="238"/>
      <c r="DK90" s="238"/>
      <c r="DL90" s="238"/>
      <c r="DM90" s="238"/>
      <c r="DN90" s="238"/>
      <c r="DO90" s="238"/>
      <c r="DP90" s="238"/>
      <c r="DQ90" s="238"/>
      <c r="DR90" s="238"/>
      <c r="DS90" s="238"/>
      <c r="DT90" s="238"/>
      <c r="DU90" s="238"/>
      <c r="DV90" s="238"/>
      <c r="DW90" s="238"/>
      <c r="DX90" s="238"/>
      <c r="DY90" s="238"/>
      <c r="DZ90" s="406">
        <v>19231</v>
      </c>
      <c r="EA90" s="406" t="s">
        <v>1484</v>
      </c>
      <c r="EB90" s="406" t="s">
        <v>2023</v>
      </c>
      <c r="EC90" s="406" t="s">
        <v>1812</v>
      </c>
      <c r="ED90" s="406" t="s">
        <v>1813</v>
      </c>
      <c r="EE90" s="406" t="s">
        <v>14155</v>
      </c>
      <c r="EF90" s="406" t="s">
        <v>2024</v>
      </c>
      <c r="EG90" s="406">
        <v>200</v>
      </c>
      <c r="EH90" s="406" t="s">
        <v>2025</v>
      </c>
      <c r="EI90" s="406" t="s">
        <v>2026</v>
      </c>
      <c r="EJ90" s="406" t="s">
        <v>2027</v>
      </c>
      <c r="EK90" s="406" t="s">
        <v>14156</v>
      </c>
      <c r="EL90" s="406" t="s">
        <v>2028</v>
      </c>
      <c r="EM90" s="406" t="s">
        <v>14767</v>
      </c>
      <c r="EN90" s="406">
        <v>9494</v>
      </c>
      <c r="EO90" s="398"/>
      <c r="EP90" s="398"/>
      <c r="EQ90" s="398"/>
      <c r="ER90" s="238"/>
      <c r="ES90" s="238"/>
      <c r="ET90" s="238"/>
      <c r="EU90" s="238"/>
      <c r="EV90" s="238"/>
      <c r="EW90" s="238"/>
      <c r="EX90" s="238"/>
      <c r="EY90" s="238"/>
      <c r="EZ90" s="238"/>
      <c r="FA90" s="238"/>
      <c r="FB90" s="238"/>
      <c r="FC90" s="238"/>
      <c r="FD90" s="238"/>
      <c r="FE90" s="238"/>
      <c r="FF90" s="238"/>
      <c r="FG90" s="238"/>
      <c r="FH90" s="238"/>
      <c r="FI90" s="238"/>
      <c r="FJ90" s="238"/>
      <c r="FK90" s="238"/>
      <c r="FL90" s="238"/>
      <c r="FM90" s="238"/>
      <c r="FN90" s="238"/>
      <c r="FO90" s="238"/>
      <c r="FP90" s="238"/>
      <c r="FQ90" s="238"/>
      <c r="FR90" s="238"/>
      <c r="FS90" s="238"/>
      <c r="FT90" s="238"/>
      <c r="FU90" s="572">
        <v>14</v>
      </c>
    </row>
    <row r="91" spans="1:177" ht="18.75" customHeight="1">
      <c r="A91" s="115" t="str">
        <f t="shared" si="44"/>
        <v>SEX</v>
      </c>
      <c r="C91" s="410">
        <v>15</v>
      </c>
      <c r="D91" s="645"/>
      <c r="E91" s="644"/>
      <c r="F91" s="642"/>
      <c r="G91" s="644"/>
      <c r="H91" s="642"/>
      <c r="I91" s="644"/>
      <c r="J91" s="644"/>
      <c r="K91" s="882"/>
      <c r="L91" s="883"/>
      <c r="M91" s="645">
        <v>15</v>
      </c>
      <c r="N91" s="644"/>
      <c r="O91" s="642"/>
      <c r="P91" s="644"/>
      <c r="Q91" s="642">
        <v>15</v>
      </c>
      <c r="R91" s="643"/>
      <c r="S91" s="897"/>
      <c r="T91" s="897"/>
      <c r="U91" s="895"/>
      <c r="V91" s="896"/>
      <c r="W91" s="288"/>
      <c r="X91" s="383"/>
      <c r="Y91" s="491"/>
      <c r="Z91" s="945"/>
      <c r="AA91" s="945"/>
      <c r="AB91" s="945"/>
      <c r="AC91" s="491"/>
      <c r="AD91" s="378"/>
      <c r="AE91" s="945"/>
      <c r="AF91" s="945"/>
      <c r="AG91" s="946"/>
      <c r="AH91" s="283"/>
      <c r="AI91" s="981"/>
      <c r="AJ91" s="982"/>
      <c r="AK91" s="982"/>
      <c r="AL91" s="982"/>
      <c r="AM91" s="982"/>
      <c r="AN91" s="982"/>
      <c r="AO91" s="982"/>
      <c r="AP91" s="982"/>
      <c r="AQ91" s="982"/>
      <c r="AR91" s="982"/>
      <c r="AS91" s="982"/>
      <c r="AT91" s="982"/>
      <c r="AU91" s="982"/>
      <c r="AV91" s="982"/>
      <c r="AW91" s="982"/>
      <c r="AX91" s="982"/>
      <c r="AY91" s="982"/>
      <c r="AZ91" s="982"/>
      <c r="BA91" s="982"/>
      <c r="BB91" s="982"/>
      <c r="BC91" s="982"/>
      <c r="BD91" s="982"/>
      <c r="BE91" s="982"/>
      <c r="BF91" s="982"/>
      <c r="BG91" s="982"/>
      <c r="BH91" s="982"/>
      <c r="BI91" s="982"/>
      <c r="BJ91" s="982"/>
      <c r="BK91" s="982"/>
      <c r="BL91" s="982"/>
      <c r="BM91" s="982"/>
      <c r="BN91" s="982"/>
      <c r="BO91" s="982"/>
      <c r="BP91" s="982"/>
      <c r="BQ91" s="982"/>
      <c r="BR91" s="982"/>
      <c r="BS91" s="982"/>
      <c r="BT91" s="982"/>
      <c r="BU91" s="982"/>
      <c r="BV91" s="982"/>
      <c r="BW91" s="983"/>
      <c r="BX91" s="238"/>
      <c r="BY91" s="238"/>
      <c r="BZ91" s="544">
        <f t="shared" si="45"/>
        <v>0</v>
      </c>
      <c r="CA91" s="544">
        <f t="shared" si="46"/>
        <v>0</v>
      </c>
      <c r="CB91" s="544">
        <f t="shared" si="47"/>
        <v>0</v>
      </c>
      <c r="CC91" s="544">
        <f t="shared" si="48"/>
        <v>0</v>
      </c>
      <c r="CD91" s="544">
        <f t="shared" si="49"/>
        <v>0</v>
      </c>
      <c r="CE91" s="544">
        <f t="shared" si="50"/>
        <v>0</v>
      </c>
      <c r="CF91" s="544">
        <f t="shared" si="51"/>
        <v>0</v>
      </c>
      <c r="CG91" s="238"/>
      <c r="CH91" s="238"/>
      <c r="CI91" s="238"/>
      <c r="CJ91" s="238"/>
      <c r="CK91" s="238"/>
      <c r="CL91" s="238"/>
      <c r="CM91" s="238"/>
      <c r="CN91" s="238"/>
      <c r="CO91" s="238"/>
      <c r="CP91" s="238"/>
      <c r="CQ91" s="238"/>
      <c r="CR91" s="238"/>
      <c r="CS91" s="238"/>
      <c r="CT91" s="238"/>
      <c r="CU91" s="238"/>
      <c r="CV91" s="238"/>
      <c r="CW91" s="238"/>
      <c r="CX91" s="238"/>
      <c r="CY91" s="238"/>
      <c r="CZ91" s="238"/>
      <c r="DA91" s="238"/>
      <c r="DB91" s="238"/>
      <c r="DC91" s="238"/>
      <c r="DD91" s="238"/>
      <c r="DE91" s="238"/>
      <c r="DF91" s="238"/>
      <c r="DG91" s="238"/>
      <c r="DH91" s="238"/>
      <c r="DI91" s="238"/>
      <c r="DJ91" s="238"/>
      <c r="DK91" s="238"/>
      <c r="DL91" s="238"/>
      <c r="DM91" s="238"/>
      <c r="DN91" s="238"/>
      <c r="DO91" s="238"/>
      <c r="DP91" s="238"/>
      <c r="DQ91" s="238"/>
      <c r="DR91" s="238"/>
      <c r="DS91" s="238"/>
      <c r="DT91" s="238"/>
      <c r="DU91" s="238"/>
      <c r="DV91" s="238"/>
      <c r="DW91" s="238"/>
      <c r="DX91" s="238"/>
      <c r="DY91" s="238"/>
      <c r="DZ91" s="406">
        <v>19234</v>
      </c>
      <c r="EA91" s="406" t="s">
        <v>3387</v>
      </c>
      <c r="EB91" s="406" t="s">
        <v>3398</v>
      </c>
      <c r="EC91" s="406" t="s">
        <v>1820</v>
      </c>
      <c r="ED91" s="459" t="s">
        <v>13802</v>
      </c>
      <c r="EE91" s="406" t="s">
        <v>13845</v>
      </c>
      <c r="EF91" s="406" t="s">
        <v>3399</v>
      </c>
      <c r="EG91" s="406">
        <v>230</v>
      </c>
      <c r="EH91" s="406" t="s">
        <v>3400</v>
      </c>
      <c r="EI91" s="406" t="s">
        <v>3401</v>
      </c>
      <c r="EJ91" s="406" t="s">
        <v>3402</v>
      </c>
      <c r="EK91" s="406" t="s">
        <v>13846</v>
      </c>
      <c r="EL91" s="406"/>
      <c r="EM91" s="547" t="s">
        <v>14769</v>
      </c>
      <c r="EN91" s="406">
        <v>9556</v>
      </c>
      <c r="EO91" s="398"/>
      <c r="EP91" s="398"/>
      <c r="EQ91" s="398"/>
      <c r="ER91" s="238"/>
      <c r="ES91" s="238"/>
      <c r="ET91" s="238"/>
      <c r="EU91" s="238"/>
      <c r="EV91" s="238"/>
      <c r="EW91" s="238"/>
      <c r="EX91" s="238"/>
      <c r="EY91" s="238"/>
      <c r="EZ91" s="238"/>
      <c r="FA91" s="238"/>
      <c r="FB91" s="238"/>
      <c r="FC91" s="238"/>
      <c r="FD91" s="238"/>
      <c r="FE91" s="238"/>
      <c r="FF91" s="238"/>
      <c r="FG91" s="238"/>
      <c r="FH91" s="238"/>
      <c r="FI91" s="238"/>
      <c r="FJ91" s="238"/>
      <c r="FK91" s="238"/>
      <c r="FL91" s="238"/>
      <c r="FM91" s="238"/>
      <c r="FN91" s="238"/>
      <c r="FO91" s="238"/>
      <c r="FP91" s="238"/>
      <c r="FQ91" s="238"/>
      <c r="FR91" s="238"/>
      <c r="FS91" s="238"/>
      <c r="FT91" s="238"/>
      <c r="FU91" s="572">
        <v>15</v>
      </c>
    </row>
    <row r="92" spans="1:177" ht="18.75" customHeight="1">
      <c r="A92" s="115" t="str">
        <f t="shared" si="44"/>
        <v>SAB</v>
      </c>
      <c r="C92" s="410">
        <v>16</v>
      </c>
      <c r="D92" s="645"/>
      <c r="E92" s="644"/>
      <c r="F92" s="642"/>
      <c r="G92" s="644"/>
      <c r="H92" s="642"/>
      <c r="I92" s="644"/>
      <c r="J92" s="644"/>
      <c r="K92" s="882"/>
      <c r="L92" s="883"/>
      <c r="M92" s="645"/>
      <c r="N92" s="644"/>
      <c r="O92" s="642"/>
      <c r="P92" s="644"/>
      <c r="Q92" s="642"/>
      <c r="R92" s="643"/>
      <c r="S92" s="897"/>
      <c r="T92" s="897"/>
      <c r="U92" s="895"/>
      <c r="V92" s="896"/>
      <c r="W92" s="288"/>
      <c r="X92" s="383"/>
      <c r="Y92" s="491"/>
      <c r="Z92" s="945"/>
      <c r="AA92" s="945"/>
      <c r="AB92" s="945"/>
      <c r="AC92" s="491"/>
      <c r="AD92" s="378"/>
      <c r="AE92" s="945"/>
      <c r="AF92" s="945"/>
      <c r="AG92" s="946"/>
      <c r="AH92" s="283"/>
      <c r="AI92" s="981"/>
      <c r="AJ92" s="982"/>
      <c r="AK92" s="982"/>
      <c r="AL92" s="982"/>
      <c r="AM92" s="982"/>
      <c r="AN92" s="982"/>
      <c r="AO92" s="982"/>
      <c r="AP92" s="982"/>
      <c r="AQ92" s="982"/>
      <c r="AR92" s="982"/>
      <c r="AS92" s="982"/>
      <c r="AT92" s="982"/>
      <c r="AU92" s="982"/>
      <c r="AV92" s="982"/>
      <c r="AW92" s="982"/>
      <c r="AX92" s="982"/>
      <c r="AY92" s="982"/>
      <c r="AZ92" s="982"/>
      <c r="BA92" s="982"/>
      <c r="BB92" s="982"/>
      <c r="BC92" s="982"/>
      <c r="BD92" s="982"/>
      <c r="BE92" s="982"/>
      <c r="BF92" s="982"/>
      <c r="BG92" s="982"/>
      <c r="BH92" s="982"/>
      <c r="BI92" s="982"/>
      <c r="BJ92" s="982"/>
      <c r="BK92" s="982"/>
      <c r="BL92" s="982"/>
      <c r="BM92" s="982"/>
      <c r="BN92" s="982"/>
      <c r="BO92" s="982"/>
      <c r="BP92" s="982"/>
      <c r="BQ92" s="982"/>
      <c r="BR92" s="982"/>
      <c r="BS92" s="982"/>
      <c r="BT92" s="982"/>
      <c r="BU92" s="982"/>
      <c r="BV92" s="982"/>
      <c r="BW92" s="983"/>
      <c r="BX92" s="238"/>
      <c r="BY92" s="238"/>
      <c r="BZ92" s="544">
        <f t="shared" si="45"/>
        <v>0</v>
      </c>
      <c r="CA92" s="544">
        <f t="shared" si="46"/>
        <v>0</v>
      </c>
      <c r="CB92" s="544">
        <f t="shared" si="47"/>
        <v>0</v>
      </c>
      <c r="CC92" s="544">
        <f t="shared" si="48"/>
        <v>0</v>
      </c>
      <c r="CD92" s="544">
        <f t="shared" si="49"/>
        <v>0</v>
      </c>
      <c r="CE92" s="544">
        <f t="shared" si="50"/>
        <v>0</v>
      </c>
      <c r="CF92" s="544">
        <f t="shared" si="51"/>
        <v>0</v>
      </c>
      <c r="CG92" s="238"/>
      <c r="CH92" s="238"/>
      <c r="CI92" s="238"/>
      <c r="CJ92" s="238"/>
      <c r="CK92" s="238"/>
      <c r="CL92" s="238"/>
      <c r="CM92" s="238"/>
      <c r="CN92" s="238"/>
      <c r="CO92" s="238"/>
      <c r="CP92" s="238"/>
      <c r="CQ92" s="238"/>
      <c r="CR92" s="238"/>
      <c r="CS92" s="238"/>
      <c r="CT92" s="238"/>
      <c r="CU92" s="238"/>
      <c r="CV92" s="238"/>
      <c r="CW92" s="238"/>
      <c r="CX92" s="238"/>
      <c r="CY92" s="238"/>
      <c r="CZ92" s="238"/>
      <c r="DA92" s="238"/>
      <c r="DB92" s="238"/>
      <c r="DC92" s="238"/>
      <c r="DD92" s="238"/>
      <c r="DE92" s="238"/>
      <c r="DF92" s="238"/>
      <c r="DG92" s="238"/>
      <c r="DH92" s="238"/>
      <c r="DI92" s="238"/>
      <c r="DJ92" s="238"/>
      <c r="DK92" s="238"/>
      <c r="DL92" s="238"/>
      <c r="DM92" s="238"/>
      <c r="DN92" s="238"/>
      <c r="DO92" s="238"/>
      <c r="DP92" s="238"/>
      <c r="DQ92" s="238"/>
      <c r="DR92" s="238"/>
      <c r="DS92" s="238"/>
      <c r="DT92" s="238"/>
      <c r="DU92" s="238"/>
      <c r="DV92" s="238"/>
      <c r="DW92" s="238"/>
      <c r="DX92" s="238"/>
      <c r="DY92" s="238"/>
      <c r="DZ92" s="406">
        <v>19235</v>
      </c>
      <c r="EA92" s="545" t="s">
        <v>1484</v>
      </c>
      <c r="EB92" s="406" t="s">
        <v>2029</v>
      </c>
      <c r="EC92" s="545" t="s">
        <v>1654</v>
      </c>
      <c r="ED92" s="406" t="s">
        <v>13774</v>
      </c>
      <c r="EE92" s="406" t="s">
        <v>14665</v>
      </c>
      <c r="EF92" s="545" t="s">
        <v>2030</v>
      </c>
      <c r="EG92" s="545">
        <v>100</v>
      </c>
      <c r="EH92" s="545" t="s">
        <v>2031</v>
      </c>
      <c r="EI92" s="405" t="s">
        <v>2032</v>
      </c>
      <c r="EJ92" s="545" t="s">
        <v>2033</v>
      </c>
      <c r="EK92" s="545" t="s">
        <v>14666</v>
      </c>
      <c r="EL92" s="545" t="s">
        <v>2034</v>
      </c>
      <c r="EM92" s="502" t="s">
        <v>7010</v>
      </c>
      <c r="EN92" s="546">
        <v>11315</v>
      </c>
      <c r="EO92" s="398"/>
      <c r="EP92" s="398"/>
      <c r="EQ92" s="398"/>
      <c r="ER92" s="238"/>
      <c r="ES92" s="238"/>
      <c r="ET92" s="238"/>
      <c r="EU92" s="238"/>
      <c r="EV92" s="238"/>
      <c r="EW92" s="238"/>
      <c r="EX92" s="238"/>
      <c r="EY92" s="238"/>
      <c r="EZ92" s="238"/>
      <c r="FA92" s="238"/>
      <c r="FB92" s="238"/>
      <c r="FC92" s="238"/>
      <c r="FD92" s="238"/>
      <c r="FE92" s="238"/>
      <c r="FF92" s="238"/>
      <c r="FG92" s="238"/>
      <c r="FH92" s="238"/>
      <c r="FI92" s="238"/>
      <c r="FJ92" s="238"/>
      <c r="FK92" s="238"/>
      <c r="FL92" s="238"/>
      <c r="FM92" s="238"/>
      <c r="FN92" s="238"/>
      <c r="FO92" s="238"/>
      <c r="FP92" s="238"/>
      <c r="FQ92" s="238"/>
      <c r="FR92" s="238"/>
      <c r="FS92" s="238"/>
      <c r="FT92" s="238"/>
      <c r="FU92" s="572">
        <v>16</v>
      </c>
    </row>
    <row r="93" spans="1:177" ht="18.75" customHeight="1">
      <c r="A93" s="115" t="str">
        <f t="shared" si="44"/>
        <v>DOM</v>
      </c>
      <c r="C93" s="410">
        <v>17</v>
      </c>
      <c r="D93" s="645"/>
      <c r="E93" s="644"/>
      <c r="F93" s="642"/>
      <c r="G93" s="644"/>
      <c r="H93" s="642"/>
      <c r="I93" s="644"/>
      <c r="J93" s="644"/>
      <c r="K93" s="882"/>
      <c r="L93" s="883"/>
      <c r="M93" s="645"/>
      <c r="N93" s="644"/>
      <c r="O93" s="642"/>
      <c r="P93" s="644"/>
      <c r="Q93" s="642"/>
      <c r="R93" s="643"/>
      <c r="S93" s="897"/>
      <c r="T93" s="897"/>
      <c r="U93" s="895"/>
      <c r="V93" s="896"/>
      <c r="W93" s="288"/>
      <c r="X93" s="383"/>
      <c r="Y93" s="491"/>
      <c r="Z93" s="945"/>
      <c r="AA93" s="945"/>
      <c r="AB93" s="945"/>
      <c r="AC93" s="491"/>
      <c r="AD93" s="378"/>
      <c r="AE93" s="945"/>
      <c r="AF93" s="945"/>
      <c r="AG93" s="946"/>
      <c r="AH93" s="283"/>
      <c r="AI93" s="981"/>
      <c r="AJ93" s="982"/>
      <c r="AK93" s="982"/>
      <c r="AL93" s="982"/>
      <c r="AM93" s="982"/>
      <c r="AN93" s="982"/>
      <c r="AO93" s="982"/>
      <c r="AP93" s="982"/>
      <c r="AQ93" s="982"/>
      <c r="AR93" s="982"/>
      <c r="AS93" s="982"/>
      <c r="AT93" s="982"/>
      <c r="AU93" s="982"/>
      <c r="AV93" s="982"/>
      <c r="AW93" s="982"/>
      <c r="AX93" s="982"/>
      <c r="AY93" s="982"/>
      <c r="AZ93" s="982"/>
      <c r="BA93" s="982"/>
      <c r="BB93" s="982"/>
      <c r="BC93" s="982"/>
      <c r="BD93" s="982"/>
      <c r="BE93" s="982"/>
      <c r="BF93" s="982"/>
      <c r="BG93" s="982"/>
      <c r="BH93" s="982"/>
      <c r="BI93" s="982"/>
      <c r="BJ93" s="982"/>
      <c r="BK93" s="982"/>
      <c r="BL93" s="982"/>
      <c r="BM93" s="982"/>
      <c r="BN93" s="982"/>
      <c r="BO93" s="982"/>
      <c r="BP93" s="982"/>
      <c r="BQ93" s="982"/>
      <c r="BR93" s="982"/>
      <c r="BS93" s="982"/>
      <c r="BT93" s="982"/>
      <c r="BU93" s="982"/>
      <c r="BV93" s="982"/>
      <c r="BW93" s="983"/>
      <c r="BX93" s="238"/>
      <c r="BY93" s="238"/>
      <c r="BZ93" s="544">
        <f t="shared" si="45"/>
        <v>0</v>
      </c>
      <c r="CA93" s="544">
        <f t="shared" si="46"/>
        <v>0</v>
      </c>
      <c r="CB93" s="544">
        <f t="shared" si="47"/>
        <v>0</v>
      </c>
      <c r="CC93" s="544">
        <f t="shared" si="48"/>
        <v>0</v>
      </c>
      <c r="CD93" s="544">
        <f t="shared" si="49"/>
        <v>0</v>
      </c>
      <c r="CE93" s="544">
        <f t="shared" si="50"/>
        <v>0</v>
      </c>
      <c r="CF93" s="544">
        <f t="shared" si="51"/>
        <v>0</v>
      </c>
      <c r="CG93" s="238"/>
      <c r="CH93" s="238"/>
      <c r="CI93" s="238"/>
      <c r="CJ93" s="238"/>
      <c r="CK93" s="238"/>
      <c r="CL93" s="238"/>
      <c r="CM93" s="238"/>
      <c r="CN93" s="238"/>
      <c r="CO93" s="238"/>
      <c r="CP93" s="238"/>
      <c r="CQ93" s="238"/>
      <c r="CR93" s="238"/>
      <c r="CS93" s="238"/>
      <c r="CT93" s="238"/>
      <c r="CU93" s="238"/>
      <c r="CV93" s="238"/>
      <c r="CW93" s="238"/>
      <c r="CX93" s="238"/>
      <c r="CY93" s="238"/>
      <c r="CZ93" s="238"/>
      <c r="DA93" s="238"/>
      <c r="DB93" s="238"/>
      <c r="DC93" s="238"/>
      <c r="DD93" s="238"/>
      <c r="DE93" s="238"/>
      <c r="DF93" s="238"/>
      <c r="DG93" s="238"/>
      <c r="DH93" s="238"/>
      <c r="DI93" s="238"/>
      <c r="DJ93" s="238"/>
      <c r="DK93" s="238"/>
      <c r="DL93" s="238"/>
      <c r="DM93" s="238"/>
      <c r="DN93" s="238"/>
      <c r="DO93" s="238"/>
      <c r="DP93" s="238"/>
      <c r="DQ93" s="238"/>
      <c r="DR93" s="238"/>
      <c r="DS93" s="238"/>
      <c r="DT93" s="238"/>
      <c r="DU93" s="238"/>
      <c r="DV93" s="238"/>
      <c r="DW93" s="238"/>
      <c r="DX93" s="238"/>
      <c r="DY93" s="238"/>
      <c r="DZ93" s="406">
        <v>19236</v>
      </c>
      <c r="EA93" s="406" t="s">
        <v>1484</v>
      </c>
      <c r="EB93" s="406" t="s">
        <v>2035</v>
      </c>
      <c r="EC93" s="406" t="s">
        <v>1812</v>
      </c>
      <c r="ED93" s="406" t="s">
        <v>1813</v>
      </c>
      <c r="EE93" s="406" t="s">
        <v>14145</v>
      </c>
      <c r="EF93" s="406" t="s">
        <v>2036</v>
      </c>
      <c r="EG93" s="406" t="s">
        <v>46</v>
      </c>
      <c r="EH93" s="406" t="s">
        <v>2037</v>
      </c>
      <c r="EI93" s="406" t="s">
        <v>2038</v>
      </c>
      <c r="EJ93" s="406" t="s">
        <v>2039</v>
      </c>
      <c r="EK93" s="406" t="s">
        <v>14146</v>
      </c>
      <c r="EL93" s="406" t="s">
        <v>2040</v>
      </c>
      <c r="EM93" s="406" t="s">
        <v>14767</v>
      </c>
      <c r="EN93" s="406">
        <v>9558</v>
      </c>
      <c r="EO93" s="398"/>
      <c r="EP93" s="398"/>
      <c r="EQ93" s="398"/>
      <c r="ER93" s="238"/>
      <c r="ES93" s="238"/>
      <c r="ET93" s="238"/>
      <c r="EU93" s="238"/>
      <c r="EV93" s="238"/>
      <c r="EW93" s="238"/>
      <c r="EX93" s="238"/>
      <c r="EY93" s="238"/>
      <c r="EZ93" s="238"/>
      <c r="FA93" s="238"/>
      <c r="FB93" s="238"/>
      <c r="FC93" s="238"/>
      <c r="FD93" s="238"/>
      <c r="FE93" s="238"/>
      <c r="FF93" s="238"/>
      <c r="FG93" s="238"/>
      <c r="FH93" s="238"/>
      <c r="FI93" s="238"/>
      <c r="FJ93" s="238"/>
      <c r="FK93" s="238"/>
      <c r="FL93" s="238"/>
      <c r="FM93" s="238"/>
      <c r="FN93" s="238"/>
      <c r="FO93" s="238"/>
      <c r="FP93" s="238"/>
      <c r="FQ93" s="238"/>
      <c r="FR93" s="238"/>
      <c r="FS93" s="238"/>
      <c r="FT93" s="238"/>
      <c r="FU93" s="572">
        <v>17</v>
      </c>
    </row>
    <row r="94" spans="1:177" ht="18.75" customHeight="1">
      <c r="A94" s="115" t="str">
        <f t="shared" si="44"/>
        <v>SEG</v>
      </c>
      <c r="C94" s="410">
        <v>18</v>
      </c>
      <c r="D94" s="645"/>
      <c r="E94" s="644"/>
      <c r="F94" s="642"/>
      <c r="G94" s="644"/>
      <c r="H94" s="642"/>
      <c r="I94" s="644"/>
      <c r="J94" s="644"/>
      <c r="K94" s="882"/>
      <c r="L94" s="883"/>
      <c r="M94" s="645">
        <v>16</v>
      </c>
      <c r="N94" s="644"/>
      <c r="O94" s="642"/>
      <c r="P94" s="644"/>
      <c r="Q94" s="642">
        <v>16</v>
      </c>
      <c r="R94" s="643"/>
      <c r="S94" s="897"/>
      <c r="T94" s="897"/>
      <c r="U94" s="895"/>
      <c r="V94" s="896"/>
      <c r="W94" s="288"/>
      <c r="X94" s="383"/>
      <c r="Y94" s="491"/>
      <c r="Z94" s="945"/>
      <c r="AA94" s="945"/>
      <c r="AB94" s="945"/>
      <c r="AC94" s="491"/>
      <c r="AD94" s="378"/>
      <c r="AE94" s="945"/>
      <c r="AF94" s="945"/>
      <c r="AG94" s="946"/>
      <c r="AH94" s="283"/>
      <c r="AI94" s="984"/>
      <c r="AJ94" s="982"/>
      <c r="AK94" s="982"/>
      <c r="AL94" s="982"/>
      <c r="AM94" s="982"/>
      <c r="AN94" s="982"/>
      <c r="AO94" s="982"/>
      <c r="AP94" s="982"/>
      <c r="AQ94" s="982"/>
      <c r="AR94" s="982"/>
      <c r="AS94" s="982"/>
      <c r="AT94" s="982"/>
      <c r="AU94" s="982"/>
      <c r="AV94" s="982"/>
      <c r="AW94" s="982"/>
      <c r="AX94" s="982"/>
      <c r="AY94" s="982"/>
      <c r="AZ94" s="982"/>
      <c r="BA94" s="982"/>
      <c r="BB94" s="982"/>
      <c r="BC94" s="982"/>
      <c r="BD94" s="982"/>
      <c r="BE94" s="982"/>
      <c r="BF94" s="982"/>
      <c r="BG94" s="982"/>
      <c r="BH94" s="982"/>
      <c r="BI94" s="982"/>
      <c r="BJ94" s="982"/>
      <c r="BK94" s="982"/>
      <c r="BL94" s="982"/>
      <c r="BM94" s="982"/>
      <c r="BN94" s="982"/>
      <c r="BO94" s="982"/>
      <c r="BP94" s="982"/>
      <c r="BQ94" s="982"/>
      <c r="BR94" s="982"/>
      <c r="BS94" s="982"/>
      <c r="BT94" s="982"/>
      <c r="BU94" s="982"/>
      <c r="BV94" s="982"/>
      <c r="BW94" s="983"/>
      <c r="BX94" s="238"/>
      <c r="BY94" s="238"/>
      <c r="BZ94" s="544">
        <f t="shared" si="45"/>
        <v>0</v>
      </c>
      <c r="CA94" s="544">
        <f t="shared" si="46"/>
        <v>0</v>
      </c>
      <c r="CB94" s="544">
        <f t="shared" si="47"/>
        <v>0</v>
      </c>
      <c r="CC94" s="544">
        <f t="shared" si="48"/>
        <v>0</v>
      </c>
      <c r="CD94" s="544">
        <f t="shared" si="49"/>
        <v>0</v>
      </c>
      <c r="CE94" s="544">
        <f t="shared" si="50"/>
        <v>0</v>
      </c>
      <c r="CF94" s="544">
        <f t="shared" si="51"/>
        <v>0</v>
      </c>
      <c r="CG94" s="238"/>
      <c r="CH94" s="238"/>
      <c r="CI94" s="238"/>
      <c r="CJ94" s="238"/>
      <c r="CK94" s="238"/>
      <c r="CL94" s="238"/>
      <c r="CM94" s="238"/>
      <c r="CN94" s="238"/>
      <c r="CO94" s="238"/>
      <c r="CP94" s="238"/>
      <c r="CQ94" s="238"/>
      <c r="CR94" s="238"/>
      <c r="CS94" s="238"/>
      <c r="CT94" s="238"/>
      <c r="CU94" s="238"/>
      <c r="CV94" s="238"/>
      <c r="CW94" s="238"/>
      <c r="CX94" s="238"/>
      <c r="CY94" s="238"/>
      <c r="CZ94" s="238"/>
      <c r="DA94" s="238"/>
      <c r="DB94" s="238"/>
      <c r="DC94" s="238"/>
      <c r="DD94" s="238"/>
      <c r="DE94" s="238"/>
      <c r="DF94" s="238"/>
      <c r="DG94" s="238"/>
      <c r="DH94" s="238"/>
      <c r="DI94" s="238"/>
      <c r="DJ94" s="238"/>
      <c r="DK94" s="238"/>
      <c r="DL94" s="238"/>
      <c r="DM94" s="238"/>
      <c r="DN94" s="238"/>
      <c r="DO94" s="238"/>
      <c r="DP94" s="238"/>
      <c r="DQ94" s="238"/>
      <c r="DR94" s="238"/>
      <c r="DS94" s="238"/>
      <c r="DT94" s="238"/>
      <c r="DU94" s="238"/>
      <c r="DV94" s="238"/>
      <c r="DW94" s="238"/>
      <c r="DX94" s="238"/>
      <c r="DY94" s="238"/>
      <c r="DZ94" s="406">
        <v>19237</v>
      </c>
      <c r="EA94" s="406" t="s">
        <v>1484</v>
      </c>
      <c r="EB94" s="406" t="s">
        <v>2041</v>
      </c>
      <c r="EC94" s="406" t="s">
        <v>1661</v>
      </c>
      <c r="ED94" s="459" t="s">
        <v>13771</v>
      </c>
      <c r="EE94" s="406" t="s">
        <v>14118</v>
      </c>
      <c r="EF94" s="406" t="s">
        <v>2042</v>
      </c>
      <c r="EG94" s="406" t="s">
        <v>46</v>
      </c>
      <c r="EH94" s="406" t="s">
        <v>2043</v>
      </c>
      <c r="EI94" s="406" t="s">
        <v>2044</v>
      </c>
      <c r="EJ94" s="406" t="s">
        <v>2045</v>
      </c>
      <c r="EK94" s="406" t="s">
        <v>14119</v>
      </c>
      <c r="EL94" s="406" t="s">
        <v>2046</v>
      </c>
      <c r="EM94" s="406" t="s">
        <v>1669</v>
      </c>
      <c r="EN94" s="406">
        <v>9570</v>
      </c>
      <c r="EO94" s="398"/>
      <c r="EP94" s="398"/>
      <c r="EQ94" s="398"/>
      <c r="ER94" s="238"/>
      <c r="ES94" s="238"/>
      <c r="ET94" s="238"/>
      <c r="EU94" s="238"/>
      <c r="EV94" s="238"/>
      <c r="EW94" s="238"/>
      <c r="EX94" s="238"/>
      <c r="EY94" s="238"/>
      <c r="EZ94" s="238"/>
      <c r="FA94" s="238"/>
      <c r="FB94" s="238"/>
      <c r="FC94" s="238"/>
      <c r="FD94" s="238"/>
      <c r="FE94" s="238"/>
      <c r="FF94" s="238"/>
      <c r="FG94" s="238"/>
      <c r="FH94" s="238"/>
      <c r="FI94" s="238"/>
      <c r="FJ94" s="238"/>
      <c r="FK94" s="238"/>
      <c r="FL94" s="238"/>
      <c r="FM94" s="238"/>
      <c r="FN94" s="238"/>
      <c r="FO94" s="238"/>
      <c r="FP94" s="238"/>
      <c r="FQ94" s="238"/>
      <c r="FR94" s="238"/>
      <c r="FS94" s="238"/>
      <c r="FT94" s="238"/>
      <c r="FU94" s="572">
        <v>18</v>
      </c>
    </row>
    <row r="95" spans="1:177" ht="18.75" customHeight="1">
      <c r="A95" s="115" t="str">
        <f t="shared" si="44"/>
        <v>TER</v>
      </c>
      <c r="C95" s="410">
        <v>19</v>
      </c>
      <c r="D95" s="645"/>
      <c r="E95" s="644"/>
      <c r="F95" s="642"/>
      <c r="G95" s="644"/>
      <c r="H95" s="642"/>
      <c r="I95" s="644"/>
      <c r="J95" s="644"/>
      <c r="K95" s="882"/>
      <c r="L95" s="883"/>
      <c r="M95" s="636">
        <v>17</v>
      </c>
      <c r="N95" s="637"/>
      <c r="O95" s="641"/>
      <c r="P95" s="637"/>
      <c r="Q95" s="642">
        <v>17</v>
      </c>
      <c r="R95" s="643"/>
      <c r="S95" s="897"/>
      <c r="T95" s="897"/>
      <c r="U95" s="895"/>
      <c r="V95" s="896"/>
      <c r="W95" s="288"/>
      <c r="X95" s="383"/>
      <c r="Y95" s="491"/>
      <c r="Z95" s="945"/>
      <c r="AA95" s="945"/>
      <c r="AB95" s="945"/>
      <c r="AC95" s="491"/>
      <c r="AD95" s="378"/>
      <c r="AE95" s="945"/>
      <c r="AF95" s="945"/>
      <c r="AG95" s="946"/>
      <c r="AH95" s="283"/>
      <c r="AI95" s="981"/>
      <c r="AJ95" s="982"/>
      <c r="AK95" s="982"/>
      <c r="AL95" s="982"/>
      <c r="AM95" s="982"/>
      <c r="AN95" s="982"/>
      <c r="AO95" s="982"/>
      <c r="AP95" s="982"/>
      <c r="AQ95" s="982"/>
      <c r="AR95" s="982"/>
      <c r="AS95" s="982"/>
      <c r="AT95" s="982"/>
      <c r="AU95" s="982"/>
      <c r="AV95" s="982"/>
      <c r="AW95" s="982"/>
      <c r="AX95" s="982"/>
      <c r="AY95" s="982"/>
      <c r="AZ95" s="982"/>
      <c r="BA95" s="982"/>
      <c r="BB95" s="982"/>
      <c r="BC95" s="982"/>
      <c r="BD95" s="982"/>
      <c r="BE95" s="982"/>
      <c r="BF95" s="982"/>
      <c r="BG95" s="982"/>
      <c r="BH95" s="982"/>
      <c r="BI95" s="982"/>
      <c r="BJ95" s="982"/>
      <c r="BK95" s="982"/>
      <c r="BL95" s="982"/>
      <c r="BM95" s="982"/>
      <c r="BN95" s="982"/>
      <c r="BO95" s="982"/>
      <c r="BP95" s="982"/>
      <c r="BQ95" s="982"/>
      <c r="BR95" s="982"/>
      <c r="BS95" s="982"/>
      <c r="BT95" s="982"/>
      <c r="BU95" s="982"/>
      <c r="BV95" s="982"/>
      <c r="BW95" s="983"/>
      <c r="BX95" s="238"/>
      <c r="BY95" s="238"/>
      <c r="BZ95" s="544">
        <f t="shared" si="45"/>
        <v>0</v>
      </c>
      <c r="CA95" s="544">
        <f t="shared" si="46"/>
        <v>0</v>
      </c>
      <c r="CB95" s="544">
        <f t="shared" si="47"/>
        <v>0</v>
      </c>
      <c r="CC95" s="544">
        <f t="shared" si="48"/>
        <v>0</v>
      </c>
      <c r="CD95" s="544">
        <f t="shared" si="49"/>
        <v>0</v>
      </c>
      <c r="CE95" s="544">
        <f t="shared" si="50"/>
        <v>0</v>
      </c>
      <c r="CF95" s="544">
        <f t="shared" si="51"/>
        <v>0</v>
      </c>
      <c r="CG95" s="238"/>
      <c r="CH95" s="238"/>
      <c r="CI95" s="238"/>
      <c r="CJ95" s="238"/>
      <c r="CK95" s="238"/>
      <c r="CL95" s="238"/>
      <c r="CM95" s="238"/>
      <c r="CN95" s="238"/>
      <c r="CO95" s="238"/>
      <c r="CP95" s="238"/>
      <c r="CQ95" s="238"/>
      <c r="CR95" s="238"/>
      <c r="CS95" s="238"/>
      <c r="CT95" s="238"/>
      <c r="CU95" s="238"/>
      <c r="CV95" s="238"/>
      <c r="CW95" s="238"/>
      <c r="CX95" s="238"/>
      <c r="CY95" s="238"/>
      <c r="CZ95" s="238"/>
      <c r="DA95" s="238"/>
      <c r="DB95" s="238"/>
      <c r="DC95" s="238"/>
      <c r="DD95" s="238"/>
      <c r="DE95" s="238"/>
      <c r="DF95" s="238"/>
      <c r="DG95" s="238"/>
      <c r="DH95" s="238"/>
      <c r="DI95" s="238"/>
      <c r="DJ95" s="238"/>
      <c r="DK95" s="238"/>
      <c r="DL95" s="238"/>
      <c r="DM95" s="238"/>
      <c r="DN95" s="238"/>
      <c r="DO95" s="238"/>
      <c r="DP95" s="238"/>
      <c r="DQ95" s="238"/>
      <c r="DR95" s="238"/>
      <c r="DS95" s="238"/>
      <c r="DT95" s="238"/>
      <c r="DU95" s="238"/>
      <c r="DV95" s="238"/>
      <c r="DW95" s="238"/>
      <c r="DX95" s="238"/>
      <c r="DY95" s="238"/>
      <c r="DZ95" s="406">
        <v>19238</v>
      </c>
      <c r="EA95" s="406" t="s">
        <v>1484</v>
      </c>
      <c r="EB95" s="406" t="s">
        <v>2047</v>
      </c>
      <c r="EC95" s="406" t="s">
        <v>1707</v>
      </c>
      <c r="ED95" s="459" t="s">
        <v>13799</v>
      </c>
      <c r="EE95" s="406" t="s">
        <v>2048</v>
      </c>
      <c r="EF95" s="406" t="s">
        <v>2049</v>
      </c>
      <c r="EG95" s="406">
        <v>85</v>
      </c>
      <c r="EH95" s="406" t="s">
        <v>2050</v>
      </c>
      <c r="EI95" s="406" t="s">
        <v>2051</v>
      </c>
      <c r="EJ95" s="406" t="s">
        <v>2052</v>
      </c>
      <c r="EK95" s="406" t="s">
        <v>14301</v>
      </c>
      <c r="EL95" s="406"/>
      <c r="EM95" s="406" t="s">
        <v>1633</v>
      </c>
      <c r="EN95" s="406">
        <v>9655</v>
      </c>
      <c r="EO95" s="398"/>
      <c r="EP95" s="398"/>
      <c r="EQ95" s="398"/>
      <c r="ER95" s="238"/>
      <c r="ES95" s="238"/>
      <c r="ET95" s="238"/>
      <c r="EU95" s="238"/>
      <c r="EV95" s="238"/>
      <c r="EW95" s="238"/>
      <c r="EX95" s="238"/>
      <c r="EY95" s="238"/>
      <c r="EZ95" s="238"/>
      <c r="FA95" s="238"/>
      <c r="FB95" s="238"/>
      <c r="FC95" s="238"/>
      <c r="FD95" s="238"/>
      <c r="FE95" s="238"/>
      <c r="FF95" s="238"/>
      <c r="FG95" s="238"/>
      <c r="FH95" s="238"/>
      <c r="FI95" s="238"/>
      <c r="FJ95" s="238"/>
      <c r="FK95" s="238"/>
      <c r="FL95" s="238"/>
      <c r="FM95" s="238"/>
      <c r="FN95" s="238"/>
      <c r="FO95" s="238"/>
      <c r="FP95" s="238"/>
      <c r="FQ95" s="238"/>
      <c r="FR95" s="238"/>
      <c r="FS95" s="238"/>
      <c r="FT95" s="238"/>
      <c r="FU95" s="572">
        <v>19</v>
      </c>
    </row>
    <row r="96" spans="1:177" ht="18.75" customHeight="1">
      <c r="A96" s="115" t="str">
        <f t="shared" si="44"/>
        <v>QUA</v>
      </c>
      <c r="C96" s="410">
        <v>20</v>
      </c>
      <c r="D96" s="645"/>
      <c r="E96" s="644"/>
      <c r="F96" s="642"/>
      <c r="G96" s="644"/>
      <c r="H96" s="642"/>
      <c r="I96" s="644"/>
      <c r="J96" s="644"/>
      <c r="K96" s="882"/>
      <c r="L96" s="883"/>
      <c r="M96" s="636">
        <v>17</v>
      </c>
      <c r="N96" s="637"/>
      <c r="O96" s="641"/>
      <c r="P96" s="637"/>
      <c r="Q96" s="642">
        <v>17</v>
      </c>
      <c r="R96" s="643"/>
      <c r="S96" s="897"/>
      <c r="T96" s="897"/>
      <c r="U96" s="895"/>
      <c r="V96" s="896"/>
      <c r="W96" s="288"/>
      <c r="X96" s="383"/>
      <c r="Y96" s="491"/>
      <c r="Z96" s="945"/>
      <c r="AA96" s="945"/>
      <c r="AB96" s="945"/>
      <c r="AC96" s="491"/>
      <c r="AD96" s="378"/>
      <c r="AE96" s="945"/>
      <c r="AF96" s="945"/>
      <c r="AG96" s="946"/>
      <c r="AH96" s="283"/>
      <c r="AI96" s="981"/>
      <c r="AJ96" s="982"/>
      <c r="AK96" s="982"/>
      <c r="AL96" s="982"/>
      <c r="AM96" s="982"/>
      <c r="AN96" s="982"/>
      <c r="AO96" s="982"/>
      <c r="AP96" s="982"/>
      <c r="AQ96" s="982"/>
      <c r="AR96" s="982"/>
      <c r="AS96" s="982"/>
      <c r="AT96" s="982"/>
      <c r="AU96" s="982"/>
      <c r="AV96" s="982"/>
      <c r="AW96" s="982"/>
      <c r="AX96" s="982"/>
      <c r="AY96" s="982"/>
      <c r="AZ96" s="982"/>
      <c r="BA96" s="982"/>
      <c r="BB96" s="982"/>
      <c r="BC96" s="982"/>
      <c r="BD96" s="982"/>
      <c r="BE96" s="982"/>
      <c r="BF96" s="982"/>
      <c r="BG96" s="982"/>
      <c r="BH96" s="982"/>
      <c r="BI96" s="982"/>
      <c r="BJ96" s="982"/>
      <c r="BK96" s="982"/>
      <c r="BL96" s="982"/>
      <c r="BM96" s="982"/>
      <c r="BN96" s="982"/>
      <c r="BO96" s="982"/>
      <c r="BP96" s="982"/>
      <c r="BQ96" s="982"/>
      <c r="BR96" s="982"/>
      <c r="BS96" s="982"/>
      <c r="BT96" s="982"/>
      <c r="BU96" s="982"/>
      <c r="BV96" s="982"/>
      <c r="BW96" s="983"/>
      <c r="BX96" s="238"/>
      <c r="BY96" s="238"/>
      <c r="BZ96" s="544">
        <f t="shared" si="45"/>
        <v>0</v>
      </c>
      <c r="CA96" s="544">
        <f t="shared" si="46"/>
        <v>0</v>
      </c>
      <c r="CB96" s="544">
        <f t="shared" si="47"/>
        <v>0</v>
      </c>
      <c r="CC96" s="544">
        <f t="shared" si="48"/>
        <v>0</v>
      </c>
      <c r="CD96" s="544">
        <f t="shared" si="49"/>
        <v>0</v>
      </c>
      <c r="CE96" s="544">
        <f t="shared" si="50"/>
        <v>0</v>
      </c>
      <c r="CF96" s="544">
        <f t="shared" si="51"/>
        <v>0</v>
      </c>
      <c r="CG96" s="238"/>
      <c r="CH96" s="238"/>
      <c r="CI96" s="238"/>
      <c r="CJ96" s="238"/>
      <c r="CK96" s="238"/>
      <c r="CL96" s="238"/>
      <c r="CM96" s="238"/>
      <c r="CN96" s="238"/>
      <c r="CO96" s="238"/>
      <c r="CP96" s="238"/>
      <c r="CQ96" s="238"/>
      <c r="CR96" s="238"/>
      <c r="CS96" s="238"/>
      <c r="CT96" s="238"/>
      <c r="CU96" s="238"/>
      <c r="CV96" s="238"/>
      <c r="CW96" s="238"/>
      <c r="CX96" s="238"/>
      <c r="CY96" s="238"/>
      <c r="CZ96" s="238"/>
      <c r="DA96" s="238"/>
      <c r="DB96" s="238"/>
      <c r="DC96" s="238"/>
      <c r="DD96" s="238"/>
      <c r="DE96" s="238"/>
      <c r="DF96" s="238"/>
      <c r="DG96" s="238"/>
      <c r="DH96" s="238"/>
      <c r="DI96" s="238"/>
      <c r="DJ96" s="238"/>
      <c r="DK96" s="238"/>
      <c r="DL96" s="238"/>
      <c r="DM96" s="238"/>
      <c r="DN96" s="238"/>
      <c r="DO96" s="238"/>
      <c r="DP96" s="238"/>
      <c r="DQ96" s="238"/>
      <c r="DR96" s="238"/>
      <c r="DS96" s="238"/>
      <c r="DT96" s="238"/>
      <c r="DU96" s="238"/>
      <c r="DV96" s="238"/>
      <c r="DW96" s="238"/>
      <c r="DX96" s="238"/>
      <c r="DY96" s="238"/>
      <c r="DZ96" s="459">
        <v>19240</v>
      </c>
      <c r="EA96" s="459" t="s">
        <v>1484</v>
      </c>
      <c r="EB96" s="406" t="s">
        <v>2053</v>
      </c>
      <c r="EC96" s="459" t="s">
        <v>1654</v>
      </c>
      <c r="ED96" s="406" t="s">
        <v>13774</v>
      </c>
      <c r="EE96" s="459" t="s">
        <v>14642</v>
      </c>
      <c r="EF96" s="459" t="s">
        <v>2054</v>
      </c>
      <c r="EG96" s="459">
        <v>16</v>
      </c>
      <c r="EH96" s="459" t="s">
        <v>2055</v>
      </c>
      <c r="EI96" s="405" t="s">
        <v>2056</v>
      </c>
      <c r="EJ96" s="501" t="s">
        <v>2057</v>
      </c>
      <c r="EK96" s="459" t="s">
        <v>14643</v>
      </c>
      <c r="EL96" s="459" t="s">
        <v>2058</v>
      </c>
      <c r="EM96" s="502" t="s">
        <v>7010</v>
      </c>
      <c r="EN96" s="459">
        <v>9582</v>
      </c>
      <c r="EO96" s="398"/>
      <c r="EP96" s="398"/>
      <c r="EQ96" s="398"/>
      <c r="ER96" s="238"/>
      <c r="ES96" s="238"/>
      <c r="ET96" s="238"/>
      <c r="EU96" s="238"/>
      <c r="EV96" s="238"/>
      <c r="EW96" s="238"/>
      <c r="EX96" s="238"/>
      <c r="EY96" s="238"/>
      <c r="EZ96" s="238"/>
      <c r="FA96" s="238"/>
      <c r="FB96" s="238"/>
      <c r="FC96" s="238"/>
      <c r="FD96" s="238"/>
      <c r="FE96" s="238"/>
      <c r="FF96" s="238"/>
      <c r="FG96" s="238"/>
      <c r="FH96" s="238"/>
      <c r="FI96" s="238"/>
      <c r="FJ96" s="238"/>
      <c r="FK96" s="238"/>
      <c r="FL96" s="238"/>
      <c r="FM96" s="238"/>
      <c r="FN96" s="238"/>
      <c r="FO96" s="238"/>
      <c r="FP96" s="238"/>
      <c r="FQ96" s="238"/>
      <c r="FR96" s="238"/>
      <c r="FS96" s="238"/>
      <c r="FT96" s="238"/>
      <c r="FU96" s="572">
        <v>20</v>
      </c>
    </row>
    <row r="97" spans="1:177" ht="18.75" customHeight="1">
      <c r="A97" s="115" t="str">
        <f t="shared" si="44"/>
        <v>QUI</v>
      </c>
      <c r="C97" s="411">
        <v>21</v>
      </c>
      <c r="D97" s="645"/>
      <c r="E97" s="647"/>
      <c r="F97" s="642"/>
      <c r="G97" s="647"/>
      <c r="H97" s="642"/>
      <c r="I97" s="647"/>
      <c r="J97" s="647"/>
      <c r="K97" s="882"/>
      <c r="L97" s="883"/>
      <c r="M97" s="640">
        <v>17</v>
      </c>
      <c r="N97" s="637"/>
      <c r="O97" s="641"/>
      <c r="P97" s="641"/>
      <c r="Q97" s="642">
        <v>17</v>
      </c>
      <c r="R97" s="646"/>
      <c r="S97" s="902"/>
      <c r="T97" s="902"/>
      <c r="U97" s="900"/>
      <c r="V97" s="901"/>
      <c r="W97" s="289"/>
      <c r="X97" s="383"/>
      <c r="Y97" s="491"/>
      <c r="Z97" s="945"/>
      <c r="AA97" s="945"/>
      <c r="AB97" s="945"/>
      <c r="AC97" s="491"/>
      <c r="AD97" s="378"/>
      <c r="AE97" s="945"/>
      <c r="AF97" s="945"/>
      <c r="AG97" s="946"/>
      <c r="AH97" s="283"/>
      <c r="AI97" s="981"/>
      <c r="AJ97" s="982"/>
      <c r="AK97" s="982"/>
      <c r="AL97" s="982"/>
      <c r="AM97" s="982"/>
      <c r="AN97" s="982"/>
      <c r="AO97" s="982"/>
      <c r="AP97" s="982"/>
      <c r="AQ97" s="982"/>
      <c r="AR97" s="982"/>
      <c r="AS97" s="982"/>
      <c r="AT97" s="982"/>
      <c r="AU97" s="982"/>
      <c r="AV97" s="982"/>
      <c r="AW97" s="982"/>
      <c r="AX97" s="982"/>
      <c r="AY97" s="982"/>
      <c r="AZ97" s="982"/>
      <c r="BA97" s="982"/>
      <c r="BB97" s="982"/>
      <c r="BC97" s="982"/>
      <c r="BD97" s="982"/>
      <c r="BE97" s="982"/>
      <c r="BF97" s="982"/>
      <c r="BG97" s="982"/>
      <c r="BH97" s="982"/>
      <c r="BI97" s="982"/>
      <c r="BJ97" s="982"/>
      <c r="BK97" s="982"/>
      <c r="BL97" s="982"/>
      <c r="BM97" s="982"/>
      <c r="BN97" s="982"/>
      <c r="BO97" s="982"/>
      <c r="BP97" s="982"/>
      <c r="BQ97" s="982"/>
      <c r="BR97" s="982"/>
      <c r="BS97" s="982"/>
      <c r="BT97" s="982"/>
      <c r="BU97" s="982"/>
      <c r="BV97" s="982"/>
      <c r="BW97" s="983"/>
      <c r="BX97" s="238"/>
      <c r="BY97" s="238"/>
      <c r="BZ97" s="544">
        <f t="shared" si="45"/>
        <v>0</v>
      </c>
      <c r="CA97" s="544">
        <f t="shared" si="46"/>
        <v>0</v>
      </c>
      <c r="CB97" s="544">
        <f t="shared" si="47"/>
        <v>0</v>
      </c>
      <c r="CC97" s="544">
        <f t="shared" si="48"/>
        <v>0</v>
      </c>
      <c r="CD97" s="544">
        <f t="shared" si="49"/>
        <v>0</v>
      </c>
      <c r="CE97" s="544">
        <f t="shared" si="50"/>
        <v>0</v>
      </c>
      <c r="CF97" s="544">
        <f t="shared" si="51"/>
        <v>0</v>
      </c>
      <c r="CG97" s="238"/>
      <c r="CH97" s="238"/>
      <c r="CI97" s="238"/>
      <c r="CJ97" s="238"/>
      <c r="CK97" s="238"/>
      <c r="CL97" s="238"/>
      <c r="CM97" s="238"/>
      <c r="CN97" s="238"/>
      <c r="CO97" s="238"/>
      <c r="CP97" s="238"/>
      <c r="CQ97" s="238"/>
      <c r="CR97" s="238"/>
      <c r="CS97" s="238"/>
      <c r="CT97" s="238"/>
      <c r="CU97" s="238"/>
      <c r="CV97" s="238"/>
      <c r="CW97" s="238"/>
      <c r="CX97" s="238"/>
      <c r="CY97" s="238"/>
      <c r="CZ97" s="238"/>
      <c r="DA97" s="238"/>
      <c r="DB97" s="238"/>
      <c r="DC97" s="238"/>
      <c r="DD97" s="238"/>
      <c r="DE97" s="238"/>
      <c r="DF97" s="238"/>
      <c r="DG97" s="238"/>
      <c r="DH97" s="238"/>
      <c r="DI97" s="238"/>
      <c r="DJ97" s="238"/>
      <c r="DK97" s="238"/>
      <c r="DL97" s="238"/>
      <c r="DM97" s="238"/>
      <c r="DN97" s="238"/>
      <c r="DO97" s="238"/>
      <c r="DP97" s="238"/>
      <c r="DQ97" s="238"/>
      <c r="DR97" s="238"/>
      <c r="DS97" s="238"/>
      <c r="DT97" s="238"/>
      <c r="DU97" s="238"/>
      <c r="DV97" s="238"/>
      <c r="DW97" s="238"/>
      <c r="DX97" s="238"/>
      <c r="DY97" s="238"/>
      <c r="DZ97" s="499">
        <v>19245</v>
      </c>
      <c r="EA97" s="405" t="s">
        <v>1484</v>
      </c>
      <c r="EB97" s="406" t="s">
        <v>2059</v>
      </c>
      <c r="EC97" s="500" t="s">
        <v>1654</v>
      </c>
      <c r="ED97" s="406" t="s">
        <v>13774</v>
      </c>
      <c r="EE97" s="406" t="s">
        <v>14649</v>
      </c>
      <c r="EF97" s="405" t="s">
        <v>2060</v>
      </c>
      <c r="EG97" s="405">
        <v>179</v>
      </c>
      <c r="EH97" s="500" t="s">
        <v>2055</v>
      </c>
      <c r="EI97" s="405" t="s">
        <v>2061</v>
      </c>
      <c r="EJ97" s="501" t="s">
        <v>2062</v>
      </c>
      <c r="EK97" s="500" t="s">
        <v>14650</v>
      </c>
      <c r="EL97" s="500" t="s">
        <v>2063</v>
      </c>
      <c r="EM97" s="502" t="s">
        <v>7010</v>
      </c>
      <c r="EN97" s="503">
        <v>9641</v>
      </c>
      <c r="EO97" s="398"/>
      <c r="EP97" s="398"/>
      <c r="EQ97" s="398"/>
      <c r="ER97" s="238"/>
      <c r="ES97" s="238"/>
      <c r="ET97" s="238"/>
      <c r="EU97" s="238"/>
      <c r="EV97" s="238"/>
      <c r="EW97" s="238"/>
      <c r="EX97" s="238"/>
      <c r="EY97" s="238"/>
      <c r="EZ97" s="238"/>
      <c r="FA97" s="238"/>
      <c r="FB97" s="238"/>
      <c r="FC97" s="238"/>
      <c r="FD97" s="238"/>
      <c r="FE97" s="238"/>
      <c r="FF97" s="238"/>
      <c r="FG97" s="238"/>
      <c r="FH97" s="238"/>
      <c r="FI97" s="238"/>
      <c r="FJ97" s="238"/>
      <c r="FK97" s="238"/>
      <c r="FL97" s="238"/>
      <c r="FM97" s="238"/>
      <c r="FN97" s="238"/>
      <c r="FO97" s="238"/>
      <c r="FP97" s="238"/>
      <c r="FQ97" s="238"/>
      <c r="FR97" s="238"/>
      <c r="FS97" s="238"/>
      <c r="FT97" s="238"/>
      <c r="FU97" s="572">
        <v>21</v>
      </c>
    </row>
    <row r="98" spans="1:177" ht="18.75" customHeight="1">
      <c r="A98" s="115" t="str">
        <f t="shared" si="44"/>
        <v>SEX</v>
      </c>
      <c r="C98" s="410">
        <v>22</v>
      </c>
      <c r="D98" s="645"/>
      <c r="E98" s="644"/>
      <c r="F98" s="642"/>
      <c r="G98" s="644"/>
      <c r="H98" s="642"/>
      <c r="I98" s="644"/>
      <c r="J98" s="644"/>
      <c r="K98" s="882"/>
      <c r="L98" s="883"/>
      <c r="M98" s="640">
        <v>14</v>
      </c>
      <c r="N98" s="637"/>
      <c r="O98" s="641"/>
      <c r="P98" s="637"/>
      <c r="Q98" s="642">
        <v>14</v>
      </c>
      <c r="R98" s="643"/>
      <c r="S98" s="897"/>
      <c r="T98" s="897"/>
      <c r="U98" s="895"/>
      <c r="V98" s="896"/>
      <c r="W98" s="288"/>
      <c r="X98" s="383"/>
      <c r="Y98" s="491"/>
      <c r="Z98" s="945"/>
      <c r="AA98" s="945"/>
      <c r="AB98" s="945"/>
      <c r="AC98" s="491"/>
      <c r="AD98" s="378"/>
      <c r="AE98" s="945"/>
      <c r="AF98" s="945"/>
      <c r="AG98" s="946"/>
      <c r="AH98" s="283"/>
      <c r="AI98" s="981"/>
      <c r="AJ98" s="982"/>
      <c r="AK98" s="982"/>
      <c r="AL98" s="982"/>
      <c r="AM98" s="982"/>
      <c r="AN98" s="982"/>
      <c r="AO98" s="982"/>
      <c r="AP98" s="982"/>
      <c r="AQ98" s="982"/>
      <c r="AR98" s="982"/>
      <c r="AS98" s="982"/>
      <c r="AT98" s="982"/>
      <c r="AU98" s="982"/>
      <c r="AV98" s="982"/>
      <c r="AW98" s="982"/>
      <c r="AX98" s="982"/>
      <c r="AY98" s="982"/>
      <c r="AZ98" s="982"/>
      <c r="BA98" s="982"/>
      <c r="BB98" s="982"/>
      <c r="BC98" s="982"/>
      <c r="BD98" s="982"/>
      <c r="BE98" s="982"/>
      <c r="BF98" s="982"/>
      <c r="BG98" s="982"/>
      <c r="BH98" s="982"/>
      <c r="BI98" s="982"/>
      <c r="BJ98" s="982"/>
      <c r="BK98" s="982"/>
      <c r="BL98" s="982"/>
      <c r="BM98" s="982"/>
      <c r="BN98" s="982"/>
      <c r="BO98" s="982"/>
      <c r="BP98" s="982"/>
      <c r="BQ98" s="982"/>
      <c r="BR98" s="982"/>
      <c r="BS98" s="982"/>
      <c r="BT98" s="982"/>
      <c r="BU98" s="982"/>
      <c r="BV98" s="982"/>
      <c r="BW98" s="983"/>
      <c r="BX98" s="238"/>
      <c r="BY98" s="238"/>
      <c r="BZ98" s="544">
        <f t="shared" si="45"/>
        <v>0</v>
      </c>
      <c r="CA98" s="544">
        <f t="shared" si="46"/>
        <v>0</v>
      </c>
      <c r="CB98" s="544">
        <f t="shared" si="47"/>
        <v>0</v>
      </c>
      <c r="CC98" s="544">
        <f t="shared" si="48"/>
        <v>0</v>
      </c>
      <c r="CD98" s="544">
        <f t="shared" si="49"/>
        <v>0</v>
      </c>
      <c r="CE98" s="544">
        <f t="shared" si="50"/>
        <v>0</v>
      </c>
      <c r="CF98" s="544">
        <f t="shared" si="51"/>
        <v>0</v>
      </c>
      <c r="CG98" s="238"/>
      <c r="CH98" s="238"/>
      <c r="CI98" s="238"/>
      <c r="CJ98" s="238"/>
      <c r="CK98" s="238"/>
      <c r="CL98" s="238"/>
      <c r="CM98" s="238"/>
      <c r="CN98" s="238"/>
      <c r="CO98" s="238"/>
      <c r="CP98" s="238"/>
      <c r="CQ98" s="238"/>
      <c r="CR98" s="238"/>
      <c r="CS98" s="238"/>
      <c r="CT98" s="238"/>
      <c r="CU98" s="238"/>
      <c r="CV98" s="238"/>
      <c r="CW98" s="238"/>
      <c r="CX98" s="238"/>
      <c r="CY98" s="238"/>
      <c r="CZ98" s="238"/>
      <c r="DA98" s="238"/>
      <c r="DB98" s="238"/>
      <c r="DC98" s="238"/>
      <c r="DD98" s="238"/>
      <c r="DE98" s="238"/>
      <c r="DF98" s="238"/>
      <c r="DG98" s="238"/>
      <c r="DH98" s="238"/>
      <c r="DI98" s="238"/>
      <c r="DJ98" s="238"/>
      <c r="DK98" s="238"/>
      <c r="DL98" s="238"/>
      <c r="DM98" s="238"/>
      <c r="DN98" s="238"/>
      <c r="DO98" s="238"/>
      <c r="DP98" s="238"/>
      <c r="DQ98" s="238"/>
      <c r="DR98" s="238"/>
      <c r="DS98" s="238"/>
      <c r="DT98" s="238"/>
      <c r="DU98" s="238"/>
      <c r="DV98" s="238"/>
      <c r="DW98" s="238"/>
      <c r="DX98" s="238"/>
      <c r="DY98" s="238"/>
      <c r="DZ98" s="406">
        <v>19246</v>
      </c>
      <c r="EA98" s="406" t="s">
        <v>1484</v>
      </c>
      <c r="EB98" s="406" t="s">
        <v>2064</v>
      </c>
      <c r="EC98" s="406" t="s">
        <v>1617</v>
      </c>
      <c r="ED98" s="406" t="s">
        <v>1618</v>
      </c>
      <c r="EE98" s="406" t="s">
        <v>14021</v>
      </c>
      <c r="EF98" s="406" t="s">
        <v>2065</v>
      </c>
      <c r="EG98" s="406" t="s">
        <v>46</v>
      </c>
      <c r="EH98" s="406" t="s">
        <v>1868</v>
      </c>
      <c r="EI98" s="406" t="s">
        <v>2066</v>
      </c>
      <c r="EJ98" s="406" t="s">
        <v>2067</v>
      </c>
      <c r="EK98" s="406" t="s">
        <v>14022</v>
      </c>
      <c r="EL98" s="406"/>
      <c r="EM98" s="406" t="s">
        <v>1624</v>
      </c>
      <c r="EN98" s="406">
        <v>9669</v>
      </c>
      <c r="EO98" s="398"/>
      <c r="EP98" s="398"/>
      <c r="EQ98" s="398"/>
      <c r="ER98" s="238"/>
      <c r="ES98" s="238"/>
      <c r="ET98" s="238"/>
      <c r="EU98" s="238"/>
      <c r="EV98" s="238"/>
      <c r="EW98" s="238"/>
      <c r="EX98" s="238"/>
      <c r="EY98" s="238"/>
      <c r="EZ98" s="238"/>
      <c r="FA98" s="238"/>
      <c r="FB98" s="238"/>
      <c r="FC98" s="238"/>
      <c r="FD98" s="238"/>
      <c r="FE98" s="238"/>
      <c r="FF98" s="238"/>
      <c r="FG98" s="238"/>
      <c r="FH98" s="238"/>
      <c r="FI98" s="238"/>
      <c r="FJ98" s="238"/>
      <c r="FK98" s="238"/>
      <c r="FL98" s="238"/>
      <c r="FM98" s="238"/>
      <c r="FN98" s="238"/>
      <c r="FO98" s="238"/>
      <c r="FP98" s="238"/>
      <c r="FQ98" s="238"/>
      <c r="FR98" s="238"/>
      <c r="FS98" s="238"/>
      <c r="FT98" s="238"/>
      <c r="FU98" s="572">
        <v>22</v>
      </c>
    </row>
    <row r="99" spans="1:177" ht="18.75" customHeight="1">
      <c r="A99" s="115" t="str">
        <f t="shared" si="44"/>
        <v>SAB</v>
      </c>
      <c r="C99" s="410">
        <v>23</v>
      </c>
      <c r="D99" s="645"/>
      <c r="E99" s="644"/>
      <c r="F99" s="642"/>
      <c r="G99" s="644"/>
      <c r="H99" s="642"/>
      <c r="I99" s="644"/>
      <c r="J99" s="644"/>
      <c r="K99" s="882"/>
      <c r="L99" s="883"/>
      <c r="M99" s="640"/>
      <c r="N99" s="637"/>
      <c r="O99" s="641"/>
      <c r="P99" s="637"/>
      <c r="Q99" s="642"/>
      <c r="R99" s="643"/>
      <c r="S99" s="897"/>
      <c r="T99" s="897"/>
      <c r="U99" s="895"/>
      <c r="V99" s="896"/>
      <c r="W99" s="288"/>
      <c r="X99" s="383"/>
      <c r="Y99" s="491"/>
      <c r="Z99" s="945"/>
      <c r="AA99" s="945"/>
      <c r="AB99" s="945"/>
      <c r="AC99" s="491"/>
      <c r="AD99" s="378"/>
      <c r="AE99" s="945"/>
      <c r="AF99" s="945"/>
      <c r="AG99" s="946"/>
      <c r="AH99" s="283"/>
      <c r="AI99" s="981"/>
      <c r="AJ99" s="982"/>
      <c r="AK99" s="982"/>
      <c r="AL99" s="982"/>
      <c r="AM99" s="982"/>
      <c r="AN99" s="982"/>
      <c r="AO99" s="982"/>
      <c r="AP99" s="982"/>
      <c r="AQ99" s="982"/>
      <c r="AR99" s="982"/>
      <c r="AS99" s="982"/>
      <c r="AT99" s="982"/>
      <c r="AU99" s="982"/>
      <c r="AV99" s="982"/>
      <c r="AW99" s="982"/>
      <c r="AX99" s="982"/>
      <c r="AY99" s="982"/>
      <c r="AZ99" s="982"/>
      <c r="BA99" s="982"/>
      <c r="BB99" s="982"/>
      <c r="BC99" s="982"/>
      <c r="BD99" s="982"/>
      <c r="BE99" s="982"/>
      <c r="BF99" s="982"/>
      <c r="BG99" s="982"/>
      <c r="BH99" s="982"/>
      <c r="BI99" s="982"/>
      <c r="BJ99" s="982"/>
      <c r="BK99" s="982"/>
      <c r="BL99" s="982"/>
      <c r="BM99" s="982"/>
      <c r="BN99" s="982"/>
      <c r="BO99" s="982"/>
      <c r="BP99" s="982"/>
      <c r="BQ99" s="982"/>
      <c r="BR99" s="982"/>
      <c r="BS99" s="982"/>
      <c r="BT99" s="982"/>
      <c r="BU99" s="982"/>
      <c r="BV99" s="982"/>
      <c r="BW99" s="983"/>
      <c r="BX99" s="238"/>
      <c r="BY99" s="238"/>
      <c r="BZ99" s="544">
        <f t="shared" si="45"/>
        <v>0</v>
      </c>
      <c r="CA99" s="544">
        <f t="shared" si="46"/>
        <v>0</v>
      </c>
      <c r="CB99" s="544">
        <f t="shared" si="47"/>
        <v>0</v>
      </c>
      <c r="CC99" s="544">
        <f t="shared" si="48"/>
        <v>0</v>
      </c>
      <c r="CD99" s="544">
        <f t="shared" si="49"/>
        <v>0</v>
      </c>
      <c r="CE99" s="544">
        <f t="shared" si="50"/>
        <v>0</v>
      </c>
      <c r="CF99" s="544">
        <f t="shared" si="51"/>
        <v>0</v>
      </c>
      <c r="CG99" s="238"/>
      <c r="CH99" s="238"/>
      <c r="CI99" s="238"/>
      <c r="CJ99" s="238"/>
      <c r="CK99" s="238"/>
      <c r="CL99" s="238"/>
      <c r="CM99" s="238"/>
      <c r="CN99" s="238"/>
      <c r="CO99" s="238"/>
      <c r="CP99" s="238"/>
      <c r="CQ99" s="238"/>
      <c r="CR99" s="238"/>
      <c r="CS99" s="238"/>
      <c r="CT99" s="238"/>
      <c r="CU99" s="238"/>
      <c r="CV99" s="238"/>
      <c r="CW99" s="238"/>
      <c r="CX99" s="238"/>
      <c r="CY99" s="238"/>
      <c r="CZ99" s="238"/>
      <c r="DA99" s="238"/>
      <c r="DB99" s="238"/>
      <c r="DC99" s="238"/>
      <c r="DD99" s="238"/>
      <c r="DE99" s="238"/>
      <c r="DF99" s="238"/>
      <c r="DG99" s="238"/>
      <c r="DH99" s="238"/>
      <c r="DI99" s="238"/>
      <c r="DJ99" s="238"/>
      <c r="DK99" s="238"/>
      <c r="DL99" s="238"/>
      <c r="DM99" s="238"/>
      <c r="DN99" s="238"/>
      <c r="DO99" s="238"/>
      <c r="DP99" s="238"/>
      <c r="DQ99" s="238"/>
      <c r="DR99" s="238"/>
      <c r="DS99" s="238"/>
      <c r="DT99" s="238"/>
      <c r="DU99" s="238"/>
      <c r="DV99" s="238"/>
      <c r="DW99" s="238"/>
      <c r="DX99" s="238"/>
      <c r="DY99" s="238"/>
      <c r="DZ99" s="406">
        <v>19248</v>
      </c>
      <c r="EA99" s="406" t="s">
        <v>1484</v>
      </c>
      <c r="EB99" s="406" t="s">
        <v>2068</v>
      </c>
      <c r="EC99" s="406" t="s">
        <v>1617</v>
      </c>
      <c r="ED99" s="406" t="s">
        <v>1618</v>
      </c>
      <c r="EE99" s="406" t="s">
        <v>14031</v>
      </c>
      <c r="EF99" s="406" t="s">
        <v>2069</v>
      </c>
      <c r="EG99" s="406" t="s">
        <v>2070</v>
      </c>
      <c r="EH99" s="406" t="s">
        <v>2071</v>
      </c>
      <c r="EI99" s="406" t="s">
        <v>2072</v>
      </c>
      <c r="EJ99" s="406" t="s">
        <v>2073</v>
      </c>
      <c r="EK99" s="406" t="s">
        <v>14032</v>
      </c>
      <c r="EL99" s="406" t="s">
        <v>2074</v>
      </c>
      <c r="EM99" s="406" t="s">
        <v>1624</v>
      </c>
      <c r="EN99" s="406">
        <v>9660</v>
      </c>
      <c r="EO99" s="398"/>
      <c r="EP99" s="398"/>
      <c r="EQ99" s="398"/>
      <c r="ER99" s="238"/>
      <c r="ES99" s="238"/>
      <c r="ET99" s="238"/>
      <c r="EU99" s="238"/>
      <c r="EV99" s="238"/>
      <c r="EW99" s="238"/>
      <c r="EX99" s="238"/>
      <c r="EY99" s="238"/>
      <c r="EZ99" s="238"/>
      <c r="FA99" s="238"/>
      <c r="FB99" s="238"/>
      <c r="FC99" s="238"/>
      <c r="FD99" s="238"/>
      <c r="FE99" s="238"/>
      <c r="FF99" s="238"/>
      <c r="FG99" s="238"/>
      <c r="FH99" s="238"/>
      <c r="FI99" s="238"/>
      <c r="FJ99" s="238"/>
      <c r="FK99" s="238"/>
      <c r="FL99" s="238"/>
      <c r="FM99" s="238"/>
      <c r="FN99" s="238"/>
      <c r="FO99" s="238"/>
      <c r="FP99" s="238"/>
      <c r="FQ99" s="238"/>
      <c r="FR99" s="238"/>
      <c r="FS99" s="238"/>
      <c r="FT99" s="238"/>
      <c r="FU99" s="572">
        <v>23</v>
      </c>
    </row>
    <row r="100" spans="1:177" ht="18.75" customHeight="1">
      <c r="A100" s="115" t="str">
        <f t="shared" si="44"/>
        <v>DOM</v>
      </c>
      <c r="C100" s="410">
        <v>24</v>
      </c>
      <c r="D100" s="645"/>
      <c r="E100" s="644"/>
      <c r="F100" s="642"/>
      <c r="G100" s="644"/>
      <c r="H100" s="642"/>
      <c r="I100" s="644"/>
      <c r="J100" s="644"/>
      <c r="K100" s="882"/>
      <c r="L100" s="883"/>
      <c r="M100" s="640"/>
      <c r="N100" s="637"/>
      <c r="O100" s="641"/>
      <c r="P100" s="637"/>
      <c r="Q100" s="642"/>
      <c r="R100" s="643"/>
      <c r="S100" s="897"/>
      <c r="T100" s="897"/>
      <c r="U100" s="895"/>
      <c r="V100" s="896"/>
      <c r="W100" s="288"/>
      <c r="X100" s="383"/>
      <c r="Y100" s="491"/>
      <c r="Z100" s="945"/>
      <c r="AA100" s="945"/>
      <c r="AB100" s="945"/>
      <c r="AC100" s="491"/>
      <c r="AD100" s="378"/>
      <c r="AE100" s="945"/>
      <c r="AF100" s="945"/>
      <c r="AG100" s="946"/>
      <c r="AH100" s="283"/>
      <c r="AI100" s="981"/>
      <c r="AJ100" s="982"/>
      <c r="AK100" s="982"/>
      <c r="AL100" s="982"/>
      <c r="AM100" s="982"/>
      <c r="AN100" s="982"/>
      <c r="AO100" s="982"/>
      <c r="AP100" s="982"/>
      <c r="AQ100" s="982"/>
      <c r="AR100" s="982"/>
      <c r="AS100" s="982"/>
      <c r="AT100" s="982"/>
      <c r="AU100" s="982"/>
      <c r="AV100" s="982"/>
      <c r="AW100" s="982"/>
      <c r="AX100" s="982"/>
      <c r="AY100" s="982"/>
      <c r="AZ100" s="982"/>
      <c r="BA100" s="982"/>
      <c r="BB100" s="982"/>
      <c r="BC100" s="982"/>
      <c r="BD100" s="982"/>
      <c r="BE100" s="982"/>
      <c r="BF100" s="982"/>
      <c r="BG100" s="982"/>
      <c r="BH100" s="982"/>
      <c r="BI100" s="982"/>
      <c r="BJ100" s="982"/>
      <c r="BK100" s="982"/>
      <c r="BL100" s="982"/>
      <c r="BM100" s="982"/>
      <c r="BN100" s="982"/>
      <c r="BO100" s="982"/>
      <c r="BP100" s="982"/>
      <c r="BQ100" s="982"/>
      <c r="BR100" s="982"/>
      <c r="BS100" s="982"/>
      <c r="BT100" s="982"/>
      <c r="BU100" s="982"/>
      <c r="BV100" s="982"/>
      <c r="BW100" s="983"/>
      <c r="BX100" s="238"/>
      <c r="BY100" s="238"/>
      <c r="BZ100" s="544">
        <f t="shared" si="45"/>
        <v>0</v>
      </c>
      <c r="CA100" s="544">
        <f t="shared" si="46"/>
        <v>0</v>
      </c>
      <c r="CB100" s="544">
        <f t="shared" si="47"/>
        <v>0</v>
      </c>
      <c r="CC100" s="544">
        <f t="shared" si="48"/>
        <v>0</v>
      </c>
      <c r="CD100" s="544">
        <f t="shared" si="49"/>
        <v>0</v>
      </c>
      <c r="CE100" s="544">
        <f t="shared" si="50"/>
        <v>0</v>
      </c>
      <c r="CF100" s="544">
        <f t="shared" si="51"/>
        <v>0</v>
      </c>
      <c r="CG100" s="238"/>
      <c r="CH100" s="238"/>
      <c r="CI100" s="238"/>
      <c r="CJ100" s="238"/>
      <c r="CK100" s="238"/>
      <c r="CL100" s="238"/>
      <c r="CM100" s="238"/>
      <c r="CN100" s="238"/>
      <c r="CO100" s="238"/>
      <c r="CP100" s="238"/>
      <c r="CQ100" s="238"/>
      <c r="CR100" s="238"/>
      <c r="CS100" s="238"/>
      <c r="CT100" s="238"/>
      <c r="CU100" s="238"/>
      <c r="CV100" s="238"/>
      <c r="CW100" s="238"/>
      <c r="CX100" s="238"/>
      <c r="CY100" s="238"/>
      <c r="CZ100" s="238"/>
      <c r="DA100" s="238"/>
      <c r="DB100" s="238"/>
      <c r="DC100" s="238"/>
      <c r="DD100" s="238"/>
      <c r="DE100" s="238"/>
      <c r="DF100" s="238"/>
      <c r="DG100" s="238"/>
      <c r="DH100" s="238"/>
      <c r="DI100" s="238"/>
      <c r="DJ100" s="238"/>
      <c r="DK100" s="238"/>
      <c r="DL100" s="238"/>
      <c r="DM100" s="238"/>
      <c r="DN100" s="238"/>
      <c r="DO100" s="238"/>
      <c r="DP100" s="238"/>
      <c r="DQ100" s="238"/>
      <c r="DR100" s="238"/>
      <c r="DS100" s="238"/>
      <c r="DT100" s="238"/>
      <c r="DU100" s="238"/>
      <c r="DV100" s="238"/>
      <c r="DW100" s="238"/>
      <c r="DX100" s="238"/>
      <c r="DY100" s="238"/>
      <c r="DZ100" s="406">
        <v>19250</v>
      </c>
      <c r="EA100" s="406" t="s">
        <v>1484</v>
      </c>
      <c r="EB100" s="406" t="s">
        <v>14312</v>
      </c>
      <c r="EC100" s="406" t="s">
        <v>1707</v>
      </c>
      <c r="ED100" s="459" t="s">
        <v>13799</v>
      </c>
      <c r="EE100" s="406" t="s">
        <v>14313</v>
      </c>
      <c r="EF100" s="406" t="s">
        <v>2075</v>
      </c>
      <c r="EG100" s="406">
        <v>131</v>
      </c>
      <c r="EH100" s="406" t="s">
        <v>1968</v>
      </c>
      <c r="EI100" s="406" t="s">
        <v>2076</v>
      </c>
      <c r="EJ100" s="406" t="s">
        <v>2077</v>
      </c>
      <c r="EK100" s="406" t="s">
        <v>14314</v>
      </c>
      <c r="EL100" s="406"/>
      <c r="EM100" s="406" t="s">
        <v>1633</v>
      </c>
      <c r="EN100" s="406">
        <v>9756</v>
      </c>
      <c r="EO100" s="398"/>
      <c r="EP100" s="398"/>
      <c r="EQ100" s="398"/>
      <c r="ER100" s="238"/>
      <c r="ES100" s="238"/>
      <c r="ET100" s="238"/>
      <c r="EU100" s="238"/>
      <c r="EV100" s="238"/>
      <c r="EW100" s="238"/>
      <c r="EX100" s="238"/>
      <c r="EY100" s="238"/>
      <c r="EZ100" s="238"/>
      <c r="FA100" s="238"/>
      <c r="FB100" s="238"/>
      <c r="FC100" s="238"/>
      <c r="FD100" s="238"/>
      <c r="FE100" s="238"/>
      <c r="FF100" s="238"/>
      <c r="FG100" s="238"/>
      <c r="FH100" s="238"/>
      <c r="FI100" s="238"/>
      <c r="FJ100" s="238"/>
      <c r="FK100" s="238"/>
      <c r="FL100" s="238"/>
      <c r="FM100" s="238"/>
      <c r="FN100" s="238"/>
      <c r="FO100" s="238"/>
      <c r="FP100" s="238"/>
      <c r="FQ100" s="238"/>
      <c r="FR100" s="238"/>
      <c r="FS100" s="238"/>
      <c r="FT100" s="238"/>
      <c r="FU100" s="572">
        <v>24</v>
      </c>
    </row>
    <row r="101" spans="1:177" ht="18.75" customHeight="1">
      <c r="A101" s="115" t="str">
        <f t="shared" si="44"/>
        <v>SEG</v>
      </c>
      <c r="C101" s="411">
        <v>25</v>
      </c>
      <c r="D101" s="645"/>
      <c r="E101" s="647"/>
      <c r="F101" s="642"/>
      <c r="G101" s="647"/>
      <c r="H101" s="642"/>
      <c r="I101" s="647"/>
      <c r="J101" s="647"/>
      <c r="K101" s="882"/>
      <c r="L101" s="883"/>
      <c r="M101" s="640">
        <v>16</v>
      </c>
      <c r="N101" s="637"/>
      <c r="O101" s="641"/>
      <c r="P101" s="641"/>
      <c r="Q101" s="642">
        <v>16</v>
      </c>
      <c r="R101" s="646"/>
      <c r="S101" s="902"/>
      <c r="T101" s="902"/>
      <c r="U101" s="900"/>
      <c r="V101" s="901"/>
      <c r="W101" s="289"/>
      <c r="X101" s="383"/>
      <c r="Y101" s="491"/>
      <c r="Z101" s="945"/>
      <c r="AA101" s="945"/>
      <c r="AB101" s="945"/>
      <c r="AC101" s="491"/>
      <c r="AD101" s="378"/>
      <c r="AE101" s="945"/>
      <c r="AF101" s="945"/>
      <c r="AG101" s="946"/>
      <c r="AH101" s="283"/>
      <c r="AI101" s="984"/>
      <c r="AJ101" s="982"/>
      <c r="AK101" s="982"/>
      <c r="AL101" s="982"/>
      <c r="AM101" s="982"/>
      <c r="AN101" s="982"/>
      <c r="AO101" s="982"/>
      <c r="AP101" s="982"/>
      <c r="AQ101" s="982"/>
      <c r="AR101" s="982"/>
      <c r="AS101" s="982"/>
      <c r="AT101" s="982"/>
      <c r="AU101" s="982"/>
      <c r="AV101" s="982"/>
      <c r="AW101" s="982"/>
      <c r="AX101" s="982"/>
      <c r="AY101" s="982"/>
      <c r="AZ101" s="982"/>
      <c r="BA101" s="982"/>
      <c r="BB101" s="982"/>
      <c r="BC101" s="982"/>
      <c r="BD101" s="982"/>
      <c r="BE101" s="982"/>
      <c r="BF101" s="982"/>
      <c r="BG101" s="982"/>
      <c r="BH101" s="982"/>
      <c r="BI101" s="982"/>
      <c r="BJ101" s="982"/>
      <c r="BK101" s="982"/>
      <c r="BL101" s="982"/>
      <c r="BM101" s="982"/>
      <c r="BN101" s="982"/>
      <c r="BO101" s="982"/>
      <c r="BP101" s="982"/>
      <c r="BQ101" s="982"/>
      <c r="BR101" s="982"/>
      <c r="BS101" s="982"/>
      <c r="BT101" s="982"/>
      <c r="BU101" s="982"/>
      <c r="BV101" s="982"/>
      <c r="BW101" s="983"/>
      <c r="BX101" s="238"/>
      <c r="BY101" s="238"/>
      <c r="BZ101" s="544">
        <f t="shared" si="45"/>
        <v>0</v>
      </c>
      <c r="CA101" s="544">
        <f t="shared" si="46"/>
        <v>0</v>
      </c>
      <c r="CB101" s="544">
        <f t="shared" si="47"/>
        <v>0</v>
      </c>
      <c r="CC101" s="544">
        <f t="shared" si="48"/>
        <v>0</v>
      </c>
      <c r="CD101" s="544">
        <f t="shared" si="49"/>
        <v>0</v>
      </c>
      <c r="CE101" s="544">
        <f t="shared" si="50"/>
        <v>0</v>
      </c>
      <c r="CF101" s="544">
        <f t="shared" si="51"/>
        <v>0</v>
      </c>
      <c r="CG101" s="238"/>
      <c r="CH101" s="238"/>
      <c r="CI101" s="238"/>
      <c r="CJ101" s="238"/>
      <c r="CK101" s="238"/>
      <c r="CL101" s="238"/>
      <c r="CM101" s="238"/>
      <c r="CN101" s="238"/>
      <c r="CO101" s="238"/>
      <c r="CP101" s="238"/>
      <c r="CQ101" s="238"/>
      <c r="CR101" s="238"/>
      <c r="CS101" s="238"/>
      <c r="CT101" s="238"/>
      <c r="CU101" s="238"/>
      <c r="CV101" s="238"/>
      <c r="CW101" s="238"/>
      <c r="CX101" s="238"/>
      <c r="CY101" s="238"/>
      <c r="CZ101" s="238"/>
      <c r="DA101" s="238"/>
      <c r="DB101" s="238"/>
      <c r="DC101" s="238"/>
      <c r="DD101" s="238"/>
      <c r="DE101" s="238"/>
      <c r="DF101" s="238"/>
      <c r="DG101" s="238"/>
      <c r="DH101" s="238"/>
      <c r="DI101" s="238"/>
      <c r="DJ101" s="238"/>
      <c r="DK101" s="238"/>
      <c r="DL101" s="238"/>
      <c r="DM101" s="238"/>
      <c r="DN101" s="238"/>
      <c r="DO101" s="238"/>
      <c r="DP101" s="238"/>
      <c r="DQ101" s="238"/>
      <c r="DR101" s="238"/>
      <c r="DS101" s="238"/>
      <c r="DT101" s="238"/>
      <c r="DU101" s="238"/>
      <c r="DV101" s="238"/>
      <c r="DW101" s="238"/>
      <c r="DX101" s="238"/>
      <c r="DY101" s="238"/>
      <c r="DZ101" s="406">
        <v>19252</v>
      </c>
      <c r="EA101" s="406" t="s">
        <v>1484</v>
      </c>
      <c r="EB101" s="406" t="s">
        <v>2078</v>
      </c>
      <c r="EC101" s="406" t="s">
        <v>1626</v>
      </c>
      <c r="ED101" s="459" t="s">
        <v>13763</v>
      </c>
      <c r="EE101" s="406" t="s">
        <v>13946</v>
      </c>
      <c r="EF101" s="406" t="s">
        <v>2079</v>
      </c>
      <c r="EG101" s="406" t="s">
        <v>46</v>
      </c>
      <c r="EH101" s="406" t="s">
        <v>2080</v>
      </c>
      <c r="EI101" s="406" t="s">
        <v>2081</v>
      </c>
      <c r="EJ101" s="406" t="s">
        <v>2082</v>
      </c>
      <c r="EK101" s="406" t="s">
        <v>13947</v>
      </c>
      <c r="EL101" s="406" t="s">
        <v>2083</v>
      </c>
      <c r="EM101" s="406" t="s">
        <v>1633</v>
      </c>
      <c r="EN101" s="406">
        <v>9762</v>
      </c>
      <c r="EO101" s="398"/>
      <c r="EP101" s="398"/>
      <c r="EQ101" s="398"/>
      <c r="ER101" s="238"/>
      <c r="ES101" s="238"/>
      <c r="ET101" s="238"/>
      <c r="EU101" s="238"/>
      <c r="EV101" s="238"/>
      <c r="EW101" s="238"/>
      <c r="EX101" s="238"/>
      <c r="EY101" s="238"/>
      <c r="EZ101" s="238"/>
      <c r="FA101" s="238"/>
      <c r="FB101" s="238"/>
      <c r="FC101" s="238"/>
      <c r="FD101" s="238"/>
      <c r="FE101" s="238"/>
      <c r="FF101" s="238"/>
      <c r="FG101" s="238"/>
      <c r="FH101" s="238"/>
      <c r="FI101" s="238"/>
      <c r="FJ101" s="238"/>
      <c r="FK101" s="238"/>
      <c r="FL101" s="238"/>
      <c r="FM101" s="238"/>
      <c r="FN101" s="238"/>
      <c r="FO101" s="238"/>
      <c r="FP101" s="238"/>
      <c r="FQ101" s="238"/>
      <c r="FR101" s="238"/>
      <c r="FS101" s="238"/>
      <c r="FT101" s="238"/>
      <c r="FU101" s="572">
        <v>25</v>
      </c>
    </row>
    <row r="102" spans="1:177" ht="18.75" customHeight="1">
      <c r="A102" s="115" t="str">
        <f t="shared" si="44"/>
        <v>TER</v>
      </c>
      <c r="C102" s="410">
        <v>26</v>
      </c>
      <c r="D102" s="645"/>
      <c r="E102" s="644"/>
      <c r="F102" s="642"/>
      <c r="G102" s="644"/>
      <c r="H102" s="642"/>
      <c r="I102" s="644"/>
      <c r="J102" s="644"/>
      <c r="K102" s="882"/>
      <c r="L102" s="883"/>
      <c r="M102" s="640">
        <v>18</v>
      </c>
      <c r="N102" s="637"/>
      <c r="O102" s="641"/>
      <c r="P102" s="637"/>
      <c r="Q102" s="642">
        <v>18</v>
      </c>
      <c r="R102" s="643"/>
      <c r="S102" s="897"/>
      <c r="T102" s="897"/>
      <c r="U102" s="895"/>
      <c r="V102" s="896"/>
      <c r="W102" s="288"/>
      <c r="X102" s="383"/>
      <c r="Y102" s="491"/>
      <c r="Z102" s="945"/>
      <c r="AA102" s="945"/>
      <c r="AB102" s="945"/>
      <c r="AC102" s="491"/>
      <c r="AD102" s="378"/>
      <c r="AE102" s="945"/>
      <c r="AF102" s="945"/>
      <c r="AG102" s="946"/>
      <c r="AH102" s="283"/>
      <c r="AI102" s="981"/>
      <c r="AJ102" s="982"/>
      <c r="AK102" s="982"/>
      <c r="AL102" s="982"/>
      <c r="AM102" s="982"/>
      <c r="AN102" s="982"/>
      <c r="AO102" s="982"/>
      <c r="AP102" s="982"/>
      <c r="AQ102" s="982"/>
      <c r="AR102" s="982"/>
      <c r="AS102" s="982"/>
      <c r="AT102" s="982"/>
      <c r="AU102" s="982"/>
      <c r="AV102" s="982"/>
      <c r="AW102" s="982"/>
      <c r="AX102" s="982"/>
      <c r="AY102" s="982"/>
      <c r="AZ102" s="982"/>
      <c r="BA102" s="982"/>
      <c r="BB102" s="982"/>
      <c r="BC102" s="982"/>
      <c r="BD102" s="982"/>
      <c r="BE102" s="982"/>
      <c r="BF102" s="982"/>
      <c r="BG102" s="982"/>
      <c r="BH102" s="982"/>
      <c r="BI102" s="982"/>
      <c r="BJ102" s="982"/>
      <c r="BK102" s="982"/>
      <c r="BL102" s="982"/>
      <c r="BM102" s="982"/>
      <c r="BN102" s="982"/>
      <c r="BO102" s="982"/>
      <c r="BP102" s="982"/>
      <c r="BQ102" s="982"/>
      <c r="BR102" s="982"/>
      <c r="BS102" s="982"/>
      <c r="BT102" s="982"/>
      <c r="BU102" s="982"/>
      <c r="BV102" s="982"/>
      <c r="BW102" s="983"/>
      <c r="BX102" s="238"/>
      <c r="BY102" s="238"/>
      <c r="BZ102" s="544">
        <f t="shared" si="45"/>
        <v>0</v>
      </c>
      <c r="CA102" s="544">
        <f t="shared" si="46"/>
        <v>0</v>
      </c>
      <c r="CB102" s="544">
        <f t="shared" si="47"/>
        <v>0</v>
      </c>
      <c r="CC102" s="544">
        <f t="shared" si="48"/>
        <v>0</v>
      </c>
      <c r="CD102" s="544">
        <f t="shared" si="49"/>
        <v>0</v>
      </c>
      <c r="CE102" s="544">
        <f t="shared" si="50"/>
        <v>0</v>
      </c>
      <c r="CF102" s="544">
        <f t="shared" si="51"/>
        <v>0</v>
      </c>
      <c r="CG102" s="238"/>
      <c r="CH102" s="238"/>
      <c r="CI102" s="238"/>
      <c r="CJ102" s="238"/>
      <c r="CK102" s="238"/>
      <c r="CL102" s="238"/>
      <c r="CM102" s="238"/>
      <c r="CN102" s="238"/>
      <c r="CO102" s="238"/>
      <c r="CP102" s="238"/>
      <c r="CQ102" s="238"/>
      <c r="CR102" s="238"/>
      <c r="CS102" s="238"/>
      <c r="CT102" s="238"/>
      <c r="CU102" s="238"/>
      <c r="CV102" s="238"/>
      <c r="CW102" s="238"/>
      <c r="CX102" s="238"/>
      <c r="CY102" s="238"/>
      <c r="CZ102" s="238"/>
      <c r="DA102" s="238"/>
      <c r="DB102" s="238"/>
      <c r="DC102" s="238"/>
      <c r="DD102" s="238"/>
      <c r="DE102" s="238"/>
      <c r="DF102" s="238"/>
      <c r="DG102" s="238"/>
      <c r="DH102" s="238"/>
      <c r="DI102" s="238"/>
      <c r="DJ102" s="238"/>
      <c r="DK102" s="238"/>
      <c r="DL102" s="238"/>
      <c r="DM102" s="238"/>
      <c r="DN102" s="238"/>
      <c r="DO102" s="238"/>
      <c r="DP102" s="238"/>
      <c r="DQ102" s="238"/>
      <c r="DR102" s="238"/>
      <c r="DS102" s="238"/>
      <c r="DT102" s="238"/>
      <c r="DU102" s="238"/>
      <c r="DV102" s="238"/>
      <c r="DW102" s="238"/>
      <c r="DX102" s="238"/>
      <c r="DY102" s="238"/>
      <c r="DZ102" s="406">
        <v>19253</v>
      </c>
      <c r="EA102" s="459" t="s">
        <v>1484</v>
      </c>
      <c r="EB102" s="406" t="s">
        <v>14536</v>
      </c>
      <c r="EC102" s="406" t="s">
        <v>13777</v>
      </c>
      <c r="ED102" s="405" t="s">
        <v>13778</v>
      </c>
      <c r="EE102" s="459" t="s">
        <v>14537</v>
      </c>
      <c r="EF102" s="405" t="s">
        <v>14538</v>
      </c>
      <c r="EG102" s="405">
        <v>870</v>
      </c>
      <c r="EH102" s="460" t="s">
        <v>13785</v>
      </c>
      <c r="EI102" s="405" t="str">
        <f>EF102&amp;", "&amp;EG102&amp;" - "&amp;EH102</f>
        <v>RUA PAULO ARENTINO, 870 - CITY JARAGUÁ</v>
      </c>
      <c r="EJ102" s="461">
        <v>2998140</v>
      </c>
      <c r="EK102" s="459" t="s">
        <v>14539</v>
      </c>
      <c r="EL102" s="459"/>
      <c r="EM102" s="406" t="s">
        <v>1633</v>
      </c>
      <c r="EN102" s="406">
        <v>9753</v>
      </c>
      <c r="EO102" s="398"/>
      <c r="EP102" s="398"/>
      <c r="EQ102" s="398"/>
      <c r="ER102" s="238"/>
      <c r="ES102" s="238"/>
      <c r="ET102" s="238"/>
      <c r="EU102" s="238"/>
      <c r="EV102" s="238"/>
      <c r="EW102" s="238"/>
      <c r="EX102" s="238"/>
      <c r="EY102" s="238"/>
      <c r="EZ102" s="238"/>
      <c r="FA102" s="238"/>
      <c r="FB102" s="238"/>
      <c r="FC102" s="238"/>
      <c r="FD102" s="238"/>
      <c r="FE102" s="238"/>
      <c r="FF102" s="238"/>
      <c r="FG102" s="238"/>
      <c r="FH102" s="238"/>
      <c r="FI102" s="238"/>
      <c r="FJ102" s="238"/>
      <c r="FK102" s="238"/>
      <c r="FL102" s="238"/>
      <c r="FM102" s="238"/>
      <c r="FN102" s="238"/>
      <c r="FO102" s="238"/>
      <c r="FP102" s="238"/>
      <c r="FQ102" s="238"/>
      <c r="FR102" s="238"/>
      <c r="FS102" s="238"/>
      <c r="FT102" s="238"/>
      <c r="FU102" s="572">
        <v>26</v>
      </c>
    </row>
    <row r="103" spans="1:177" ht="18.75" customHeight="1">
      <c r="A103" s="115" t="str">
        <f t="shared" si="44"/>
        <v>QUA</v>
      </c>
      <c r="C103" s="410">
        <v>27</v>
      </c>
      <c r="D103" s="645"/>
      <c r="E103" s="644"/>
      <c r="F103" s="642"/>
      <c r="G103" s="644"/>
      <c r="H103" s="642"/>
      <c r="I103" s="644"/>
      <c r="J103" s="644"/>
      <c r="K103" s="882"/>
      <c r="L103" s="883"/>
      <c r="M103" s="640">
        <v>17</v>
      </c>
      <c r="N103" s="637"/>
      <c r="O103" s="641"/>
      <c r="P103" s="637"/>
      <c r="Q103" s="642">
        <v>17</v>
      </c>
      <c r="R103" s="643"/>
      <c r="S103" s="897"/>
      <c r="T103" s="897"/>
      <c r="U103" s="895"/>
      <c r="V103" s="896"/>
      <c r="W103" s="288"/>
      <c r="X103" s="383"/>
      <c r="Y103" s="491"/>
      <c r="Z103" s="945"/>
      <c r="AA103" s="945"/>
      <c r="AB103" s="945"/>
      <c r="AC103" s="491"/>
      <c r="AD103" s="378"/>
      <c r="AE103" s="945"/>
      <c r="AF103" s="945"/>
      <c r="AG103" s="946"/>
      <c r="AH103" s="283"/>
      <c r="AI103" s="981"/>
      <c r="AJ103" s="982"/>
      <c r="AK103" s="982"/>
      <c r="AL103" s="982"/>
      <c r="AM103" s="982"/>
      <c r="AN103" s="982"/>
      <c r="AO103" s="982"/>
      <c r="AP103" s="982"/>
      <c r="AQ103" s="982"/>
      <c r="AR103" s="982"/>
      <c r="AS103" s="982"/>
      <c r="AT103" s="982"/>
      <c r="AU103" s="982"/>
      <c r="AV103" s="982"/>
      <c r="AW103" s="982"/>
      <c r="AX103" s="982"/>
      <c r="AY103" s="982"/>
      <c r="AZ103" s="982"/>
      <c r="BA103" s="982"/>
      <c r="BB103" s="982"/>
      <c r="BC103" s="982"/>
      <c r="BD103" s="982"/>
      <c r="BE103" s="982"/>
      <c r="BF103" s="982"/>
      <c r="BG103" s="982"/>
      <c r="BH103" s="982"/>
      <c r="BI103" s="982"/>
      <c r="BJ103" s="982"/>
      <c r="BK103" s="982"/>
      <c r="BL103" s="982"/>
      <c r="BM103" s="982"/>
      <c r="BN103" s="982"/>
      <c r="BO103" s="982"/>
      <c r="BP103" s="982"/>
      <c r="BQ103" s="982"/>
      <c r="BR103" s="982"/>
      <c r="BS103" s="982"/>
      <c r="BT103" s="982"/>
      <c r="BU103" s="982"/>
      <c r="BV103" s="982"/>
      <c r="BW103" s="983"/>
      <c r="BX103" s="238"/>
      <c r="BY103" s="238"/>
      <c r="BZ103" s="544">
        <f t="shared" si="45"/>
        <v>0</v>
      </c>
      <c r="CA103" s="544">
        <f t="shared" si="46"/>
        <v>0</v>
      </c>
      <c r="CB103" s="544">
        <f t="shared" si="47"/>
        <v>0</v>
      </c>
      <c r="CC103" s="544">
        <f t="shared" si="48"/>
        <v>0</v>
      </c>
      <c r="CD103" s="544">
        <f t="shared" si="49"/>
        <v>0</v>
      </c>
      <c r="CE103" s="544">
        <f t="shared" si="50"/>
        <v>0</v>
      </c>
      <c r="CF103" s="544">
        <f t="shared" si="51"/>
        <v>0</v>
      </c>
      <c r="CG103" s="238"/>
      <c r="CH103" s="238"/>
      <c r="CI103" s="238"/>
      <c r="CJ103" s="238"/>
      <c r="CK103" s="238"/>
      <c r="CL103" s="238"/>
      <c r="CM103" s="238"/>
      <c r="CN103" s="238"/>
      <c r="CO103" s="238"/>
      <c r="CP103" s="238"/>
      <c r="CQ103" s="238"/>
      <c r="CR103" s="238"/>
      <c r="CS103" s="238"/>
      <c r="CT103" s="238"/>
      <c r="CU103" s="238"/>
      <c r="CV103" s="238"/>
      <c r="CW103" s="238"/>
      <c r="CX103" s="238"/>
      <c r="CY103" s="238"/>
      <c r="CZ103" s="238"/>
      <c r="DA103" s="238"/>
      <c r="DB103" s="238"/>
      <c r="DC103" s="238"/>
      <c r="DD103" s="238"/>
      <c r="DE103" s="238"/>
      <c r="DF103" s="238"/>
      <c r="DG103" s="238"/>
      <c r="DH103" s="238"/>
      <c r="DI103" s="238"/>
      <c r="DJ103" s="238"/>
      <c r="DK103" s="238"/>
      <c r="DL103" s="238"/>
      <c r="DM103" s="238"/>
      <c r="DN103" s="238"/>
      <c r="DO103" s="238"/>
      <c r="DP103" s="238"/>
      <c r="DQ103" s="238"/>
      <c r="DR103" s="238"/>
      <c r="DS103" s="238"/>
      <c r="DT103" s="238"/>
      <c r="DU103" s="238"/>
      <c r="DV103" s="238"/>
      <c r="DW103" s="238"/>
      <c r="DX103" s="238"/>
      <c r="DY103" s="238"/>
      <c r="DZ103" s="406">
        <v>19255</v>
      </c>
      <c r="EA103" s="459" t="s">
        <v>1484</v>
      </c>
      <c r="EB103" s="406" t="s">
        <v>14634</v>
      </c>
      <c r="EC103" s="406" t="s">
        <v>13777</v>
      </c>
      <c r="ED103" s="405" t="s">
        <v>13778</v>
      </c>
      <c r="EE103" s="459" t="s">
        <v>14635</v>
      </c>
      <c r="EF103" s="405" t="s">
        <v>14636</v>
      </c>
      <c r="EG103" s="405">
        <v>21</v>
      </c>
      <c r="EH103" s="460" t="s">
        <v>13785</v>
      </c>
      <c r="EI103" s="405" t="str">
        <f>EF103&amp;", "&amp;EG103&amp;" - "&amp;EH103</f>
        <v>RUA HENRIQUE SALVATORI, 21 - CITY JARAGUÁ</v>
      </c>
      <c r="EJ103" s="461">
        <v>2998260</v>
      </c>
      <c r="EK103" s="459" t="s">
        <v>14637</v>
      </c>
      <c r="EL103" s="459"/>
      <c r="EM103" s="406" t="s">
        <v>1633</v>
      </c>
      <c r="EN103" s="406">
        <v>9754</v>
      </c>
      <c r="EO103" s="398"/>
      <c r="EP103" s="398"/>
      <c r="EQ103" s="398"/>
      <c r="ER103" s="238"/>
      <c r="ES103" s="238"/>
      <c r="ET103" s="238"/>
      <c r="EU103" s="238"/>
      <c r="EV103" s="238"/>
      <c r="EW103" s="238"/>
      <c r="EX103" s="238"/>
      <c r="EY103" s="238"/>
      <c r="EZ103" s="238"/>
      <c r="FA103" s="238"/>
      <c r="FB103" s="238"/>
      <c r="FC103" s="238"/>
      <c r="FD103" s="238"/>
      <c r="FE103" s="238"/>
      <c r="FF103" s="238"/>
      <c r="FG103" s="238"/>
      <c r="FH103" s="238"/>
      <c r="FI103" s="238"/>
      <c r="FJ103" s="238"/>
      <c r="FK103" s="238"/>
      <c r="FL103" s="238"/>
      <c r="FM103" s="238"/>
      <c r="FN103" s="238"/>
      <c r="FO103" s="238"/>
      <c r="FP103" s="238"/>
      <c r="FQ103" s="238"/>
      <c r="FR103" s="238"/>
      <c r="FS103" s="238"/>
      <c r="FT103" s="238"/>
      <c r="FU103" s="572">
        <v>27</v>
      </c>
    </row>
    <row r="104" spans="1:177" ht="18.75" customHeight="1">
      <c r="A104" s="115" t="str">
        <f t="shared" si="44"/>
        <v>QUI</v>
      </c>
      <c r="C104" s="410">
        <v>28</v>
      </c>
      <c r="D104" s="645"/>
      <c r="E104" s="644"/>
      <c r="F104" s="642"/>
      <c r="G104" s="644"/>
      <c r="H104" s="642"/>
      <c r="I104" s="644"/>
      <c r="J104" s="644"/>
      <c r="K104" s="882"/>
      <c r="L104" s="883"/>
      <c r="M104" s="640">
        <v>16</v>
      </c>
      <c r="N104" s="637"/>
      <c r="O104" s="641"/>
      <c r="P104" s="637"/>
      <c r="Q104" s="642">
        <v>16</v>
      </c>
      <c r="R104" s="643"/>
      <c r="S104" s="897"/>
      <c r="T104" s="897"/>
      <c r="U104" s="895"/>
      <c r="V104" s="896"/>
      <c r="W104" s="288"/>
      <c r="X104" s="383"/>
      <c r="Y104" s="491"/>
      <c r="Z104" s="945"/>
      <c r="AA104" s="945"/>
      <c r="AB104" s="945"/>
      <c r="AC104" s="491"/>
      <c r="AD104" s="378"/>
      <c r="AE104" s="945"/>
      <c r="AF104" s="945"/>
      <c r="AG104" s="946"/>
      <c r="AH104" s="283"/>
      <c r="AI104" s="981"/>
      <c r="AJ104" s="982"/>
      <c r="AK104" s="982"/>
      <c r="AL104" s="982"/>
      <c r="AM104" s="982"/>
      <c r="AN104" s="982"/>
      <c r="AO104" s="982"/>
      <c r="AP104" s="982"/>
      <c r="AQ104" s="982"/>
      <c r="AR104" s="982"/>
      <c r="AS104" s="982"/>
      <c r="AT104" s="982"/>
      <c r="AU104" s="982"/>
      <c r="AV104" s="982"/>
      <c r="AW104" s="982"/>
      <c r="AX104" s="982"/>
      <c r="AY104" s="982"/>
      <c r="AZ104" s="982"/>
      <c r="BA104" s="982"/>
      <c r="BB104" s="982"/>
      <c r="BC104" s="982"/>
      <c r="BD104" s="982"/>
      <c r="BE104" s="982"/>
      <c r="BF104" s="982"/>
      <c r="BG104" s="982"/>
      <c r="BH104" s="982"/>
      <c r="BI104" s="982"/>
      <c r="BJ104" s="982"/>
      <c r="BK104" s="982"/>
      <c r="BL104" s="982"/>
      <c r="BM104" s="982"/>
      <c r="BN104" s="982"/>
      <c r="BO104" s="982"/>
      <c r="BP104" s="982"/>
      <c r="BQ104" s="982"/>
      <c r="BR104" s="982"/>
      <c r="BS104" s="982"/>
      <c r="BT104" s="982"/>
      <c r="BU104" s="982"/>
      <c r="BV104" s="982"/>
      <c r="BW104" s="983"/>
      <c r="BX104" s="238"/>
      <c r="BY104" s="238"/>
      <c r="BZ104" s="544">
        <f t="shared" si="45"/>
        <v>0</v>
      </c>
      <c r="CA104" s="544">
        <f t="shared" si="46"/>
        <v>0</v>
      </c>
      <c r="CB104" s="544">
        <f t="shared" si="47"/>
        <v>0</v>
      </c>
      <c r="CC104" s="544">
        <f t="shared" si="48"/>
        <v>0</v>
      </c>
      <c r="CD104" s="544">
        <f t="shared" si="49"/>
        <v>0</v>
      </c>
      <c r="CE104" s="544">
        <f t="shared" si="50"/>
        <v>0</v>
      </c>
      <c r="CF104" s="544">
        <f t="shared" si="51"/>
        <v>0</v>
      </c>
      <c r="CG104" s="238"/>
      <c r="CH104" s="238"/>
      <c r="CI104" s="238"/>
      <c r="CJ104" s="238"/>
      <c r="CK104" s="238"/>
      <c r="CL104" s="238"/>
      <c r="CM104" s="238"/>
      <c r="CN104" s="238"/>
      <c r="CO104" s="238"/>
      <c r="CP104" s="238"/>
      <c r="CQ104" s="238"/>
      <c r="CR104" s="238"/>
      <c r="CS104" s="238"/>
      <c r="CT104" s="238"/>
      <c r="CU104" s="238"/>
      <c r="CV104" s="238"/>
      <c r="CW104" s="238"/>
      <c r="CX104" s="238"/>
      <c r="CY104" s="238"/>
      <c r="CZ104" s="238"/>
      <c r="DA104" s="238"/>
      <c r="DB104" s="238"/>
      <c r="DC104" s="238"/>
      <c r="DD104" s="238"/>
      <c r="DE104" s="238"/>
      <c r="DF104" s="238"/>
      <c r="DG104" s="238"/>
      <c r="DH104" s="238"/>
      <c r="DI104" s="238"/>
      <c r="DJ104" s="238"/>
      <c r="DK104" s="238"/>
      <c r="DL104" s="238"/>
      <c r="DM104" s="238"/>
      <c r="DN104" s="238"/>
      <c r="DO104" s="238"/>
      <c r="DP104" s="238"/>
      <c r="DQ104" s="238"/>
      <c r="DR104" s="238"/>
      <c r="DS104" s="238"/>
      <c r="DT104" s="238"/>
      <c r="DU104" s="238"/>
      <c r="DV104" s="238"/>
      <c r="DW104" s="238"/>
      <c r="DX104" s="238"/>
      <c r="DY104" s="238"/>
      <c r="DZ104" s="406">
        <v>19258</v>
      </c>
      <c r="EA104" s="406" t="s">
        <v>1484</v>
      </c>
      <c r="EB104" s="406" t="s">
        <v>1515</v>
      </c>
      <c r="EC104" s="406" t="s">
        <v>1486</v>
      </c>
      <c r="ED104" s="406" t="s">
        <v>161</v>
      </c>
      <c r="EE104" s="406" t="s">
        <v>13874</v>
      </c>
      <c r="EF104" s="406" t="s">
        <v>1516</v>
      </c>
      <c r="EG104" s="406">
        <v>101</v>
      </c>
      <c r="EH104" s="406" t="s">
        <v>1517</v>
      </c>
      <c r="EI104" s="406" t="s">
        <v>1518</v>
      </c>
      <c r="EJ104" s="406" t="s">
        <v>2084</v>
      </c>
      <c r="EK104" s="406" t="s">
        <v>13875</v>
      </c>
      <c r="EL104" s="406"/>
      <c r="EM104" s="406" t="s">
        <v>1669</v>
      </c>
      <c r="EN104" s="406">
        <v>9914</v>
      </c>
      <c r="EO104" s="398"/>
      <c r="EP104" s="398"/>
      <c r="EQ104" s="398"/>
      <c r="ER104" s="238"/>
      <c r="ES104" s="238"/>
      <c r="ET104" s="238"/>
      <c r="EU104" s="238"/>
      <c r="EV104" s="238"/>
      <c r="EW104" s="238"/>
      <c r="EX104" s="238"/>
      <c r="EY104" s="238"/>
      <c r="EZ104" s="238"/>
      <c r="FA104" s="238"/>
      <c r="FB104" s="238"/>
      <c r="FC104" s="238"/>
      <c r="FD104" s="238"/>
      <c r="FE104" s="238"/>
      <c r="FF104" s="238"/>
      <c r="FG104" s="238"/>
      <c r="FH104" s="238"/>
      <c r="FI104" s="238"/>
      <c r="FJ104" s="238"/>
      <c r="FK104" s="238"/>
      <c r="FL104" s="238"/>
      <c r="FM104" s="238"/>
      <c r="FN104" s="238"/>
      <c r="FO104" s="238"/>
      <c r="FP104" s="238"/>
      <c r="FQ104" s="238"/>
      <c r="FR104" s="238"/>
      <c r="FS104" s="238"/>
      <c r="FT104" s="238"/>
      <c r="FU104" s="572">
        <v>28</v>
      </c>
    </row>
    <row r="105" spans="1:177" ht="18.75" customHeight="1">
      <c r="A105" s="115" t="str">
        <f t="shared" si="44"/>
        <v>SEX</v>
      </c>
      <c r="C105" s="446">
        <v>29</v>
      </c>
      <c r="D105" s="645"/>
      <c r="E105" s="647"/>
      <c r="F105" s="642"/>
      <c r="G105" s="647"/>
      <c r="H105" s="642"/>
      <c r="I105" s="647"/>
      <c r="J105" s="647"/>
      <c r="K105" s="882"/>
      <c r="L105" s="883"/>
      <c r="M105" s="640">
        <v>0</v>
      </c>
      <c r="N105" s="637"/>
      <c r="O105" s="641"/>
      <c r="P105" s="641"/>
      <c r="Q105" s="642">
        <v>0</v>
      </c>
      <c r="R105" s="646"/>
      <c r="S105" s="902"/>
      <c r="T105" s="902"/>
      <c r="U105" s="900"/>
      <c r="V105" s="901"/>
      <c r="W105" s="289"/>
      <c r="X105" s="383"/>
      <c r="Y105" s="491"/>
      <c r="Z105" s="945"/>
      <c r="AA105" s="945"/>
      <c r="AB105" s="945"/>
      <c r="AC105" s="491"/>
      <c r="AD105" s="378"/>
      <c r="AE105" s="945"/>
      <c r="AF105" s="945"/>
      <c r="AG105" s="946"/>
      <c r="AH105" s="283"/>
      <c r="AI105" s="981" t="s">
        <v>14836</v>
      </c>
      <c r="AJ105" s="982"/>
      <c r="AK105" s="982"/>
      <c r="AL105" s="982"/>
      <c r="AM105" s="982"/>
      <c r="AN105" s="982"/>
      <c r="AO105" s="982"/>
      <c r="AP105" s="982"/>
      <c r="AQ105" s="982"/>
      <c r="AR105" s="982"/>
      <c r="AS105" s="982"/>
      <c r="AT105" s="982"/>
      <c r="AU105" s="982"/>
      <c r="AV105" s="982"/>
      <c r="AW105" s="982"/>
      <c r="AX105" s="982"/>
      <c r="AY105" s="982"/>
      <c r="AZ105" s="982"/>
      <c r="BA105" s="982"/>
      <c r="BB105" s="982"/>
      <c r="BC105" s="982"/>
      <c r="BD105" s="982"/>
      <c r="BE105" s="982"/>
      <c r="BF105" s="982"/>
      <c r="BG105" s="982"/>
      <c r="BH105" s="982"/>
      <c r="BI105" s="982"/>
      <c r="BJ105" s="982"/>
      <c r="BK105" s="982"/>
      <c r="BL105" s="982"/>
      <c r="BM105" s="982"/>
      <c r="BN105" s="982"/>
      <c r="BO105" s="982"/>
      <c r="BP105" s="982"/>
      <c r="BQ105" s="982"/>
      <c r="BR105" s="982"/>
      <c r="BS105" s="982"/>
      <c r="BT105" s="982"/>
      <c r="BU105" s="982"/>
      <c r="BV105" s="982"/>
      <c r="BW105" s="983"/>
      <c r="BX105" s="238"/>
      <c r="BY105" s="238"/>
      <c r="BZ105" s="544">
        <f t="shared" si="45"/>
        <v>0</v>
      </c>
      <c r="CA105" s="544">
        <f t="shared" si="46"/>
        <v>0</v>
      </c>
      <c r="CB105" s="544">
        <f t="shared" si="47"/>
        <v>0</v>
      </c>
      <c r="CC105" s="544">
        <f t="shared" si="48"/>
        <v>0</v>
      </c>
      <c r="CD105" s="544">
        <f t="shared" si="49"/>
        <v>0</v>
      </c>
      <c r="CE105" s="544">
        <f t="shared" si="50"/>
        <v>0</v>
      </c>
      <c r="CF105" s="544">
        <f t="shared" si="51"/>
        <v>0</v>
      </c>
      <c r="CG105" s="238"/>
      <c r="CH105" s="238"/>
      <c r="CI105" s="238"/>
      <c r="CJ105" s="238"/>
      <c r="CK105" s="238"/>
      <c r="CL105" s="238"/>
      <c r="CM105" s="238"/>
      <c r="CN105" s="238"/>
      <c r="CO105" s="238"/>
      <c r="CP105" s="238"/>
      <c r="CQ105" s="238"/>
      <c r="CR105" s="238"/>
      <c r="CS105" s="238"/>
      <c r="CT105" s="238"/>
      <c r="CU105" s="238"/>
      <c r="CV105" s="238"/>
      <c r="CW105" s="238"/>
      <c r="CX105" s="238"/>
      <c r="CY105" s="238"/>
      <c r="CZ105" s="238"/>
      <c r="DA105" s="238"/>
      <c r="DB105" s="238"/>
      <c r="DC105" s="238"/>
      <c r="DD105" s="238"/>
      <c r="DE105" s="238"/>
      <c r="DF105" s="238"/>
      <c r="DG105" s="238"/>
      <c r="DH105" s="238"/>
      <c r="DI105" s="238"/>
      <c r="DJ105" s="238"/>
      <c r="DK105" s="238"/>
      <c r="DL105" s="238"/>
      <c r="DM105" s="238"/>
      <c r="DN105" s="238"/>
      <c r="DO105" s="238"/>
      <c r="DP105" s="238"/>
      <c r="DQ105" s="238"/>
      <c r="DR105" s="238"/>
      <c r="DS105" s="238"/>
      <c r="DT105" s="238"/>
      <c r="DU105" s="238"/>
      <c r="DV105" s="238"/>
      <c r="DW105" s="238"/>
      <c r="DX105" s="238"/>
      <c r="DY105" s="238"/>
      <c r="DZ105" s="406">
        <v>19259</v>
      </c>
      <c r="EA105" s="406" t="s">
        <v>1484</v>
      </c>
      <c r="EB105" s="406" t="s">
        <v>2085</v>
      </c>
      <c r="EC105" s="406" t="s">
        <v>1661</v>
      </c>
      <c r="ED105" s="459" t="s">
        <v>13771</v>
      </c>
      <c r="EE105" s="406" t="s">
        <v>14059</v>
      </c>
      <c r="EF105" s="406" t="s">
        <v>2086</v>
      </c>
      <c r="EG105" s="406">
        <v>107</v>
      </c>
      <c r="EH105" s="406" t="s">
        <v>2087</v>
      </c>
      <c r="EI105" s="406" t="s">
        <v>2088</v>
      </c>
      <c r="EJ105" s="406" t="s">
        <v>2089</v>
      </c>
      <c r="EK105" s="406" t="s">
        <v>14060</v>
      </c>
      <c r="EL105" s="406" t="s">
        <v>2090</v>
      </c>
      <c r="EM105" s="406" t="s">
        <v>1669</v>
      </c>
      <c r="EN105" s="406">
        <v>9300</v>
      </c>
      <c r="EO105" s="398"/>
      <c r="EP105" s="398"/>
      <c r="EQ105" s="398"/>
      <c r="ER105" s="238"/>
      <c r="ES105" s="238"/>
      <c r="ET105" s="238"/>
      <c r="EU105" s="238"/>
      <c r="EV105" s="238"/>
      <c r="EW105" s="238"/>
      <c r="EX105" s="238"/>
      <c r="EY105" s="238"/>
      <c r="EZ105" s="238"/>
      <c r="FA105" s="238"/>
      <c r="FB105" s="238"/>
      <c r="FC105" s="238"/>
      <c r="FD105" s="238"/>
      <c r="FE105" s="238"/>
      <c r="FF105" s="238"/>
      <c r="FG105" s="238"/>
      <c r="FH105" s="238"/>
      <c r="FI105" s="238"/>
      <c r="FJ105" s="238"/>
      <c r="FK105" s="238"/>
      <c r="FL105" s="238"/>
      <c r="FM105" s="238"/>
      <c r="FN105" s="238"/>
      <c r="FO105" s="238"/>
      <c r="FP105" s="238"/>
      <c r="FQ105" s="238"/>
      <c r="FR105" s="238"/>
      <c r="FS105" s="238"/>
      <c r="FT105" s="238"/>
      <c r="FU105" s="572">
        <v>29</v>
      </c>
    </row>
    <row r="106" spans="1:177" ht="18.75" customHeight="1">
      <c r="A106" s="115" t="str">
        <f t="shared" si="44"/>
        <v>SAB</v>
      </c>
      <c r="C106" s="412">
        <v>30</v>
      </c>
      <c r="D106" s="877"/>
      <c r="E106" s="878"/>
      <c r="F106" s="880"/>
      <c r="G106" s="878"/>
      <c r="H106" s="880"/>
      <c r="I106" s="878"/>
      <c r="J106" s="878"/>
      <c r="K106" s="882"/>
      <c r="L106" s="883"/>
      <c r="M106" s="638"/>
      <c r="N106" s="639"/>
      <c r="O106" s="1007"/>
      <c r="P106" s="639"/>
      <c r="Q106" s="880"/>
      <c r="R106" s="1009"/>
      <c r="S106" s="908"/>
      <c r="T106" s="908"/>
      <c r="U106" s="906"/>
      <c r="V106" s="907"/>
      <c r="W106" s="290"/>
      <c r="X106" s="383"/>
      <c r="Y106" s="491"/>
      <c r="Z106" s="945"/>
      <c r="AA106" s="945"/>
      <c r="AB106" s="945"/>
      <c r="AC106" s="491"/>
      <c r="AD106" s="378"/>
      <c r="AE106" s="945"/>
      <c r="AF106" s="945"/>
      <c r="AG106" s="946"/>
      <c r="AH106" s="307"/>
      <c r="AI106" s="981"/>
      <c r="AJ106" s="982"/>
      <c r="AK106" s="982"/>
      <c r="AL106" s="982"/>
      <c r="AM106" s="982"/>
      <c r="AN106" s="982"/>
      <c r="AO106" s="982"/>
      <c r="AP106" s="982"/>
      <c r="AQ106" s="982"/>
      <c r="AR106" s="982"/>
      <c r="AS106" s="982"/>
      <c r="AT106" s="982"/>
      <c r="AU106" s="982"/>
      <c r="AV106" s="982"/>
      <c r="AW106" s="982"/>
      <c r="AX106" s="982"/>
      <c r="AY106" s="982"/>
      <c r="AZ106" s="982"/>
      <c r="BA106" s="982"/>
      <c r="BB106" s="982"/>
      <c r="BC106" s="982"/>
      <c r="BD106" s="982"/>
      <c r="BE106" s="982"/>
      <c r="BF106" s="982"/>
      <c r="BG106" s="982"/>
      <c r="BH106" s="982"/>
      <c r="BI106" s="982"/>
      <c r="BJ106" s="982"/>
      <c r="BK106" s="982"/>
      <c r="BL106" s="982"/>
      <c r="BM106" s="982"/>
      <c r="BN106" s="982"/>
      <c r="BO106" s="982"/>
      <c r="BP106" s="982"/>
      <c r="BQ106" s="982"/>
      <c r="BR106" s="982"/>
      <c r="BS106" s="982"/>
      <c r="BT106" s="982"/>
      <c r="BU106" s="982"/>
      <c r="BV106" s="982"/>
      <c r="BW106" s="983"/>
      <c r="BX106" s="238"/>
      <c r="BY106" s="238"/>
      <c r="BZ106" s="544">
        <f t="shared" si="45"/>
        <v>0</v>
      </c>
      <c r="CA106" s="544">
        <f t="shared" si="46"/>
        <v>0</v>
      </c>
      <c r="CB106" s="544">
        <f t="shared" si="47"/>
        <v>0</v>
      </c>
      <c r="CC106" s="544">
        <f t="shared" si="48"/>
        <v>0</v>
      </c>
      <c r="CD106" s="544">
        <f t="shared" si="49"/>
        <v>0</v>
      </c>
      <c r="CE106" s="544">
        <f t="shared" si="50"/>
        <v>0</v>
      </c>
      <c r="CF106" s="544">
        <f t="shared" si="51"/>
        <v>0</v>
      </c>
      <c r="CG106" s="238"/>
      <c r="CH106" s="238"/>
      <c r="CI106" s="238"/>
      <c r="CJ106" s="238"/>
      <c r="CK106" s="238"/>
      <c r="CL106" s="238"/>
      <c r="CM106" s="238"/>
      <c r="CN106" s="238"/>
      <c r="CO106" s="238"/>
      <c r="CP106" s="238"/>
      <c r="CQ106" s="238"/>
      <c r="CR106" s="238"/>
      <c r="CS106" s="238"/>
      <c r="CT106" s="238"/>
      <c r="CU106" s="238"/>
      <c r="CV106" s="238"/>
      <c r="CW106" s="238"/>
      <c r="CX106" s="238"/>
      <c r="CY106" s="238"/>
      <c r="CZ106" s="238"/>
      <c r="DA106" s="238"/>
      <c r="DB106" s="238"/>
      <c r="DC106" s="238"/>
      <c r="DD106" s="238"/>
      <c r="DE106" s="238"/>
      <c r="DF106" s="238"/>
      <c r="DG106" s="238"/>
      <c r="DH106" s="238"/>
      <c r="DI106" s="238"/>
      <c r="DJ106" s="238"/>
      <c r="DK106" s="238"/>
      <c r="DL106" s="238"/>
      <c r="DM106" s="238"/>
      <c r="DN106" s="238"/>
      <c r="DO106" s="238"/>
      <c r="DP106" s="238"/>
      <c r="DQ106" s="238"/>
      <c r="DR106" s="238"/>
      <c r="DS106" s="238"/>
      <c r="DT106" s="238"/>
      <c r="DU106" s="238"/>
      <c r="DV106" s="238"/>
      <c r="DW106" s="238"/>
      <c r="DX106" s="238"/>
      <c r="DY106" s="238"/>
      <c r="DZ106" s="406">
        <v>19280</v>
      </c>
      <c r="EA106" s="406" t="s">
        <v>3387</v>
      </c>
      <c r="EB106" s="406" t="s">
        <v>3403</v>
      </c>
      <c r="EC106" s="406" t="s">
        <v>1812</v>
      </c>
      <c r="ED106" s="406" t="s">
        <v>1813</v>
      </c>
      <c r="EE106" s="406" t="s">
        <v>3404</v>
      </c>
      <c r="EF106" s="406" t="s">
        <v>3405</v>
      </c>
      <c r="EG106" s="406" t="s">
        <v>46</v>
      </c>
      <c r="EH106" s="406" t="s">
        <v>3406</v>
      </c>
      <c r="EI106" s="406" t="s">
        <v>3407</v>
      </c>
      <c r="EJ106" s="406" t="s">
        <v>3408</v>
      </c>
      <c r="EK106" s="406" t="s">
        <v>3409</v>
      </c>
      <c r="EL106" s="406" t="s">
        <v>3409</v>
      </c>
      <c r="EM106" s="406" t="s">
        <v>14767</v>
      </c>
      <c r="EN106" s="406">
        <v>9946</v>
      </c>
      <c r="EO106" s="398"/>
      <c r="EP106" s="398"/>
      <c r="EQ106" s="398"/>
      <c r="ER106" s="238"/>
      <c r="ES106" s="238"/>
      <c r="ET106" s="238"/>
      <c r="EU106" s="238"/>
      <c r="EV106" s="238"/>
      <c r="EW106" s="238"/>
      <c r="EX106" s="238"/>
      <c r="EY106" s="238"/>
      <c r="EZ106" s="238"/>
      <c r="FA106" s="238"/>
      <c r="FB106" s="238"/>
      <c r="FC106" s="238"/>
      <c r="FD106" s="238"/>
      <c r="FE106" s="238"/>
      <c r="FF106" s="238"/>
      <c r="FG106" s="238"/>
      <c r="FH106" s="238"/>
      <c r="FI106" s="238"/>
      <c r="FJ106" s="238"/>
      <c r="FK106" s="238"/>
      <c r="FL106" s="238"/>
      <c r="FM106" s="238"/>
      <c r="FN106" s="238"/>
      <c r="FO106" s="238"/>
      <c r="FP106" s="238"/>
      <c r="FQ106" s="238"/>
      <c r="FR106" s="238"/>
      <c r="FS106" s="238"/>
      <c r="FT106" s="238"/>
      <c r="FU106" s="572">
        <v>30</v>
      </c>
    </row>
    <row r="107" spans="1:177" ht="18.75" customHeight="1" thickBot="1">
      <c r="A107" s="115" t="str">
        <f t="shared" si="44"/>
        <v>DOM</v>
      </c>
      <c r="C107" s="413">
        <v>31</v>
      </c>
      <c r="D107" s="875"/>
      <c r="E107" s="876"/>
      <c r="F107" s="879"/>
      <c r="G107" s="876"/>
      <c r="H107" s="879"/>
      <c r="I107" s="876"/>
      <c r="J107" s="876"/>
      <c r="K107" s="888"/>
      <c r="L107" s="889"/>
      <c r="M107" s="875"/>
      <c r="N107" s="876"/>
      <c r="O107" s="879"/>
      <c r="P107" s="876"/>
      <c r="Q107" s="879"/>
      <c r="R107" s="898"/>
      <c r="S107" s="905"/>
      <c r="T107" s="905"/>
      <c r="U107" s="903"/>
      <c r="V107" s="904"/>
      <c r="W107" s="293"/>
      <c r="X107" s="383"/>
      <c r="Y107" s="491"/>
      <c r="Z107" s="945"/>
      <c r="AA107" s="945"/>
      <c r="AB107" s="945"/>
      <c r="AC107" s="491"/>
      <c r="AD107" s="378"/>
      <c r="AE107" s="945"/>
      <c r="AF107" s="945"/>
      <c r="AG107" s="946"/>
      <c r="AH107" s="294"/>
      <c r="AI107" s="985"/>
      <c r="AJ107" s="986"/>
      <c r="AK107" s="986"/>
      <c r="AL107" s="986"/>
      <c r="AM107" s="986"/>
      <c r="AN107" s="986"/>
      <c r="AO107" s="986"/>
      <c r="AP107" s="986"/>
      <c r="AQ107" s="986"/>
      <c r="AR107" s="986"/>
      <c r="AS107" s="986"/>
      <c r="AT107" s="986"/>
      <c r="AU107" s="986"/>
      <c r="AV107" s="986"/>
      <c r="AW107" s="986"/>
      <c r="AX107" s="986"/>
      <c r="AY107" s="986"/>
      <c r="AZ107" s="986"/>
      <c r="BA107" s="986"/>
      <c r="BB107" s="986"/>
      <c r="BC107" s="986"/>
      <c r="BD107" s="986"/>
      <c r="BE107" s="986"/>
      <c r="BF107" s="986"/>
      <c r="BG107" s="986"/>
      <c r="BH107" s="986"/>
      <c r="BI107" s="986"/>
      <c r="BJ107" s="986"/>
      <c r="BK107" s="986"/>
      <c r="BL107" s="986"/>
      <c r="BM107" s="986"/>
      <c r="BN107" s="986"/>
      <c r="BO107" s="986"/>
      <c r="BP107" s="986"/>
      <c r="BQ107" s="986"/>
      <c r="BR107" s="986"/>
      <c r="BS107" s="986"/>
      <c r="BT107" s="986"/>
      <c r="BU107" s="986"/>
      <c r="BV107" s="986"/>
      <c r="BW107" s="987"/>
      <c r="BX107" s="238"/>
      <c r="BY107" s="238"/>
      <c r="BZ107" s="544">
        <f t="shared" si="45"/>
        <v>0</v>
      </c>
      <c r="CA107" s="544">
        <f t="shared" si="46"/>
        <v>0</v>
      </c>
      <c r="CB107" s="544">
        <f t="shared" si="47"/>
        <v>0</v>
      </c>
      <c r="CC107" s="544">
        <f t="shared" si="48"/>
        <v>0</v>
      </c>
      <c r="CD107" s="544">
        <f t="shared" si="49"/>
        <v>0</v>
      </c>
      <c r="CE107" s="544">
        <f t="shared" si="50"/>
        <v>0</v>
      </c>
      <c r="CF107" s="544">
        <f t="shared" si="51"/>
        <v>0</v>
      </c>
      <c r="CG107" s="238"/>
      <c r="CH107" s="238"/>
      <c r="CI107" s="238"/>
      <c r="CJ107" s="238"/>
      <c r="CK107" s="238"/>
      <c r="CL107" s="238"/>
      <c r="CM107" s="238"/>
      <c r="CN107" s="238"/>
      <c r="CO107" s="238"/>
      <c r="CP107" s="238"/>
      <c r="CQ107" s="238"/>
      <c r="CR107" s="238"/>
      <c r="CS107" s="238"/>
      <c r="CT107" s="238"/>
      <c r="CU107" s="238"/>
      <c r="CV107" s="238"/>
      <c r="CW107" s="238"/>
      <c r="CX107" s="238"/>
      <c r="CY107" s="238"/>
      <c r="CZ107" s="238"/>
      <c r="DA107" s="238"/>
      <c r="DB107" s="238"/>
      <c r="DC107" s="238"/>
      <c r="DD107" s="238"/>
      <c r="DE107" s="238"/>
      <c r="DF107" s="238"/>
      <c r="DG107" s="238"/>
      <c r="DH107" s="238"/>
      <c r="DI107" s="238"/>
      <c r="DJ107" s="238"/>
      <c r="DK107" s="238"/>
      <c r="DL107" s="238"/>
      <c r="DM107" s="238"/>
      <c r="DN107" s="238"/>
      <c r="DO107" s="238"/>
      <c r="DP107" s="238"/>
      <c r="DQ107" s="238"/>
      <c r="DR107" s="238"/>
      <c r="DS107" s="238"/>
      <c r="DT107" s="238"/>
      <c r="DU107" s="238"/>
      <c r="DV107" s="238"/>
      <c r="DW107" s="238"/>
      <c r="DX107" s="238"/>
      <c r="DY107" s="238"/>
      <c r="DZ107" s="406">
        <v>19284</v>
      </c>
      <c r="EA107" s="406" t="s">
        <v>3387</v>
      </c>
      <c r="EB107" s="406" t="s">
        <v>3410</v>
      </c>
      <c r="EC107" s="406" t="s">
        <v>1617</v>
      </c>
      <c r="ED107" s="406" t="s">
        <v>1618</v>
      </c>
      <c r="EE107" s="406" t="s">
        <v>13824</v>
      </c>
      <c r="EF107" s="406" t="s">
        <v>3411</v>
      </c>
      <c r="EG107" s="406" t="s">
        <v>46</v>
      </c>
      <c r="EH107" s="406" t="s">
        <v>1676</v>
      </c>
      <c r="EI107" s="406" t="s">
        <v>3412</v>
      </c>
      <c r="EJ107" s="406" t="s">
        <v>3413</v>
      </c>
      <c r="EK107" s="406" t="s">
        <v>13825</v>
      </c>
      <c r="EL107" s="406" t="s">
        <v>3414</v>
      </c>
      <c r="EM107" s="406" t="s">
        <v>1624</v>
      </c>
      <c r="EN107" s="406">
        <v>9905</v>
      </c>
      <c r="EO107" s="398"/>
      <c r="EP107" s="398"/>
      <c r="EQ107" s="398"/>
      <c r="ER107" s="238"/>
      <c r="ES107" s="238"/>
      <c r="ET107" s="238"/>
      <c r="EU107" s="238"/>
      <c r="EV107" s="238"/>
      <c r="EW107" s="238"/>
      <c r="EX107" s="238"/>
      <c r="EY107" s="238"/>
      <c r="EZ107" s="238"/>
      <c r="FA107" s="238"/>
      <c r="FB107" s="238"/>
      <c r="FC107" s="238"/>
      <c r="FD107" s="238"/>
      <c r="FE107" s="238"/>
      <c r="FF107" s="238"/>
      <c r="FG107" s="238"/>
      <c r="FH107" s="238"/>
      <c r="FI107" s="238"/>
      <c r="FJ107" s="238"/>
      <c r="FK107" s="238"/>
      <c r="FL107" s="238"/>
      <c r="FM107" s="238"/>
      <c r="FN107" s="238"/>
      <c r="FO107" s="238"/>
      <c r="FP107" s="238"/>
      <c r="FQ107" s="238"/>
      <c r="FR107" s="238"/>
      <c r="FS107" s="238"/>
      <c r="FT107" s="238"/>
      <c r="FU107" s="573">
        <v>31</v>
      </c>
    </row>
    <row r="108" spans="1:177" ht="21.75" customHeight="1" thickBot="1">
      <c r="C108" s="408" t="s">
        <v>47</v>
      </c>
      <c r="D108" s="890">
        <f>SUM(D76:D107)</f>
        <v>0</v>
      </c>
      <c r="E108" s="891"/>
      <c r="F108" s="891">
        <f>SUM(F76:F107)</f>
        <v>0</v>
      </c>
      <c r="G108" s="891"/>
      <c r="H108" s="892">
        <f>SUM(H76:H107)</f>
        <v>0</v>
      </c>
      <c r="I108" s="891"/>
      <c r="J108" s="891"/>
      <c r="K108" s="891">
        <f>SUM(K76:K107)</f>
        <v>0</v>
      </c>
      <c r="L108" s="893"/>
      <c r="M108" s="890">
        <f>SUM(M76:M107)</f>
        <v>332</v>
      </c>
      <c r="N108" s="891"/>
      <c r="O108" s="891">
        <f>SUM(O76:O107)</f>
        <v>0</v>
      </c>
      <c r="P108" s="891"/>
      <c r="Q108" s="891">
        <f>SUM(Q76:Q107)</f>
        <v>332</v>
      </c>
      <c r="R108" s="899"/>
      <c r="S108" s="912">
        <f>SUM(S76:S107)</f>
        <v>0</v>
      </c>
      <c r="T108" s="912"/>
      <c r="U108" s="913">
        <f>SUM(U76:U107)</f>
        <v>0</v>
      </c>
      <c r="V108" s="914"/>
      <c r="W108" s="157">
        <f t="shared" ref="W108" si="52">SUM(W77:W107)</f>
        <v>0</v>
      </c>
      <c r="X108" s="384">
        <f>SUM(X76:X107)</f>
        <v>0</v>
      </c>
      <c r="Y108" s="492">
        <f t="shared" ref="Y108" si="53">SUM(Y77:Y107)</f>
        <v>0</v>
      </c>
      <c r="Z108" s="950">
        <v>0</v>
      </c>
      <c r="AA108" s="950"/>
      <c r="AB108" s="950"/>
      <c r="AC108" s="492">
        <f t="shared" ref="AC108" si="54">SUM(AC77:AC107)</f>
        <v>0</v>
      </c>
      <c r="AD108" s="385"/>
      <c r="AE108" s="950">
        <v>0</v>
      </c>
      <c r="AF108" s="950"/>
      <c r="AG108" s="951"/>
      <c r="AH108" s="157">
        <f t="shared" ref="AH108" si="55">SUM(AH77:AH107)</f>
        <v>0</v>
      </c>
      <c r="AI108" s="988"/>
      <c r="AJ108" s="988"/>
      <c r="AK108" s="988"/>
      <c r="AL108" s="988"/>
      <c r="AM108" s="988"/>
      <c r="AN108" s="988"/>
      <c r="AO108" s="988"/>
      <c r="AP108" s="988"/>
      <c r="AQ108" s="988"/>
      <c r="AR108" s="988"/>
      <c r="AS108" s="988"/>
      <c r="AT108" s="988"/>
      <c r="AU108" s="988"/>
      <c r="AV108" s="988"/>
      <c r="AW108" s="988"/>
      <c r="AX108" s="988"/>
      <c r="AY108" s="988"/>
      <c r="AZ108" s="988"/>
      <c r="BA108" s="988"/>
      <c r="BB108" s="988"/>
      <c r="BC108" s="988"/>
      <c r="BD108" s="988"/>
      <c r="BE108" s="988"/>
      <c r="BF108" s="988"/>
      <c r="BG108" s="988"/>
      <c r="BH108" s="988"/>
      <c r="BI108" s="988"/>
      <c r="BJ108" s="988"/>
      <c r="BK108" s="988"/>
      <c r="BL108" s="988"/>
      <c r="BM108" s="988"/>
      <c r="BN108" s="988"/>
      <c r="BO108" s="988"/>
      <c r="BP108" s="988"/>
      <c r="BQ108" s="988"/>
      <c r="BR108" s="988"/>
      <c r="BS108" s="988"/>
      <c r="BT108" s="988"/>
      <c r="BU108" s="988"/>
      <c r="BV108" s="988"/>
      <c r="BW108" s="988"/>
      <c r="BZ108" s="326">
        <f>SUM(BZ76:BZ107)</f>
        <v>0</v>
      </c>
      <c r="CA108" s="326">
        <f t="shared" ref="CA108:CF108" si="56">SUM(CA76:CA107)</f>
        <v>0</v>
      </c>
      <c r="CB108" s="326">
        <f t="shared" si="56"/>
        <v>0</v>
      </c>
      <c r="CC108" s="326">
        <f t="shared" si="56"/>
        <v>0</v>
      </c>
      <c r="CD108" s="326">
        <f t="shared" si="56"/>
        <v>0</v>
      </c>
      <c r="CE108" s="326">
        <f t="shared" si="56"/>
        <v>0</v>
      </c>
      <c r="CF108" s="326">
        <f t="shared" si="56"/>
        <v>0</v>
      </c>
      <c r="DZ108" s="372">
        <v>19285</v>
      </c>
      <c r="EA108" s="372" t="s">
        <v>3387</v>
      </c>
      <c r="EB108" s="372" t="s">
        <v>3415</v>
      </c>
      <c r="EC108" s="372" t="s">
        <v>1617</v>
      </c>
      <c r="ED108" s="372" t="s">
        <v>1618</v>
      </c>
      <c r="EE108" s="372" t="s">
        <v>13827</v>
      </c>
      <c r="EF108" s="372" t="s">
        <v>3416</v>
      </c>
      <c r="EG108" s="372">
        <v>60</v>
      </c>
      <c r="EH108" s="372" t="s">
        <v>1617</v>
      </c>
      <c r="EI108" s="372" t="s">
        <v>3417</v>
      </c>
      <c r="EJ108" s="372" t="s">
        <v>3418</v>
      </c>
      <c r="EK108" s="372" t="s">
        <v>13828</v>
      </c>
      <c r="EL108" s="372" t="s">
        <v>3419</v>
      </c>
      <c r="EM108" s="372" t="s">
        <v>1624</v>
      </c>
      <c r="EN108" s="372">
        <v>9854</v>
      </c>
      <c r="EP108" s="369"/>
      <c r="EQ108" s="369"/>
      <c r="FU108" s="390" t="s">
        <v>47</v>
      </c>
    </row>
    <row r="109" spans="1:177" ht="41.25" customHeight="1" thickBot="1">
      <c r="C109" s="146">
        <v>4</v>
      </c>
      <c r="D109" s="785" t="s">
        <v>112</v>
      </c>
      <c r="E109" s="786"/>
      <c r="F109" s="786"/>
      <c r="G109" s="786"/>
      <c r="H109" s="787"/>
      <c r="I109" s="786"/>
      <c r="J109" s="786"/>
      <c r="K109" s="786"/>
      <c r="L109" s="786"/>
      <c r="M109" s="786"/>
      <c r="N109" s="786"/>
      <c r="O109" s="786"/>
      <c r="P109" s="786"/>
      <c r="Q109" s="786"/>
      <c r="R109" s="786"/>
      <c r="S109" s="788"/>
      <c r="T109" s="788"/>
      <c r="U109" s="789"/>
      <c r="V109" s="788"/>
      <c r="W109" s="788"/>
      <c r="X109" s="786"/>
      <c r="Y109" s="786"/>
      <c r="Z109" s="790"/>
      <c r="AA109" s="156"/>
      <c r="AB109" s="156"/>
      <c r="AC109" s="156"/>
      <c r="AD109" s="156"/>
      <c r="AE109" s="791" t="s">
        <v>129</v>
      </c>
      <c r="AF109" s="792"/>
      <c r="AG109" s="792"/>
      <c r="AH109" s="793"/>
      <c r="AI109" s="793"/>
      <c r="AJ109" s="793"/>
      <c r="AK109" s="793"/>
      <c r="AL109" s="793"/>
      <c r="AM109" s="793"/>
      <c r="AN109" s="793"/>
      <c r="AO109" s="793"/>
      <c r="AP109" s="793"/>
      <c r="AQ109" s="793"/>
      <c r="AR109" s="793"/>
      <c r="AS109" s="793"/>
      <c r="AT109" s="793"/>
      <c r="AU109" s="794"/>
      <c r="AV109" s="156"/>
      <c r="AW109" s="156"/>
      <c r="AX109" s="156"/>
      <c r="AY109" s="795" t="s">
        <v>128</v>
      </c>
      <c r="AZ109" s="793"/>
      <c r="BA109" s="793"/>
      <c r="BB109" s="793"/>
      <c r="BC109" s="793"/>
      <c r="BD109" s="793"/>
      <c r="BE109" s="793"/>
      <c r="BF109" s="793"/>
      <c r="BG109" s="793"/>
      <c r="BH109" s="793"/>
      <c r="BI109" s="793"/>
      <c r="BJ109" s="793"/>
      <c r="BK109" s="793"/>
      <c r="BL109" s="793"/>
      <c r="BM109" s="793"/>
      <c r="BN109" s="793"/>
      <c r="BO109" s="793"/>
      <c r="BP109" s="793"/>
      <c r="BQ109" s="793"/>
      <c r="BR109" s="793"/>
      <c r="BS109" s="793"/>
      <c r="BT109" s="793"/>
      <c r="BU109" s="793"/>
      <c r="BV109" s="793"/>
      <c r="BW109" s="794"/>
      <c r="DZ109" s="372">
        <v>19287</v>
      </c>
      <c r="EA109" s="372" t="s">
        <v>3387</v>
      </c>
      <c r="EB109" s="372" t="s">
        <v>3420</v>
      </c>
      <c r="EC109" s="372" t="s">
        <v>1486</v>
      </c>
      <c r="ED109" s="372" t="s">
        <v>161</v>
      </c>
      <c r="EE109" s="372" t="s">
        <v>13809</v>
      </c>
      <c r="EF109" s="372" t="s">
        <v>3421</v>
      </c>
      <c r="EG109" s="372" t="s">
        <v>46</v>
      </c>
      <c r="EH109" s="372" t="s">
        <v>1519</v>
      </c>
      <c r="EI109" s="372" t="s">
        <v>3422</v>
      </c>
      <c r="EJ109" s="372" t="s">
        <v>3423</v>
      </c>
      <c r="EK109" s="372" t="s">
        <v>13810</v>
      </c>
      <c r="EL109" s="372"/>
      <c r="EM109" s="372" t="s">
        <v>1669</v>
      </c>
      <c r="EN109" s="372">
        <v>9903</v>
      </c>
      <c r="EO109" s="369"/>
      <c r="EP109" s="369"/>
      <c r="EQ109" s="369"/>
    </row>
    <row r="110" spans="1:177" ht="32.25" customHeight="1" thickBot="1">
      <c r="C110" s="744" t="s">
        <v>110</v>
      </c>
      <c r="D110" s="745"/>
      <c r="E110" s="745"/>
      <c r="F110" s="746"/>
      <c r="G110" s="745"/>
      <c r="H110" s="753" t="s">
        <v>14837</v>
      </c>
      <c r="I110" s="754"/>
      <c r="J110" s="754"/>
      <c r="K110" s="754"/>
      <c r="L110" s="754"/>
      <c r="M110" s="754"/>
      <c r="N110" s="754"/>
      <c r="O110" s="754"/>
      <c r="P110" s="755"/>
      <c r="Q110" s="754"/>
      <c r="R110" s="754"/>
      <c r="S110" s="754"/>
      <c r="T110" s="243" t="s">
        <v>111</v>
      </c>
      <c r="U110" s="766" t="s">
        <v>14838</v>
      </c>
      <c r="V110" s="767"/>
      <c r="W110" s="767"/>
      <c r="X110" s="767"/>
      <c r="Y110" s="767"/>
      <c r="Z110" s="768"/>
      <c r="AA110" s="132"/>
      <c r="AB110" s="132"/>
      <c r="AC110" s="132"/>
      <c r="AD110" s="132"/>
      <c r="AE110" s="574"/>
      <c r="AF110" s="132"/>
      <c r="AG110" s="780" t="s">
        <v>113</v>
      </c>
      <c r="AH110" s="781"/>
      <c r="AI110" s="781"/>
      <c r="AJ110" s="781"/>
      <c r="AK110" s="781"/>
      <c r="AL110" s="781"/>
      <c r="AM110" s="782"/>
      <c r="AN110" s="244"/>
      <c r="AO110" s="774"/>
      <c r="AP110" s="78"/>
      <c r="AQ110" s="776" t="s">
        <v>116</v>
      </c>
      <c r="AR110" s="692"/>
      <c r="AS110" s="692"/>
      <c r="AT110" s="692"/>
      <c r="AU110" s="693"/>
      <c r="AV110" s="133"/>
      <c r="AW110" s="78"/>
      <c r="AX110" s="78"/>
      <c r="AY110" s="577" t="s">
        <v>59</v>
      </c>
      <c r="AZ110" s="134"/>
      <c r="BA110" s="134"/>
      <c r="BB110" s="134"/>
      <c r="BC110" s="134"/>
      <c r="BD110" s="762" t="s">
        <v>119</v>
      </c>
      <c r="BE110" s="762"/>
      <c r="BF110" s="762"/>
      <c r="BG110" s="762"/>
      <c r="BH110" s="762"/>
      <c r="BI110" s="762"/>
      <c r="BJ110" s="762"/>
      <c r="BK110" s="762"/>
      <c r="BL110" s="762"/>
      <c r="BM110" s="762"/>
      <c r="BN110" s="762"/>
      <c r="BO110" s="762"/>
      <c r="BP110" s="762"/>
      <c r="BQ110" s="762"/>
      <c r="BR110" s="762"/>
      <c r="BS110" s="762"/>
      <c r="BT110" s="762"/>
      <c r="BU110" s="762"/>
      <c r="BV110" s="762"/>
      <c r="BW110" s="763"/>
      <c r="DZ110" s="372">
        <v>19289</v>
      </c>
      <c r="EA110" s="372" t="s">
        <v>3387</v>
      </c>
      <c r="EB110" s="372" t="s">
        <v>3424</v>
      </c>
      <c r="EC110" s="372" t="s">
        <v>1707</v>
      </c>
      <c r="ED110" s="447" t="s">
        <v>13799</v>
      </c>
      <c r="EE110" s="372" t="s">
        <v>13836</v>
      </c>
      <c r="EF110" s="372" t="s">
        <v>3425</v>
      </c>
      <c r="EG110" s="372">
        <v>347</v>
      </c>
      <c r="EH110" s="372" t="s">
        <v>1968</v>
      </c>
      <c r="EI110" s="372" t="s">
        <v>3426</v>
      </c>
      <c r="EJ110" s="372" t="s">
        <v>3427</v>
      </c>
      <c r="EK110" s="372" t="s">
        <v>13837</v>
      </c>
      <c r="EL110" s="372"/>
      <c r="EM110" s="372" t="s">
        <v>1633</v>
      </c>
      <c r="EN110" s="372">
        <v>9842</v>
      </c>
      <c r="EO110" s="369"/>
      <c r="EP110" s="369"/>
      <c r="EQ110" s="369"/>
    </row>
    <row r="111" spans="1:177" ht="44.25" customHeight="1" thickBot="1">
      <c r="C111" s="747" t="s">
        <v>110</v>
      </c>
      <c r="D111" s="748"/>
      <c r="E111" s="748"/>
      <c r="F111" s="749"/>
      <c r="G111" s="748"/>
      <c r="H111" s="756" t="s">
        <v>14839</v>
      </c>
      <c r="I111" s="757"/>
      <c r="J111" s="757"/>
      <c r="K111" s="757"/>
      <c r="L111" s="757"/>
      <c r="M111" s="757"/>
      <c r="N111" s="757"/>
      <c r="O111" s="757"/>
      <c r="P111" s="758"/>
      <c r="Q111" s="757"/>
      <c r="R111" s="757"/>
      <c r="S111" s="757"/>
      <c r="T111" s="245" t="s">
        <v>111</v>
      </c>
      <c r="U111" s="769" t="s">
        <v>14840</v>
      </c>
      <c r="V111" s="770"/>
      <c r="W111" s="770"/>
      <c r="X111" s="770"/>
      <c r="Y111" s="770"/>
      <c r="Z111" s="771"/>
      <c r="AA111" s="132"/>
      <c r="AB111" s="132"/>
      <c r="AC111" s="132"/>
      <c r="AD111" s="132"/>
      <c r="AE111" s="575" t="s">
        <v>59</v>
      </c>
      <c r="AF111" s="132"/>
      <c r="AG111" s="780" t="s">
        <v>114</v>
      </c>
      <c r="AH111" s="781"/>
      <c r="AI111" s="781"/>
      <c r="AJ111" s="781"/>
      <c r="AK111" s="781"/>
      <c r="AL111" s="781"/>
      <c r="AM111" s="782"/>
      <c r="AN111" s="244"/>
      <c r="AO111" s="775"/>
      <c r="AQ111" s="777"/>
      <c r="AR111" s="778"/>
      <c r="AS111" s="778"/>
      <c r="AT111" s="778"/>
      <c r="AU111" s="779"/>
      <c r="AV111" s="246"/>
      <c r="AW111" s="247"/>
      <c r="AX111" s="132"/>
      <c r="AY111" s="578"/>
      <c r="AZ111" s="135"/>
      <c r="BA111" s="135"/>
      <c r="BB111" s="135"/>
      <c r="BC111" s="166">
        <f>SUM(BF111,BF113,AV115)</f>
        <v>0</v>
      </c>
      <c r="BD111" s="764" t="s">
        <v>120</v>
      </c>
      <c r="BE111" s="764"/>
      <c r="BF111" s="764"/>
      <c r="BG111" s="764"/>
      <c r="BH111" s="764"/>
      <c r="BI111" s="764"/>
      <c r="BJ111" s="764"/>
      <c r="BK111" s="764"/>
      <c r="BL111" s="764"/>
      <c r="BM111" s="764"/>
      <c r="BN111" s="764"/>
      <c r="BO111" s="764"/>
      <c r="BP111" s="764"/>
      <c r="BQ111" s="764"/>
      <c r="BR111" s="764"/>
      <c r="BS111" s="764"/>
      <c r="BT111" s="764"/>
      <c r="BU111" s="764"/>
      <c r="BV111" s="764"/>
      <c r="BW111" s="765"/>
      <c r="DZ111" s="372">
        <v>19290</v>
      </c>
      <c r="EA111" s="447" t="s">
        <v>14723</v>
      </c>
      <c r="EB111" s="372" t="s">
        <v>14733</v>
      </c>
      <c r="EC111" s="372" t="s">
        <v>13777</v>
      </c>
      <c r="ED111" s="371" t="s">
        <v>13778</v>
      </c>
      <c r="EE111" s="447" t="s">
        <v>14734</v>
      </c>
      <c r="EF111" s="371" t="s">
        <v>14735</v>
      </c>
      <c r="EG111" s="371">
        <v>226</v>
      </c>
      <c r="EH111" s="462" t="s">
        <v>2838</v>
      </c>
      <c r="EI111" s="371" t="str">
        <f>EF111&amp;", "&amp;EG111&amp;" - "&amp;EH111</f>
        <v>RUA PÊRA MARMELO, 226 - VILA AURORA</v>
      </c>
      <c r="EJ111" s="463">
        <v>5185420</v>
      </c>
      <c r="EK111" s="447" t="s">
        <v>14736</v>
      </c>
      <c r="EL111" s="447"/>
      <c r="EM111" s="372" t="s">
        <v>1633</v>
      </c>
      <c r="EN111" s="372">
        <v>9900</v>
      </c>
      <c r="EO111" s="369"/>
      <c r="EP111" s="370"/>
      <c r="EQ111" s="370"/>
    </row>
    <row r="112" spans="1:177" ht="35.25" customHeight="1" thickBot="1">
      <c r="C112" s="750" t="s">
        <v>110</v>
      </c>
      <c r="D112" s="751"/>
      <c r="E112" s="751"/>
      <c r="F112" s="752"/>
      <c r="G112" s="751"/>
      <c r="H112" s="759" t="s">
        <v>14841</v>
      </c>
      <c r="I112" s="760"/>
      <c r="J112" s="760"/>
      <c r="K112" s="760"/>
      <c r="L112" s="760"/>
      <c r="M112" s="760"/>
      <c r="N112" s="760"/>
      <c r="O112" s="760"/>
      <c r="P112" s="761"/>
      <c r="Q112" s="760"/>
      <c r="R112" s="760"/>
      <c r="S112" s="760"/>
      <c r="T112" s="248" t="s">
        <v>111</v>
      </c>
      <c r="U112" s="741" t="s">
        <v>14842</v>
      </c>
      <c r="V112" s="742"/>
      <c r="W112" s="742"/>
      <c r="X112" s="742"/>
      <c r="Y112" s="742"/>
      <c r="Z112" s="743"/>
      <c r="AA112" s="132"/>
      <c r="AB112" s="132"/>
      <c r="AC112" s="132"/>
      <c r="AD112" s="132"/>
      <c r="AE112" s="576"/>
      <c r="AF112" s="132"/>
      <c r="AG112" s="780" t="s">
        <v>115</v>
      </c>
      <c r="AH112" s="781"/>
      <c r="AI112" s="781"/>
      <c r="AJ112" s="781"/>
      <c r="AK112" s="781"/>
      <c r="AL112" s="781"/>
      <c r="AM112" s="781"/>
      <c r="AN112" s="253"/>
      <c r="AO112" s="253"/>
      <c r="AP112" s="253"/>
      <c r="AQ112" s="253"/>
      <c r="AR112" s="253"/>
      <c r="AS112" s="253"/>
      <c r="AT112" s="253"/>
      <c r="AU112" s="254"/>
      <c r="AV112" s="78"/>
      <c r="AW112" s="78"/>
      <c r="AX112" s="78"/>
      <c r="AY112" s="579"/>
      <c r="AZ112" s="134"/>
      <c r="BA112" s="134"/>
      <c r="BB112" s="134"/>
      <c r="BC112" s="171"/>
      <c r="BD112" s="772" t="s">
        <v>121</v>
      </c>
      <c r="BE112" s="772"/>
      <c r="BF112" s="772"/>
      <c r="BG112" s="772"/>
      <c r="BH112" s="772"/>
      <c r="BI112" s="772"/>
      <c r="BJ112" s="772"/>
      <c r="BK112" s="772"/>
      <c r="BL112" s="772"/>
      <c r="BM112" s="772"/>
      <c r="BN112" s="772"/>
      <c r="BO112" s="772"/>
      <c r="BP112" s="772"/>
      <c r="BQ112" s="772"/>
      <c r="BR112" s="772"/>
      <c r="BS112" s="772"/>
      <c r="BT112" s="772"/>
      <c r="BU112" s="772"/>
      <c r="BV112" s="772"/>
      <c r="BW112" s="773"/>
      <c r="DZ112" s="372">
        <v>19293</v>
      </c>
      <c r="EA112" s="372" t="s">
        <v>3387</v>
      </c>
      <c r="EB112" s="372" t="s">
        <v>3428</v>
      </c>
      <c r="EC112" s="372" t="s">
        <v>1654</v>
      </c>
      <c r="ED112" s="372" t="s">
        <v>13774</v>
      </c>
      <c r="EE112" s="372" t="s">
        <v>13855</v>
      </c>
      <c r="EF112" s="372" t="s">
        <v>3429</v>
      </c>
      <c r="EG112" s="372">
        <v>201</v>
      </c>
      <c r="EH112" s="372" t="s">
        <v>2430</v>
      </c>
      <c r="EI112" s="372" t="s">
        <v>3430</v>
      </c>
      <c r="EJ112" s="372" t="s">
        <v>3431</v>
      </c>
      <c r="EK112" s="372" t="s">
        <v>13856</v>
      </c>
      <c r="EL112" s="372" t="s">
        <v>3432</v>
      </c>
      <c r="EM112" s="450" t="s">
        <v>7010</v>
      </c>
      <c r="EN112" s="372">
        <v>11440</v>
      </c>
      <c r="EO112" s="369"/>
      <c r="EP112" s="369"/>
      <c r="EQ112" s="369"/>
    </row>
    <row r="113" spans="2:147" ht="15" customHeight="1">
      <c r="C113" s="730">
        <v>7</v>
      </c>
      <c r="D113" s="731"/>
      <c r="E113" s="731"/>
      <c r="F113" s="731"/>
      <c r="G113" s="731"/>
      <c r="H113" s="731"/>
      <c r="I113" s="731"/>
      <c r="J113" s="731"/>
      <c r="K113" s="731"/>
      <c r="L113" s="136"/>
      <c r="M113" s="728" t="s">
        <v>122</v>
      </c>
      <c r="N113" s="728"/>
      <c r="O113" s="728"/>
      <c r="P113" s="728"/>
      <c r="Q113" s="728"/>
      <c r="R113" s="728"/>
      <c r="S113" s="728"/>
      <c r="T113" s="728"/>
      <c r="U113" s="728"/>
      <c r="V113" s="728"/>
      <c r="W113" s="728"/>
      <c r="X113" s="728"/>
      <c r="Y113" s="728"/>
      <c r="Z113" s="728"/>
      <c r="AA113" s="728"/>
      <c r="AB113" s="728"/>
      <c r="AC113" s="728"/>
      <c r="AD113" s="728"/>
      <c r="AE113" s="728"/>
      <c r="AF113" s="728"/>
      <c r="AG113" s="728"/>
      <c r="AH113" s="728"/>
      <c r="AI113" s="728"/>
      <c r="AJ113" s="728"/>
      <c r="AK113" s="728"/>
      <c r="AL113" s="728"/>
      <c r="AM113" s="728"/>
      <c r="AN113" s="136"/>
      <c r="AO113" s="136"/>
      <c r="AP113" s="136"/>
      <c r="AQ113" s="158" t="s">
        <v>130</v>
      </c>
      <c r="AR113" s="136"/>
      <c r="AS113" s="728" t="s">
        <v>145</v>
      </c>
      <c r="AT113" s="728"/>
      <c r="AU113" s="728"/>
      <c r="AV113" s="728"/>
      <c r="AW113" s="728"/>
      <c r="AX113" s="728"/>
      <c r="AY113" s="739"/>
      <c r="AZ113" s="739"/>
      <c r="BA113" s="739"/>
      <c r="BB113" s="739"/>
      <c r="BC113" s="739"/>
      <c r="BD113" s="739"/>
      <c r="BE113" s="739"/>
      <c r="BF113" s="739"/>
      <c r="BG113" s="739"/>
      <c r="BH113" s="739"/>
      <c r="BI113" s="739"/>
      <c r="BJ113" s="739"/>
      <c r="BK113" s="739"/>
      <c r="BL113" s="739"/>
      <c r="BM113" s="739"/>
      <c r="BN113" s="739"/>
      <c r="BO113" s="739"/>
      <c r="BP113" s="739"/>
      <c r="BQ113" s="739"/>
      <c r="BR113" s="739"/>
      <c r="BS113" s="739"/>
      <c r="BT113" s="739"/>
      <c r="BU113" s="739"/>
      <c r="BV113" s="739"/>
      <c r="BW113" s="740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7"/>
      <c r="CM113" s="167"/>
      <c r="CN113" s="167"/>
      <c r="CO113" s="167"/>
      <c r="CP113" s="167"/>
      <c r="CQ113" s="167"/>
      <c r="CR113" s="167"/>
      <c r="CS113" s="167"/>
      <c r="CT113" s="167"/>
      <c r="CU113" s="167"/>
      <c r="CV113" s="167"/>
      <c r="CW113" s="167"/>
      <c r="CX113" s="167"/>
      <c r="CY113" s="167"/>
      <c r="CZ113" s="167"/>
      <c r="DA113" s="167"/>
      <c r="DB113" s="167"/>
      <c r="DC113" s="167"/>
      <c r="DD113" s="167"/>
      <c r="DE113" s="167"/>
      <c r="DF113" s="167"/>
      <c r="DG113" s="167"/>
      <c r="DH113" s="167"/>
      <c r="DI113" s="167"/>
      <c r="DJ113" s="167"/>
      <c r="DK113" s="167"/>
      <c r="DL113" s="167"/>
      <c r="DM113" s="167"/>
      <c r="DN113" s="167"/>
      <c r="DO113" s="167"/>
      <c r="DP113" s="167"/>
      <c r="DQ113" s="167"/>
      <c r="DR113" s="167"/>
      <c r="DS113" s="167"/>
      <c r="DT113" s="167"/>
      <c r="DU113" s="167"/>
      <c r="DV113" s="167"/>
      <c r="DW113" s="167"/>
      <c r="DX113" s="167"/>
      <c r="DY113" s="167"/>
      <c r="DZ113" s="372">
        <v>19295</v>
      </c>
      <c r="EA113" s="372" t="s">
        <v>3387</v>
      </c>
      <c r="EB113" s="372" t="s">
        <v>3433</v>
      </c>
      <c r="EC113" s="372" t="s">
        <v>1486</v>
      </c>
      <c r="ED113" s="372" t="s">
        <v>161</v>
      </c>
      <c r="EE113" s="372" t="s">
        <v>13813</v>
      </c>
      <c r="EF113" s="372" t="s">
        <v>3434</v>
      </c>
      <c r="EG113" s="372" t="s">
        <v>46</v>
      </c>
      <c r="EH113" s="372" t="s">
        <v>1519</v>
      </c>
      <c r="EI113" s="372" t="s">
        <v>3435</v>
      </c>
      <c r="EJ113" s="372" t="s">
        <v>3436</v>
      </c>
      <c r="EK113" s="372" t="s">
        <v>13814</v>
      </c>
      <c r="EL113" s="372"/>
      <c r="EM113" s="372" t="s">
        <v>1669</v>
      </c>
      <c r="EN113" s="372">
        <v>9910</v>
      </c>
      <c r="EO113" s="369"/>
      <c r="EP113" s="369"/>
      <c r="EQ113" s="369"/>
    </row>
    <row r="114" spans="2:147" ht="15" customHeight="1">
      <c r="C114" s="137"/>
      <c r="D114" s="138"/>
      <c r="E114" s="732"/>
      <c r="F114" s="732"/>
      <c r="G114" s="732"/>
      <c r="H114" s="732"/>
      <c r="I114" s="732"/>
      <c r="J114" s="732"/>
      <c r="K114" s="249"/>
      <c r="L114" s="249"/>
      <c r="M114" s="250"/>
      <c r="N114" s="250"/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250"/>
      <c r="AA114" s="250"/>
      <c r="AB114" s="250"/>
      <c r="AC114" s="250"/>
      <c r="AD114" s="250"/>
      <c r="AE114" s="250"/>
      <c r="AF114" s="250"/>
      <c r="AG114" s="250"/>
      <c r="AH114" s="250"/>
      <c r="AI114" s="250"/>
      <c r="AJ114" s="250"/>
      <c r="AK114" s="250"/>
      <c r="AL114" s="250"/>
      <c r="AM114" s="250"/>
      <c r="AN114" s="250"/>
      <c r="AO114" s="250"/>
      <c r="AP114" s="250"/>
      <c r="AQ114" s="251"/>
      <c r="AR114" s="250"/>
      <c r="AS114" s="250"/>
      <c r="AT114" s="250"/>
      <c r="AU114" s="250"/>
      <c r="AV114" s="250"/>
      <c r="AW114" s="250"/>
      <c r="AX114" s="250"/>
      <c r="AY114" s="250"/>
      <c r="AZ114" s="252"/>
      <c r="BA114" s="139"/>
      <c r="BB114" s="139"/>
      <c r="BC114" s="159"/>
      <c r="BD114" s="159"/>
      <c r="BE114" s="160"/>
      <c r="BF114" s="160"/>
      <c r="BG114" s="160"/>
      <c r="BH114" s="152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  <c r="BS114" s="161"/>
      <c r="BT114" s="161"/>
      <c r="BU114" s="161"/>
      <c r="BV114" s="161"/>
      <c r="BW114" s="162"/>
      <c r="BX114" s="161"/>
      <c r="BY114" s="161"/>
      <c r="BZ114" s="161"/>
      <c r="CA114" s="161"/>
      <c r="CB114" s="161"/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  <c r="CO114" s="161"/>
      <c r="CP114" s="161"/>
      <c r="CQ114" s="161"/>
      <c r="CR114" s="161"/>
      <c r="CS114" s="161"/>
      <c r="CT114" s="161"/>
      <c r="CU114" s="161"/>
      <c r="CV114" s="161"/>
      <c r="CW114" s="161"/>
      <c r="CX114" s="161"/>
      <c r="CY114" s="161"/>
      <c r="CZ114" s="161"/>
      <c r="DA114" s="161"/>
      <c r="DB114" s="161"/>
      <c r="DC114" s="161"/>
      <c r="DD114" s="161"/>
      <c r="DE114" s="161"/>
      <c r="DF114" s="161"/>
      <c r="DG114" s="161"/>
      <c r="DH114" s="161"/>
      <c r="DI114" s="161"/>
      <c r="DJ114" s="161"/>
      <c r="DK114" s="161"/>
      <c r="DL114" s="161"/>
      <c r="DM114" s="161"/>
      <c r="DN114" s="161"/>
      <c r="DO114" s="161"/>
      <c r="DP114" s="161"/>
      <c r="DQ114" s="161"/>
      <c r="DR114" s="161"/>
      <c r="DS114" s="161"/>
      <c r="DT114" s="161"/>
      <c r="DU114" s="161"/>
      <c r="DV114" s="161"/>
      <c r="DW114" s="161"/>
      <c r="DX114" s="161"/>
      <c r="DY114" s="161"/>
      <c r="DZ114" s="372">
        <v>19296</v>
      </c>
      <c r="EA114" s="447" t="s">
        <v>14723</v>
      </c>
      <c r="EB114" s="372" t="s">
        <v>14742</v>
      </c>
      <c r="EC114" s="372" t="s">
        <v>13777</v>
      </c>
      <c r="ED114" s="371" t="s">
        <v>13778</v>
      </c>
      <c r="EE114" s="447" t="s">
        <v>14743</v>
      </c>
      <c r="EF114" s="371" t="s">
        <v>14744</v>
      </c>
      <c r="EG114" s="371">
        <v>840</v>
      </c>
      <c r="EH114" s="462" t="s">
        <v>14745</v>
      </c>
      <c r="EI114" s="371" t="str">
        <f>EF114&amp;", "&amp;EG114&amp;" - "&amp;EH114</f>
        <v>RUA CORONEL JOSÉ VENANCIO DIAS, 840 - JARDIM NARDINI</v>
      </c>
      <c r="EJ114" s="463">
        <v>5160030</v>
      </c>
      <c r="EK114" s="447" t="s">
        <v>14746</v>
      </c>
      <c r="EL114" s="447"/>
      <c r="EM114" s="372" t="s">
        <v>1633</v>
      </c>
      <c r="EN114" s="372">
        <v>9886</v>
      </c>
      <c r="EO114" s="369"/>
      <c r="EP114" s="369"/>
      <c r="EQ114" s="369"/>
    </row>
    <row r="115" spans="2:147" ht="22.5" customHeight="1" thickBot="1">
      <c r="C115" s="140"/>
      <c r="D115" s="141"/>
      <c r="E115" s="733" t="s">
        <v>123</v>
      </c>
      <c r="F115" s="733"/>
      <c r="G115" s="733"/>
      <c r="H115" s="733"/>
      <c r="I115" s="733"/>
      <c r="J115" s="733"/>
      <c r="K115" s="214"/>
      <c r="L115" s="214"/>
      <c r="M115" s="729" t="s">
        <v>124</v>
      </c>
      <c r="N115" s="729"/>
      <c r="O115" s="729"/>
      <c r="P115" s="729"/>
      <c r="Q115" s="729"/>
      <c r="R115" s="729"/>
      <c r="S115" s="729"/>
      <c r="T115" s="729"/>
      <c r="U115" s="729"/>
      <c r="V115" s="729"/>
      <c r="W115" s="729"/>
      <c r="X115" s="729"/>
      <c r="Y115" s="729"/>
      <c r="Z115" s="729"/>
      <c r="AA115" s="729"/>
      <c r="AB115" s="729"/>
      <c r="AC115" s="729"/>
      <c r="AD115" s="729"/>
      <c r="AE115" s="729"/>
      <c r="AF115" s="729"/>
      <c r="AG115" s="729"/>
      <c r="AH115" s="729"/>
      <c r="AI115" s="729"/>
      <c r="AJ115" s="729"/>
      <c r="AK115" s="729"/>
      <c r="AL115" s="729"/>
      <c r="AM115" s="729"/>
      <c r="AN115" s="145"/>
      <c r="AO115" s="145"/>
      <c r="AP115" s="145"/>
      <c r="AQ115" s="140" t="s">
        <v>123</v>
      </c>
      <c r="AR115" s="141"/>
      <c r="AS115" s="141"/>
      <c r="AT115" s="141"/>
      <c r="AU115" s="141"/>
      <c r="AV115" s="141"/>
      <c r="AW115" s="141"/>
      <c r="AX115" s="145"/>
      <c r="AY115" s="145" t="s">
        <v>124</v>
      </c>
      <c r="AZ115" s="145"/>
      <c r="BA115" s="145"/>
      <c r="BB115" s="145"/>
      <c r="BC115" s="145"/>
      <c r="BD115" s="145"/>
      <c r="BE115" s="145"/>
      <c r="BF115" s="145"/>
      <c r="BG115" s="145"/>
      <c r="BH115" s="145"/>
      <c r="BI115" s="145"/>
      <c r="BJ115" s="145"/>
      <c r="BK115" s="145"/>
      <c r="BL115" s="145"/>
      <c r="BM115" s="145"/>
      <c r="BN115" s="145"/>
      <c r="BO115" s="145"/>
      <c r="BP115" s="145"/>
      <c r="BQ115" s="145"/>
      <c r="BR115" s="145"/>
      <c r="BS115" s="145"/>
      <c r="BT115" s="145"/>
      <c r="BU115" s="145"/>
      <c r="BV115" s="145"/>
      <c r="BW115" s="163"/>
      <c r="BX115" s="168"/>
      <c r="BY115" s="168"/>
      <c r="BZ115" s="168"/>
      <c r="CA115" s="168"/>
      <c r="CB115" s="168"/>
      <c r="CC115" s="168"/>
      <c r="CD115" s="168"/>
      <c r="CE115" s="168"/>
      <c r="CF115" s="168"/>
      <c r="CG115" s="168"/>
      <c r="CH115" s="168"/>
      <c r="CI115" s="168"/>
      <c r="CJ115" s="168"/>
      <c r="CK115" s="168"/>
      <c r="CL115" s="168"/>
      <c r="CM115" s="168"/>
      <c r="CN115" s="168"/>
      <c r="CO115" s="168"/>
      <c r="CP115" s="168"/>
      <c r="CQ115" s="168"/>
      <c r="CR115" s="168"/>
      <c r="CS115" s="168"/>
      <c r="CT115" s="168"/>
      <c r="CU115" s="168"/>
      <c r="CV115" s="168"/>
      <c r="CW115" s="168"/>
      <c r="CX115" s="168"/>
      <c r="CY115" s="168"/>
      <c r="CZ115" s="168"/>
      <c r="DA115" s="168"/>
      <c r="DB115" s="168"/>
      <c r="DC115" s="168"/>
      <c r="DD115" s="168"/>
      <c r="DE115" s="168"/>
      <c r="DF115" s="168"/>
      <c r="DG115" s="168"/>
      <c r="DH115" s="168"/>
      <c r="DI115" s="168"/>
      <c r="DJ115" s="168"/>
      <c r="DK115" s="168"/>
      <c r="DL115" s="168"/>
      <c r="DM115" s="168"/>
      <c r="DN115" s="168"/>
      <c r="DO115" s="168"/>
      <c r="DP115" s="168"/>
      <c r="DQ115" s="168"/>
      <c r="DR115" s="168"/>
      <c r="DS115" s="168"/>
      <c r="DT115" s="168"/>
      <c r="DU115" s="168"/>
      <c r="DV115" s="168"/>
      <c r="DW115" s="168"/>
      <c r="DX115" s="168"/>
      <c r="DY115" s="168"/>
      <c r="DZ115" s="372">
        <v>19297</v>
      </c>
      <c r="EA115" s="372" t="s">
        <v>3387</v>
      </c>
      <c r="EB115" s="372" t="s">
        <v>13838</v>
      </c>
      <c r="EC115" s="372" t="s">
        <v>1707</v>
      </c>
      <c r="ED115" s="447" t="s">
        <v>13799</v>
      </c>
      <c r="EE115" s="372" t="s">
        <v>13839</v>
      </c>
      <c r="EF115" s="372" t="s">
        <v>3437</v>
      </c>
      <c r="EG115" s="372">
        <v>3400</v>
      </c>
      <c r="EH115" s="372" t="s">
        <v>3438</v>
      </c>
      <c r="EI115" s="372" t="s">
        <v>3439</v>
      </c>
      <c r="EJ115" s="372" t="s">
        <v>3440</v>
      </c>
      <c r="EK115" s="372" t="s">
        <v>13840</v>
      </c>
      <c r="EL115" s="372"/>
      <c r="EM115" s="372" t="s">
        <v>1633</v>
      </c>
      <c r="EN115" s="372">
        <v>9921</v>
      </c>
      <c r="EO115" s="369"/>
      <c r="EP115" s="369"/>
      <c r="EQ115" s="369"/>
    </row>
    <row r="116" spans="2:147" ht="15" customHeight="1">
      <c r="C116" s="734"/>
      <c r="D116" s="735"/>
      <c r="E116" s="735"/>
      <c r="F116" s="735"/>
      <c r="G116" s="735"/>
      <c r="H116" s="735"/>
      <c r="I116" s="735"/>
      <c r="J116" s="735"/>
      <c r="K116" s="735"/>
      <c r="L116" s="735"/>
      <c r="M116" s="735"/>
      <c r="N116" s="735"/>
      <c r="O116" s="735"/>
      <c r="P116" s="735"/>
      <c r="Q116" s="735"/>
      <c r="R116" s="735"/>
      <c r="S116" s="735"/>
      <c r="T116" s="735"/>
      <c r="U116" s="735"/>
      <c r="V116" s="735"/>
      <c r="W116" s="735"/>
      <c r="X116" s="735"/>
      <c r="Y116" s="735"/>
      <c r="Z116" s="735"/>
      <c r="AA116" s="735"/>
      <c r="AB116" s="735"/>
      <c r="AC116" s="735"/>
      <c r="AD116" s="735"/>
      <c r="AE116" s="735"/>
      <c r="AF116" s="735"/>
      <c r="AG116" s="735"/>
      <c r="AH116" s="735"/>
      <c r="AI116" s="735"/>
      <c r="AJ116" s="735"/>
      <c r="AK116" s="735"/>
      <c r="AL116" s="735"/>
      <c r="AM116" s="735"/>
      <c r="AN116" s="735"/>
      <c r="AO116" s="735"/>
      <c r="AP116" s="735"/>
      <c r="AQ116" s="735"/>
      <c r="AR116" s="735"/>
      <c r="AS116" s="735"/>
      <c r="AT116" s="735"/>
      <c r="AU116" s="735"/>
      <c r="AV116" s="735"/>
      <c r="AW116" s="735"/>
      <c r="AX116" s="735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7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2"/>
      <c r="DB116" s="142"/>
      <c r="DC116" s="142"/>
      <c r="DD116" s="142"/>
      <c r="DE116" s="142"/>
      <c r="DF116" s="142"/>
      <c r="DG116" s="142"/>
      <c r="DH116" s="142"/>
      <c r="DI116" s="142"/>
      <c r="DJ116" s="142"/>
      <c r="DK116" s="142"/>
      <c r="DL116" s="142"/>
      <c r="DM116" s="142"/>
      <c r="DN116" s="142"/>
      <c r="DO116" s="142"/>
      <c r="DP116" s="142"/>
      <c r="DQ116" s="142"/>
      <c r="DR116" s="142"/>
      <c r="DS116" s="142"/>
      <c r="DT116" s="142"/>
      <c r="DU116" s="142"/>
      <c r="DV116" s="142"/>
      <c r="DW116" s="142"/>
      <c r="DX116" s="142"/>
      <c r="DY116" s="142"/>
      <c r="DZ116" s="372">
        <v>19299</v>
      </c>
      <c r="EA116" s="372" t="s">
        <v>3387</v>
      </c>
      <c r="EB116" s="372" t="s">
        <v>3441</v>
      </c>
      <c r="EC116" s="372" t="s">
        <v>1654</v>
      </c>
      <c r="ED116" s="372" t="s">
        <v>13774</v>
      </c>
      <c r="EE116" s="372" t="s">
        <v>13853</v>
      </c>
      <c r="EF116" s="372" t="s">
        <v>3442</v>
      </c>
      <c r="EG116" s="372">
        <v>113</v>
      </c>
      <c r="EH116" s="372" t="s">
        <v>3443</v>
      </c>
      <c r="EI116" s="372" t="s">
        <v>3444</v>
      </c>
      <c r="EJ116" s="372" t="s">
        <v>3445</v>
      </c>
      <c r="EK116" s="372" t="s">
        <v>13854</v>
      </c>
      <c r="EL116" s="372" t="s">
        <v>3446</v>
      </c>
      <c r="EM116" s="450" t="s">
        <v>7010</v>
      </c>
      <c r="EN116" s="372">
        <v>9843</v>
      </c>
      <c r="EO116" s="369"/>
      <c r="EP116" s="369"/>
      <c r="EQ116" s="369"/>
    </row>
    <row r="117" spans="2:147" ht="15" customHeight="1" thickBot="1">
      <c r="C117" s="736" t="s">
        <v>125</v>
      </c>
      <c r="D117" s="737"/>
      <c r="E117" s="737"/>
      <c r="F117" s="737"/>
      <c r="G117" s="737"/>
      <c r="H117" s="737"/>
      <c r="I117" s="737"/>
      <c r="J117" s="737"/>
      <c r="K117" s="737"/>
      <c r="L117" s="737"/>
      <c r="M117" s="737"/>
      <c r="N117" s="737"/>
      <c r="O117" s="737"/>
      <c r="P117" s="737"/>
      <c r="Q117" s="737"/>
      <c r="R117" s="737"/>
      <c r="S117" s="737"/>
      <c r="T117" s="737"/>
      <c r="U117" s="737"/>
      <c r="V117" s="737"/>
      <c r="W117" s="737"/>
      <c r="X117" s="737"/>
      <c r="Y117" s="737"/>
      <c r="Z117" s="737"/>
      <c r="AA117" s="737"/>
      <c r="AB117" s="737"/>
      <c r="AC117" s="737"/>
      <c r="AD117" s="737"/>
      <c r="AE117" s="737"/>
      <c r="AF117" s="737"/>
      <c r="AG117" s="737"/>
      <c r="AH117" s="737"/>
      <c r="AI117" s="737"/>
      <c r="AJ117" s="737"/>
      <c r="AK117" s="737"/>
      <c r="AL117" s="737"/>
      <c r="AM117" s="737"/>
      <c r="AN117" s="737"/>
      <c r="AO117" s="737"/>
      <c r="AP117" s="737"/>
      <c r="AQ117" s="737"/>
      <c r="AR117" s="737"/>
      <c r="AS117" s="737"/>
      <c r="AT117" s="737"/>
      <c r="AU117" s="737"/>
      <c r="AV117" s="737"/>
      <c r="AW117" s="737"/>
      <c r="AX117" s="737"/>
      <c r="AY117" s="737"/>
      <c r="AZ117" s="737"/>
      <c r="BA117" s="737"/>
      <c r="BB117" s="737"/>
      <c r="BC117" s="737"/>
      <c r="BD117" s="737"/>
      <c r="BE117" s="737"/>
      <c r="BF117" s="737"/>
      <c r="BG117" s="737"/>
      <c r="BH117" s="737"/>
      <c r="BI117" s="737"/>
      <c r="BJ117" s="737"/>
      <c r="BK117" s="737"/>
      <c r="BL117" s="737"/>
      <c r="BM117" s="737"/>
      <c r="BN117" s="737"/>
      <c r="BO117" s="737"/>
      <c r="BP117" s="737"/>
      <c r="BQ117" s="737"/>
      <c r="BR117" s="737"/>
      <c r="BS117" s="737"/>
      <c r="BT117" s="737"/>
      <c r="BU117" s="737"/>
      <c r="BV117" s="737"/>
      <c r="BW117" s="738"/>
      <c r="BX117" s="169"/>
      <c r="BY117" s="169"/>
      <c r="BZ117" s="169"/>
      <c r="CA117" s="169"/>
      <c r="CB117" s="169"/>
      <c r="CC117" s="169"/>
      <c r="CD117" s="169"/>
      <c r="CE117" s="169"/>
      <c r="CF117" s="169"/>
      <c r="CG117" s="169"/>
      <c r="CH117" s="169"/>
      <c r="CI117" s="169"/>
      <c r="CJ117" s="169"/>
      <c r="CK117" s="169"/>
      <c r="CL117" s="169"/>
      <c r="CM117" s="169"/>
      <c r="CN117" s="169"/>
      <c r="CO117" s="169"/>
      <c r="CP117" s="169"/>
      <c r="CQ117" s="169"/>
      <c r="CR117" s="169"/>
      <c r="CS117" s="169"/>
      <c r="CT117" s="169"/>
      <c r="CU117" s="169"/>
      <c r="CV117" s="169"/>
      <c r="CW117" s="169"/>
      <c r="CX117" s="169"/>
      <c r="CY117" s="169"/>
      <c r="CZ117" s="169"/>
      <c r="DA117" s="169"/>
      <c r="DB117" s="169"/>
      <c r="DC117" s="169"/>
      <c r="DD117" s="169"/>
      <c r="DE117" s="169"/>
      <c r="DF117" s="169"/>
      <c r="DG117" s="169"/>
      <c r="DH117" s="169"/>
      <c r="DI117" s="169"/>
      <c r="DJ117" s="169"/>
      <c r="DK117" s="169"/>
      <c r="DL117" s="169"/>
      <c r="DM117" s="169"/>
      <c r="DN117" s="169"/>
      <c r="DO117" s="169"/>
      <c r="DP117" s="169"/>
      <c r="DQ117" s="169"/>
      <c r="DR117" s="169"/>
      <c r="DS117" s="169"/>
      <c r="DT117" s="169"/>
      <c r="DU117" s="169"/>
      <c r="DV117" s="169"/>
      <c r="DW117" s="169"/>
      <c r="DX117" s="169"/>
      <c r="DY117" s="169"/>
      <c r="DZ117" s="372">
        <v>19300</v>
      </c>
      <c r="EA117" s="372" t="s">
        <v>1484</v>
      </c>
      <c r="EB117" s="372" t="s">
        <v>1520</v>
      </c>
      <c r="EC117" s="372" t="s">
        <v>1486</v>
      </c>
      <c r="ED117" s="372" t="s">
        <v>161</v>
      </c>
      <c r="EE117" s="372" t="s">
        <v>13887</v>
      </c>
      <c r="EF117" s="372" t="s">
        <v>1521</v>
      </c>
      <c r="EG117" s="372">
        <v>161</v>
      </c>
      <c r="EH117" s="372" t="s">
        <v>1522</v>
      </c>
      <c r="EI117" s="372" t="s">
        <v>1523</v>
      </c>
      <c r="EJ117" s="372" t="s">
        <v>2091</v>
      </c>
      <c r="EK117" s="372" t="s">
        <v>13888</v>
      </c>
      <c r="EL117" s="372"/>
      <c r="EM117" s="372" t="s">
        <v>1669</v>
      </c>
      <c r="EN117" s="372">
        <v>9837</v>
      </c>
      <c r="EO117" s="369"/>
      <c r="EP117" s="369"/>
      <c r="EQ117" s="369"/>
    </row>
    <row r="118" spans="2:147" ht="15" customHeight="1" thickBot="1">
      <c r="C118" s="725" t="e">
        <f>IF(SUM(FC50,Y50,#REF!)=0,"",SUM(FC50,#REF!,#REF!))</f>
        <v>#REF!</v>
      </c>
      <c r="D118" s="726"/>
      <c r="E118" s="726"/>
      <c r="F118" s="726"/>
      <c r="G118" s="726"/>
      <c r="H118" s="726"/>
      <c r="I118" s="726"/>
      <c r="J118" s="726"/>
      <c r="K118" s="726"/>
      <c r="L118" s="726"/>
      <c r="M118" s="726"/>
      <c r="N118" s="726"/>
      <c r="O118" s="726"/>
      <c r="P118" s="726"/>
      <c r="Q118" s="726"/>
      <c r="R118" s="726"/>
      <c r="S118" s="726"/>
      <c r="T118" s="726"/>
      <c r="U118" s="726"/>
      <c r="V118" s="726"/>
      <c r="W118" s="726"/>
      <c r="X118" s="726"/>
      <c r="Y118" s="726"/>
      <c r="Z118" s="726"/>
      <c r="AA118" s="726"/>
      <c r="AB118" s="726"/>
      <c r="AC118" s="726"/>
      <c r="AD118" s="726"/>
      <c r="AE118" s="727"/>
      <c r="AF118" s="143"/>
      <c r="AG118" s="170"/>
      <c r="AH118" s="164" t="s">
        <v>143</v>
      </c>
      <c r="AI118" s="144"/>
      <c r="AJ118" s="144"/>
      <c r="AK118" s="144"/>
      <c r="AL118" s="144"/>
      <c r="AM118" s="144"/>
      <c r="AN118" s="144"/>
      <c r="AO118" s="144"/>
      <c r="AP118" s="144"/>
      <c r="AQ118" s="144"/>
      <c r="AR118" s="144"/>
      <c r="AS118" s="144"/>
      <c r="AT118" s="144"/>
      <c r="AU118" s="144"/>
      <c r="AV118" s="144"/>
      <c r="AW118" s="144"/>
      <c r="AX118" s="144"/>
      <c r="AY118" s="144"/>
      <c r="AZ118" s="165"/>
      <c r="BA118" s="144"/>
      <c r="BB118" s="144"/>
      <c r="BC118" s="144"/>
      <c r="BD118" s="144"/>
      <c r="BE118" s="144"/>
      <c r="BF118" s="144"/>
      <c r="BG118" s="144"/>
      <c r="BH118" s="144"/>
      <c r="BI118" s="144"/>
      <c r="BJ118" s="144"/>
      <c r="BK118" s="144"/>
      <c r="BL118" s="144"/>
      <c r="BM118" s="144"/>
      <c r="BN118" s="144"/>
      <c r="BO118" s="144"/>
      <c r="BP118" s="144"/>
      <c r="BQ118" s="144"/>
      <c r="BR118" s="144"/>
      <c r="BS118" s="144"/>
      <c r="BT118" s="144"/>
      <c r="BU118" s="144"/>
      <c r="BV118" s="144"/>
      <c r="BW118" s="165"/>
      <c r="BX118" s="144"/>
      <c r="BY118" s="144"/>
      <c r="BZ118" s="144"/>
      <c r="CA118" s="144"/>
      <c r="CB118" s="144"/>
      <c r="CC118" s="144"/>
      <c r="CD118" s="144"/>
      <c r="CE118" s="144"/>
      <c r="CF118" s="144"/>
      <c r="CG118" s="144"/>
      <c r="CH118" s="144"/>
      <c r="CI118" s="144"/>
      <c r="CJ118" s="144"/>
      <c r="CK118" s="144"/>
      <c r="CL118" s="144"/>
      <c r="CM118" s="144"/>
      <c r="CN118" s="144"/>
      <c r="CO118" s="144"/>
      <c r="CP118" s="144"/>
      <c r="CQ118" s="144"/>
      <c r="CR118" s="144"/>
      <c r="CS118" s="144"/>
      <c r="CT118" s="144"/>
      <c r="CU118" s="144"/>
      <c r="CV118" s="144"/>
      <c r="CW118" s="144"/>
      <c r="CX118" s="144"/>
      <c r="CY118" s="144"/>
      <c r="CZ118" s="144"/>
      <c r="DA118" s="144"/>
      <c r="DB118" s="144"/>
      <c r="DC118" s="144"/>
      <c r="DD118" s="144"/>
      <c r="DE118" s="144"/>
      <c r="DF118" s="144"/>
      <c r="DG118" s="144"/>
      <c r="DH118" s="144"/>
      <c r="DI118" s="144"/>
      <c r="DJ118" s="144"/>
      <c r="DK118" s="144"/>
      <c r="DL118" s="144"/>
      <c r="DM118" s="144"/>
      <c r="DN118" s="144"/>
      <c r="DO118" s="144"/>
      <c r="DP118" s="144"/>
      <c r="DQ118" s="144"/>
      <c r="DR118" s="144"/>
      <c r="DS118" s="144"/>
      <c r="DT118" s="144"/>
      <c r="DU118" s="144"/>
      <c r="DV118" s="144"/>
      <c r="DW118" s="144"/>
      <c r="DX118" s="144"/>
      <c r="DY118" s="144"/>
      <c r="DZ118" s="372">
        <v>19301</v>
      </c>
      <c r="EA118" s="372" t="s">
        <v>1484</v>
      </c>
      <c r="EB118" s="372" t="s">
        <v>2092</v>
      </c>
      <c r="EC118" s="372" t="s">
        <v>1617</v>
      </c>
      <c r="ED118" s="372" t="s">
        <v>1618</v>
      </c>
      <c r="EE118" s="372" t="s">
        <v>14010</v>
      </c>
      <c r="EF118" s="372" t="s">
        <v>2093</v>
      </c>
      <c r="EG118" s="372">
        <v>134</v>
      </c>
      <c r="EH118" s="372" t="s">
        <v>2094</v>
      </c>
      <c r="EI118" s="372" t="s">
        <v>2095</v>
      </c>
      <c r="EJ118" s="372" t="s">
        <v>2096</v>
      </c>
      <c r="EK118" s="372" t="s">
        <v>14011</v>
      </c>
      <c r="EL118" s="372"/>
      <c r="EM118" s="372" t="s">
        <v>1624</v>
      </c>
      <c r="EN118" s="372">
        <v>9872</v>
      </c>
      <c r="EO118" s="369"/>
      <c r="EP118" s="369"/>
      <c r="EQ118" s="369"/>
    </row>
    <row r="119" spans="2:147" ht="15" customHeight="1">
      <c r="C119" s="1002" t="s">
        <v>3564</v>
      </c>
      <c r="D119" s="1002"/>
      <c r="E119" s="1002"/>
      <c r="F119" s="1002"/>
      <c r="G119" s="1002"/>
      <c r="H119" s="1002"/>
      <c r="I119" s="1002"/>
      <c r="J119" s="1002"/>
      <c r="K119" s="1002"/>
      <c r="L119" s="1002"/>
      <c r="M119" s="1002"/>
      <c r="N119" s="1002"/>
      <c r="O119" s="1002"/>
      <c r="P119" s="1002"/>
      <c r="Q119" s="1002"/>
      <c r="R119" s="1002"/>
      <c r="S119" s="1002"/>
      <c r="T119" s="1002"/>
      <c r="U119" s="1002"/>
      <c r="V119" s="1002"/>
      <c r="W119" s="1002"/>
      <c r="X119" s="1002"/>
      <c r="Y119" s="1002"/>
      <c r="Z119" s="1002"/>
      <c r="AA119" s="1002"/>
      <c r="AB119" s="1002"/>
      <c r="AC119" s="1002"/>
      <c r="AD119" s="1002"/>
      <c r="AE119" s="1002"/>
      <c r="AF119" s="1002"/>
      <c r="AG119" s="1002"/>
      <c r="AH119" s="1002"/>
      <c r="AI119" s="1002"/>
      <c r="AJ119" s="1002"/>
      <c r="AK119" s="1002"/>
      <c r="AL119" s="1002"/>
      <c r="AM119" s="1002"/>
      <c r="AN119" s="1002"/>
      <c r="AO119" s="1002"/>
      <c r="AP119" s="1002"/>
      <c r="AQ119" s="1002"/>
      <c r="AR119" s="1002"/>
      <c r="AS119" s="1002"/>
      <c r="AT119" s="1002"/>
      <c r="AU119" s="1002"/>
      <c r="AV119" s="1002"/>
      <c r="AW119" s="1002"/>
      <c r="AX119" s="1002"/>
      <c r="AY119" s="1002"/>
      <c r="AZ119" s="1002"/>
      <c r="BA119" s="1002"/>
      <c r="BB119" s="1002"/>
      <c r="BC119" s="1002"/>
      <c r="BD119" s="1002"/>
      <c r="BE119" s="1002"/>
      <c r="BF119" s="1002"/>
      <c r="BG119" s="1002"/>
      <c r="BH119" s="1002"/>
      <c r="BI119" s="1002"/>
      <c r="BJ119" s="1002"/>
      <c r="BK119" s="1002"/>
      <c r="BL119" s="1002"/>
      <c r="BM119" s="1002"/>
      <c r="BN119" s="1002"/>
      <c r="BO119" s="1002"/>
      <c r="BP119" s="1002"/>
      <c r="BQ119" s="1002"/>
      <c r="BR119" s="1002"/>
      <c r="BS119" s="1002"/>
      <c r="BT119" s="1002"/>
      <c r="BU119" s="1002"/>
      <c r="BV119" s="1002"/>
      <c r="BW119" s="1002"/>
      <c r="DZ119" s="372">
        <v>19304</v>
      </c>
      <c r="EA119" s="372" t="s">
        <v>3387</v>
      </c>
      <c r="EB119" s="372" t="s">
        <v>3447</v>
      </c>
      <c r="EC119" s="372" t="s">
        <v>1626</v>
      </c>
      <c r="ED119" s="447" t="s">
        <v>13763</v>
      </c>
      <c r="EE119" s="372" t="s">
        <v>13819</v>
      </c>
      <c r="EF119" s="372" t="s">
        <v>3448</v>
      </c>
      <c r="EG119" s="372">
        <v>1549</v>
      </c>
      <c r="EH119" s="372" t="s">
        <v>3449</v>
      </c>
      <c r="EI119" s="372" t="s">
        <v>3450</v>
      </c>
      <c r="EJ119" s="372" t="s">
        <v>3451</v>
      </c>
      <c r="EK119" s="372" t="s">
        <v>13820</v>
      </c>
      <c r="EL119" s="372" t="s">
        <v>3452</v>
      </c>
      <c r="EM119" s="372" t="s">
        <v>1633</v>
      </c>
      <c r="EN119" s="372">
        <v>10068</v>
      </c>
      <c r="EO119" s="369"/>
      <c r="EP119" s="369"/>
      <c r="EQ119" s="369"/>
    </row>
    <row r="120" spans="2:147" ht="15" customHeight="1">
      <c r="C120" s="1003"/>
      <c r="D120" s="1003"/>
      <c r="E120" s="1003"/>
      <c r="F120" s="1003"/>
      <c r="G120" s="1003"/>
      <c r="H120" s="1003"/>
      <c r="I120" s="1003"/>
      <c r="J120" s="1003"/>
      <c r="K120" s="1003"/>
      <c r="L120" s="1003"/>
      <c r="M120" s="1003"/>
      <c r="N120" s="1003"/>
      <c r="O120" s="1003"/>
      <c r="P120" s="1003"/>
      <c r="Q120" s="1003"/>
      <c r="R120" s="1003"/>
      <c r="S120" s="1003"/>
      <c r="T120" s="1003"/>
      <c r="U120" s="1003"/>
      <c r="V120" s="1003"/>
      <c r="W120" s="1003"/>
      <c r="X120" s="1003"/>
      <c r="Y120" s="1003"/>
      <c r="Z120" s="1003"/>
      <c r="AA120" s="1003"/>
      <c r="AB120" s="1003"/>
      <c r="AC120" s="1003"/>
      <c r="AD120" s="1003"/>
      <c r="AE120" s="1003"/>
      <c r="AF120" s="1003"/>
      <c r="AG120" s="1003"/>
      <c r="AH120" s="1003"/>
      <c r="AI120" s="1003"/>
      <c r="AJ120" s="1003"/>
      <c r="AK120" s="1003"/>
      <c r="AL120" s="1003"/>
      <c r="AM120" s="1003"/>
      <c r="AN120" s="1003"/>
      <c r="AO120" s="1003"/>
      <c r="AP120" s="1003"/>
      <c r="AQ120" s="1003"/>
      <c r="AR120" s="1003"/>
      <c r="AS120" s="1003"/>
      <c r="AT120" s="1003"/>
      <c r="AU120" s="1003"/>
      <c r="AV120" s="1003"/>
      <c r="AW120" s="1003"/>
      <c r="AX120" s="1003"/>
      <c r="AY120" s="1003"/>
      <c r="AZ120" s="1003"/>
      <c r="BA120" s="1003"/>
      <c r="BB120" s="1003"/>
      <c r="BC120" s="1003"/>
      <c r="BD120" s="1003"/>
      <c r="BE120" s="1003"/>
      <c r="BF120" s="1003"/>
      <c r="BG120" s="1003"/>
      <c r="BH120" s="1003"/>
      <c r="BI120" s="1003"/>
      <c r="BJ120" s="1003"/>
      <c r="BK120" s="1003"/>
      <c r="BL120" s="1003"/>
      <c r="BM120" s="1003"/>
      <c r="BN120" s="1003"/>
      <c r="BO120" s="1003"/>
      <c r="BP120" s="1003"/>
      <c r="BQ120" s="1003"/>
      <c r="BR120" s="1003"/>
      <c r="BS120" s="1003"/>
      <c r="BT120" s="1003"/>
      <c r="BU120" s="1003"/>
      <c r="BV120" s="1003"/>
      <c r="BW120" s="1003"/>
      <c r="DZ120" s="372">
        <v>19309</v>
      </c>
      <c r="EA120" s="372" t="s">
        <v>1484</v>
      </c>
      <c r="EB120" s="372" t="s">
        <v>2097</v>
      </c>
      <c r="EC120" s="372" t="s">
        <v>1820</v>
      </c>
      <c r="ED120" s="447" t="s">
        <v>13802</v>
      </c>
      <c r="EE120" s="372" t="s">
        <v>14368</v>
      </c>
      <c r="EF120" s="372" t="s">
        <v>2098</v>
      </c>
      <c r="EG120" s="372">
        <v>290</v>
      </c>
      <c r="EH120" s="372" t="s">
        <v>2099</v>
      </c>
      <c r="EI120" s="372" t="s">
        <v>2100</v>
      </c>
      <c r="EJ120" s="372" t="s">
        <v>2101</v>
      </c>
      <c r="EK120" s="372" t="s">
        <v>14369</v>
      </c>
      <c r="EL120" s="372"/>
      <c r="EM120" t="s">
        <v>14769</v>
      </c>
      <c r="EN120" s="372">
        <v>10059</v>
      </c>
      <c r="EO120" s="369"/>
      <c r="EP120" s="369"/>
      <c r="EQ120" s="369"/>
    </row>
    <row r="121" spans="2:147">
      <c r="C121" s="1003"/>
      <c r="D121" s="1003"/>
      <c r="E121" s="1003"/>
      <c r="F121" s="1003"/>
      <c r="G121" s="1003"/>
      <c r="H121" s="1003"/>
      <c r="I121" s="1003"/>
      <c r="J121" s="1003"/>
      <c r="K121" s="1003"/>
      <c r="L121" s="1003"/>
      <c r="M121" s="1003"/>
      <c r="N121" s="1003"/>
      <c r="O121" s="1003"/>
      <c r="P121" s="1003"/>
      <c r="Q121" s="1003"/>
      <c r="R121" s="1003"/>
      <c r="S121" s="1003"/>
      <c r="T121" s="1003"/>
      <c r="U121" s="1003"/>
      <c r="V121" s="1003"/>
      <c r="W121" s="1003"/>
      <c r="X121" s="1003"/>
      <c r="Y121" s="1003"/>
      <c r="Z121" s="1003"/>
      <c r="AA121" s="1003"/>
      <c r="AB121" s="1003"/>
      <c r="AC121" s="1003"/>
      <c r="AD121" s="1003"/>
      <c r="AE121" s="1003"/>
      <c r="AF121" s="1003"/>
      <c r="AG121" s="1003"/>
      <c r="AH121" s="1003"/>
      <c r="AI121" s="1003"/>
      <c r="AJ121" s="1003"/>
      <c r="AK121" s="1003"/>
      <c r="AL121" s="1003"/>
      <c r="AM121" s="1003"/>
      <c r="AN121" s="1003"/>
      <c r="AO121" s="1003"/>
      <c r="AP121" s="1003"/>
      <c r="AQ121" s="1003"/>
      <c r="AR121" s="1003"/>
      <c r="AS121" s="1003"/>
      <c r="AT121" s="1003"/>
      <c r="AU121" s="1003"/>
      <c r="AV121" s="1003"/>
      <c r="AW121" s="1003"/>
      <c r="AX121" s="1003"/>
      <c r="AY121" s="1003"/>
      <c r="AZ121" s="1003"/>
      <c r="BA121" s="1003"/>
      <c r="BB121" s="1003"/>
      <c r="BC121" s="1003"/>
      <c r="BD121" s="1003"/>
      <c r="BE121" s="1003"/>
      <c r="BF121" s="1003"/>
      <c r="BG121" s="1003"/>
      <c r="BH121" s="1003"/>
      <c r="BI121" s="1003"/>
      <c r="BJ121" s="1003"/>
      <c r="BK121" s="1003"/>
      <c r="BL121" s="1003"/>
      <c r="BM121" s="1003"/>
      <c r="BN121" s="1003"/>
      <c r="BO121" s="1003"/>
      <c r="BP121" s="1003"/>
      <c r="BQ121" s="1003"/>
      <c r="BR121" s="1003"/>
      <c r="BS121" s="1003"/>
      <c r="BT121" s="1003"/>
      <c r="BU121" s="1003"/>
      <c r="BV121" s="1003"/>
      <c r="BW121" s="1003"/>
      <c r="DZ121" s="372">
        <v>19311</v>
      </c>
      <c r="EA121" s="469" t="s">
        <v>1484</v>
      </c>
      <c r="EB121" s="372" t="s">
        <v>2102</v>
      </c>
      <c r="EC121" s="469" t="s">
        <v>1654</v>
      </c>
      <c r="ED121" s="372" t="s">
        <v>13774</v>
      </c>
      <c r="EE121" s="372" t="s">
        <v>14683</v>
      </c>
      <c r="EF121" s="469" t="s">
        <v>2103</v>
      </c>
      <c r="EG121" s="469" t="s">
        <v>46</v>
      </c>
      <c r="EH121" s="469" t="s">
        <v>2102</v>
      </c>
      <c r="EI121" s="371" t="s">
        <v>2104</v>
      </c>
      <c r="EJ121" s="469" t="s">
        <v>2105</v>
      </c>
      <c r="EK121" s="469" t="s">
        <v>14684</v>
      </c>
      <c r="EL121" s="469" t="s">
        <v>2106</v>
      </c>
      <c r="EM121" s="450" t="s">
        <v>7010</v>
      </c>
      <c r="EN121" s="364">
        <v>11443</v>
      </c>
      <c r="EO121" s="369"/>
      <c r="EP121" s="369"/>
      <c r="EQ121" s="369"/>
    </row>
    <row r="122" spans="2:147">
      <c r="C122" s="1003"/>
      <c r="D122" s="1003"/>
      <c r="E122" s="1003"/>
      <c r="F122" s="1003"/>
      <c r="G122" s="1003"/>
      <c r="H122" s="1003"/>
      <c r="I122" s="1003"/>
      <c r="J122" s="1003"/>
      <c r="K122" s="1003"/>
      <c r="L122" s="1003"/>
      <c r="M122" s="1003"/>
      <c r="N122" s="1003"/>
      <c r="O122" s="1003"/>
      <c r="P122" s="1003"/>
      <c r="Q122" s="1003"/>
      <c r="R122" s="1003"/>
      <c r="S122" s="1003"/>
      <c r="T122" s="1003"/>
      <c r="U122" s="1003"/>
      <c r="V122" s="1003"/>
      <c r="W122" s="1003"/>
      <c r="X122" s="1003"/>
      <c r="Y122" s="1003"/>
      <c r="Z122" s="1003"/>
      <c r="AA122" s="1003"/>
      <c r="AB122" s="1003"/>
      <c r="AC122" s="1003"/>
      <c r="AD122" s="1003"/>
      <c r="AE122" s="1003"/>
      <c r="AF122" s="1003"/>
      <c r="AG122" s="1003"/>
      <c r="AH122" s="1003"/>
      <c r="AI122" s="1003"/>
      <c r="AJ122" s="1003"/>
      <c r="AK122" s="1003"/>
      <c r="AL122" s="1003"/>
      <c r="AM122" s="1003"/>
      <c r="AN122" s="1003"/>
      <c r="AO122" s="1003"/>
      <c r="AP122" s="1003"/>
      <c r="AQ122" s="1003"/>
      <c r="AR122" s="1003"/>
      <c r="AS122" s="1003"/>
      <c r="AT122" s="1003"/>
      <c r="AU122" s="1003"/>
      <c r="AV122" s="1003"/>
      <c r="AW122" s="1003"/>
      <c r="AX122" s="1003"/>
      <c r="AY122" s="1003"/>
      <c r="AZ122" s="1003"/>
      <c r="BA122" s="1003"/>
      <c r="BB122" s="1003"/>
      <c r="BC122" s="1003"/>
      <c r="BD122" s="1003"/>
      <c r="BE122" s="1003"/>
      <c r="BF122" s="1003"/>
      <c r="BG122" s="1003"/>
      <c r="BH122" s="1003"/>
      <c r="BI122" s="1003"/>
      <c r="BJ122" s="1003"/>
      <c r="BK122" s="1003"/>
      <c r="BL122" s="1003"/>
      <c r="BM122" s="1003"/>
      <c r="BN122" s="1003"/>
      <c r="BO122" s="1003"/>
      <c r="BP122" s="1003"/>
      <c r="BQ122" s="1003"/>
      <c r="BR122" s="1003"/>
      <c r="BS122" s="1003"/>
      <c r="BT122" s="1003"/>
      <c r="BU122" s="1003"/>
      <c r="BV122" s="1003"/>
      <c r="BW122" s="1003"/>
      <c r="DZ122" s="372">
        <v>19312</v>
      </c>
      <c r="EA122" s="447" t="s">
        <v>1484</v>
      </c>
      <c r="EB122" s="372" t="s">
        <v>14500</v>
      </c>
      <c r="EC122" s="372" t="s">
        <v>13777</v>
      </c>
      <c r="ED122" s="371" t="s">
        <v>13778</v>
      </c>
      <c r="EE122" s="447" t="s">
        <v>14501</v>
      </c>
      <c r="EF122" s="371" t="s">
        <v>14502</v>
      </c>
      <c r="EG122" s="371">
        <v>278</v>
      </c>
      <c r="EH122" s="462" t="s">
        <v>14447</v>
      </c>
      <c r="EI122" s="371" t="str">
        <f>EF122&amp;", "&amp;EG122&amp;" - "&amp;EH122</f>
        <v>RUA RECANTO DOS HUMILDES, 278 - PERUS</v>
      </c>
      <c r="EJ122" s="463">
        <v>5209000</v>
      </c>
      <c r="EK122" s="447" t="s">
        <v>14503</v>
      </c>
      <c r="EL122" s="447"/>
      <c r="EM122" s="372" t="s">
        <v>1633</v>
      </c>
      <c r="EN122" s="372">
        <v>10423</v>
      </c>
      <c r="EO122" s="369"/>
      <c r="EP122" s="369"/>
      <c r="EQ122" s="369"/>
    </row>
    <row r="123" spans="2:147" ht="15" customHeight="1">
      <c r="C123" s="1003"/>
      <c r="D123" s="1003"/>
      <c r="E123" s="1003"/>
      <c r="F123" s="1003"/>
      <c r="G123" s="1003"/>
      <c r="H123" s="1003"/>
      <c r="I123" s="1003"/>
      <c r="J123" s="1003"/>
      <c r="K123" s="1003"/>
      <c r="L123" s="1003"/>
      <c r="M123" s="1003"/>
      <c r="N123" s="1003"/>
      <c r="O123" s="1003"/>
      <c r="P123" s="1003"/>
      <c r="Q123" s="1003"/>
      <c r="R123" s="1003"/>
      <c r="S123" s="1003"/>
      <c r="T123" s="1003"/>
      <c r="U123" s="1003"/>
      <c r="V123" s="1003"/>
      <c r="W123" s="1003"/>
      <c r="X123" s="1003"/>
      <c r="Y123" s="1003"/>
      <c r="Z123" s="1003"/>
      <c r="AA123" s="1003"/>
      <c r="AB123" s="1003"/>
      <c r="AC123" s="1003"/>
      <c r="AD123" s="1003"/>
      <c r="AE123" s="1003"/>
      <c r="AF123" s="1003"/>
      <c r="AG123" s="1003"/>
      <c r="AH123" s="1003"/>
      <c r="AI123" s="1003"/>
      <c r="AJ123" s="1003"/>
      <c r="AK123" s="1003"/>
      <c r="AL123" s="1003"/>
      <c r="AM123" s="1003"/>
      <c r="AN123" s="1003"/>
      <c r="AO123" s="1003"/>
      <c r="AP123" s="1003"/>
      <c r="AQ123" s="1003"/>
      <c r="AR123" s="1003"/>
      <c r="AS123" s="1003"/>
      <c r="AT123" s="1003"/>
      <c r="AU123" s="1003"/>
      <c r="AV123" s="1003"/>
      <c r="AW123" s="1003"/>
      <c r="AX123" s="1003"/>
      <c r="AY123" s="1003"/>
      <c r="AZ123" s="1003"/>
      <c r="BA123" s="1003"/>
      <c r="BB123" s="1003"/>
      <c r="BC123" s="1003"/>
      <c r="BD123" s="1003"/>
      <c r="BE123" s="1003"/>
      <c r="BF123" s="1003"/>
      <c r="BG123" s="1003"/>
      <c r="BH123" s="1003"/>
      <c r="BI123" s="1003"/>
      <c r="BJ123" s="1003"/>
      <c r="BK123" s="1003"/>
      <c r="BL123" s="1003"/>
      <c r="BM123" s="1003"/>
      <c r="BN123" s="1003"/>
      <c r="BO123" s="1003"/>
      <c r="BP123" s="1003"/>
      <c r="BQ123" s="1003"/>
      <c r="BR123" s="1003"/>
      <c r="BS123" s="1003"/>
      <c r="BT123" s="1003"/>
      <c r="BU123" s="1003"/>
      <c r="BV123" s="1003"/>
      <c r="BW123" s="1003"/>
      <c r="DZ123" s="372">
        <v>19315</v>
      </c>
      <c r="EA123" s="372" t="s">
        <v>3387</v>
      </c>
      <c r="EB123" s="372" t="s">
        <v>13821</v>
      </c>
      <c r="EC123" s="372" t="s">
        <v>1617</v>
      </c>
      <c r="ED123" s="372" t="s">
        <v>1618</v>
      </c>
      <c r="EE123" s="372" t="s">
        <v>13822</v>
      </c>
      <c r="EF123" s="372" t="s">
        <v>3453</v>
      </c>
      <c r="EG123" s="372">
        <v>293</v>
      </c>
      <c r="EH123" s="372" t="s">
        <v>2144</v>
      </c>
      <c r="EI123" s="372" t="s">
        <v>3454</v>
      </c>
      <c r="EJ123" s="372" t="s">
        <v>3455</v>
      </c>
      <c r="EK123" s="372" t="s">
        <v>13823</v>
      </c>
      <c r="EL123" s="372"/>
      <c r="EM123" s="372" t="s">
        <v>1624</v>
      </c>
      <c r="EN123" s="372">
        <v>10402</v>
      </c>
      <c r="EO123" s="369"/>
      <c r="EP123" s="369"/>
      <c r="EQ123" s="369"/>
    </row>
    <row r="124" spans="2:147">
      <c r="C124" s="1003"/>
      <c r="D124" s="1003"/>
      <c r="E124" s="1003"/>
      <c r="F124" s="1003"/>
      <c r="G124" s="1003"/>
      <c r="H124" s="1003"/>
      <c r="I124" s="1003"/>
      <c r="J124" s="1003"/>
      <c r="K124" s="1003"/>
      <c r="L124" s="1003"/>
      <c r="M124" s="1003"/>
      <c r="N124" s="1003"/>
      <c r="O124" s="1003"/>
      <c r="P124" s="1003"/>
      <c r="Q124" s="1003"/>
      <c r="R124" s="1003"/>
      <c r="S124" s="1003"/>
      <c r="T124" s="1003"/>
      <c r="U124" s="1003"/>
      <c r="V124" s="1003"/>
      <c r="W124" s="1003"/>
      <c r="X124" s="1003"/>
      <c r="Y124" s="1003"/>
      <c r="Z124" s="1003"/>
      <c r="AA124" s="1003"/>
      <c r="AB124" s="1003"/>
      <c r="AC124" s="1003"/>
      <c r="AD124" s="1003"/>
      <c r="AE124" s="1003"/>
      <c r="AF124" s="1003"/>
      <c r="AG124" s="1003"/>
      <c r="AH124" s="1003"/>
      <c r="AI124" s="1003"/>
      <c r="AJ124" s="1003"/>
      <c r="AK124" s="1003"/>
      <c r="AL124" s="1003"/>
      <c r="AM124" s="1003"/>
      <c r="AN124" s="1003"/>
      <c r="AO124" s="1003"/>
      <c r="AP124" s="1003"/>
      <c r="AQ124" s="1003"/>
      <c r="AR124" s="1003"/>
      <c r="AS124" s="1003"/>
      <c r="AT124" s="1003"/>
      <c r="AU124" s="1003"/>
      <c r="AV124" s="1003"/>
      <c r="AW124" s="1003"/>
      <c r="AX124" s="1003"/>
      <c r="AY124" s="1003"/>
      <c r="AZ124" s="1003"/>
      <c r="BA124" s="1003"/>
      <c r="BB124" s="1003"/>
      <c r="BC124" s="1003"/>
      <c r="BD124" s="1003"/>
      <c r="BE124" s="1003"/>
      <c r="BF124" s="1003"/>
      <c r="BG124" s="1003"/>
      <c r="BH124" s="1003"/>
      <c r="BI124" s="1003"/>
      <c r="BJ124" s="1003"/>
      <c r="BK124" s="1003"/>
      <c r="BL124" s="1003"/>
      <c r="BM124" s="1003"/>
      <c r="BN124" s="1003"/>
      <c r="BO124" s="1003"/>
      <c r="BP124" s="1003"/>
      <c r="BQ124" s="1003"/>
      <c r="BR124" s="1003"/>
      <c r="BS124" s="1003"/>
      <c r="BT124" s="1003"/>
      <c r="BU124" s="1003"/>
      <c r="BV124" s="1003"/>
      <c r="BW124" s="1003"/>
      <c r="DZ124" s="372">
        <v>19316</v>
      </c>
      <c r="EA124" s="372" t="s">
        <v>1484</v>
      </c>
      <c r="EB124" s="372" t="s">
        <v>2107</v>
      </c>
      <c r="EC124" s="372" t="s">
        <v>1707</v>
      </c>
      <c r="ED124" s="447" t="s">
        <v>13799</v>
      </c>
      <c r="EE124" s="372" t="s">
        <v>14285</v>
      </c>
      <c r="EF124" s="372" t="s">
        <v>2108</v>
      </c>
      <c r="EG124" s="372" t="s">
        <v>46</v>
      </c>
      <c r="EH124" s="372" t="s">
        <v>1997</v>
      </c>
      <c r="EI124" s="372" t="s">
        <v>2109</v>
      </c>
      <c r="EJ124" s="372" t="s">
        <v>2110</v>
      </c>
      <c r="EK124" s="372" t="s">
        <v>14286</v>
      </c>
      <c r="EL124" s="372" t="s">
        <v>2111</v>
      </c>
      <c r="EM124" s="372" t="s">
        <v>1633</v>
      </c>
      <c r="EN124" s="372">
        <v>10494</v>
      </c>
      <c r="EO124" s="369"/>
      <c r="EP124" s="369"/>
      <c r="EQ124" s="369"/>
    </row>
    <row r="125" spans="2:147">
      <c r="B125" s="261">
        <v>1</v>
      </c>
      <c r="C125" s="1003"/>
      <c r="D125" s="1003"/>
      <c r="E125" s="1003"/>
      <c r="F125" s="1003"/>
      <c r="G125" s="1003"/>
      <c r="H125" s="1003"/>
      <c r="I125" s="1003"/>
      <c r="J125" s="1003"/>
      <c r="K125" s="1003"/>
      <c r="L125" s="1003"/>
      <c r="M125" s="1003"/>
      <c r="N125" s="1003"/>
      <c r="O125" s="1003"/>
      <c r="P125" s="1003"/>
      <c r="Q125" s="1003"/>
      <c r="R125" s="1003"/>
      <c r="S125" s="1003"/>
      <c r="T125" s="1003"/>
      <c r="U125" s="1003"/>
      <c r="V125" s="1003"/>
      <c r="W125" s="1003"/>
      <c r="X125" s="1003"/>
      <c r="Y125" s="1003"/>
      <c r="Z125" s="1003"/>
      <c r="AA125" s="1003"/>
      <c r="AB125" s="1003"/>
      <c r="AC125" s="1003"/>
      <c r="AD125" s="1003"/>
      <c r="AE125" s="1003"/>
      <c r="AF125" s="1003"/>
      <c r="AG125" s="1003"/>
      <c r="AH125" s="1003"/>
      <c r="AI125" s="1003"/>
      <c r="AJ125" s="1003"/>
      <c r="AK125" s="1003"/>
      <c r="AL125" s="1003"/>
      <c r="AM125" s="1003"/>
      <c r="AN125" s="1003"/>
      <c r="AO125" s="1003"/>
      <c r="AP125" s="1003"/>
      <c r="AQ125" s="1003"/>
      <c r="AR125" s="1003"/>
      <c r="AS125" s="1003"/>
      <c r="AT125" s="1003"/>
      <c r="AU125" s="1003"/>
      <c r="AV125" s="1003"/>
      <c r="AW125" s="1003"/>
      <c r="AX125" s="1003"/>
      <c r="AY125" s="1003"/>
      <c r="AZ125" s="1003"/>
      <c r="BA125" s="1003"/>
      <c r="BB125" s="1003"/>
      <c r="BC125" s="1003"/>
      <c r="BD125" s="1003"/>
      <c r="BE125" s="1003"/>
      <c r="BF125" s="1003"/>
      <c r="BG125" s="1003"/>
      <c r="BH125" s="1003"/>
      <c r="BI125" s="1003"/>
      <c r="BJ125" s="1003"/>
      <c r="BK125" s="1003"/>
      <c r="BL125" s="1003"/>
      <c r="BM125" s="1003"/>
      <c r="BN125" s="1003"/>
      <c r="BO125" s="1003"/>
      <c r="BP125" s="1003"/>
      <c r="BQ125" s="1003"/>
      <c r="BR125" s="1003"/>
      <c r="BS125" s="1003"/>
      <c r="BT125" s="1003"/>
      <c r="BU125" s="1003"/>
      <c r="BV125" s="1003"/>
      <c r="BW125" s="1003"/>
      <c r="DZ125" s="372">
        <v>19318</v>
      </c>
      <c r="EA125" s="372" t="s">
        <v>1484</v>
      </c>
      <c r="EB125" s="372" t="s">
        <v>2112</v>
      </c>
      <c r="EC125" s="372" t="s">
        <v>1707</v>
      </c>
      <c r="ED125" s="447" t="s">
        <v>13799</v>
      </c>
      <c r="EE125" s="372" t="s">
        <v>14295</v>
      </c>
      <c r="EF125" s="372" t="s">
        <v>2113</v>
      </c>
      <c r="EG125" s="372">
        <v>650</v>
      </c>
      <c r="EH125" s="372" t="s">
        <v>1968</v>
      </c>
      <c r="EI125" s="372" t="s">
        <v>2114</v>
      </c>
      <c r="EJ125" s="372" t="s">
        <v>2115</v>
      </c>
      <c r="EK125" s="372" t="s">
        <v>14296</v>
      </c>
      <c r="EL125" s="372"/>
      <c r="EM125" s="372" t="s">
        <v>1633</v>
      </c>
      <c r="EN125" s="372">
        <v>10809</v>
      </c>
      <c r="EO125" s="369"/>
      <c r="EP125" s="369"/>
      <c r="EQ125" s="369"/>
    </row>
    <row r="126" spans="2:147" hidden="1">
      <c r="C126" s="1003"/>
      <c r="D126" s="1003"/>
      <c r="E126" s="1003"/>
      <c r="F126" s="1003"/>
      <c r="G126" s="1003"/>
      <c r="H126" s="1003"/>
      <c r="I126" s="1003"/>
      <c r="J126" s="1003"/>
      <c r="K126" s="1003"/>
      <c r="L126" s="1003"/>
      <c r="M126" s="1003"/>
      <c r="N126" s="1003"/>
      <c r="O126" s="1003"/>
      <c r="P126" s="1003"/>
      <c r="Q126" s="1003"/>
      <c r="R126" s="1003"/>
      <c r="S126" s="1003"/>
      <c r="T126" s="1003"/>
      <c r="U126" s="1003"/>
      <c r="V126" s="1003"/>
      <c r="W126" s="1003"/>
      <c r="X126" s="1003"/>
      <c r="Y126" s="1003"/>
      <c r="Z126" s="1003"/>
      <c r="AA126" s="1003"/>
      <c r="AB126" s="1003"/>
      <c r="AC126" s="1003"/>
      <c r="AD126" s="1003"/>
      <c r="AE126" s="1003"/>
      <c r="AF126" s="1003"/>
      <c r="AG126" s="1003"/>
      <c r="AH126" s="1003"/>
      <c r="AI126" s="1003"/>
      <c r="AJ126" s="1003"/>
      <c r="AK126" s="1003"/>
      <c r="AL126" s="1003"/>
      <c r="AM126" s="1003"/>
      <c r="AN126" s="1003"/>
      <c r="AO126" s="1003"/>
      <c r="AP126" s="1003"/>
      <c r="AQ126" s="1003"/>
      <c r="AR126" s="1003"/>
      <c r="AS126" s="1003"/>
      <c r="AT126" s="1003"/>
      <c r="AU126" s="1003"/>
      <c r="AV126" s="1003"/>
      <c r="AW126" s="1003"/>
      <c r="AX126" s="1003"/>
      <c r="AY126" s="1003"/>
      <c r="AZ126" s="1003"/>
      <c r="BA126" s="1003"/>
      <c r="BB126" s="1003"/>
      <c r="BC126" s="1003"/>
      <c r="BD126" s="1003"/>
      <c r="BE126" s="1003"/>
      <c r="BF126" s="1003"/>
      <c r="BG126" s="1003"/>
      <c r="BH126" s="1003"/>
      <c r="BI126" s="1003"/>
      <c r="BJ126" s="1003"/>
      <c r="BK126" s="1003"/>
      <c r="BL126" s="1003"/>
      <c r="BM126" s="1003"/>
      <c r="BN126" s="1003"/>
      <c r="BO126" s="1003"/>
      <c r="BP126" s="1003"/>
      <c r="BQ126" s="1003"/>
      <c r="BR126" s="1003"/>
      <c r="BS126" s="1003"/>
      <c r="BT126" s="1003"/>
      <c r="BU126" s="1003"/>
      <c r="BV126" s="1003"/>
      <c r="BW126" s="1003"/>
      <c r="DZ126" s="372">
        <v>19319</v>
      </c>
      <c r="EA126" s="372" t="s">
        <v>1484</v>
      </c>
      <c r="EB126" s="372" t="s">
        <v>14067</v>
      </c>
      <c r="EC126" s="372" t="s">
        <v>1661</v>
      </c>
      <c r="ED126" s="447" t="s">
        <v>13771</v>
      </c>
      <c r="EE126" s="372" t="s">
        <v>14068</v>
      </c>
      <c r="EF126" s="372" t="s">
        <v>2116</v>
      </c>
      <c r="EG126" s="372">
        <v>15</v>
      </c>
      <c r="EH126" s="372" t="s">
        <v>2117</v>
      </c>
      <c r="EI126" s="372" t="s">
        <v>2118</v>
      </c>
      <c r="EJ126" s="372" t="s">
        <v>2119</v>
      </c>
      <c r="EK126" s="372" t="s">
        <v>14069</v>
      </c>
      <c r="EL126" s="372" t="s">
        <v>2120</v>
      </c>
      <c r="EM126" s="372" t="s">
        <v>1669</v>
      </c>
      <c r="EN126" s="372">
        <v>10750</v>
      </c>
      <c r="EO126" s="369"/>
      <c r="EP126" s="369"/>
      <c r="EQ126" s="369"/>
    </row>
    <row r="127" spans="2:147" hidden="1">
      <c r="C127" s="1003"/>
      <c r="D127" s="1003"/>
      <c r="E127" s="1003"/>
      <c r="F127" s="1003"/>
      <c r="G127" s="1003"/>
      <c r="H127" s="1003"/>
      <c r="I127" s="1003"/>
      <c r="J127" s="1003"/>
      <c r="K127" s="1003"/>
      <c r="L127" s="1003"/>
      <c r="M127" s="1003"/>
      <c r="N127" s="1003"/>
      <c r="O127" s="1003"/>
      <c r="P127" s="1003"/>
      <c r="Q127" s="1003"/>
      <c r="R127" s="1003"/>
      <c r="S127" s="1003"/>
      <c r="T127" s="1003"/>
      <c r="U127" s="1003"/>
      <c r="V127" s="1003"/>
      <c r="W127" s="1003"/>
      <c r="X127" s="1003"/>
      <c r="Y127" s="1003"/>
      <c r="Z127" s="1003"/>
      <c r="AA127" s="1003"/>
      <c r="AB127" s="1003"/>
      <c r="AC127" s="1003"/>
      <c r="AD127" s="1003"/>
      <c r="AE127" s="1003"/>
      <c r="AF127" s="1003"/>
      <c r="AG127" s="1003"/>
      <c r="AH127" s="1003"/>
      <c r="AI127" s="1003"/>
      <c r="AJ127" s="1003"/>
      <c r="AK127" s="1003"/>
      <c r="AL127" s="1003"/>
      <c r="AM127" s="1003"/>
      <c r="AN127" s="1003"/>
      <c r="AO127" s="1003"/>
      <c r="AP127" s="1003"/>
      <c r="AQ127" s="1003"/>
      <c r="AR127" s="1003"/>
      <c r="AS127" s="1003"/>
      <c r="AT127" s="1003"/>
      <c r="AU127" s="1003"/>
      <c r="AV127" s="1003"/>
      <c r="AW127" s="1003"/>
      <c r="AX127" s="1003"/>
      <c r="AY127" s="1003"/>
      <c r="AZ127" s="1003"/>
      <c r="BA127" s="1003"/>
      <c r="BB127" s="1003"/>
      <c r="BC127" s="1003"/>
      <c r="BD127" s="1003"/>
      <c r="BE127" s="1003"/>
      <c r="BF127" s="1003"/>
      <c r="BG127" s="1003"/>
      <c r="BH127" s="1003"/>
      <c r="BI127" s="1003"/>
      <c r="BJ127" s="1003"/>
      <c r="BK127" s="1003"/>
      <c r="BL127" s="1003"/>
      <c r="BM127" s="1003"/>
      <c r="BN127" s="1003"/>
      <c r="BO127" s="1003"/>
      <c r="BP127" s="1003"/>
      <c r="BQ127" s="1003"/>
      <c r="BR127" s="1003"/>
      <c r="BS127" s="1003"/>
      <c r="BT127" s="1003"/>
      <c r="BU127" s="1003"/>
      <c r="BV127" s="1003"/>
      <c r="BW127" s="1003"/>
      <c r="DZ127" s="372">
        <v>19320</v>
      </c>
      <c r="EA127" s="469" t="s">
        <v>1484</v>
      </c>
      <c r="EB127" s="372" t="s">
        <v>2121</v>
      </c>
      <c r="EC127" s="469" t="s">
        <v>1654</v>
      </c>
      <c r="ED127" s="372" t="s">
        <v>13774</v>
      </c>
      <c r="EE127" s="372" t="s">
        <v>14681</v>
      </c>
      <c r="EF127" s="469" t="s">
        <v>2122</v>
      </c>
      <c r="EG127" s="469">
        <v>49</v>
      </c>
      <c r="EH127" s="469" t="s">
        <v>2123</v>
      </c>
      <c r="EI127" s="371" t="s">
        <v>2124</v>
      </c>
      <c r="EJ127" s="469" t="s">
        <v>2125</v>
      </c>
      <c r="EK127" s="469" t="s">
        <v>14682</v>
      </c>
      <c r="EL127" s="469" t="s">
        <v>2126</v>
      </c>
      <c r="EM127" s="450" t="s">
        <v>7010</v>
      </c>
      <c r="EN127" s="364">
        <v>11320</v>
      </c>
      <c r="EO127" s="369"/>
      <c r="EP127" s="369"/>
      <c r="EQ127" s="369"/>
    </row>
    <row r="128" spans="2:147" ht="12" hidden="1" customHeight="1">
      <c r="C128" s="1003"/>
      <c r="D128" s="1003"/>
      <c r="E128" s="1003"/>
      <c r="F128" s="1003"/>
      <c r="G128" s="1003"/>
      <c r="H128" s="1003"/>
      <c r="I128" s="1003"/>
      <c r="J128" s="1003"/>
      <c r="K128" s="1003"/>
      <c r="L128" s="1003"/>
      <c r="M128" s="1003"/>
      <c r="N128" s="1003"/>
      <c r="O128" s="1003"/>
      <c r="P128" s="1003"/>
      <c r="Q128" s="1003"/>
      <c r="R128" s="1003"/>
      <c r="S128" s="1003"/>
      <c r="T128" s="1003"/>
      <c r="U128" s="1003"/>
      <c r="V128" s="1003"/>
      <c r="W128" s="1003"/>
      <c r="X128" s="1003"/>
      <c r="Y128" s="1003"/>
      <c r="Z128" s="1003"/>
      <c r="AA128" s="1003"/>
      <c r="AB128" s="1003"/>
      <c r="AC128" s="1003"/>
      <c r="AD128" s="1003"/>
      <c r="AE128" s="1003"/>
      <c r="AF128" s="1003"/>
      <c r="AG128" s="1003"/>
      <c r="AH128" s="1003"/>
      <c r="AI128" s="1003"/>
      <c r="AJ128" s="1003"/>
      <c r="AK128" s="1003"/>
      <c r="AL128" s="1003"/>
      <c r="AM128" s="1003"/>
      <c r="AN128" s="1003"/>
      <c r="AO128" s="1003"/>
      <c r="AP128" s="1003"/>
      <c r="AQ128" s="1003"/>
      <c r="AR128" s="1003"/>
      <c r="AS128" s="1003"/>
      <c r="AT128" s="1003"/>
      <c r="AU128" s="1003"/>
      <c r="AV128" s="1003"/>
      <c r="AW128" s="1003"/>
      <c r="AX128" s="1003"/>
      <c r="AY128" s="1003"/>
      <c r="AZ128" s="1003"/>
      <c r="BA128" s="1003"/>
      <c r="BB128" s="1003"/>
      <c r="BC128" s="1003"/>
      <c r="BD128" s="1003"/>
      <c r="BE128" s="1003"/>
      <c r="BF128" s="1003"/>
      <c r="BG128" s="1003"/>
      <c r="BH128" s="1003"/>
      <c r="BI128" s="1003"/>
      <c r="BJ128" s="1003"/>
      <c r="BK128" s="1003"/>
      <c r="BL128" s="1003"/>
      <c r="BM128" s="1003"/>
      <c r="BN128" s="1003"/>
      <c r="BO128" s="1003"/>
      <c r="BP128" s="1003"/>
      <c r="BQ128" s="1003"/>
      <c r="BR128" s="1003"/>
      <c r="BS128" s="1003"/>
      <c r="BT128" s="1003"/>
      <c r="BU128" s="1003"/>
      <c r="BV128" s="1003"/>
      <c r="BW128" s="1003"/>
      <c r="DZ128" s="372">
        <v>19323</v>
      </c>
      <c r="EA128" s="372" t="s">
        <v>1484</v>
      </c>
      <c r="EB128" s="372" t="s">
        <v>13898</v>
      </c>
      <c r="EC128" s="372" t="s">
        <v>1486</v>
      </c>
      <c r="ED128" s="372" t="s">
        <v>161</v>
      </c>
      <c r="EE128" s="372" t="s">
        <v>13899</v>
      </c>
      <c r="EF128" s="372" t="s">
        <v>1524</v>
      </c>
      <c r="EG128" s="372">
        <v>181</v>
      </c>
      <c r="EH128" s="372" t="s">
        <v>1525</v>
      </c>
      <c r="EI128" s="372" t="s">
        <v>1526</v>
      </c>
      <c r="EJ128" s="372" t="s">
        <v>2127</v>
      </c>
      <c r="EK128" s="372" t="s">
        <v>13900</v>
      </c>
      <c r="EL128" s="372"/>
      <c r="EM128" s="372" t="s">
        <v>1669</v>
      </c>
      <c r="EN128" s="372">
        <v>10769</v>
      </c>
      <c r="EO128" s="369"/>
      <c r="EP128" s="369"/>
      <c r="EQ128" s="369"/>
    </row>
    <row r="129" spans="1:147" ht="12.75" hidden="1" customHeight="1">
      <c r="DZ129" s="372">
        <v>19325</v>
      </c>
      <c r="EA129" s="469" t="s">
        <v>1484</v>
      </c>
      <c r="EB129" s="372" t="s">
        <v>14695</v>
      </c>
      <c r="EC129" s="469" t="s">
        <v>1654</v>
      </c>
      <c r="ED129" s="372" t="s">
        <v>13774</v>
      </c>
      <c r="EE129" s="372" t="s">
        <v>14696</v>
      </c>
      <c r="EF129" s="469" t="s">
        <v>2128</v>
      </c>
      <c r="EG129" s="469">
        <v>58</v>
      </c>
      <c r="EH129" s="469" t="s">
        <v>2129</v>
      </c>
      <c r="EI129" s="371" t="s">
        <v>2130</v>
      </c>
      <c r="EJ129" s="469" t="s">
        <v>2131</v>
      </c>
      <c r="EK129" s="469" t="s">
        <v>14697</v>
      </c>
      <c r="EL129" s="469" t="s">
        <v>2132</v>
      </c>
      <c r="EM129" s="450" t="s">
        <v>7010</v>
      </c>
      <c r="EN129" s="364">
        <v>11442</v>
      </c>
      <c r="EO129" s="369"/>
      <c r="EP129" s="369"/>
      <c r="EQ129" s="369"/>
    </row>
    <row r="130" spans="1:147" ht="12.75" hidden="1" customHeight="1">
      <c r="DZ130" s="372">
        <v>19326</v>
      </c>
      <c r="EA130" s="447" t="s">
        <v>1484</v>
      </c>
      <c r="EB130" s="372" t="s">
        <v>14481</v>
      </c>
      <c r="EC130" s="372" t="s">
        <v>13777</v>
      </c>
      <c r="ED130" s="371" t="s">
        <v>13778</v>
      </c>
      <c r="EE130" s="447" t="s">
        <v>14482</v>
      </c>
      <c r="EF130" s="371" t="s">
        <v>14483</v>
      </c>
      <c r="EG130" s="371" t="s">
        <v>46</v>
      </c>
      <c r="EH130" s="462" t="s">
        <v>14484</v>
      </c>
      <c r="EI130" s="371" t="str">
        <f>EF130&amp;", "&amp;EG130&amp;" - "&amp;EH130</f>
        <v>AVENIDA PRESIDENTE ALTINO, S/N - JAGUARE</v>
      </c>
      <c r="EJ130" s="463">
        <v>5323000</v>
      </c>
      <c r="EK130" s="447" t="s">
        <v>14485</v>
      </c>
      <c r="EL130" s="447"/>
      <c r="EM130" s="372" t="s">
        <v>1633</v>
      </c>
      <c r="EN130" s="372">
        <v>11460</v>
      </c>
      <c r="EO130" s="419"/>
      <c r="EP130" s="419"/>
      <c r="EQ130" s="419"/>
    </row>
    <row r="131" spans="1:147" hidden="1">
      <c r="A131" s="353"/>
      <c r="B131" s="353"/>
      <c r="C131" s="354"/>
      <c r="D131" s="354"/>
      <c r="E131" s="354"/>
      <c r="DZ131" s="372">
        <v>19328</v>
      </c>
      <c r="EA131" s="372" t="s">
        <v>3387</v>
      </c>
      <c r="EB131" s="372" t="s">
        <v>3456</v>
      </c>
      <c r="EC131" s="372" t="s">
        <v>1617</v>
      </c>
      <c r="ED131" s="372" t="s">
        <v>1618</v>
      </c>
      <c r="EE131" s="372" t="s">
        <v>13826</v>
      </c>
      <c r="EF131" s="372" t="s">
        <v>3457</v>
      </c>
      <c r="EG131" s="372">
        <v>1262</v>
      </c>
      <c r="EH131" s="372" t="s">
        <v>2251</v>
      </c>
      <c r="EI131" s="372" t="s">
        <v>3458</v>
      </c>
      <c r="EJ131" s="372" t="s">
        <v>3459</v>
      </c>
      <c r="EK131" s="372" t="s">
        <v>3460</v>
      </c>
      <c r="EL131" s="372" t="s">
        <v>3460</v>
      </c>
      <c r="EM131" s="372" t="s">
        <v>1624</v>
      </c>
      <c r="EN131" s="372">
        <v>11088</v>
      </c>
      <c r="EO131" s="369"/>
      <c r="EP131" s="369"/>
      <c r="EQ131" s="369"/>
    </row>
    <row r="132" spans="1:147" hidden="1">
      <c r="A132" s="353"/>
      <c r="B132" s="353"/>
      <c r="C132" s="354"/>
      <c r="D132" s="354"/>
      <c r="E132" s="354"/>
      <c r="DZ132" s="372">
        <v>19330</v>
      </c>
      <c r="EA132" s="447" t="s">
        <v>14723</v>
      </c>
      <c r="EB132" s="372" t="s">
        <v>14728</v>
      </c>
      <c r="EC132" s="372" t="s">
        <v>13777</v>
      </c>
      <c r="ED132" s="371" t="s">
        <v>13778</v>
      </c>
      <c r="EE132" s="447" t="s">
        <v>14729</v>
      </c>
      <c r="EF132" s="371" t="s">
        <v>14730</v>
      </c>
      <c r="EG132" s="371" t="s">
        <v>46</v>
      </c>
      <c r="EH132" s="462" t="s">
        <v>14731</v>
      </c>
      <c r="EI132" s="371" t="str">
        <f>EF132&amp;", "&amp;EG132&amp;" - "&amp;EH132</f>
        <v>RUA BERNARDO JOSÉ DE LORENA, S/N - VILA FANTON</v>
      </c>
      <c r="EJ132" s="463">
        <v>5203200</v>
      </c>
      <c r="EK132" s="447" t="s">
        <v>14732</v>
      </c>
      <c r="EL132" s="447"/>
      <c r="EM132" s="372" t="s">
        <v>1633</v>
      </c>
      <c r="EN132" s="372">
        <v>9348</v>
      </c>
      <c r="EO132" s="369"/>
      <c r="EP132" s="369"/>
      <c r="EQ132" s="369"/>
    </row>
    <row r="133" spans="1:147" hidden="1">
      <c r="A133" s="353"/>
      <c r="B133" s="353">
        <v>0</v>
      </c>
      <c r="C133" s="354"/>
      <c r="D133" s="354"/>
      <c r="E133" s="354"/>
      <c r="DZ133" s="372">
        <v>19331</v>
      </c>
      <c r="EA133" s="372" t="s">
        <v>3387</v>
      </c>
      <c r="EB133" s="372" t="s">
        <v>14771</v>
      </c>
      <c r="EC133" s="372" t="s">
        <v>1486</v>
      </c>
      <c r="ED133" s="372" t="s">
        <v>161</v>
      </c>
      <c r="EE133" s="372" t="s">
        <v>13815</v>
      </c>
      <c r="EF133" s="372" t="s">
        <v>3462</v>
      </c>
      <c r="EG133" s="372">
        <v>101</v>
      </c>
      <c r="EH133" s="372" t="s">
        <v>3461</v>
      </c>
      <c r="EI133" s="372" t="s">
        <v>3463</v>
      </c>
      <c r="EJ133" s="372" t="s">
        <v>3464</v>
      </c>
      <c r="EK133" s="372" t="s">
        <v>13816</v>
      </c>
      <c r="EL133" s="372"/>
      <c r="EM133" s="372" t="s">
        <v>1669</v>
      </c>
      <c r="EN133" s="372">
        <v>11098</v>
      </c>
      <c r="EO133" s="369"/>
      <c r="EP133" s="369"/>
      <c r="EQ133" s="369"/>
    </row>
    <row r="134" spans="1:147" hidden="1">
      <c r="DZ134" s="372">
        <v>19332</v>
      </c>
      <c r="EA134" s="372" t="s">
        <v>3387</v>
      </c>
      <c r="EB134" s="372" t="s">
        <v>13834</v>
      </c>
      <c r="EC134" s="372" t="s">
        <v>1640</v>
      </c>
      <c r="ED134" s="372" t="s">
        <v>1641</v>
      </c>
      <c r="EE134" s="372" t="s">
        <v>13835</v>
      </c>
      <c r="EF134" s="372" t="s">
        <v>3465</v>
      </c>
      <c r="EG134" s="372">
        <v>105</v>
      </c>
      <c r="EH134" s="372" t="s">
        <v>3466</v>
      </c>
      <c r="EI134" s="372" t="s">
        <v>3467</v>
      </c>
      <c r="EJ134" s="372" t="s">
        <v>3468</v>
      </c>
      <c r="EK134" s="372" t="s">
        <v>3469</v>
      </c>
      <c r="EL134" s="372" t="s">
        <v>3469</v>
      </c>
      <c r="EM134" s="372" t="s">
        <v>1633</v>
      </c>
      <c r="EN134" s="372">
        <v>11095</v>
      </c>
      <c r="EO134" s="369"/>
      <c r="EP134" s="369"/>
      <c r="EQ134" s="369"/>
    </row>
    <row r="135" spans="1:147" hidden="1">
      <c r="DZ135" s="372">
        <v>19339</v>
      </c>
      <c r="EA135" s="372" t="s">
        <v>1484</v>
      </c>
      <c r="EB135" s="372" t="s">
        <v>2015</v>
      </c>
      <c r="EC135" s="372" t="s">
        <v>1812</v>
      </c>
      <c r="ED135" s="372" t="s">
        <v>1813</v>
      </c>
      <c r="EE135" s="372" t="s">
        <v>14144</v>
      </c>
      <c r="EF135" s="372" t="s">
        <v>2133</v>
      </c>
      <c r="EG135" s="372" t="s">
        <v>46</v>
      </c>
      <c r="EH135" s="372" t="s">
        <v>2015</v>
      </c>
      <c r="EI135" s="372" t="s">
        <v>2134</v>
      </c>
      <c r="EJ135" s="372" t="s">
        <v>2135</v>
      </c>
      <c r="EK135" s="372" t="s">
        <v>2136</v>
      </c>
      <c r="EL135" s="372" t="s">
        <v>2136</v>
      </c>
      <c r="EM135" s="372" t="s">
        <v>14767</v>
      </c>
      <c r="EN135" s="372">
        <v>11188</v>
      </c>
      <c r="EO135" s="369"/>
      <c r="EP135" s="369"/>
      <c r="EQ135" s="369"/>
    </row>
    <row r="136" spans="1:147" ht="15" hidden="1">
      <c r="DZ136" s="372">
        <v>19342</v>
      </c>
      <c r="EA136" s="372" t="s">
        <v>1484</v>
      </c>
      <c r="EB136" s="372" t="s">
        <v>14388</v>
      </c>
      <c r="EC136" s="372" t="s">
        <v>1820</v>
      </c>
      <c r="ED136" s="447" t="s">
        <v>13802</v>
      </c>
      <c r="EE136" s="372" t="s">
        <v>14389</v>
      </c>
      <c r="EF136" s="372" t="s">
        <v>2138</v>
      </c>
      <c r="EG136" s="372">
        <v>47</v>
      </c>
      <c r="EH136" s="372" t="s">
        <v>2137</v>
      </c>
      <c r="EI136" s="372" t="s">
        <v>2139</v>
      </c>
      <c r="EJ136" s="372" t="s">
        <v>2140</v>
      </c>
      <c r="EK136" s="372" t="s">
        <v>14390</v>
      </c>
      <c r="EL136" s="372" t="s">
        <v>2141</v>
      </c>
      <c r="EM136" t="s">
        <v>14769</v>
      </c>
      <c r="EN136" s="372">
        <v>11527</v>
      </c>
      <c r="EO136" s="369"/>
      <c r="EP136" s="369"/>
      <c r="EQ136" s="369"/>
    </row>
    <row r="137" spans="1:147" hidden="1">
      <c r="DZ137" s="372">
        <v>19344</v>
      </c>
      <c r="EA137" s="372" t="s">
        <v>1484</v>
      </c>
      <c r="EB137" s="372" t="s">
        <v>2142</v>
      </c>
      <c r="EC137" s="372" t="s">
        <v>1617</v>
      </c>
      <c r="ED137" s="372" t="s">
        <v>1618</v>
      </c>
      <c r="EE137" s="372" t="s">
        <v>13989</v>
      </c>
      <c r="EF137" s="372" t="s">
        <v>2143</v>
      </c>
      <c r="EG137" s="372" t="s">
        <v>46</v>
      </c>
      <c r="EH137" s="372" t="s">
        <v>2144</v>
      </c>
      <c r="EI137" s="372" t="s">
        <v>2145</v>
      </c>
      <c r="EJ137" s="372" t="s">
        <v>2146</v>
      </c>
      <c r="EK137" s="372" t="s">
        <v>13990</v>
      </c>
      <c r="EL137" s="372"/>
      <c r="EM137" s="372" t="s">
        <v>1624</v>
      </c>
      <c r="EN137" s="372">
        <v>11496</v>
      </c>
      <c r="EO137" s="369"/>
      <c r="EP137" s="369"/>
      <c r="EQ137" s="369"/>
    </row>
    <row r="138" spans="1:147" hidden="1">
      <c r="DZ138" s="372">
        <v>19345</v>
      </c>
      <c r="EA138" s="447" t="s">
        <v>1484</v>
      </c>
      <c r="EB138" s="372" t="s">
        <v>14468</v>
      </c>
      <c r="EC138" s="372" t="s">
        <v>13777</v>
      </c>
      <c r="ED138" s="371" t="s">
        <v>13778</v>
      </c>
      <c r="EE138" s="447" t="s">
        <v>14469</v>
      </c>
      <c r="EF138" s="371" t="s">
        <v>14470</v>
      </c>
      <c r="EG138" s="371">
        <v>75</v>
      </c>
      <c r="EH138" s="462" t="s">
        <v>14436</v>
      </c>
      <c r="EI138" s="371" t="str">
        <f>EF138&amp;", "&amp;EG138&amp;" - "&amp;EH138</f>
        <v>RUA CACHOEIRO DO ITAPEMIRIM, 75 - PIRITUBA</v>
      </c>
      <c r="EJ138" s="463">
        <v>5164015</v>
      </c>
      <c r="EK138" s="447" t="s">
        <v>14471</v>
      </c>
      <c r="EL138" s="447"/>
      <c r="EM138" s="372" t="s">
        <v>1633</v>
      </c>
      <c r="EN138" s="372">
        <v>11625</v>
      </c>
      <c r="EO138" s="369"/>
      <c r="EP138" s="369"/>
      <c r="EQ138" s="369"/>
    </row>
    <row r="139" spans="1:147" hidden="1">
      <c r="DZ139" s="372">
        <v>19346</v>
      </c>
      <c r="EA139" s="372" t="s">
        <v>1484</v>
      </c>
      <c r="EB139" s="372" t="s">
        <v>2147</v>
      </c>
      <c r="EC139" s="372" t="s">
        <v>1812</v>
      </c>
      <c r="ED139" s="372" t="s">
        <v>1813</v>
      </c>
      <c r="EE139" s="372" t="s">
        <v>14177</v>
      </c>
      <c r="EF139" s="372" t="s">
        <v>2148</v>
      </c>
      <c r="EG139" s="372">
        <v>53</v>
      </c>
      <c r="EH139" s="372" t="s">
        <v>2149</v>
      </c>
      <c r="EI139" s="372" t="s">
        <v>2150</v>
      </c>
      <c r="EJ139" s="372" t="s">
        <v>2151</v>
      </c>
      <c r="EK139" s="372" t="s">
        <v>2152</v>
      </c>
      <c r="EL139" s="372" t="s">
        <v>2152</v>
      </c>
      <c r="EM139" s="372" t="s">
        <v>14767</v>
      </c>
      <c r="EN139" s="372">
        <v>11528</v>
      </c>
      <c r="EO139" s="369"/>
      <c r="EP139" s="369"/>
      <c r="EQ139" s="369"/>
    </row>
    <row r="140" spans="1:147" hidden="1">
      <c r="DZ140" s="372">
        <v>19355</v>
      </c>
      <c r="EA140" s="372" t="s">
        <v>3387</v>
      </c>
      <c r="EB140" s="372" t="s">
        <v>3470</v>
      </c>
      <c r="EC140" s="372" t="s">
        <v>1626</v>
      </c>
      <c r="ED140" s="447" t="s">
        <v>13763</v>
      </c>
      <c r="EE140" s="372" t="s">
        <v>13817</v>
      </c>
      <c r="EF140" s="372" t="s">
        <v>3471</v>
      </c>
      <c r="EG140" s="372" t="s">
        <v>46</v>
      </c>
      <c r="EH140" s="372" t="s">
        <v>3470</v>
      </c>
      <c r="EI140" s="372" t="s">
        <v>3472</v>
      </c>
      <c r="EJ140" s="372" t="s">
        <v>3473</v>
      </c>
      <c r="EK140" s="372" t="s">
        <v>13818</v>
      </c>
      <c r="EL140" s="372" t="s">
        <v>3474</v>
      </c>
      <c r="EM140" s="372" t="s">
        <v>1633</v>
      </c>
      <c r="EN140" s="372">
        <v>11607</v>
      </c>
      <c r="EO140" s="369"/>
      <c r="EP140" s="369"/>
      <c r="EQ140" s="369"/>
    </row>
    <row r="141" spans="1:147" ht="15" hidden="1">
      <c r="DZ141" s="372">
        <v>19357</v>
      </c>
      <c r="EA141" s="372" t="s">
        <v>3387</v>
      </c>
      <c r="EB141" s="372" t="s">
        <v>3475</v>
      </c>
      <c r="EC141" s="372" t="s">
        <v>1820</v>
      </c>
      <c r="ED141" s="447" t="s">
        <v>13802</v>
      </c>
      <c r="EE141" s="372" t="s">
        <v>3476</v>
      </c>
      <c r="EF141" s="372" t="s">
        <v>3477</v>
      </c>
      <c r="EG141" s="372">
        <v>564</v>
      </c>
      <c r="EH141" s="372" t="s">
        <v>2704</v>
      </c>
      <c r="EI141" s="372" t="s">
        <v>3478</v>
      </c>
      <c r="EJ141" s="372" t="s">
        <v>3479</v>
      </c>
      <c r="EK141" s="372" t="s">
        <v>3480</v>
      </c>
      <c r="EL141" s="372" t="s">
        <v>3480</v>
      </c>
      <c r="EM141" t="s">
        <v>14769</v>
      </c>
      <c r="EN141" s="372">
        <v>11623</v>
      </c>
      <c r="EO141" s="369"/>
      <c r="EP141" s="369"/>
      <c r="EQ141" s="369"/>
    </row>
    <row r="142" spans="1:147" hidden="1">
      <c r="DZ142" s="372">
        <v>19358</v>
      </c>
      <c r="EA142" s="372" t="s">
        <v>3387</v>
      </c>
      <c r="EB142" s="372" t="s">
        <v>13849</v>
      </c>
      <c r="EC142" s="372" t="s">
        <v>1654</v>
      </c>
      <c r="ED142" s="372" t="s">
        <v>13774</v>
      </c>
      <c r="EE142" s="372" t="s">
        <v>13850</v>
      </c>
      <c r="EF142" s="372" t="s">
        <v>3481</v>
      </c>
      <c r="EG142" s="372" t="s">
        <v>46</v>
      </c>
      <c r="EH142" s="372" t="s">
        <v>3482</v>
      </c>
      <c r="EI142" s="372" t="s">
        <v>3483</v>
      </c>
      <c r="EJ142" s="372" t="s">
        <v>3484</v>
      </c>
      <c r="EK142" s="372"/>
      <c r="EL142" s="372" t="s">
        <v>3485</v>
      </c>
      <c r="EM142" s="450" t="s">
        <v>7010</v>
      </c>
      <c r="EN142" s="372">
        <v>11599</v>
      </c>
      <c r="EO142" s="369"/>
      <c r="EP142" s="369"/>
      <c r="EQ142" s="369"/>
    </row>
    <row r="143" spans="1:147" hidden="1">
      <c r="DZ143" s="372">
        <v>19359</v>
      </c>
      <c r="EA143" s="372" t="s">
        <v>3387</v>
      </c>
      <c r="EB143" s="372" t="s">
        <v>3486</v>
      </c>
      <c r="EC143" s="372" t="s">
        <v>1707</v>
      </c>
      <c r="ED143" s="447" t="s">
        <v>13799</v>
      </c>
      <c r="EE143" s="372" t="s">
        <v>13843</v>
      </c>
      <c r="EF143" s="372" t="s">
        <v>3487</v>
      </c>
      <c r="EG143" s="372">
        <v>400</v>
      </c>
      <c r="EH143" s="372" t="s">
        <v>3488</v>
      </c>
      <c r="EI143" s="372" t="s">
        <v>3489</v>
      </c>
      <c r="EJ143" s="372" t="s">
        <v>3490</v>
      </c>
      <c r="EK143" s="372" t="s">
        <v>13844</v>
      </c>
      <c r="EL143" s="372"/>
      <c r="EM143" s="372" t="s">
        <v>1633</v>
      </c>
      <c r="EN143" s="372">
        <v>11692</v>
      </c>
      <c r="EO143" s="369"/>
      <c r="EP143" s="369"/>
      <c r="EQ143" s="369"/>
    </row>
    <row r="144" spans="1:147" hidden="1">
      <c r="DZ144" s="372">
        <v>19364</v>
      </c>
      <c r="EA144" s="372" t="s">
        <v>3387</v>
      </c>
      <c r="EB144" s="372" t="s">
        <v>3491</v>
      </c>
      <c r="EC144" s="372" t="s">
        <v>1654</v>
      </c>
      <c r="ED144" s="372" t="s">
        <v>13774</v>
      </c>
      <c r="EE144" s="372" t="s">
        <v>13851</v>
      </c>
      <c r="EF144" s="372" t="s">
        <v>3231</v>
      </c>
      <c r="EG144" s="372">
        <v>80</v>
      </c>
      <c r="EH144" s="372" t="s">
        <v>3492</v>
      </c>
      <c r="EI144" s="372" t="s">
        <v>3493</v>
      </c>
      <c r="EJ144" s="372" t="s">
        <v>3234</v>
      </c>
      <c r="EK144" s="372" t="s">
        <v>13852</v>
      </c>
      <c r="EL144" s="372" t="s">
        <v>3494</v>
      </c>
      <c r="EM144" s="450" t="s">
        <v>7010</v>
      </c>
      <c r="EN144" s="372">
        <v>11444</v>
      </c>
      <c r="EO144" s="369"/>
      <c r="EP144" s="369"/>
      <c r="EQ144" s="369"/>
    </row>
    <row r="145" spans="130:147" hidden="1">
      <c r="DZ145" s="372">
        <v>19376</v>
      </c>
      <c r="EA145" s="372" t="s">
        <v>3387</v>
      </c>
      <c r="EB145" s="372" t="s">
        <v>13830</v>
      </c>
      <c r="EC145" s="372" t="s">
        <v>1661</v>
      </c>
      <c r="ED145" s="447" t="s">
        <v>13771</v>
      </c>
      <c r="EE145" s="372" t="s">
        <v>13831</v>
      </c>
      <c r="EF145" s="372" t="s">
        <v>3495</v>
      </c>
      <c r="EG145" s="372" t="s">
        <v>46</v>
      </c>
      <c r="EH145" s="372" t="s">
        <v>3496</v>
      </c>
      <c r="EI145" s="372" t="s">
        <v>3497</v>
      </c>
      <c r="EJ145" s="372" t="s">
        <v>3498</v>
      </c>
      <c r="EK145" s="372" t="s">
        <v>3499</v>
      </c>
      <c r="EL145" s="372" t="s">
        <v>3499</v>
      </c>
      <c r="EM145" s="372" t="s">
        <v>1669</v>
      </c>
      <c r="EN145" s="372">
        <v>12147</v>
      </c>
      <c r="EO145" s="369"/>
      <c r="EP145" s="369"/>
      <c r="EQ145" s="369"/>
    </row>
    <row r="146" spans="130:147" hidden="1">
      <c r="DZ146" s="372">
        <v>19377</v>
      </c>
      <c r="EA146" s="372" t="s">
        <v>3387</v>
      </c>
      <c r="EB146" s="372" t="s">
        <v>3500</v>
      </c>
      <c r="EC146" s="372" t="s">
        <v>1812</v>
      </c>
      <c r="ED146" s="372" t="s">
        <v>1813</v>
      </c>
      <c r="EE146" s="372" t="s">
        <v>13832</v>
      </c>
      <c r="EF146" s="372" t="s">
        <v>3501</v>
      </c>
      <c r="EG146" s="372" t="s">
        <v>46</v>
      </c>
      <c r="EH146" s="372" t="s">
        <v>3502</v>
      </c>
      <c r="EI146" s="372" t="s">
        <v>3503</v>
      </c>
      <c r="EJ146" s="372" t="s">
        <v>3504</v>
      </c>
      <c r="EK146" s="372"/>
      <c r="EL146" s="372"/>
      <c r="EM146" s="372" t="s">
        <v>14767</v>
      </c>
      <c r="EN146" s="372">
        <v>12103</v>
      </c>
      <c r="EO146" s="369"/>
      <c r="EP146" s="369"/>
      <c r="EQ146" s="369"/>
    </row>
    <row r="147" spans="130:147" hidden="1">
      <c r="DZ147" s="372">
        <v>19380</v>
      </c>
      <c r="EA147" s="447" t="s">
        <v>14723</v>
      </c>
      <c r="EB147" s="372" t="s">
        <v>14737</v>
      </c>
      <c r="EC147" s="372" t="s">
        <v>13777</v>
      </c>
      <c r="ED147" s="371" t="s">
        <v>13778</v>
      </c>
      <c r="EE147" s="447" t="s">
        <v>14738</v>
      </c>
      <c r="EF147" s="371" t="s">
        <v>14739</v>
      </c>
      <c r="EG147" s="371" t="s">
        <v>46</v>
      </c>
      <c r="EH147" s="462" t="s">
        <v>14740</v>
      </c>
      <c r="EI147" s="371" t="str">
        <f>EF147&amp;", "&amp;EG147&amp;" - "&amp;EH147</f>
        <v>RUA PEDRO JOSÉ DE LIMA, S/N - JARDIM ANHANGUERA</v>
      </c>
      <c r="EJ147" s="463">
        <v>5267174</v>
      </c>
      <c r="EK147" s="447" t="s">
        <v>14741</v>
      </c>
      <c r="EL147" s="447"/>
      <c r="EM147" s="372" t="s">
        <v>1633</v>
      </c>
      <c r="EN147" s="372">
        <v>12115</v>
      </c>
      <c r="EO147" s="369"/>
      <c r="EP147" s="369"/>
      <c r="EQ147" s="369"/>
    </row>
    <row r="148" spans="130:147" hidden="1">
      <c r="DZ148" s="372">
        <v>19381</v>
      </c>
      <c r="EA148" s="372" t="s">
        <v>1484</v>
      </c>
      <c r="EB148" s="372" t="s">
        <v>2153</v>
      </c>
      <c r="EC148" s="372" t="s">
        <v>1640</v>
      </c>
      <c r="ED148" s="372" t="s">
        <v>1641</v>
      </c>
      <c r="EE148" s="372" t="s">
        <v>14213</v>
      </c>
      <c r="EF148" s="372" t="s">
        <v>2154</v>
      </c>
      <c r="EG148" s="372">
        <v>5</v>
      </c>
      <c r="EH148" s="372" t="s">
        <v>2155</v>
      </c>
      <c r="EI148" s="372" t="s">
        <v>2156</v>
      </c>
      <c r="EJ148" s="372" t="s">
        <v>2157</v>
      </c>
      <c r="EK148" s="372" t="s">
        <v>14214</v>
      </c>
      <c r="EL148" s="372" t="s">
        <v>2158</v>
      </c>
      <c r="EM148" s="372" t="s">
        <v>1633</v>
      </c>
      <c r="EN148" s="372">
        <v>9345</v>
      </c>
      <c r="EO148" s="369"/>
      <c r="EP148" s="369"/>
      <c r="EQ148" s="369"/>
    </row>
    <row r="149" spans="130:147" hidden="1">
      <c r="DZ149" s="372">
        <v>19382</v>
      </c>
      <c r="EA149" s="372" t="s">
        <v>3387</v>
      </c>
      <c r="EB149" s="372" t="s">
        <v>3505</v>
      </c>
      <c r="EC149" s="372" t="s">
        <v>1654</v>
      </c>
      <c r="ED149" s="372" t="s">
        <v>13774</v>
      </c>
      <c r="EE149" s="372" t="s">
        <v>13847</v>
      </c>
      <c r="EF149" s="372" t="s">
        <v>3506</v>
      </c>
      <c r="EG149" s="372" t="s">
        <v>46</v>
      </c>
      <c r="EH149" s="372" t="s">
        <v>1926</v>
      </c>
      <c r="EI149" s="372" t="s">
        <v>3507</v>
      </c>
      <c r="EJ149" s="372" t="s">
        <v>3508</v>
      </c>
      <c r="EK149" s="372" t="s">
        <v>13848</v>
      </c>
      <c r="EL149" s="372"/>
      <c r="EM149" s="450" t="s">
        <v>7010</v>
      </c>
      <c r="EN149" s="372">
        <v>11851</v>
      </c>
      <c r="EO149" s="369"/>
      <c r="EP149" s="369"/>
      <c r="EQ149" s="369"/>
    </row>
    <row r="150" spans="130:147" hidden="1">
      <c r="DZ150" s="372">
        <v>19392</v>
      </c>
      <c r="EA150" s="447" t="s">
        <v>14723</v>
      </c>
      <c r="EB150" s="372" t="s">
        <v>14724</v>
      </c>
      <c r="EC150" s="372" t="s">
        <v>13777</v>
      </c>
      <c r="ED150" s="371" t="s">
        <v>13778</v>
      </c>
      <c r="EE150" s="447" t="s">
        <v>14725</v>
      </c>
      <c r="EF150" s="371" t="s">
        <v>14726</v>
      </c>
      <c r="EG150" s="371" t="s">
        <v>46</v>
      </c>
      <c r="EH150" s="462" t="s">
        <v>14484</v>
      </c>
      <c r="EI150" s="371" t="str">
        <f>EF150&amp;", "&amp;EG150&amp;" - "&amp;EH150</f>
        <v>AVENIDA KENKITI SHIMOMOTO, S/N - JAGUARE</v>
      </c>
      <c r="EJ150" s="463">
        <v>5347010</v>
      </c>
      <c r="EK150" s="447" t="s">
        <v>14727</v>
      </c>
      <c r="EL150" s="447"/>
      <c r="EM150" s="372" t="s">
        <v>1633</v>
      </c>
      <c r="EN150" s="372">
        <v>12254</v>
      </c>
      <c r="EO150" s="369"/>
      <c r="EP150" s="369"/>
      <c r="EQ150" s="369"/>
    </row>
    <row r="151" spans="130:147" hidden="1">
      <c r="DZ151" s="372">
        <v>19393</v>
      </c>
      <c r="EA151" s="372" t="s">
        <v>1484</v>
      </c>
      <c r="EB151" s="372" t="s">
        <v>2159</v>
      </c>
      <c r="EC151" s="372" t="s">
        <v>1626</v>
      </c>
      <c r="ED151" s="447" t="s">
        <v>13763</v>
      </c>
      <c r="EE151" s="372" t="s">
        <v>13935</v>
      </c>
      <c r="EF151" s="372" t="s">
        <v>2160</v>
      </c>
      <c r="EG151" s="372">
        <v>6955</v>
      </c>
      <c r="EH151" s="372" t="s">
        <v>2161</v>
      </c>
      <c r="EI151" s="372" t="s">
        <v>2162</v>
      </c>
      <c r="EJ151" s="372" t="s">
        <v>2163</v>
      </c>
      <c r="EK151" s="372" t="s">
        <v>2164</v>
      </c>
      <c r="EL151" s="372" t="s">
        <v>2164</v>
      </c>
      <c r="EM151" s="372" t="s">
        <v>1633</v>
      </c>
      <c r="EN151" s="372">
        <v>11829</v>
      </c>
      <c r="EO151" s="369"/>
      <c r="EP151" s="369"/>
      <c r="EQ151" s="369"/>
    </row>
    <row r="152" spans="130:147" ht="15" hidden="1" customHeight="1">
      <c r="DZ152" s="372">
        <v>19403</v>
      </c>
      <c r="EA152" s="372" t="s">
        <v>1484</v>
      </c>
      <c r="EB152" s="372" t="s">
        <v>2165</v>
      </c>
      <c r="EC152" s="372" t="s">
        <v>1812</v>
      </c>
      <c r="ED152" s="372" t="s">
        <v>1813</v>
      </c>
      <c r="EE152" s="372" t="s">
        <v>14194</v>
      </c>
      <c r="EF152" s="372" t="s">
        <v>2166</v>
      </c>
      <c r="EG152" s="372">
        <v>150</v>
      </c>
      <c r="EH152" s="372" t="s">
        <v>2165</v>
      </c>
      <c r="EI152" s="372" t="s">
        <v>2167</v>
      </c>
      <c r="EJ152" s="372" t="s">
        <v>2168</v>
      </c>
      <c r="EK152" s="372" t="s">
        <v>2169</v>
      </c>
      <c r="EL152" s="372" t="s">
        <v>2169</v>
      </c>
      <c r="EM152" s="372" t="s">
        <v>14767</v>
      </c>
      <c r="EN152" s="372">
        <v>12094</v>
      </c>
      <c r="EO152" s="369"/>
      <c r="EP152" s="369"/>
      <c r="EQ152" s="369"/>
    </row>
    <row r="153" spans="130:147" hidden="1">
      <c r="DZ153" s="372">
        <v>19429</v>
      </c>
      <c r="EA153" s="372" t="s">
        <v>1484</v>
      </c>
      <c r="EB153" s="372" t="s">
        <v>2170</v>
      </c>
      <c r="EC153" s="372" t="s">
        <v>1707</v>
      </c>
      <c r="ED153" s="447" t="s">
        <v>13799</v>
      </c>
      <c r="EE153" s="372" t="s">
        <v>14275</v>
      </c>
      <c r="EF153" s="372" t="s">
        <v>2171</v>
      </c>
      <c r="EG153" s="372">
        <v>1080</v>
      </c>
      <c r="EH153" s="372" t="s">
        <v>2050</v>
      </c>
      <c r="EI153" s="372" t="s">
        <v>2172</v>
      </c>
      <c r="EJ153" s="372" t="s">
        <v>2173</v>
      </c>
      <c r="EK153" s="372" t="s">
        <v>14276</v>
      </c>
      <c r="EL153" s="372"/>
      <c r="EM153" s="372" t="s">
        <v>1633</v>
      </c>
      <c r="EN153" s="372">
        <v>9353</v>
      </c>
      <c r="EO153" s="369"/>
      <c r="EP153" s="370"/>
      <c r="EQ153" s="370"/>
    </row>
    <row r="154" spans="130:147" hidden="1">
      <c r="DZ154" s="372">
        <v>19441</v>
      </c>
      <c r="EA154" s="372" t="s">
        <v>3387</v>
      </c>
      <c r="EB154" s="372" t="s">
        <v>14770</v>
      </c>
      <c r="EC154" s="372" t="s">
        <v>1486</v>
      </c>
      <c r="ED154" s="372" t="s">
        <v>161</v>
      </c>
      <c r="EE154" s="372" t="s">
        <v>13811</v>
      </c>
      <c r="EF154" s="372" t="s">
        <v>3509</v>
      </c>
      <c r="EG154" s="372">
        <v>20</v>
      </c>
      <c r="EH154" s="372" t="s">
        <v>1528</v>
      </c>
      <c r="EI154" s="372" t="s">
        <v>3510</v>
      </c>
      <c r="EJ154" s="372" t="s">
        <v>3511</v>
      </c>
      <c r="EK154" s="372" t="s">
        <v>13812</v>
      </c>
      <c r="EL154" s="372"/>
      <c r="EM154" s="372" t="s">
        <v>1669</v>
      </c>
      <c r="EN154" s="372">
        <v>12069</v>
      </c>
      <c r="EO154" s="369"/>
      <c r="EP154" s="369"/>
      <c r="EQ154" s="369"/>
    </row>
    <row r="155" spans="130:147" hidden="1">
      <c r="DZ155" s="372">
        <v>19444</v>
      </c>
      <c r="EA155" s="372" t="s">
        <v>1484</v>
      </c>
      <c r="EB155" s="372" t="s">
        <v>2174</v>
      </c>
      <c r="EC155" s="372" t="s">
        <v>1661</v>
      </c>
      <c r="ED155" s="447" t="s">
        <v>13771</v>
      </c>
      <c r="EE155" s="372" t="s">
        <v>14127</v>
      </c>
      <c r="EF155" s="372" t="s">
        <v>2175</v>
      </c>
      <c r="EG155" s="372">
        <v>98</v>
      </c>
      <c r="EH155" s="372" t="s">
        <v>2174</v>
      </c>
      <c r="EI155" s="372" t="s">
        <v>2176</v>
      </c>
      <c r="EJ155" s="372" t="s">
        <v>2177</v>
      </c>
      <c r="EK155" s="372" t="s">
        <v>14128</v>
      </c>
      <c r="EL155" s="372"/>
      <c r="EM155" s="372" t="s">
        <v>1669</v>
      </c>
      <c r="EN155" s="372">
        <v>12173</v>
      </c>
      <c r="EO155" s="369"/>
      <c r="EP155" s="369"/>
      <c r="EQ155" s="369"/>
    </row>
    <row r="156" spans="130:147" hidden="1">
      <c r="DZ156" s="372">
        <v>19446</v>
      </c>
      <c r="EA156" s="447" t="s">
        <v>1484</v>
      </c>
      <c r="EB156" s="372" t="s">
        <v>14615</v>
      </c>
      <c r="EC156" s="372" t="s">
        <v>13777</v>
      </c>
      <c r="ED156" s="371" t="s">
        <v>13778</v>
      </c>
      <c r="EE156" s="447" t="s">
        <v>14616</v>
      </c>
      <c r="EF156" s="371" t="s">
        <v>14502</v>
      </c>
      <c r="EG156" s="371" t="s">
        <v>46</v>
      </c>
      <c r="EH156" s="462" t="s">
        <v>14617</v>
      </c>
      <c r="EI156" s="371" t="str">
        <f>EF156&amp;", "&amp;EG156&amp;" - "&amp;EH156</f>
        <v>RUA RECANTO DOS HUMILDES, S/N - CONJ. HABIT. RECANTO DOS HUMILDES</v>
      </c>
      <c r="EJ156" s="463">
        <v>5209000</v>
      </c>
      <c r="EK156" s="447" t="s">
        <v>14618</v>
      </c>
      <c r="EL156" s="447"/>
      <c r="EM156" s="372" t="s">
        <v>1633</v>
      </c>
      <c r="EN156" s="372">
        <v>12215</v>
      </c>
      <c r="EO156" s="369"/>
      <c r="EP156" s="369"/>
      <c r="EQ156" s="369"/>
    </row>
    <row r="157" spans="130:147" hidden="1">
      <c r="DZ157" s="372">
        <v>19448</v>
      </c>
      <c r="EA157" s="372" t="s">
        <v>1484</v>
      </c>
      <c r="EB157" s="372" t="s">
        <v>1529</v>
      </c>
      <c r="EC157" s="372" t="s">
        <v>1486</v>
      </c>
      <c r="ED157" s="372" t="s">
        <v>161</v>
      </c>
      <c r="EE157" s="372" t="s">
        <v>13880</v>
      </c>
      <c r="EF157" s="372" t="s">
        <v>1496</v>
      </c>
      <c r="EG157" s="372">
        <v>101</v>
      </c>
      <c r="EH157" s="372" t="s">
        <v>1528</v>
      </c>
      <c r="EI157" s="372" t="s">
        <v>1530</v>
      </c>
      <c r="EJ157" s="372" t="s">
        <v>1718</v>
      </c>
      <c r="EK157" s="372" t="s">
        <v>13881</v>
      </c>
      <c r="EL157" s="372"/>
      <c r="EM157" s="372" t="s">
        <v>1669</v>
      </c>
      <c r="EN157" s="372">
        <v>12068</v>
      </c>
      <c r="EO157" s="369"/>
      <c r="EP157" s="369"/>
      <c r="EQ157" s="369"/>
    </row>
    <row r="158" spans="130:147" hidden="1">
      <c r="DZ158" s="372">
        <v>19450</v>
      </c>
      <c r="EA158" s="469" t="s">
        <v>1484</v>
      </c>
      <c r="EB158" s="372" t="s">
        <v>2178</v>
      </c>
      <c r="EC158" s="469" t="s">
        <v>1654</v>
      </c>
      <c r="ED158" s="372" t="s">
        <v>13774</v>
      </c>
      <c r="EE158" s="372" t="s">
        <v>14685</v>
      </c>
      <c r="EF158" s="469" t="s">
        <v>2179</v>
      </c>
      <c r="EG158" s="469">
        <v>150</v>
      </c>
      <c r="EH158" s="469" t="s">
        <v>2180</v>
      </c>
      <c r="EI158" s="371" t="s">
        <v>2181</v>
      </c>
      <c r="EJ158" s="469" t="s">
        <v>2182</v>
      </c>
      <c r="EK158" s="469" t="s">
        <v>14686</v>
      </c>
      <c r="EL158" s="469"/>
      <c r="EM158" s="450" t="s">
        <v>7010</v>
      </c>
      <c r="EN158" s="364">
        <v>12441</v>
      </c>
      <c r="EO158" s="369"/>
      <c r="EP158" s="369"/>
      <c r="EQ158" s="369"/>
    </row>
    <row r="159" spans="130:147" hidden="1">
      <c r="DZ159" s="372">
        <v>19451</v>
      </c>
      <c r="EA159" s="372" t="s">
        <v>1484</v>
      </c>
      <c r="EB159" s="372" t="s">
        <v>1531</v>
      </c>
      <c r="EC159" s="372" t="s">
        <v>1486</v>
      </c>
      <c r="ED159" s="372" t="s">
        <v>161</v>
      </c>
      <c r="EE159" s="372" t="s">
        <v>13905</v>
      </c>
      <c r="EF159" s="372" t="s">
        <v>1532</v>
      </c>
      <c r="EG159" s="372">
        <v>120</v>
      </c>
      <c r="EH159" s="372" t="s">
        <v>1533</v>
      </c>
      <c r="EI159" s="372" t="s">
        <v>1534</v>
      </c>
      <c r="EJ159" s="372" t="s">
        <v>2183</v>
      </c>
      <c r="EK159" s="372"/>
      <c r="EL159" s="372"/>
      <c r="EM159" s="372" t="s">
        <v>1669</v>
      </c>
      <c r="EN159" s="372">
        <v>12265</v>
      </c>
      <c r="EO159" s="369"/>
      <c r="EP159" s="369"/>
      <c r="EQ159" s="369"/>
    </row>
    <row r="160" spans="130:147" hidden="1">
      <c r="DZ160" s="372">
        <v>19452</v>
      </c>
      <c r="EA160" s="447" t="s">
        <v>1484</v>
      </c>
      <c r="EB160" s="372" t="s">
        <v>14592</v>
      </c>
      <c r="EC160" s="372" t="s">
        <v>13777</v>
      </c>
      <c r="ED160" s="371" t="s">
        <v>13778</v>
      </c>
      <c r="EE160" s="447" t="s">
        <v>14593</v>
      </c>
      <c r="EF160" s="371" t="s">
        <v>14594</v>
      </c>
      <c r="EG160" s="371" t="s">
        <v>46</v>
      </c>
      <c r="EH160" s="462" t="s">
        <v>14595</v>
      </c>
      <c r="EI160" s="371" t="str">
        <f>EF160&amp;", "&amp;EG160&amp;" - "&amp;EH160</f>
        <v>RUA VALE DO LUAR, S/N - VILA BRASILÂNDIA</v>
      </c>
      <c r="EJ160" s="463">
        <v>2820040</v>
      </c>
      <c r="EK160" s="447" t="s">
        <v>14596</v>
      </c>
      <c r="EL160" s="447"/>
      <c r="EM160" s="372" t="s">
        <v>1633</v>
      </c>
      <c r="EN160" s="372">
        <v>12250</v>
      </c>
      <c r="EO160" s="369"/>
      <c r="EP160" s="369"/>
      <c r="EQ160" s="369"/>
    </row>
    <row r="161" spans="130:147" hidden="1">
      <c r="DZ161" s="372">
        <v>19459</v>
      </c>
      <c r="EA161" s="372" t="s">
        <v>1484</v>
      </c>
      <c r="EB161" s="372" t="s">
        <v>14340</v>
      </c>
      <c r="EC161" s="372" t="s">
        <v>1707</v>
      </c>
      <c r="ED161" s="447" t="s">
        <v>13799</v>
      </c>
      <c r="EE161" s="372" t="s">
        <v>14341</v>
      </c>
      <c r="EF161" s="372" t="s">
        <v>2184</v>
      </c>
      <c r="EG161" s="372">
        <v>40</v>
      </c>
      <c r="EH161" s="372" t="s">
        <v>2185</v>
      </c>
      <c r="EI161" s="372" t="s">
        <v>2186</v>
      </c>
      <c r="EJ161" s="372" t="s">
        <v>2187</v>
      </c>
      <c r="EK161" s="372">
        <v>20314363</v>
      </c>
      <c r="EL161" s="372"/>
      <c r="EM161" s="372" t="s">
        <v>1633</v>
      </c>
      <c r="EN161" s="372">
        <v>12383</v>
      </c>
      <c r="EO161" s="369"/>
      <c r="EP161" s="369"/>
      <c r="EQ161" s="369"/>
    </row>
    <row r="162" spans="130:147" hidden="1">
      <c r="DZ162" s="372">
        <v>19461</v>
      </c>
      <c r="EA162" s="447" t="s">
        <v>1484</v>
      </c>
      <c r="EB162" s="372" t="s">
        <v>14517</v>
      </c>
      <c r="EC162" s="372" t="s">
        <v>13777</v>
      </c>
      <c r="ED162" s="371" t="s">
        <v>13778</v>
      </c>
      <c r="EE162" s="447" t="s">
        <v>14518</v>
      </c>
      <c r="EF162" s="371" t="s">
        <v>14519</v>
      </c>
      <c r="EG162" s="371">
        <v>293</v>
      </c>
      <c r="EH162" s="462" t="s">
        <v>14520</v>
      </c>
      <c r="EI162" s="371" t="str">
        <f>EF162&amp;", "&amp;EG162&amp;" - "&amp;EH162</f>
        <v>RUA ELISA DINA, 293 - JARDIM BRITÂNIA</v>
      </c>
      <c r="EJ162" s="463">
        <v>5269060</v>
      </c>
      <c r="EK162" s="447" t="s">
        <v>14521</v>
      </c>
      <c r="EL162" s="447"/>
      <c r="EM162" s="372" t="s">
        <v>1633</v>
      </c>
      <c r="EN162" s="372">
        <v>9387</v>
      </c>
      <c r="EO162" s="369"/>
      <c r="EP162" s="369"/>
      <c r="EQ162" s="369"/>
    </row>
    <row r="163" spans="130:147" hidden="1">
      <c r="DZ163" s="372">
        <v>19467</v>
      </c>
      <c r="EA163" s="371" t="s">
        <v>1484</v>
      </c>
      <c r="EB163" s="372" t="s">
        <v>14611</v>
      </c>
      <c r="EC163" s="372" t="s">
        <v>13777</v>
      </c>
      <c r="ED163" s="371" t="s">
        <v>13778</v>
      </c>
      <c r="EE163" s="371" t="s">
        <v>14612</v>
      </c>
      <c r="EF163" s="371" t="s">
        <v>14613</v>
      </c>
      <c r="EG163" s="371" t="s">
        <v>46</v>
      </c>
      <c r="EH163" s="371" t="s">
        <v>14614</v>
      </c>
      <c r="EI163" s="371" t="str">
        <f>EF163&amp;", "&amp;EG163&amp;" - "&amp;EH163</f>
        <v>RUA DIOGENES DOURADO, S/N - CONJUNTO RESIDENCIAL ELISIO TEIXEIRA LEI</v>
      </c>
      <c r="EJ163" s="373">
        <v>2815060</v>
      </c>
      <c r="EK163" s="371"/>
      <c r="EL163" s="447"/>
      <c r="EM163" s="372" t="s">
        <v>1633</v>
      </c>
      <c r="EN163" s="372">
        <v>12559</v>
      </c>
      <c r="EO163" s="369"/>
      <c r="EP163" s="369"/>
      <c r="EQ163" s="369"/>
    </row>
    <row r="164" spans="130:147" hidden="1">
      <c r="DZ164" s="372">
        <v>19468</v>
      </c>
      <c r="EA164" s="372" t="s">
        <v>1484</v>
      </c>
      <c r="EB164" s="372" t="s">
        <v>2188</v>
      </c>
      <c r="EC164" s="372" t="s">
        <v>1707</v>
      </c>
      <c r="ED164" s="447" t="s">
        <v>13799</v>
      </c>
      <c r="EE164" s="372" t="s">
        <v>14317</v>
      </c>
      <c r="EF164" s="372" t="s">
        <v>2189</v>
      </c>
      <c r="EG164" s="372">
        <v>18</v>
      </c>
      <c r="EH164" s="372" t="s">
        <v>2190</v>
      </c>
      <c r="EI164" s="372" t="s">
        <v>2191</v>
      </c>
      <c r="EJ164" s="372" t="s">
        <v>2192</v>
      </c>
      <c r="EK164" s="372" t="s">
        <v>14318</v>
      </c>
      <c r="EL164" s="372"/>
      <c r="EM164" s="372" t="s">
        <v>1633</v>
      </c>
      <c r="EN164" s="372">
        <v>12522</v>
      </c>
      <c r="EO164" s="369"/>
      <c r="EP164" s="369"/>
      <c r="EQ164" s="369"/>
    </row>
    <row r="165" spans="130:147" hidden="1">
      <c r="DZ165" s="372">
        <v>19469</v>
      </c>
      <c r="EA165" s="372" t="s">
        <v>1484</v>
      </c>
      <c r="EB165" s="372" t="s">
        <v>2193</v>
      </c>
      <c r="EC165" s="372" t="s">
        <v>1626</v>
      </c>
      <c r="ED165" s="447" t="s">
        <v>13763</v>
      </c>
      <c r="EE165" s="372" t="s">
        <v>13943</v>
      </c>
      <c r="EF165" s="372" t="s">
        <v>2194</v>
      </c>
      <c r="EG165" s="372" t="s">
        <v>2195</v>
      </c>
      <c r="EH165" s="372" t="s">
        <v>2196</v>
      </c>
      <c r="EI165" s="372" t="s">
        <v>2197</v>
      </c>
      <c r="EJ165" s="372"/>
      <c r="EK165" s="372"/>
      <c r="EL165" s="372" t="s">
        <v>2198</v>
      </c>
      <c r="EM165" s="372" t="s">
        <v>1633</v>
      </c>
      <c r="EN165" s="372">
        <v>12689</v>
      </c>
      <c r="EO165" s="369"/>
      <c r="EP165" s="369"/>
      <c r="EQ165" s="369"/>
    </row>
    <row r="166" spans="130:147" hidden="1">
      <c r="DZ166" s="372">
        <v>19470</v>
      </c>
      <c r="EA166" s="372" t="s">
        <v>1484</v>
      </c>
      <c r="EB166" s="372" t="s">
        <v>2199</v>
      </c>
      <c r="EC166" s="372" t="s">
        <v>1640</v>
      </c>
      <c r="ED166" s="372" t="s">
        <v>1641</v>
      </c>
      <c r="EE166" s="372" t="s">
        <v>14258</v>
      </c>
      <c r="EF166" s="372" t="s">
        <v>2200</v>
      </c>
      <c r="EG166" s="372">
        <v>2150</v>
      </c>
      <c r="EH166" s="372" t="s">
        <v>2201</v>
      </c>
      <c r="EI166" s="372" t="s">
        <v>2202</v>
      </c>
      <c r="EJ166" s="372" t="s">
        <v>2203</v>
      </c>
      <c r="EK166" s="372" t="s">
        <v>14259</v>
      </c>
      <c r="EL166" s="372" t="s">
        <v>2204</v>
      </c>
      <c r="EM166" s="372" t="s">
        <v>1633</v>
      </c>
      <c r="EN166" s="372">
        <v>9385</v>
      </c>
      <c r="EO166" s="369"/>
      <c r="EP166" s="369"/>
      <c r="EQ166" s="369"/>
    </row>
    <row r="167" spans="130:147" hidden="1">
      <c r="DZ167" s="372">
        <v>19473</v>
      </c>
      <c r="EA167" s="372" t="s">
        <v>1484</v>
      </c>
      <c r="EB167" s="372" t="s">
        <v>1535</v>
      </c>
      <c r="EC167" s="372" t="s">
        <v>1486</v>
      </c>
      <c r="ED167" s="372" t="s">
        <v>161</v>
      </c>
      <c r="EE167" s="372" t="s">
        <v>13913</v>
      </c>
      <c r="EF167" s="372" t="s">
        <v>1536</v>
      </c>
      <c r="EG167" s="372">
        <v>8</v>
      </c>
      <c r="EH167" s="372" t="s">
        <v>1527</v>
      </c>
      <c r="EI167" s="372" t="s">
        <v>1537</v>
      </c>
      <c r="EJ167" s="372" t="s">
        <v>2205</v>
      </c>
      <c r="EK167" s="372" t="s">
        <v>13914</v>
      </c>
      <c r="EL167" s="372"/>
      <c r="EM167" s="372" t="s">
        <v>1669</v>
      </c>
      <c r="EN167" s="372">
        <v>12606</v>
      </c>
      <c r="EO167" s="369"/>
      <c r="EP167" s="369"/>
      <c r="EQ167" s="369"/>
    </row>
    <row r="168" spans="130:147" hidden="1">
      <c r="DZ168" s="372">
        <v>19477</v>
      </c>
      <c r="EA168" s="372" t="s">
        <v>1484</v>
      </c>
      <c r="EB168" s="372" t="s">
        <v>2206</v>
      </c>
      <c r="EC168" s="372" t="s">
        <v>1661</v>
      </c>
      <c r="ED168" s="447" t="s">
        <v>13771</v>
      </c>
      <c r="EE168" s="372" t="s">
        <v>14080</v>
      </c>
      <c r="EF168" s="372" t="s">
        <v>2207</v>
      </c>
      <c r="EG168" s="372">
        <v>603</v>
      </c>
      <c r="EH168" s="372" t="s">
        <v>2208</v>
      </c>
      <c r="EI168" s="372" t="s">
        <v>2209</v>
      </c>
      <c r="EJ168" s="372" t="s">
        <v>2210</v>
      </c>
      <c r="EK168" s="372" t="s">
        <v>14081</v>
      </c>
      <c r="EL168" s="372"/>
      <c r="EM168" s="372" t="s">
        <v>1669</v>
      </c>
      <c r="EN168" s="372">
        <v>12719</v>
      </c>
      <c r="EO168" s="369"/>
      <c r="EP168" s="369"/>
      <c r="EQ168" s="369"/>
    </row>
    <row r="169" spans="130:147" hidden="1">
      <c r="DZ169" s="372">
        <v>19478</v>
      </c>
      <c r="EA169" s="372" t="s">
        <v>1484</v>
      </c>
      <c r="EB169" s="372" t="s">
        <v>2211</v>
      </c>
      <c r="EC169" s="372" t="s">
        <v>1661</v>
      </c>
      <c r="ED169" s="447" t="s">
        <v>13771</v>
      </c>
      <c r="EE169" s="372" t="s">
        <v>14098</v>
      </c>
      <c r="EF169" s="372" t="s">
        <v>2212</v>
      </c>
      <c r="EG169" s="372" t="s">
        <v>46</v>
      </c>
      <c r="EH169" s="372" t="s">
        <v>2213</v>
      </c>
      <c r="EI169" s="372" t="s">
        <v>2214</v>
      </c>
      <c r="EJ169" s="372" t="s">
        <v>2215</v>
      </c>
      <c r="EK169" s="372" t="s">
        <v>14099</v>
      </c>
      <c r="EL169" s="372" t="s">
        <v>2216</v>
      </c>
      <c r="EM169" s="372" t="s">
        <v>1669</v>
      </c>
      <c r="EN169" s="372">
        <v>12718</v>
      </c>
      <c r="EO169" s="369"/>
      <c r="EP169" s="369"/>
      <c r="EQ169" s="369"/>
    </row>
    <row r="170" spans="130:147" hidden="1">
      <c r="DZ170" s="372">
        <v>19479</v>
      </c>
      <c r="EA170" s="372" t="s">
        <v>1484</v>
      </c>
      <c r="EB170" s="372" t="s">
        <v>1538</v>
      </c>
      <c r="EC170" s="372" t="s">
        <v>1486</v>
      </c>
      <c r="ED170" s="372" t="s">
        <v>161</v>
      </c>
      <c r="EE170" s="372" t="s">
        <v>13915</v>
      </c>
      <c r="EF170" s="372" t="s">
        <v>1539</v>
      </c>
      <c r="EG170" s="372">
        <v>99</v>
      </c>
      <c r="EH170" s="372" t="s">
        <v>1538</v>
      </c>
      <c r="EI170" s="372" t="s">
        <v>1540</v>
      </c>
      <c r="EJ170" s="372" t="s">
        <v>2217</v>
      </c>
      <c r="EK170" s="372" t="s">
        <v>13916</v>
      </c>
      <c r="EL170" s="372"/>
      <c r="EM170" s="372" t="s">
        <v>1669</v>
      </c>
      <c r="EN170" s="372">
        <v>12755</v>
      </c>
      <c r="EO170" s="369"/>
      <c r="EP170" s="369"/>
      <c r="EQ170" s="369"/>
    </row>
    <row r="171" spans="130:147" ht="15" hidden="1">
      <c r="DZ171" s="372">
        <v>19481</v>
      </c>
      <c r="EA171" s="372" t="s">
        <v>1484</v>
      </c>
      <c r="EB171" s="372" t="s">
        <v>14395</v>
      </c>
      <c r="EC171" s="372" t="s">
        <v>1820</v>
      </c>
      <c r="ED171" s="447" t="s">
        <v>13802</v>
      </c>
      <c r="EE171" s="372" t="s">
        <v>14396</v>
      </c>
      <c r="EF171" s="372" t="s">
        <v>2218</v>
      </c>
      <c r="EG171" s="372">
        <v>570</v>
      </c>
      <c r="EH171" s="372" t="s">
        <v>2219</v>
      </c>
      <c r="EI171" s="372" t="s">
        <v>2220</v>
      </c>
      <c r="EJ171" s="372" t="s">
        <v>2221</v>
      </c>
      <c r="EK171" s="372" t="s">
        <v>14397</v>
      </c>
      <c r="EL171" s="372"/>
      <c r="EM171" t="s">
        <v>14769</v>
      </c>
      <c r="EN171" s="372">
        <v>12757</v>
      </c>
      <c r="EO171" s="369"/>
      <c r="EP171" s="369"/>
      <c r="EQ171" s="369"/>
    </row>
    <row r="172" spans="130:147" hidden="1">
      <c r="DZ172" s="372">
        <v>19482</v>
      </c>
      <c r="EA172" s="372" t="s">
        <v>1484</v>
      </c>
      <c r="EB172" s="372" t="s">
        <v>2222</v>
      </c>
      <c r="EC172" s="372" t="s">
        <v>1626</v>
      </c>
      <c r="ED172" s="447" t="s">
        <v>13763</v>
      </c>
      <c r="EE172" s="372" t="s">
        <v>13961</v>
      </c>
      <c r="EF172" s="372" t="s">
        <v>2223</v>
      </c>
      <c r="EG172" s="372">
        <v>260</v>
      </c>
      <c r="EH172" s="372" t="s">
        <v>2224</v>
      </c>
      <c r="EI172" s="372" t="s">
        <v>2225</v>
      </c>
      <c r="EJ172" s="372" t="s">
        <v>2226</v>
      </c>
      <c r="EK172" s="372" t="s">
        <v>13962</v>
      </c>
      <c r="EL172" s="372" t="s">
        <v>2227</v>
      </c>
      <c r="EM172" s="372" t="s">
        <v>1633</v>
      </c>
      <c r="EN172" s="372">
        <v>12773</v>
      </c>
      <c r="EO172" s="369"/>
      <c r="EP172" s="369"/>
      <c r="EQ172" s="369"/>
    </row>
    <row r="173" spans="130:147" hidden="1">
      <c r="DZ173" s="372">
        <v>19484</v>
      </c>
      <c r="EA173" s="371" t="s">
        <v>1484</v>
      </c>
      <c r="EB173" s="372" t="s">
        <v>14472</v>
      </c>
      <c r="EC173" s="372" t="s">
        <v>13777</v>
      </c>
      <c r="ED173" s="371" t="s">
        <v>13778</v>
      </c>
      <c r="EE173" s="371" t="s">
        <v>14473</v>
      </c>
      <c r="EF173" s="371" t="s">
        <v>14474</v>
      </c>
      <c r="EG173" s="371">
        <v>1140</v>
      </c>
      <c r="EH173" s="371" t="s">
        <v>14475</v>
      </c>
      <c r="EI173" s="371" t="str">
        <f>EF173&amp;", "&amp;EG173&amp;" - "&amp;EH173</f>
        <v>RUA ESTRADA DO CORREDOR, 1140 - JARAGUÁ</v>
      </c>
      <c r="EJ173" s="373">
        <v>2992210</v>
      </c>
      <c r="EK173" s="371"/>
      <c r="EL173" s="447"/>
      <c r="EM173" s="372" t="s">
        <v>1633</v>
      </c>
      <c r="EN173" s="372">
        <v>12752</v>
      </c>
      <c r="EO173" s="369"/>
      <c r="EP173" s="369"/>
      <c r="EQ173" s="369"/>
    </row>
    <row r="174" spans="130:147" ht="15" hidden="1" customHeight="1">
      <c r="DZ174" s="372">
        <v>19485</v>
      </c>
      <c r="EA174" s="372" t="s">
        <v>1484</v>
      </c>
      <c r="EB174" s="372" t="s">
        <v>13991</v>
      </c>
      <c r="EC174" s="372" t="s">
        <v>1617</v>
      </c>
      <c r="ED174" s="372" t="s">
        <v>1618</v>
      </c>
      <c r="EE174" s="372" t="s">
        <v>13992</v>
      </c>
      <c r="EF174" s="372" t="s">
        <v>2228</v>
      </c>
      <c r="EG174" s="372" t="s">
        <v>46</v>
      </c>
      <c r="EH174" s="372" t="s">
        <v>2229</v>
      </c>
      <c r="EI174" s="372" t="s">
        <v>2230</v>
      </c>
      <c r="EJ174" s="372" t="s">
        <v>2231</v>
      </c>
      <c r="EK174" s="372" t="s">
        <v>13993</v>
      </c>
      <c r="EL174" s="372"/>
      <c r="EM174" s="372" t="s">
        <v>1624</v>
      </c>
      <c r="EN174" s="372">
        <v>12777</v>
      </c>
      <c r="EO174" s="369"/>
      <c r="EP174" s="369"/>
      <c r="EQ174" s="369"/>
    </row>
    <row r="175" spans="130:147" hidden="1">
      <c r="DZ175" s="372">
        <v>19486</v>
      </c>
      <c r="EA175" s="371" t="s">
        <v>1484</v>
      </c>
      <c r="EB175" s="372" t="s">
        <v>14486</v>
      </c>
      <c r="EC175" s="372" t="s">
        <v>13777</v>
      </c>
      <c r="ED175" s="371" t="s">
        <v>13778</v>
      </c>
      <c r="EE175" s="371" t="s">
        <v>14487</v>
      </c>
      <c r="EF175" s="371" t="s">
        <v>14488</v>
      </c>
      <c r="EG175" s="371">
        <v>148</v>
      </c>
      <c r="EH175" s="371" t="s">
        <v>14489</v>
      </c>
      <c r="EI175" s="371" t="str">
        <f>EF175&amp;", "&amp;EG175&amp;" - "&amp;EH175</f>
        <v>RUA FERNANDO SABINO, 148 - PARQUE DAS NAÇÕES UNIDAS</v>
      </c>
      <c r="EJ175" s="373" t="s">
        <v>14490</v>
      </c>
      <c r="EK175" s="371"/>
      <c r="EL175" s="447"/>
      <c r="EM175" s="372" t="s">
        <v>1633</v>
      </c>
      <c r="EN175" s="372">
        <v>12753</v>
      </c>
      <c r="EO175" s="369"/>
      <c r="EP175" s="369"/>
      <c r="EQ175" s="369"/>
    </row>
    <row r="176" spans="130:147" hidden="1">
      <c r="DZ176" s="372">
        <v>19489</v>
      </c>
      <c r="EA176" s="372" t="s">
        <v>1484</v>
      </c>
      <c r="EB176" s="372" t="s">
        <v>2232</v>
      </c>
      <c r="EC176" s="372" t="s">
        <v>1707</v>
      </c>
      <c r="ED176" s="447" t="s">
        <v>13799</v>
      </c>
      <c r="EE176" s="372" t="s">
        <v>14330</v>
      </c>
      <c r="EF176" s="372" t="s">
        <v>2233</v>
      </c>
      <c r="EG176" s="372" t="s">
        <v>46</v>
      </c>
      <c r="EH176" s="372" t="s">
        <v>2234</v>
      </c>
      <c r="EI176" s="372" t="s">
        <v>2235</v>
      </c>
      <c r="EJ176" s="372" t="s">
        <v>2236</v>
      </c>
      <c r="EK176" s="372" t="s">
        <v>14331</v>
      </c>
      <c r="EL176" s="372"/>
      <c r="EM176" s="372" t="s">
        <v>1633</v>
      </c>
      <c r="EN176" s="372">
        <v>12799</v>
      </c>
      <c r="EO176" s="369"/>
      <c r="EP176" s="369"/>
      <c r="EQ176" s="369"/>
    </row>
    <row r="177" spans="130:147" hidden="1">
      <c r="DZ177" s="372">
        <v>19502</v>
      </c>
      <c r="EA177" s="372" t="s">
        <v>1484</v>
      </c>
      <c r="EB177" s="372" t="s">
        <v>13697</v>
      </c>
      <c r="EC177" s="372" t="s">
        <v>1707</v>
      </c>
      <c r="ED177" s="447" t="s">
        <v>13799</v>
      </c>
      <c r="EE177" s="372" t="s">
        <v>14327</v>
      </c>
      <c r="EF177" s="372" t="s">
        <v>2237</v>
      </c>
      <c r="EG177" s="372">
        <v>183</v>
      </c>
      <c r="EH177" s="372" t="s">
        <v>1968</v>
      </c>
      <c r="EI177" s="372" t="s">
        <v>2238</v>
      </c>
      <c r="EJ177" s="372" t="s">
        <v>2239</v>
      </c>
      <c r="EK177" s="372"/>
      <c r="EL177" s="372"/>
      <c r="EM177" s="372" t="s">
        <v>1633</v>
      </c>
      <c r="EN177" s="372">
        <v>12839</v>
      </c>
      <c r="EO177" s="369"/>
      <c r="EP177" s="369"/>
      <c r="EQ177" s="369"/>
    </row>
    <row r="178" spans="130:147" hidden="1">
      <c r="DZ178" s="372">
        <v>19504</v>
      </c>
      <c r="EA178" s="372" t="s">
        <v>1484</v>
      </c>
      <c r="EB178" s="372" t="s">
        <v>2240</v>
      </c>
      <c r="EC178" s="372" t="s">
        <v>1812</v>
      </c>
      <c r="ED178" s="372" t="s">
        <v>1813</v>
      </c>
      <c r="EE178" s="372" t="s">
        <v>14137</v>
      </c>
      <c r="EF178" s="372" t="s">
        <v>2241</v>
      </c>
      <c r="EG178" s="372">
        <v>20</v>
      </c>
      <c r="EH178" s="372" t="s">
        <v>2242</v>
      </c>
      <c r="EI178" s="372" t="s">
        <v>2243</v>
      </c>
      <c r="EJ178" s="372" t="s">
        <v>2244</v>
      </c>
      <c r="EK178" s="372" t="s">
        <v>14138</v>
      </c>
      <c r="EL178" s="372" t="s">
        <v>2245</v>
      </c>
      <c r="EM178" s="372" t="s">
        <v>14767</v>
      </c>
      <c r="EN178" s="372">
        <v>12890</v>
      </c>
      <c r="EO178" s="369"/>
      <c r="EP178" s="369"/>
      <c r="EQ178" s="369"/>
    </row>
    <row r="179" spans="130:147" hidden="1">
      <c r="DZ179" s="372">
        <v>19504</v>
      </c>
      <c r="EA179" s="372" t="s">
        <v>1484</v>
      </c>
      <c r="EB179" s="372" t="s">
        <v>2240</v>
      </c>
      <c r="EC179" s="372" t="s">
        <v>1812</v>
      </c>
      <c r="ED179" s="372" t="s">
        <v>1813</v>
      </c>
      <c r="EE179" s="372" t="s">
        <v>14137</v>
      </c>
      <c r="EF179" s="372" t="s">
        <v>2241</v>
      </c>
      <c r="EG179" s="372">
        <v>20</v>
      </c>
      <c r="EH179" s="372" t="s">
        <v>2242</v>
      </c>
      <c r="EI179" s="372" t="s">
        <v>2243</v>
      </c>
      <c r="EJ179" s="372" t="s">
        <v>2244</v>
      </c>
      <c r="EK179" s="372" t="s">
        <v>14138</v>
      </c>
      <c r="EL179" s="372" t="s">
        <v>2245</v>
      </c>
      <c r="EM179" s="372" t="s">
        <v>14767</v>
      </c>
      <c r="EN179" s="372">
        <v>12890</v>
      </c>
      <c r="EO179" s="369"/>
      <c r="EP179" s="369"/>
      <c r="EQ179" s="369"/>
    </row>
    <row r="180" spans="130:147" hidden="1">
      <c r="DZ180" s="372">
        <v>19508</v>
      </c>
      <c r="EA180" s="469" t="s">
        <v>1484</v>
      </c>
      <c r="EB180" s="372" t="s">
        <v>14710</v>
      </c>
      <c r="EC180" s="469" t="s">
        <v>1654</v>
      </c>
      <c r="ED180" s="372" t="s">
        <v>13774</v>
      </c>
      <c r="EE180" s="372" t="s">
        <v>14711</v>
      </c>
      <c r="EF180" s="469" t="s">
        <v>2246</v>
      </c>
      <c r="EG180" s="469" t="s">
        <v>46</v>
      </c>
      <c r="EH180" s="469" t="s">
        <v>2247</v>
      </c>
      <c r="EI180" s="371" t="s">
        <v>2248</v>
      </c>
      <c r="EJ180" s="469" t="s">
        <v>2249</v>
      </c>
      <c r="EK180" s="469"/>
      <c r="EL180" s="469"/>
      <c r="EM180" s="450" t="s">
        <v>7010</v>
      </c>
      <c r="EN180" s="374">
        <v>12885</v>
      </c>
      <c r="EO180" s="369"/>
      <c r="EP180" s="369"/>
      <c r="EQ180" s="369"/>
    </row>
    <row r="181" spans="130:147" hidden="1">
      <c r="DZ181" s="372">
        <v>19511</v>
      </c>
      <c r="EA181" s="372" t="s">
        <v>1484</v>
      </c>
      <c r="EB181" s="372" t="s">
        <v>13978</v>
      </c>
      <c r="EC181" s="372" t="s">
        <v>1617</v>
      </c>
      <c r="ED181" s="372" t="s">
        <v>1618</v>
      </c>
      <c r="EE181" s="372" t="s">
        <v>13979</v>
      </c>
      <c r="EF181" s="372" t="s">
        <v>2250</v>
      </c>
      <c r="EG181" s="372"/>
      <c r="EH181" s="372" t="s">
        <v>2251</v>
      </c>
      <c r="EI181" s="372" t="s">
        <v>2250</v>
      </c>
      <c r="EJ181" s="372"/>
      <c r="EK181" s="372" t="s">
        <v>13980</v>
      </c>
      <c r="EL181" s="372" t="s">
        <v>2252</v>
      </c>
      <c r="EM181" s="372" t="s">
        <v>1624</v>
      </c>
      <c r="EN181" s="372">
        <v>13028</v>
      </c>
      <c r="EO181" s="369"/>
      <c r="EP181" s="369"/>
      <c r="EQ181" s="369"/>
    </row>
    <row r="182" spans="130:147" hidden="1">
      <c r="DZ182" s="372">
        <v>19518</v>
      </c>
      <c r="EA182" s="372" t="s">
        <v>1484</v>
      </c>
      <c r="EB182" s="372" t="s">
        <v>2253</v>
      </c>
      <c r="EC182" s="372" t="s">
        <v>1812</v>
      </c>
      <c r="ED182" s="372" t="s">
        <v>1813</v>
      </c>
      <c r="EE182" s="372" t="s">
        <v>14143</v>
      </c>
      <c r="EF182" s="372" t="s">
        <v>2254</v>
      </c>
      <c r="EG182" s="372">
        <v>226</v>
      </c>
      <c r="EH182" s="372" t="s">
        <v>1812</v>
      </c>
      <c r="EI182" s="372" t="s">
        <v>2255</v>
      </c>
      <c r="EJ182" s="372" t="s">
        <v>2256</v>
      </c>
      <c r="EK182" s="372" t="s">
        <v>2257</v>
      </c>
      <c r="EL182" s="372" t="s">
        <v>2257</v>
      </c>
      <c r="EM182" s="372" t="s">
        <v>14767</v>
      </c>
      <c r="EN182" s="372">
        <v>9388</v>
      </c>
      <c r="EO182" s="369"/>
      <c r="EP182" s="369"/>
      <c r="EQ182" s="369"/>
    </row>
    <row r="183" spans="130:147" hidden="1">
      <c r="DZ183" s="372">
        <v>19521</v>
      </c>
      <c r="EA183" s="372" t="s">
        <v>1484</v>
      </c>
      <c r="EB183" s="372" t="s">
        <v>1541</v>
      </c>
      <c r="EC183" s="372" t="s">
        <v>1486</v>
      </c>
      <c r="ED183" s="372" t="s">
        <v>161</v>
      </c>
      <c r="EE183" s="372" t="s">
        <v>1542</v>
      </c>
      <c r="EF183" s="372" t="s">
        <v>1543</v>
      </c>
      <c r="EG183" s="372">
        <v>5000</v>
      </c>
      <c r="EH183" s="372" t="s">
        <v>1519</v>
      </c>
      <c r="EI183" s="372" t="s">
        <v>1544</v>
      </c>
      <c r="EJ183" s="372" t="s">
        <v>1545</v>
      </c>
      <c r="EK183" s="372"/>
      <c r="EL183" s="372"/>
      <c r="EM183" s="372" t="s">
        <v>1669</v>
      </c>
      <c r="EN183" s="372">
        <v>13372</v>
      </c>
      <c r="EO183" s="369"/>
      <c r="EP183" s="369"/>
      <c r="EQ183" s="369"/>
    </row>
    <row r="184" spans="130:147" hidden="1">
      <c r="DZ184" s="372">
        <v>19522</v>
      </c>
      <c r="EA184" s="372" t="s">
        <v>1484</v>
      </c>
      <c r="EB184" s="372" t="s">
        <v>1546</v>
      </c>
      <c r="EC184" s="372" t="s">
        <v>1486</v>
      </c>
      <c r="ED184" s="372" t="s">
        <v>161</v>
      </c>
      <c r="EE184" s="372" t="s">
        <v>13878</v>
      </c>
      <c r="EF184" s="372" t="s">
        <v>1547</v>
      </c>
      <c r="EG184" s="372"/>
      <c r="EH184" s="372" t="s">
        <v>1546</v>
      </c>
      <c r="EI184" s="372" t="s">
        <v>1548</v>
      </c>
      <c r="EJ184" s="372" t="s">
        <v>1549</v>
      </c>
      <c r="EK184" s="372" t="s">
        <v>13879</v>
      </c>
      <c r="EL184" s="372"/>
      <c r="EM184" s="372" t="s">
        <v>1669</v>
      </c>
      <c r="EN184" s="372">
        <v>13378</v>
      </c>
      <c r="EO184" s="369"/>
      <c r="EP184" s="369"/>
      <c r="EQ184" s="369"/>
    </row>
    <row r="185" spans="130:147" hidden="1">
      <c r="DZ185" s="372">
        <v>19524</v>
      </c>
      <c r="EA185" s="372" t="s">
        <v>1484</v>
      </c>
      <c r="EB185" s="372" t="s">
        <v>13971</v>
      </c>
      <c r="EC185" s="372" t="s">
        <v>1617</v>
      </c>
      <c r="ED185" s="372" t="s">
        <v>1618</v>
      </c>
      <c r="EE185" s="372" t="s">
        <v>13972</v>
      </c>
      <c r="EF185" s="372" t="s">
        <v>2258</v>
      </c>
      <c r="EG185" s="372">
        <v>880</v>
      </c>
      <c r="EH185" s="372" t="s">
        <v>2259</v>
      </c>
      <c r="EI185" s="372" t="s">
        <v>2260</v>
      </c>
      <c r="EJ185" s="372" t="s">
        <v>2261</v>
      </c>
      <c r="EK185" s="372" t="s">
        <v>13973</v>
      </c>
      <c r="EL185" s="372"/>
      <c r="EM185" s="372" t="s">
        <v>1624</v>
      </c>
      <c r="EN185" s="372">
        <v>13297</v>
      </c>
      <c r="EO185" s="369"/>
      <c r="EP185" s="369"/>
      <c r="EQ185" s="369"/>
    </row>
    <row r="186" spans="130:147" hidden="1">
      <c r="DZ186" s="372">
        <v>19533</v>
      </c>
      <c r="EA186" s="372" t="s">
        <v>1484</v>
      </c>
      <c r="EB186" s="372" t="s">
        <v>1550</v>
      </c>
      <c r="EC186" s="372" t="s">
        <v>1486</v>
      </c>
      <c r="ED186" s="372" t="s">
        <v>161</v>
      </c>
      <c r="EE186" s="372" t="s">
        <v>13865</v>
      </c>
      <c r="EF186" s="372" t="s">
        <v>1551</v>
      </c>
      <c r="EG186" s="372">
        <v>40</v>
      </c>
      <c r="EH186" s="372" t="s">
        <v>1552</v>
      </c>
      <c r="EI186" s="372" t="s">
        <v>1553</v>
      </c>
      <c r="EJ186" s="372" t="s">
        <v>1554</v>
      </c>
      <c r="EK186" s="372" t="s">
        <v>13866</v>
      </c>
      <c r="EL186" s="372"/>
      <c r="EM186" s="372" t="s">
        <v>1669</v>
      </c>
      <c r="EN186" s="372">
        <v>13517</v>
      </c>
      <c r="EO186" s="369"/>
      <c r="EP186" s="369"/>
      <c r="EQ186" s="369"/>
    </row>
    <row r="187" spans="130:147" hidden="1">
      <c r="DZ187" s="372">
        <v>19534</v>
      </c>
      <c r="EA187" s="372" t="s">
        <v>1484</v>
      </c>
      <c r="EB187" s="372" t="s">
        <v>2262</v>
      </c>
      <c r="EC187" s="372" t="s">
        <v>1661</v>
      </c>
      <c r="ED187" s="447" t="s">
        <v>13771</v>
      </c>
      <c r="EE187" s="372" t="s">
        <v>14084</v>
      </c>
      <c r="EF187" s="372" t="s">
        <v>2263</v>
      </c>
      <c r="EG187" s="372" t="s">
        <v>46</v>
      </c>
      <c r="EH187" s="372" t="s">
        <v>1661</v>
      </c>
      <c r="EI187" s="372" t="s">
        <v>2264</v>
      </c>
      <c r="EJ187" s="372" t="s">
        <v>2265</v>
      </c>
      <c r="EK187" s="372" t="s">
        <v>14085</v>
      </c>
      <c r="EL187" s="372" t="s">
        <v>2266</v>
      </c>
      <c r="EM187" s="372" t="s">
        <v>1669</v>
      </c>
      <c r="EN187" s="372">
        <v>9403</v>
      </c>
      <c r="EO187" s="369"/>
      <c r="EP187" s="369"/>
      <c r="EQ187" s="369"/>
    </row>
    <row r="188" spans="130:147" hidden="1">
      <c r="DZ188" s="372">
        <v>19535</v>
      </c>
      <c r="EA188" s="372" t="s">
        <v>1484</v>
      </c>
      <c r="EB188" s="372" t="s">
        <v>13882</v>
      </c>
      <c r="EC188" s="372" t="s">
        <v>1486</v>
      </c>
      <c r="ED188" s="372" t="s">
        <v>161</v>
      </c>
      <c r="EE188" s="372" t="s">
        <v>13883</v>
      </c>
      <c r="EF188" s="372" t="s">
        <v>1555</v>
      </c>
      <c r="EG188" s="372">
        <v>797</v>
      </c>
      <c r="EH188" s="372" t="s">
        <v>1488</v>
      </c>
      <c r="EI188" s="372" t="s">
        <v>1556</v>
      </c>
      <c r="EJ188" s="372" t="s">
        <v>1557</v>
      </c>
      <c r="EK188" s="372" t="s">
        <v>13884</v>
      </c>
      <c r="EL188" s="372"/>
      <c r="EM188" s="372" t="s">
        <v>1669</v>
      </c>
      <c r="EN188" s="372">
        <v>13496</v>
      </c>
      <c r="EO188" s="369"/>
      <c r="EP188" s="369"/>
      <c r="EQ188" s="369"/>
    </row>
    <row r="189" spans="130:147" hidden="1">
      <c r="DZ189" s="372">
        <v>19536</v>
      </c>
      <c r="EA189" s="372" t="s">
        <v>1484</v>
      </c>
      <c r="EB189" s="372" t="s">
        <v>1558</v>
      </c>
      <c r="EC189" s="372" t="s">
        <v>1486</v>
      </c>
      <c r="ED189" s="372" t="s">
        <v>161</v>
      </c>
      <c r="EE189" s="372" t="s">
        <v>1559</v>
      </c>
      <c r="EF189" s="372" t="s">
        <v>1543</v>
      </c>
      <c r="EG189" s="372">
        <v>1440</v>
      </c>
      <c r="EH189" s="372" t="s">
        <v>1519</v>
      </c>
      <c r="EI189" s="372" t="s">
        <v>1560</v>
      </c>
      <c r="EJ189" s="372" t="s">
        <v>1545</v>
      </c>
      <c r="EK189" s="372" t="s">
        <v>13867</v>
      </c>
      <c r="EL189" s="372"/>
      <c r="EM189" s="372" t="s">
        <v>1669</v>
      </c>
      <c r="EN189" s="372">
        <v>13497</v>
      </c>
      <c r="EO189" s="369"/>
      <c r="EP189" s="369"/>
      <c r="EQ189" s="369"/>
    </row>
    <row r="190" spans="130:147" ht="15" hidden="1">
      <c r="DZ190" s="372">
        <v>19542</v>
      </c>
      <c r="EA190" s="372" t="s">
        <v>1484</v>
      </c>
      <c r="EB190" s="372" t="s">
        <v>2267</v>
      </c>
      <c r="EC190" s="372" t="s">
        <v>1820</v>
      </c>
      <c r="ED190" s="447" t="s">
        <v>13802</v>
      </c>
      <c r="EE190" s="372" t="s">
        <v>2268</v>
      </c>
      <c r="EF190" s="372" t="s">
        <v>2269</v>
      </c>
      <c r="EG190" s="372">
        <v>18</v>
      </c>
      <c r="EH190" s="372" t="s">
        <v>2270</v>
      </c>
      <c r="EI190" s="372" t="s">
        <v>2271</v>
      </c>
      <c r="EJ190" s="372" t="s">
        <v>2272</v>
      </c>
      <c r="EK190" s="372" t="s">
        <v>2273</v>
      </c>
      <c r="EL190" s="372" t="s">
        <v>2273</v>
      </c>
      <c r="EM190" t="s">
        <v>14769</v>
      </c>
      <c r="EN190" s="372">
        <v>9382</v>
      </c>
      <c r="EO190" s="369"/>
      <c r="EP190" s="369"/>
      <c r="EQ190" s="369"/>
    </row>
    <row r="191" spans="130:147" hidden="1">
      <c r="DZ191" s="372">
        <v>19577</v>
      </c>
      <c r="EA191" s="447" t="s">
        <v>1484</v>
      </c>
      <c r="EB191" s="372" t="s">
        <v>14456</v>
      </c>
      <c r="EC191" s="372" t="s">
        <v>13777</v>
      </c>
      <c r="ED191" s="371" t="s">
        <v>13778</v>
      </c>
      <c r="EE191" s="447" t="s">
        <v>14540</v>
      </c>
      <c r="EF191" s="371" t="s">
        <v>14541</v>
      </c>
      <c r="EG191" s="371">
        <v>12</v>
      </c>
      <c r="EH191" s="462" t="s">
        <v>14542</v>
      </c>
      <c r="EI191" s="371" t="str">
        <f>EF191&amp;", "&amp;EG191&amp;" - "&amp;EH191</f>
        <v>RUA DONA JANUÁRIA MARIA, 12 - PARQUE DE TAIPAS</v>
      </c>
      <c r="EJ191" s="463">
        <v>2987020</v>
      </c>
      <c r="EK191" s="447" t="s">
        <v>14543</v>
      </c>
      <c r="EL191" s="447"/>
      <c r="EM191" s="372" t="s">
        <v>1633</v>
      </c>
      <c r="EN191" s="372">
        <v>9400</v>
      </c>
      <c r="EO191" s="369"/>
      <c r="EP191" s="369"/>
      <c r="EQ191" s="369"/>
    </row>
    <row r="192" spans="130:147" ht="15.75" hidden="1" customHeight="1">
      <c r="DZ192" s="372">
        <v>19593</v>
      </c>
      <c r="EA192" s="469" t="s">
        <v>1484</v>
      </c>
      <c r="EB192" s="372" t="s">
        <v>2274</v>
      </c>
      <c r="EC192" s="469" t="s">
        <v>1654</v>
      </c>
      <c r="ED192" s="372" t="s">
        <v>13774</v>
      </c>
      <c r="EE192" s="372" t="s">
        <v>14680</v>
      </c>
      <c r="EF192" s="469" t="s">
        <v>2275</v>
      </c>
      <c r="EG192" s="469" t="s">
        <v>46</v>
      </c>
      <c r="EH192" s="469" t="s">
        <v>2274</v>
      </c>
      <c r="EI192" s="371" t="s">
        <v>2276</v>
      </c>
      <c r="EJ192" s="469" t="s">
        <v>2277</v>
      </c>
      <c r="EK192" s="469"/>
      <c r="EL192" s="469"/>
      <c r="EM192" s="450" t="s">
        <v>7010</v>
      </c>
      <c r="EN192" s="374">
        <v>11311</v>
      </c>
      <c r="EO192" s="369"/>
      <c r="EP192" s="369"/>
      <c r="EQ192" s="369"/>
    </row>
    <row r="193" spans="130:147" hidden="1">
      <c r="DZ193" s="447">
        <v>19611</v>
      </c>
      <c r="EA193" s="447" t="s">
        <v>1484</v>
      </c>
      <c r="EB193" s="447" t="s">
        <v>13727</v>
      </c>
      <c r="EC193" s="447" t="s">
        <v>1486</v>
      </c>
      <c r="ED193" s="447" t="s">
        <v>161</v>
      </c>
      <c r="EE193" s="449" t="s">
        <v>13728</v>
      </c>
      <c r="EF193" s="447" t="s">
        <v>13729</v>
      </c>
      <c r="EG193" s="447">
        <v>284</v>
      </c>
      <c r="EH193" s="447" t="s">
        <v>13876</v>
      </c>
      <c r="EI193" s="371" t="s">
        <v>13877</v>
      </c>
      <c r="EJ193" s="373">
        <v>4852040</v>
      </c>
      <c r="EK193" s="447"/>
      <c r="EL193" s="447"/>
      <c r="EM193" s="447" t="s">
        <v>1669</v>
      </c>
      <c r="EN193" s="371">
        <v>14131</v>
      </c>
      <c r="EP193" s="369"/>
      <c r="EQ193" s="369"/>
    </row>
    <row r="194" spans="130:147" hidden="1">
      <c r="DZ194" s="447">
        <v>19612</v>
      </c>
      <c r="EA194" s="447" t="s">
        <v>7662</v>
      </c>
      <c r="EB194" s="447" t="s">
        <v>13733</v>
      </c>
      <c r="EC194" s="447" t="s">
        <v>1626</v>
      </c>
      <c r="ED194" s="447" t="s">
        <v>13763</v>
      </c>
      <c r="EE194" s="449" t="s">
        <v>13734</v>
      </c>
      <c r="EF194" s="447" t="s">
        <v>13735</v>
      </c>
      <c r="EG194" s="447" t="s">
        <v>46</v>
      </c>
      <c r="EH194" s="447" t="s">
        <v>13769</v>
      </c>
      <c r="EI194" s="371" t="s">
        <v>13736</v>
      </c>
      <c r="EJ194" s="373">
        <v>2881070</v>
      </c>
      <c r="EK194" s="447"/>
      <c r="EL194" s="447"/>
      <c r="EM194" s="447" t="s">
        <v>1633</v>
      </c>
      <c r="EN194" s="371">
        <v>14180</v>
      </c>
      <c r="EO194" s="369"/>
      <c r="EP194" s="369"/>
      <c r="EQ194" s="369"/>
    </row>
    <row r="195" spans="130:147" hidden="1">
      <c r="DZ195" s="372">
        <v>19623</v>
      </c>
      <c r="EA195" s="469" t="s">
        <v>1484</v>
      </c>
      <c r="EB195" s="372" t="s">
        <v>14716</v>
      </c>
      <c r="EC195" s="469" t="s">
        <v>1654</v>
      </c>
      <c r="ED195" s="372" t="s">
        <v>13774</v>
      </c>
      <c r="EE195" s="372" t="s">
        <v>14717</v>
      </c>
      <c r="EF195" s="469" t="s">
        <v>2036</v>
      </c>
      <c r="EG195" s="469">
        <v>10</v>
      </c>
      <c r="EH195" s="469" t="s">
        <v>2278</v>
      </c>
      <c r="EI195" s="371" t="s">
        <v>2279</v>
      </c>
      <c r="EJ195" s="469" t="s">
        <v>2280</v>
      </c>
      <c r="EK195" s="469" t="s">
        <v>14718</v>
      </c>
      <c r="EL195" s="469" t="s">
        <v>2281</v>
      </c>
      <c r="EM195" s="450" t="s">
        <v>7010</v>
      </c>
      <c r="EN195" s="364">
        <v>11330</v>
      </c>
      <c r="EO195" s="369"/>
      <c r="EP195" s="369"/>
      <c r="EQ195" s="369"/>
    </row>
    <row r="196" spans="130:147" hidden="1">
      <c r="DZ196" s="447">
        <v>19641</v>
      </c>
      <c r="EA196" s="447" t="s">
        <v>7662</v>
      </c>
      <c r="EB196" s="447" t="s">
        <v>7663</v>
      </c>
      <c r="EC196" s="447" t="s">
        <v>1486</v>
      </c>
      <c r="ED196" s="447" t="s">
        <v>161</v>
      </c>
      <c r="EE196" s="448" t="s">
        <v>13766</v>
      </c>
      <c r="EF196" s="447"/>
      <c r="EG196" s="447"/>
      <c r="EH196" s="447"/>
      <c r="EI196" s="447"/>
      <c r="EJ196" s="447"/>
      <c r="EK196" s="447"/>
      <c r="EL196" s="447"/>
      <c r="EM196" s="372" t="s">
        <v>1669</v>
      </c>
      <c r="EN196" s="447">
        <v>13546</v>
      </c>
      <c r="EO196" s="369"/>
      <c r="EP196" s="369"/>
      <c r="EQ196" s="369"/>
    </row>
    <row r="197" spans="130:147" hidden="1">
      <c r="DZ197" s="447">
        <v>19642</v>
      </c>
      <c r="EA197" s="447" t="s">
        <v>1484</v>
      </c>
      <c r="EB197" s="447" t="s">
        <v>1815</v>
      </c>
      <c r="EC197" s="447" t="s">
        <v>1812</v>
      </c>
      <c r="ED197" s="447" t="s">
        <v>1813</v>
      </c>
      <c r="EE197" s="449" t="s">
        <v>7658</v>
      </c>
      <c r="EF197" s="447" t="s">
        <v>7659</v>
      </c>
      <c r="EG197" s="447">
        <v>250</v>
      </c>
      <c r="EH197" s="447" t="s">
        <v>7660</v>
      </c>
      <c r="EI197" s="447" t="s">
        <v>7661</v>
      </c>
      <c r="EJ197" s="447"/>
      <c r="EK197" s="447"/>
      <c r="EL197" s="447"/>
      <c r="EM197" s="372" t="s">
        <v>14767</v>
      </c>
      <c r="EN197" s="447"/>
      <c r="EO197" s="369"/>
      <c r="EP197" s="369"/>
      <c r="EQ197" s="369"/>
    </row>
    <row r="198" spans="130:147" hidden="1">
      <c r="DZ198" s="447">
        <v>19644</v>
      </c>
      <c r="EA198" s="447" t="s">
        <v>7662</v>
      </c>
      <c r="EB198" s="447" t="s">
        <v>13767</v>
      </c>
      <c r="EC198" s="447" t="s">
        <v>1486</v>
      </c>
      <c r="ED198" s="447" t="s">
        <v>161</v>
      </c>
      <c r="EE198" s="448" t="s">
        <v>13768</v>
      </c>
      <c r="EF198" s="447"/>
      <c r="EG198" s="447"/>
      <c r="EH198" s="447"/>
      <c r="EI198" s="447"/>
      <c r="EJ198" s="447"/>
      <c r="EK198" s="447"/>
      <c r="EL198" s="447"/>
      <c r="EM198" s="372" t="s">
        <v>1669</v>
      </c>
      <c r="EN198" s="447">
        <v>13718</v>
      </c>
      <c r="EO198" s="369"/>
      <c r="EP198" s="369"/>
      <c r="EQ198" s="369"/>
    </row>
    <row r="199" spans="130:147" hidden="1">
      <c r="DZ199" s="372">
        <v>19646</v>
      </c>
      <c r="EA199" s="372" t="s">
        <v>1484</v>
      </c>
      <c r="EB199" s="372" t="s">
        <v>8139</v>
      </c>
      <c r="EC199" s="372" t="s">
        <v>1486</v>
      </c>
      <c r="ED199" s="372" t="s">
        <v>161</v>
      </c>
      <c r="EE199" s="372"/>
      <c r="EF199" s="372"/>
      <c r="EG199" s="372"/>
      <c r="EH199" s="372"/>
      <c r="EI199" s="372"/>
      <c r="EJ199" s="372" t="s">
        <v>2300</v>
      </c>
      <c r="EK199" s="372" t="s">
        <v>13869</v>
      </c>
      <c r="EL199" s="372"/>
      <c r="EM199" s="372" t="s">
        <v>1669</v>
      </c>
      <c r="EN199" s="372"/>
      <c r="EO199" s="369"/>
      <c r="EP199" s="369"/>
      <c r="EQ199" s="369"/>
    </row>
    <row r="200" spans="130:147" hidden="1">
      <c r="DZ200" s="447">
        <v>19647</v>
      </c>
      <c r="EA200" s="447" t="s">
        <v>1484</v>
      </c>
      <c r="EB200" s="447" t="s">
        <v>14768</v>
      </c>
      <c r="EC200" s="447" t="s">
        <v>1486</v>
      </c>
      <c r="ED200" s="447" t="s">
        <v>161</v>
      </c>
      <c r="EE200" s="447"/>
      <c r="EF200" s="447"/>
      <c r="EG200" s="447"/>
      <c r="EH200" s="447"/>
      <c r="EI200" s="447"/>
      <c r="EJ200" s="447"/>
      <c r="EK200" s="447"/>
      <c r="EL200" s="447"/>
      <c r="EM200" s="372" t="s">
        <v>1669</v>
      </c>
      <c r="EN200" s="447">
        <v>13713</v>
      </c>
      <c r="EO200" s="369"/>
      <c r="EP200" s="369"/>
      <c r="EQ200" s="369"/>
    </row>
    <row r="201" spans="130:147" hidden="1">
      <c r="DZ201" s="447">
        <v>19650</v>
      </c>
      <c r="EA201" s="447" t="s">
        <v>1484</v>
      </c>
      <c r="EB201" s="372" t="s">
        <v>13698</v>
      </c>
      <c r="EC201" s="372" t="s">
        <v>1707</v>
      </c>
      <c r="ED201" s="447" t="s">
        <v>13799</v>
      </c>
      <c r="EE201" s="447"/>
      <c r="EF201" s="447"/>
      <c r="EG201" s="447"/>
      <c r="EH201" s="447"/>
      <c r="EI201" s="447"/>
      <c r="EJ201" s="447"/>
      <c r="EK201" s="447"/>
      <c r="EL201" s="447"/>
      <c r="EM201" s="372" t="s">
        <v>1633</v>
      </c>
      <c r="EN201" s="447">
        <v>19650</v>
      </c>
      <c r="EO201" s="369"/>
      <c r="EP201" s="369"/>
      <c r="EQ201" s="369"/>
    </row>
    <row r="202" spans="130:147" hidden="1">
      <c r="DZ202" s="447">
        <v>19651</v>
      </c>
      <c r="EA202" s="447" t="s">
        <v>1484</v>
      </c>
      <c r="EB202" s="447" t="s">
        <v>13699</v>
      </c>
      <c r="EC202" s="447" t="s">
        <v>1486</v>
      </c>
      <c r="ED202" s="447" t="s">
        <v>161</v>
      </c>
      <c r="EE202" s="447"/>
      <c r="EF202" s="447"/>
      <c r="EG202" s="447"/>
      <c r="EH202" s="447"/>
      <c r="EI202" s="447"/>
      <c r="EJ202" s="447"/>
      <c r="EK202" s="447"/>
      <c r="EL202" s="447"/>
      <c r="EM202" s="447" t="s">
        <v>1669</v>
      </c>
      <c r="EN202" s="447">
        <v>19651</v>
      </c>
      <c r="EO202" s="369"/>
      <c r="EP202" s="369"/>
      <c r="EQ202" s="369"/>
    </row>
    <row r="203" spans="130:147" hidden="1">
      <c r="DZ203" s="450">
        <v>19654</v>
      </c>
      <c r="EA203" s="450" t="s">
        <v>1484</v>
      </c>
      <c r="EB203" s="450" t="s">
        <v>2487</v>
      </c>
      <c r="EC203" s="450" t="s">
        <v>1617</v>
      </c>
      <c r="ED203" s="450" t="s">
        <v>1618</v>
      </c>
      <c r="EE203" s="456" t="s">
        <v>13701</v>
      </c>
      <c r="EF203" s="450" t="s">
        <v>13702</v>
      </c>
      <c r="EG203" s="450">
        <v>410</v>
      </c>
      <c r="EH203" s="450" t="s">
        <v>13703</v>
      </c>
      <c r="EI203" s="450" t="s">
        <v>13704</v>
      </c>
      <c r="EJ203" s="450" t="s">
        <v>13705</v>
      </c>
      <c r="EK203" s="450" t="s">
        <v>13706</v>
      </c>
      <c r="EL203" s="450"/>
      <c r="EM203" s="450" t="s">
        <v>1624</v>
      </c>
      <c r="EN203" s="450">
        <v>14100</v>
      </c>
      <c r="EO203" s="369"/>
      <c r="EP203" s="369"/>
      <c r="EQ203" s="369"/>
    </row>
    <row r="204" spans="130:147" hidden="1">
      <c r="DZ204" s="450">
        <v>19655</v>
      </c>
      <c r="EA204" s="450" t="s">
        <v>1484</v>
      </c>
      <c r="EB204" s="450" t="s">
        <v>13707</v>
      </c>
      <c r="EC204" s="450" t="s">
        <v>1617</v>
      </c>
      <c r="ED204" s="450" t="s">
        <v>1618</v>
      </c>
      <c r="EE204" s="451" t="s">
        <v>13708</v>
      </c>
      <c r="EF204" s="450" t="s">
        <v>13709</v>
      </c>
      <c r="EG204" s="450">
        <v>150</v>
      </c>
      <c r="EH204" s="450" t="s">
        <v>2144</v>
      </c>
      <c r="EI204" s="450" t="s">
        <v>13710</v>
      </c>
      <c r="EJ204" s="450" t="s">
        <v>13711</v>
      </c>
      <c r="EK204" s="450"/>
      <c r="EL204" s="450"/>
      <c r="EM204" s="450" t="s">
        <v>1624</v>
      </c>
      <c r="EN204" s="450">
        <v>14101</v>
      </c>
      <c r="EO204" s="369"/>
      <c r="EP204" s="369"/>
      <c r="EQ204" s="369"/>
    </row>
    <row r="205" spans="130:147" hidden="1">
      <c r="DZ205" s="450">
        <v>19656</v>
      </c>
      <c r="EA205" s="450" t="s">
        <v>7662</v>
      </c>
      <c r="EB205" s="450" t="s">
        <v>13712</v>
      </c>
      <c r="EC205" s="450" t="s">
        <v>13713</v>
      </c>
      <c r="ED205" s="372" t="s">
        <v>13774</v>
      </c>
      <c r="EE205" s="451" t="s">
        <v>13714</v>
      </c>
      <c r="EF205" s="450" t="s">
        <v>13715</v>
      </c>
      <c r="EG205" s="450">
        <v>50</v>
      </c>
      <c r="EH205" s="450" t="s">
        <v>13716</v>
      </c>
      <c r="EI205" s="450" t="s">
        <v>13717</v>
      </c>
      <c r="EJ205" s="450" t="s">
        <v>13718</v>
      </c>
      <c r="EK205" s="450"/>
      <c r="EL205" s="450"/>
      <c r="EM205" s="450" t="s">
        <v>7010</v>
      </c>
      <c r="EN205" s="450">
        <v>14094</v>
      </c>
      <c r="EO205" s="369"/>
      <c r="EP205" s="369"/>
      <c r="EQ205" s="369"/>
    </row>
    <row r="206" spans="130:147" hidden="1">
      <c r="DZ206" s="447">
        <v>19657</v>
      </c>
      <c r="EA206" s="447" t="s">
        <v>13788</v>
      </c>
      <c r="EB206" s="447" t="s">
        <v>13793</v>
      </c>
      <c r="EC206" s="447" t="s">
        <v>1812</v>
      </c>
      <c r="ED206" s="447" t="s">
        <v>1813</v>
      </c>
      <c r="EE206" s="449" t="s">
        <v>13794</v>
      </c>
      <c r="EF206" s="447" t="s">
        <v>13726</v>
      </c>
      <c r="EG206" s="447">
        <v>240</v>
      </c>
      <c r="EH206" s="447" t="s">
        <v>13795</v>
      </c>
      <c r="EI206" s="371" t="s">
        <v>13796</v>
      </c>
      <c r="EJ206" s="373">
        <v>8275250</v>
      </c>
      <c r="EK206" s="447"/>
      <c r="EL206" s="447"/>
      <c r="EM206" s="372" t="s">
        <v>14767</v>
      </c>
      <c r="EN206" s="371">
        <v>14132</v>
      </c>
      <c r="EO206" s="369"/>
      <c r="EP206" s="369"/>
      <c r="EQ206" s="369"/>
    </row>
    <row r="207" spans="130:147" hidden="1">
      <c r="DZ207" s="372">
        <v>19658</v>
      </c>
      <c r="EA207" s="372" t="s">
        <v>1484</v>
      </c>
      <c r="EB207" s="372" t="s">
        <v>2282</v>
      </c>
      <c r="EC207" s="372" t="s">
        <v>1640</v>
      </c>
      <c r="ED207" s="372" t="s">
        <v>1641</v>
      </c>
      <c r="EE207" s="372" t="s">
        <v>14223</v>
      </c>
      <c r="EF207" s="372" t="s">
        <v>2283</v>
      </c>
      <c r="EG207" s="372" t="s">
        <v>46</v>
      </c>
      <c r="EH207" s="372" t="s">
        <v>1856</v>
      </c>
      <c r="EI207" s="372" t="s">
        <v>2284</v>
      </c>
      <c r="EJ207" s="372" t="s">
        <v>2285</v>
      </c>
      <c r="EK207" s="372" t="s">
        <v>14224</v>
      </c>
      <c r="EL207" s="372" t="s">
        <v>2286</v>
      </c>
      <c r="EM207" s="372" t="s">
        <v>1633</v>
      </c>
      <c r="EN207" s="372">
        <v>9463</v>
      </c>
      <c r="EO207" s="369"/>
      <c r="EP207" s="369"/>
      <c r="EQ207" s="369"/>
    </row>
    <row r="208" spans="130:147" hidden="1">
      <c r="DZ208" s="450">
        <v>19659</v>
      </c>
      <c r="EA208" s="450" t="s">
        <v>13725</v>
      </c>
      <c r="EB208" s="450" t="s">
        <v>3167</v>
      </c>
      <c r="EC208" s="450" t="s">
        <v>13719</v>
      </c>
      <c r="ED208" s="447" t="s">
        <v>13771</v>
      </c>
      <c r="EE208" s="451" t="s">
        <v>13724</v>
      </c>
      <c r="EF208" s="450" t="s">
        <v>13720</v>
      </c>
      <c r="EG208" s="450">
        <v>141</v>
      </c>
      <c r="EH208" s="450" t="s">
        <v>13721</v>
      </c>
      <c r="EI208" s="450" t="s">
        <v>13722</v>
      </c>
      <c r="EJ208" s="450" t="s">
        <v>13723</v>
      </c>
      <c r="EK208" s="450"/>
      <c r="EL208" s="450"/>
      <c r="EM208" s="372" t="s">
        <v>1669</v>
      </c>
      <c r="EN208" s="450">
        <v>14127</v>
      </c>
      <c r="EO208" s="369"/>
      <c r="EP208" s="369"/>
      <c r="EQ208" s="369"/>
    </row>
    <row r="209" spans="130:147" hidden="1">
      <c r="DZ209" s="447">
        <v>19661</v>
      </c>
      <c r="EA209" s="447" t="s">
        <v>13788</v>
      </c>
      <c r="EB209" s="447" t="s">
        <v>2196</v>
      </c>
      <c r="EC209" s="447" t="s">
        <v>1626</v>
      </c>
      <c r="ED209" s="447" t="s">
        <v>13763</v>
      </c>
      <c r="EE209" s="449" t="s">
        <v>13742</v>
      </c>
      <c r="EF209" s="447" t="s">
        <v>13744</v>
      </c>
      <c r="EG209" s="447">
        <v>167</v>
      </c>
      <c r="EH209" s="447" t="s">
        <v>13743</v>
      </c>
      <c r="EI209" s="371" t="s">
        <v>13745</v>
      </c>
      <c r="EJ209" s="373"/>
      <c r="EK209" s="447"/>
      <c r="EL209" s="447"/>
      <c r="EM209" s="447" t="s">
        <v>1633</v>
      </c>
      <c r="EN209" s="371">
        <v>14183</v>
      </c>
      <c r="EO209" s="369"/>
      <c r="EP209" s="369"/>
      <c r="EQ209" s="369"/>
    </row>
    <row r="210" spans="130:147" hidden="1">
      <c r="DZ210" s="447">
        <v>19662</v>
      </c>
      <c r="EA210" s="447" t="s">
        <v>13788</v>
      </c>
      <c r="EB210" s="447" t="s">
        <v>1707</v>
      </c>
      <c r="EC210" s="447" t="s">
        <v>1707</v>
      </c>
      <c r="ED210" s="447" t="s">
        <v>13799</v>
      </c>
      <c r="EE210" s="447"/>
      <c r="EF210" s="447" t="s">
        <v>13737</v>
      </c>
      <c r="EG210" s="447">
        <v>170</v>
      </c>
      <c r="EH210" s="447" t="s">
        <v>13738</v>
      </c>
      <c r="EI210" s="371" t="s">
        <v>13800</v>
      </c>
      <c r="EJ210" s="373">
        <v>8021580</v>
      </c>
      <c r="EK210" s="447"/>
      <c r="EL210" s="447"/>
      <c r="EM210" s="372" t="s">
        <v>1633</v>
      </c>
      <c r="EN210" s="371">
        <v>14179</v>
      </c>
      <c r="EO210" s="369"/>
      <c r="EP210" s="369"/>
      <c r="EQ210" s="369"/>
    </row>
    <row r="211" spans="130:147" hidden="1">
      <c r="DZ211" s="372">
        <v>19663</v>
      </c>
      <c r="EA211" s="372" t="s">
        <v>13725</v>
      </c>
      <c r="EB211" s="372" t="s">
        <v>13783</v>
      </c>
      <c r="EC211" s="372" t="s">
        <v>13777</v>
      </c>
      <c r="ED211" s="372" t="s">
        <v>13778</v>
      </c>
      <c r="EE211" s="372"/>
      <c r="EF211" s="372" t="s">
        <v>13784</v>
      </c>
      <c r="EG211" s="372">
        <v>92</v>
      </c>
      <c r="EH211" s="372" t="s">
        <v>13785</v>
      </c>
      <c r="EI211" s="372" t="s">
        <v>13786</v>
      </c>
      <c r="EJ211" s="372" t="s">
        <v>13787</v>
      </c>
      <c r="EK211" s="372"/>
      <c r="EL211" s="372"/>
      <c r="EM211" s="372" t="s">
        <v>1633</v>
      </c>
      <c r="EN211" s="372">
        <v>14191</v>
      </c>
      <c r="EO211" s="369"/>
      <c r="EP211" s="369"/>
      <c r="EQ211" s="369"/>
    </row>
    <row r="212" spans="130:147" hidden="1">
      <c r="DZ212" s="372">
        <v>19664</v>
      </c>
      <c r="EA212" s="372" t="s">
        <v>13725</v>
      </c>
      <c r="EB212" s="372" t="s">
        <v>13776</v>
      </c>
      <c r="EC212" s="372" t="s">
        <v>13777</v>
      </c>
      <c r="ED212" s="372" t="s">
        <v>13778</v>
      </c>
      <c r="EE212" s="372"/>
      <c r="EF212" s="372" t="s">
        <v>13779</v>
      </c>
      <c r="EG212" s="372">
        <v>240</v>
      </c>
      <c r="EH212" s="372" t="s">
        <v>13780</v>
      </c>
      <c r="EI212" s="372" t="s">
        <v>13781</v>
      </c>
      <c r="EJ212" s="372" t="s">
        <v>13782</v>
      </c>
      <c r="EK212" s="372"/>
      <c r="EL212" s="372"/>
      <c r="EM212" s="372" t="s">
        <v>1633</v>
      </c>
      <c r="EN212" s="372">
        <v>14192</v>
      </c>
      <c r="EO212" s="369"/>
      <c r="EP212" s="369"/>
      <c r="EQ212" s="369"/>
    </row>
    <row r="213" spans="130:147" hidden="1">
      <c r="DZ213" s="452">
        <v>19665</v>
      </c>
      <c r="EA213" s="372" t="s">
        <v>13725</v>
      </c>
      <c r="EB213" s="452" t="s">
        <v>13775</v>
      </c>
      <c r="EC213" s="452" t="s">
        <v>1640</v>
      </c>
      <c r="ED213" s="452" t="s">
        <v>1641</v>
      </c>
      <c r="EE213" s="452"/>
      <c r="EF213" s="452" t="s">
        <v>13754</v>
      </c>
      <c r="EG213" s="452">
        <v>94</v>
      </c>
      <c r="EH213" s="452" t="s">
        <v>13755</v>
      </c>
      <c r="EI213" s="452" t="s">
        <v>13756</v>
      </c>
      <c r="EJ213" s="452" t="s">
        <v>13757</v>
      </c>
      <c r="EK213" s="452"/>
      <c r="EL213" s="452"/>
      <c r="EM213" s="452" t="s">
        <v>1633</v>
      </c>
      <c r="EN213" s="452">
        <v>14200</v>
      </c>
      <c r="EO213" s="369"/>
      <c r="EP213" s="369"/>
      <c r="EQ213" s="369"/>
    </row>
    <row r="214" spans="130:147" ht="15" hidden="1">
      <c r="DZ214" s="372">
        <v>19666</v>
      </c>
      <c r="EA214" s="372" t="s">
        <v>1484</v>
      </c>
      <c r="EB214" s="372" t="s">
        <v>14360</v>
      </c>
      <c r="EC214" s="372" t="s">
        <v>1820</v>
      </c>
      <c r="ED214" s="447" t="s">
        <v>13802</v>
      </c>
      <c r="EE214" s="372" t="s">
        <v>14361</v>
      </c>
      <c r="EF214" s="372" t="s">
        <v>2287</v>
      </c>
      <c r="EG214" s="372" t="s">
        <v>46</v>
      </c>
      <c r="EH214" s="372" t="s">
        <v>2288</v>
      </c>
      <c r="EI214" s="372" t="s">
        <v>2289</v>
      </c>
      <c r="EJ214" s="372" t="s">
        <v>2290</v>
      </c>
      <c r="EK214" s="372" t="s">
        <v>14362</v>
      </c>
      <c r="EL214" s="372" t="s">
        <v>2291</v>
      </c>
      <c r="EM214" t="s">
        <v>14769</v>
      </c>
      <c r="EN214" s="372">
        <v>9432</v>
      </c>
      <c r="EO214" s="369"/>
      <c r="EP214" s="370"/>
      <c r="EQ214" s="370"/>
    </row>
    <row r="215" spans="130:147" hidden="1">
      <c r="DZ215" s="447">
        <v>19667</v>
      </c>
      <c r="EA215" s="447" t="s">
        <v>13788</v>
      </c>
      <c r="EB215" s="447" t="s">
        <v>13789</v>
      </c>
      <c r="EC215" s="447" t="s">
        <v>1617</v>
      </c>
      <c r="ED215" s="447" t="s">
        <v>1618</v>
      </c>
      <c r="EE215" s="449" t="s">
        <v>13748</v>
      </c>
      <c r="EF215" s="447" t="s">
        <v>13749</v>
      </c>
      <c r="EG215" s="447">
        <v>100</v>
      </c>
      <c r="EH215" s="447" t="s">
        <v>13750</v>
      </c>
      <c r="EI215" s="371" t="s">
        <v>13790</v>
      </c>
      <c r="EJ215" s="373"/>
      <c r="EK215" s="447"/>
      <c r="EL215" s="447"/>
      <c r="EM215" s="447" t="s">
        <v>1624</v>
      </c>
      <c r="EN215" s="371">
        <v>14182</v>
      </c>
      <c r="EO215" s="369"/>
      <c r="EP215" s="369"/>
      <c r="EQ215" s="369"/>
    </row>
    <row r="216" spans="130:147" hidden="1">
      <c r="DZ216" s="447">
        <v>19668</v>
      </c>
      <c r="EA216" s="447" t="s">
        <v>13788</v>
      </c>
      <c r="EB216" s="447" t="s">
        <v>13791</v>
      </c>
      <c r="EC216" s="447" t="s">
        <v>1812</v>
      </c>
      <c r="ED216" s="447" t="s">
        <v>1813</v>
      </c>
      <c r="EE216" s="449" t="s">
        <v>13739</v>
      </c>
      <c r="EF216" s="447" t="s">
        <v>13740</v>
      </c>
      <c r="EG216" s="447">
        <v>194</v>
      </c>
      <c r="EH216" s="447" t="s">
        <v>13741</v>
      </c>
      <c r="EI216" s="371" t="s">
        <v>13792</v>
      </c>
      <c r="EJ216" s="373">
        <v>6420690</v>
      </c>
      <c r="EK216" s="447"/>
      <c r="EL216" s="447"/>
      <c r="EM216" s="372" t="s">
        <v>14767</v>
      </c>
      <c r="EN216" s="371">
        <v>14187</v>
      </c>
      <c r="EO216" s="369"/>
      <c r="EP216" s="369"/>
      <c r="EQ216" s="369"/>
    </row>
    <row r="217" spans="130:147" ht="15" hidden="1">
      <c r="DZ217" s="447">
        <v>19669</v>
      </c>
      <c r="EA217" s="447" t="s">
        <v>13788</v>
      </c>
      <c r="EB217" s="447" t="s">
        <v>13801</v>
      </c>
      <c r="EC217" s="447" t="s">
        <v>1820</v>
      </c>
      <c r="ED217" s="447" t="s">
        <v>13802</v>
      </c>
      <c r="EE217" s="447"/>
      <c r="EF217" s="447" t="s">
        <v>13746</v>
      </c>
      <c r="EG217" s="447">
        <v>166</v>
      </c>
      <c r="EH217" s="447" t="s">
        <v>13747</v>
      </c>
      <c r="EI217" s="371" t="s">
        <v>13803</v>
      </c>
      <c r="EJ217" s="373"/>
      <c r="EK217" s="447"/>
      <c r="EL217" s="447"/>
      <c r="EM217" t="s">
        <v>14769</v>
      </c>
      <c r="EN217" s="371">
        <v>14185</v>
      </c>
      <c r="EO217" s="369"/>
      <c r="EP217" s="369"/>
      <c r="EQ217" s="369"/>
    </row>
    <row r="218" spans="130:147" ht="15" hidden="1">
      <c r="DZ218" s="447">
        <v>19670</v>
      </c>
      <c r="EA218" s="447" t="s">
        <v>13788</v>
      </c>
      <c r="EB218" s="447" t="s">
        <v>13804</v>
      </c>
      <c r="EC218" s="447" t="s">
        <v>1820</v>
      </c>
      <c r="ED218" s="447" t="s">
        <v>13802</v>
      </c>
      <c r="EE218" s="447"/>
      <c r="EF218" s="447" t="s">
        <v>13805</v>
      </c>
      <c r="EG218" s="447">
        <v>230</v>
      </c>
      <c r="EH218" s="447" t="s">
        <v>1823</v>
      </c>
      <c r="EI218" s="371" t="s">
        <v>13806</v>
      </c>
      <c r="EJ218" s="373"/>
      <c r="EK218" s="447"/>
      <c r="EL218" s="447"/>
      <c r="EM218" t="s">
        <v>14769</v>
      </c>
      <c r="EN218" s="371">
        <v>14186</v>
      </c>
      <c r="EO218" s="369"/>
      <c r="EP218" s="369"/>
      <c r="EQ218" s="369"/>
    </row>
    <row r="219" spans="130:147" ht="112" hidden="1">
      <c r="DZ219" s="477">
        <v>19671</v>
      </c>
      <c r="EA219" s="371" t="s">
        <v>13788</v>
      </c>
      <c r="EB219" s="453" t="s">
        <v>13797</v>
      </c>
      <c r="EC219" s="454" t="s">
        <v>1640</v>
      </c>
      <c r="ED219" s="454" t="s">
        <v>1641</v>
      </c>
      <c r="EE219" s="455" t="s">
        <v>13730</v>
      </c>
      <c r="EF219" s="371" t="s">
        <v>13731</v>
      </c>
      <c r="EG219" s="371">
        <v>100</v>
      </c>
      <c r="EH219" s="454" t="s">
        <v>13732</v>
      </c>
      <c r="EI219" s="371" t="s">
        <v>13798</v>
      </c>
      <c r="EJ219" s="373">
        <v>2169030</v>
      </c>
      <c r="EK219" s="454"/>
      <c r="EL219" s="454"/>
      <c r="EM219" s="371" t="s">
        <v>1633</v>
      </c>
      <c r="EN219" s="371">
        <v>14190</v>
      </c>
      <c r="EO219" s="369"/>
      <c r="EP219" s="369"/>
      <c r="EQ219" s="369"/>
    </row>
    <row r="220" spans="130:147" hidden="1">
      <c r="DZ220" s="447">
        <v>19675</v>
      </c>
      <c r="EA220" s="447" t="s">
        <v>1484</v>
      </c>
      <c r="EB220" s="447" t="s">
        <v>13758</v>
      </c>
      <c r="EC220" s="447" t="s">
        <v>1661</v>
      </c>
      <c r="ED220" s="447" t="s">
        <v>13771</v>
      </c>
      <c r="EE220" s="447"/>
      <c r="EF220" s="447" t="s">
        <v>13759</v>
      </c>
      <c r="EG220" s="447" t="s">
        <v>46</v>
      </c>
      <c r="EH220" s="447" t="s">
        <v>13760</v>
      </c>
      <c r="EI220" s="371"/>
      <c r="EJ220" s="373" t="s">
        <v>13761</v>
      </c>
      <c r="EK220" s="447"/>
      <c r="EL220" s="447"/>
      <c r="EM220" s="372" t="s">
        <v>1669</v>
      </c>
      <c r="EN220" s="371">
        <v>14211</v>
      </c>
      <c r="EO220" s="369"/>
      <c r="EP220" s="370"/>
      <c r="EQ220" s="370"/>
    </row>
    <row r="221" spans="130:147" hidden="1">
      <c r="DZ221" s="366">
        <v>19676</v>
      </c>
      <c r="EA221" s="58" t="s">
        <v>1484</v>
      </c>
      <c r="EB221" s="58" t="s">
        <v>14750</v>
      </c>
      <c r="EC221" s="58" t="s">
        <v>1661</v>
      </c>
      <c r="ED221" s="58" t="s">
        <v>13771</v>
      </c>
      <c r="EE221" s="482" t="s">
        <v>14751</v>
      </c>
      <c r="EF221" s="58" t="s">
        <v>14752</v>
      </c>
      <c r="EG221" s="58">
        <v>285</v>
      </c>
      <c r="EH221" s="58" t="s">
        <v>14753</v>
      </c>
      <c r="EI221" s="58" t="s">
        <v>14754</v>
      </c>
      <c r="EJ221" s="58" t="s">
        <v>14755</v>
      </c>
      <c r="EM221" s="58" t="s">
        <v>1669</v>
      </c>
      <c r="EN221" s="58">
        <v>14514</v>
      </c>
      <c r="EO221" s="369"/>
      <c r="EP221" s="369"/>
      <c r="EQ221" s="369"/>
    </row>
    <row r="222" spans="130:147" hidden="1">
      <c r="DZ222" s="58">
        <v>19678</v>
      </c>
      <c r="EA222" s="58" t="s">
        <v>1484</v>
      </c>
      <c r="EB222" s="58" t="s">
        <v>14773</v>
      </c>
      <c r="EC222" s="58" t="s">
        <v>1617</v>
      </c>
      <c r="ED222" s="58" t="s">
        <v>1618</v>
      </c>
      <c r="EE222" s="482" t="s">
        <v>14772</v>
      </c>
      <c r="EF222" s="58" t="s">
        <v>14774</v>
      </c>
      <c r="EG222" s="58" t="s">
        <v>46</v>
      </c>
      <c r="EH222" s="58" t="s">
        <v>14775</v>
      </c>
      <c r="EI222" s="58" t="s">
        <v>14783</v>
      </c>
      <c r="EJ222" s="58" t="s">
        <v>14776</v>
      </c>
      <c r="EL222" s="58" t="s">
        <v>14777</v>
      </c>
      <c r="EM222" s="58" t="s">
        <v>1624</v>
      </c>
      <c r="EN222" s="58">
        <v>14533</v>
      </c>
      <c r="EQ222" s="369"/>
    </row>
    <row r="223" spans="130:147" hidden="1">
      <c r="DZ223" s="58">
        <v>19679</v>
      </c>
      <c r="EA223" s="58" t="s">
        <v>1484</v>
      </c>
      <c r="EB223" s="58" t="s">
        <v>14778</v>
      </c>
      <c r="EC223" s="58" t="s">
        <v>1486</v>
      </c>
      <c r="ED223" s="58" t="s">
        <v>161</v>
      </c>
      <c r="EE223" s="482" t="s">
        <v>14779</v>
      </c>
      <c r="EF223" s="58" t="s">
        <v>14780</v>
      </c>
      <c r="EG223" s="58">
        <v>173</v>
      </c>
      <c r="EH223" s="58" t="s">
        <v>14781</v>
      </c>
      <c r="EI223" s="58" t="s">
        <v>14782</v>
      </c>
      <c r="EJ223" s="58" t="s">
        <v>14784</v>
      </c>
      <c r="EM223" s="58" t="s">
        <v>1669</v>
      </c>
      <c r="EN223" s="58">
        <v>14532</v>
      </c>
      <c r="EQ223" s="369"/>
    </row>
    <row r="224" spans="130:147" hidden="1">
      <c r="DZ224" s="58">
        <v>19680</v>
      </c>
      <c r="EA224" s="58" t="s">
        <v>1484</v>
      </c>
      <c r="EB224" s="58" t="s">
        <v>14785</v>
      </c>
      <c r="EC224" s="58" t="s">
        <v>1617</v>
      </c>
      <c r="ED224" s="58" t="s">
        <v>1618</v>
      </c>
      <c r="EE224" s="482" t="s">
        <v>14786</v>
      </c>
      <c r="EF224" s="58" t="s">
        <v>3416</v>
      </c>
      <c r="EG224" s="58">
        <v>60</v>
      </c>
      <c r="EH224" s="58" t="s">
        <v>1997</v>
      </c>
      <c r="EI224" s="58" t="s">
        <v>14787</v>
      </c>
      <c r="EJ224" s="58" t="s">
        <v>14788</v>
      </c>
      <c r="EK224" s="58" t="s">
        <v>14789</v>
      </c>
      <c r="EM224" s="58" t="s">
        <v>1624</v>
      </c>
      <c r="EN224" s="58">
        <v>14534</v>
      </c>
      <c r="EP224" s="369"/>
      <c r="EQ224" s="369"/>
    </row>
    <row r="225" spans="130:147" hidden="1">
      <c r="DZ225" s="372">
        <v>19682</v>
      </c>
      <c r="EA225" s="372" t="s">
        <v>1484</v>
      </c>
      <c r="EB225" s="372" t="s">
        <v>1561</v>
      </c>
      <c r="EC225" s="372" t="s">
        <v>1486</v>
      </c>
      <c r="ED225" s="372" t="s">
        <v>161</v>
      </c>
      <c r="EE225" s="372" t="s">
        <v>13892</v>
      </c>
      <c r="EF225" s="372" t="s">
        <v>1562</v>
      </c>
      <c r="EG225" s="372" t="s">
        <v>46</v>
      </c>
      <c r="EH225" s="372" t="s">
        <v>1497</v>
      </c>
      <c r="EI225" s="372" t="s">
        <v>1563</v>
      </c>
      <c r="EJ225" s="372" t="s">
        <v>2292</v>
      </c>
      <c r="EK225" s="372" t="s">
        <v>13893</v>
      </c>
      <c r="EL225" s="372"/>
      <c r="EM225" s="372" t="s">
        <v>1669</v>
      </c>
      <c r="EN225" s="372">
        <v>9427</v>
      </c>
      <c r="EO225" s="369"/>
      <c r="EP225" s="369"/>
      <c r="EQ225" s="369"/>
    </row>
    <row r="226" spans="130:147" hidden="1">
      <c r="DZ226" s="372">
        <v>90344</v>
      </c>
      <c r="EA226" s="447" t="s">
        <v>1484</v>
      </c>
      <c r="EB226" s="372" t="s">
        <v>14504</v>
      </c>
      <c r="EC226" s="372" t="s">
        <v>13777</v>
      </c>
      <c r="ED226" s="371" t="s">
        <v>13778</v>
      </c>
      <c r="EE226" s="449" t="s">
        <v>14505</v>
      </c>
      <c r="EF226" s="371" t="s">
        <v>14506</v>
      </c>
      <c r="EG226" s="371">
        <v>485</v>
      </c>
      <c r="EH226" s="462" t="s">
        <v>14466</v>
      </c>
      <c r="EI226" s="371" t="str">
        <f t="shared" ref="EI226:EI233" si="57">EF226&amp;", "&amp;EG226&amp;" - "&amp;EH226</f>
        <v>RUA SALDANHA DA GAMA, 485 - ALTO DA LAPA</v>
      </c>
      <c r="EJ226" s="463">
        <v>5081000</v>
      </c>
      <c r="EK226" s="447" t="s">
        <v>14507</v>
      </c>
      <c r="EL226" s="447"/>
      <c r="EM226" s="372" t="s">
        <v>1633</v>
      </c>
      <c r="EN226" s="372">
        <v>11299</v>
      </c>
      <c r="EO226" s="369"/>
      <c r="EP226" s="369"/>
      <c r="EQ226" s="369"/>
    </row>
    <row r="227" spans="130:147" hidden="1">
      <c r="DZ227" s="372">
        <v>90352</v>
      </c>
      <c r="EA227" s="447" t="s">
        <v>1484</v>
      </c>
      <c r="EB227" s="372" t="s">
        <v>14463</v>
      </c>
      <c r="EC227" s="372" t="s">
        <v>13777</v>
      </c>
      <c r="ED227" s="371" t="s">
        <v>13778</v>
      </c>
      <c r="EE227" s="447" t="s">
        <v>14464</v>
      </c>
      <c r="EF227" s="371" t="s">
        <v>14465</v>
      </c>
      <c r="EG227" s="371" t="s">
        <v>46</v>
      </c>
      <c r="EH227" s="462" t="s">
        <v>14466</v>
      </c>
      <c r="EI227" s="371" t="str">
        <f t="shared" si="57"/>
        <v>RUA PERIBEBUE, S/N - ALTO DA LAPA</v>
      </c>
      <c r="EJ227" s="463">
        <v>5084000</v>
      </c>
      <c r="EK227" s="447" t="s">
        <v>14467</v>
      </c>
      <c r="EL227" s="447"/>
      <c r="EM227" s="372" t="s">
        <v>1633</v>
      </c>
      <c r="EN227" s="372">
        <v>11223</v>
      </c>
      <c r="EO227" s="369"/>
      <c r="EP227" s="369"/>
      <c r="EQ227" s="369"/>
    </row>
    <row r="228" spans="130:147" hidden="1">
      <c r="DZ228" s="372">
        <v>90361</v>
      </c>
      <c r="EA228" s="447" t="s">
        <v>1484</v>
      </c>
      <c r="EB228" s="372" t="s">
        <v>14606</v>
      </c>
      <c r="EC228" s="372" t="s">
        <v>13777</v>
      </c>
      <c r="ED228" s="371" t="s">
        <v>13778</v>
      </c>
      <c r="EE228" s="447" t="s">
        <v>14607</v>
      </c>
      <c r="EF228" s="371" t="s">
        <v>14608</v>
      </c>
      <c r="EG228" s="371">
        <v>148</v>
      </c>
      <c r="EH228" s="462" t="s">
        <v>14609</v>
      </c>
      <c r="EI228" s="371" t="str">
        <f t="shared" si="57"/>
        <v>RUA CAIAPOS, 148 - VILA ANASTACIO</v>
      </c>
      <c r="EJ228" s="463">
        <v>5094000</v>
      </c>
      <c r="EK228" s="447" t="s">
        <v>14610</v>
      </c>
      <c r="EL228" s="447"/>
      <c r="EM228" s="372" t="s">
        <v>1633</v>
      </c>
      <c r="EN228" s="372">
        <v>11303</v>
      </c>
      <c r="EO228" s="369"/>
      <c r="EP228" s="369"/>
      <c r="EQ228" s="398"/>
    </row>
    <row r="229" spans="130:147" hidden="1">
      <c r="DZ229" s="372">
        <v>90379</v>
      </c>
      <c r="EA229" s="447" t="s">
        <v>1484</v>
      </c>
      <c r="EB229" s="372" t="s">
        <v>14597</v>
      </c>
      <c r="EC229" s="372" t="s">
        <v>13777</v>
      </c>
      <c r="ED229" s="371" t="s">
        <v>13778</v>
      </c>
      <c r="EE229" s="447" t="s">
        <v>14598</v>
      </c>
      <c r="EF229" s="371" t="s">
        <v>14599</v>
      </c>
      <c r="EG229" s="371" t="s">
        <v>46</v>
      </c>
      <c r="EH229" s="462" t="s">
        <v>14600</v>
      </c>
      <c r="EI229" s="371" t="str">
        <f t="shared" si="57"/>
        <v>LARGO DA LAPA, S/N - LAPA DE BAIXO</v>
      </c>
      <c r="EJ229" s="463">
        <v>5069030</v>
      </c>
      <c r="EK229" s="447" t="s">
        <v>14601</v>
      </c>
      <c r="EL229" s="447"/>
      <c r="EM229" s="372" t="s">
        <v>1633</v>
      </c>
      <c r="EN229" s="372">
        <v>11302</v>
      </c>
      <c r="EO229" s="369"/>
      <c r="EP229" s="369"/>
      <c r="EQ229" s="369"/>
    </row>
    <row r="230" spans="130:147" hidden="1">
      <c r="DZ230" s="372">
        <v>90387</v>
      </c>
      <c r="EA230" s="447" t="s">
        <v>1484</v>
      </c>
      <c r="EB230" s="372" t="s">
        <v>14619</v>
      </c>
      <c r="EC230" s="372" t="s">
        <v>13777</v>
      </c>
      <c r="ED230" s="371" t="s">
        <v>13778</v>
      </c>
      <c r="EE230" s="447" t="s">
        <v>14620</v>
      </c>
      <c r="EF230" s="371" t="s">
        <v>14621</v>
      </c>
      <c r="EG230" s="371" t="s">
        <v>46</v>
      </c>
      <c r="EH230" s="462" t="s">
        <v>14622</v>
      </c>
      <c r="EI230" s="371" t="str">
        <f t="shared" si="57"/>
        <v>PRACA TCHECO, S/N - VILA IPOJUCA</v>
      </c>
      <c r="EJ230" s="463">
        <v>5057080</v>
      </c>
      <c r="EK230" s="447" t="s">
        <v>14623</v>
      </c>
      <c r="EL230" s="447"/>
      <c r="EM230" s="372" t="s">
        <v>1633</v>
      </c>
      <c r="EN230" s="372">
        <v>11225</v>
      </c>
      <c r="EO230" s="369"/>
      <c r="EP230" s="398"/>
      <c r="EQ230" s="369"/>
    </row>
    <row r="231" spans="130:147" hidden="1">
      <c r="DZ231" s="372">
        <v>90395</v>
      </c>
      <c r="EA231" s="447" t="s">
        <v>1484</v>
      </c>
      <c r="EB231" s="372" t="s">
        <v>14573</v>
      </c>
      <c r="EC231" s="372" t="s">
        <v>13777</v>
      </c>
      <c r="ED231" s="371" t="s">
        <v>13778</v>
      </c>
      <c r="EE231" s="447" t="s">
        <v>14574</v>
      </c>
      <c r="EF231" s="371" t="s">
        <v>14575</v>
      </c>
      <c r="EG231" s="371">
        <v>470</v>
      </c>
      <c r="EH231" s="462" t="s">
        <v>14525</v>
      </c>
      <c r="EI231" s="371" t="str">
        <f t="shared" si="57"/>
        <v>RUA JARICUNAS, 470 - VILA ROMANA</v>
      </c>
      <c r="EJ231" s="463">
        <v>5053070</v>
      </c>
      <c r="EK231" s="447" t="s">
        <v>14576</v>
      </c>
      <c r="EL231" s="447"/>
      <c r="EM231" s="372" t="s">
        <v>1633</v>
      </c>
      <c r="EN231" s="372">
        <v>11301</v>
      </c>
      <c r="EO231" s="398"/>
      <c r="EP231" s="369"/>
      <c r="EQ231" s="369"/>
    </row>
    <row r="232" spans="130:147" hidden="1">
      <c r="DZ232" s="372">
        <v>90409</v>
      </c>
      <c r="EA232" s="447" t="s">
        <v>1484</v>
      </c>
      <c r="EB232" s="372" t="s">
        <v>14522</v>
      </c>
      <c r="EC232" s="372" t="s">
        <v>13777</v>
      </c>
      <c r="ED232" s="371" t="s">
        <v>13778</v>
      </c>
      <c r="EE232" s="447" t="s">
        <v>14523</v>
      </c>
      <c r="EF232" s="371" t="s">
        <v>14524</v>
      </c>
      <c r="EG232" s="371" t="s">
        <v>46</v>
      </c>
      <c r="EH232" s="462" t="s">
        <v>14525</v>
      </c>
      <c r="EI232" s="371" t="str">
        <f t="shared" si="57"/>
        <v>ALFREDO WEISZFLOG, S/N - VILA ROMANA</v>
      </c>
      <c r="EJ232" s="463">
        <v>5045050</v>
      </c>
      <c r="EK232" s="447" t="s">
        <v>14526</v>
      </c>
      <c r="EL232" s="447"/>
      <c r="EM232" s="372" t="s">
        <v>1633</v>
      </c>
      <c r="EN232" s="372">
        <v>11300</v>
      </c>
      <c r="EO232" s="369"/>
      <c r="EP232" s="369"/>
      <c r="EQ232" s="369"/>
    </row>
    <row r="233" spans="130:147" hidden="1">
      <c r="DZ233" s="372">
        <v>90417</v>
      </c>
      <c r="EA233" s="459" t="s">
        <v>1484</v>
      </c>
      <c r="EB233" s="372" t="s">
        <v>14629</v>
      </c>
      <c r="EC233" s="372" t="s">
        <v>13777</v>
      </c>
      <c r="ED233" s="405" t="s">
        <v>13778</v>
      </c>
      <c r="EE233" s="459" t="s">
        <v>14630</v>
      </c>
      <c r="EF233" s="405" t="s">
        <v>14631</v>
      </c>
      <c r="EG233" s="405">
        <v>250</v>
      </c>
      <c r="EH233" s="460" t="s">
        <v>14632</v>
      </c>
      <c r="EI233" s="405" t="str">
        <f t="shared" si="57"/>
        <v>RUA DIANA, 250 - PERDIZES</v>
      </c>
      <c r="EJ233" s="461">
        <v>5019000</v>
      </c>
      <c r="EK233" s="459" t="s">
        <v>14633</v>
      </c>
      <c r="EL233" s="447"/>
      <c r="EM233" s="372" t="s">
        <v>1633</v>
      </c>
      <c r="EN233" s="372">
        <v>11304</v>
      </c>
      <c r="EO233" s="369"/>
      <c r="EP233" s="369"/>
      <c r="EQ233" s="369"/>
    </row>
    <row r="234" spans="130:147" hidden="1">
      <c r="DZ234" s="372">
        <v>90425</v>
      </c>
      <c r="EA234" s="372" t="s">
        <v>1484</v>
      </c>
      <c r="EB234" s="372" t="s">
        <v>2293</v>
      </c>
      <c r="EC234" s="372" t="s">
        <v>1661</v>
      </c>
      <c r="ED234" s="447" t="s">
        <v>13771</v>
      </c>
      <c r="EE234" s="372" t="s">
        <v>14102</v>
      </c>
      <c r="EF234" s="372" t="s">
        <v>2294</v>
      </c>
      <c r="EG234" s="372">
        <v>257</v>
      </c>
      <c r="EH234" s="372" t="s">
        <v>2295</v>
      </c>
      <c r="EI234" s="372" t="s">
        <v>2296</v>
      </c>
      <c r="EJ234" s="372" t="s">
        <v>2297</v>
      </c>
      <c r="EK234" s="372" t="s">
        <v>14103</v>
      </c>
      <c r="EL234" s="372" t="s">
        <v>2298</v>
      </c>
      <c r="EM234" s="372" t="s">
        <v>1669</v>
      </c>
      <c r="EN234" s="372">
        <v>6610</v>
      </c>
      <c r="EO234" s="369"/>
      <c r="EP234" s="369"/>
      <c r="EQ234" s="369"/>
    </row>
    <row r="235" spans="130:147" hidden="1">
      <c r="DZ235" s="372">
        <v>90549</v>
      </c>
      <c r="EA235" s="372" t="s">
        <v>1484</v>
      </c>
      <c r="EB235" s="372" t="s">
        <v>1564</v>
      </c>
      <c r="EC235" s="372" t="s">
        <v>1486</v>
      </c>
      <c r="ED235" s="372" t="s">
        <v>161</v>
      </c>
      <c r="EE235" s="372" t="s">
        <v>13917</v>
      </c>
      <c r="EF235" s="372" t="s">
        <v>1565</v>
      </c>
      <c r="EG235" s="372">
        <v>25</v>
      </c>
      <c r="EH235" s="372" t="s">
        <v>1566</v>
      </c>
      <c r="EI235" s="372" t="s">
        <v>1567</v>
      </c>
      <c r="EJ235" s="372" t="s">
        <v>2299</v>
      </c>
      <c r="EK235" s="372" t="s">
        <v>13918</v>
      </c>
      <c r="EL235" s="372"/>
      <c r="EM235" s="372" t="s">
        <v>1669</v>
      </c>
      <c r="EN235" s="372">
        <v>6580</v>
      </c>
      <c r="EO235" s="369"/>
      <c r="EP235" s="369"/>
      <c r="EQ235" s="369"/>
    </row>
    <row r="236" spans="130:147" hidden="1">
      <c r="DZ236" s="372">
        <v>90557</v>
      </c>
      <c r="EA236" s="372" t="s">
        <v>1484</v>
      </c>
      <c r="EB236" s="372" t="s">
        <v>1568</v>
      </c>
      <c r="EC236" s="372" t="s">
        <v>1486</v>
      </c>
      <c r="ED236" s="372" t="s">
        <v>161</v>
      </c>
      <c r="EE236" s="372" t="s">
        <v>13868</v>
      </c>
      <c r="EF236" s="372" t="s">
        <v>1569</v>
      </c>
      <c r="EG236" s="372" t="s">
        <v>46</v>
      </c>
      <c r="EH236" s="372" t="s">
        <v>1570</v>
      </c>
      <c r="EI236" s="372" t="s">
        <v>1571</v>
      </c>
      <c r="EJ236" s="372" t="s">
        <v>2300</v>
      </c>
      <c r="EK236" s="372" t="s">
        <v>13869</v>
      </c>
      <c r="EL236" s="372"/>
      <c r="EM236" s="372" t="s">
        <v>1669</v>
      </c>
      <c r="EN236" s="372">
        <v>6581</v>
      </c>
      <c r="EO236" s="369"/>
      <c r="EP236" s="369"/>
      <c r="EQ236" s="369"/>
    </row>
    <row r="237" spans="130:147" hidden="1">
      <c r="DZ237" s="372">
        <v>90565</v>
      </c>
      <c r="EA237" s="372" t="s">
        <v>1484</v>
      </c>
      <c r="EB237" s="372" t="s">
        <v>1572</v>
      </c>
      <c r="EC237" s="372" t="s">
        <v>1486</v>
      </c>
      <c r="ED237" s="372" t="s">
        <v>161</v>
      </c>
      <c r="EE237" s="372" t="s">
        <v>13870</v>
      </c>
      <c r="EF237" s="372" t="s">
        <v>1573</v>
      </c>
      <c r="EG237" s="372">
        <v>93</v>
      </c>
      <c r="EH237" s="372" t="s">
        <v>1574</v>
      </c>
      <c r="EI237" s="372" t="s">
        <v>1575</v>
      </c>
      <c r="EJ237" s="372" t="s">
        <v>2301</v>
      </c>
      <c r="EK237" s="372" t="s">
        <v>13871</v>
      </c>
      <c r="EL237" s="372"/>
      <c r="EM237" s="372" t="s">
        <v>1669</v>
      </c>
      <c r="EN237" s="372">
        <v>6582</v>
      </c>
      <c r="EO237" s="369"/>
      <c r="EP237" s="369"/>
      <c r="EQ237" s="369"/>
    </row>
    <row r="238" spans="130:147" hidden="1">
      <c r="DZ238" s="372">
        <v>90573</v>
      </c>
      <c r="EA238" s="372" t="s">
        <v>1484</v>
      </c>
      <c r="EB238" s="372" t="s">
        <v>1576</v>
      </c>
      <c r="EC238" s="372" t="s">
        <v>1486</v>
      </c>
      <c r="ED238" s="372" t="s">
        <v>161</v>
      </c>
      <c r="EE238" s="372" t="s">
        <v>13909</v>
      </c>
      <c r="EF238" s="372" t="s">
        <v>1577</v>
      </c>
      <c r="EG238" s="372" t="s">
        <v>46</v>
      </c>
      <c r="EH238" s="372" t="s">
        <v>1515</v>
      </c>
      <c r="EI238" s="372" t="s">
        <v>1578</v>
      </c>
      <c r="EJ238" s="372" t="s">
        <v>2302</v>
      </c>
      <c r="EK238" s="372" t="s">
        <v>13910</v>
      </c>
      <c r="EL238" s="372"/>
      <c r="EM238" s="372" t="s">
        <v>1669</v>
      </c>
      <c r="EN238" s="372">
        <v>6583</v>
      </c>
      <c r="EO238" s="369"/>
      <c r="EP238" s="369"/>
      <c r="EQ238" s="369"/>
    </row>
    <row r="239" spans="130:147" hidden="1">
      <c r="DZ239" s="372">
        <v>90581</v>
      </c>
      <c r="EA239" s="372" t="s">
        <v>1484</v>
      </c>
      <c r="EB239" s="372" t="s">
        <v>1579</v>
      </c>
      <c r="EC239" s="372" t="s">
        <v>1486</v>
      </c>
      <c r="ED239" s="372" t="s">
        <v>161</v>
      </c>
      <c r="EE239" s="372" t="s">
        <v>13890</v>
      </c>
      <c r="EF239" s="372" t="s">
        <v>1580</v>
      </c>
      <c r="EG239" s="372">
        <v>88</v>
      </c>
      <c r="EH239" s="372" t="s">
        <v>1581</v>
      </c>
      <c r="EI239" s="372" t="s">
        <v>1582</v>
      </c>
      <c r="EJ239" s="372" t="s">
        <v>2303</v>
      </c>
      <c r="EK239" s="372" t="s">
        <v>13891</v>
      </c>
      <c r="EL239" s="372"/>
      <c r="EM239" s="372" t="s">
        <v>1669</v>
      </c>
      <c r="EN239" s="372">
        <v>6584</v>
      </c>
      <c r="EO239" s="369"/>
      <c r="EP239" s="369"/>
      <c r="EQ239" s="369"/>
    </row>
    <row r="240" spans="130:147" hidden="1">
      <c r="DZ240" s="372">
        <v>90590</v>
      </c>
      <c r="EA240" s="372" t="s">
        <v>1484</v>
      </c>
      <c r="EB240" s="372" t="s">
        <v>1583</v>
      </c>
      <c r="EC240" s="372" t="s">
        <v>1486</v>
      </c>
      <c r="ED240" s="372" t="s">
        <v>161</v>
      </c>
      <c r="EE240" s="372" t="s">
        <v>13861</v>
      </c>
      <c r="EF240" s="372" t="s">
        <v>1584</v>
      </c>
      <c r="EG240" s="372">
        <v>290</v>
      </c>
      <c r="EH240" s="372" t="s">
        <v>1533</v>
      </c>
      <c r="EI240" s="372" t="s">
        <v>1585</v>
      </c>
      <c r="EJ240" s="372" t="s">
        <v>2304</v>
      </c>
      <c r="EK240" s="372" t="s">
        <v>13862</v>
      </c>
      <c r="EL240" s="372"/>
      <c r="EM240" s="372" t="s">
        <v>1669</v>
      </c>
      <c r="EN240" s="372">
        <v>6585</v>
      </c>
      <c r="EO240" s="369"/>
      <c r="EP240" s="369"/>
      <c r="EQ240" s="369"/>
    </row>
    <row r="241" spans="130:147" hidden="1">
      <c r="DZ241" s="372">
        <v>90603</v>
      </c>
      <c r="EA241" s="372" t="s">
        <v>1484</v>
      </c>
      <c r="EB241" s="372" t="s">
        <v>1586</v>
      </c>
      <c r="EC241" s="372" t="s">
        <v>1486</v>
      </c>
      <c r="ED241" s="372" t="s">
        <v>161</v>
      </c>
      <c r="EE241" s="372" t="s">
        <v>13919</v>
      </c>
      <c r="EF241" s="372" t="s">
        <v>1587</v>
      </c>
      <c r="EG241" s="372">
        <v>225</v>
      </c>
      <c r="EH241" s="372" t="s">
        <v>1588</v>
      </c>
      <c r="EI241" s="372" t="s">
        <v>1589</v>
      </c>
      <c r="EJ241" s="372" t="s">
        <v>2305</v>
      </c>
      <c r="EK241" s="372" t="s">
        <v>13920</v>
      </c>
      <c r="EL241" s="372"/>
      <c r="EM241" s="372" t="s">
        <v>1669</v>
      </c>
      <c r="EN241" s="372">
        <v>6586</v>
      </c>
      <c r="EO241" s="369"/>
      <c r="EP241" s="369"/>
      <c r="EQ241" s="369"/>
    </row>
    <row r="242" spans="130:147" hidden="1">
      <c r="DZ242" s="372">
        <v>90620</v>
      </c>
      <c r="EA242" s="372" t="s">
        <v>1484</v>
      </c>
      <c r="EB242" s="372" t="s">
        <v>1590</v>
      </c>
      <c r="EC242" s="372" t="s">
        <v>1486</v>
      </c>
      <c r="ED242" s="372" t="s">
        <v>161</v>
      </c>
      <c r="EE242" s="372" t="s">
        <v>13896</v>
      </c>
      <c r="EF242" s="372" t="s">
        <v>1591</v>
      </c>
      <c r="EG242" s="372">
        <v>318</v>
      </c>
      <c r="EH242" s="372" t="s">
        <v>1592</v>
      </c>
      <c r="EI242" s="372" t="s">
        <v>1593</v>
      </c>
      <c r="EJ242" s="372" t="s">
        <v>2306</v>
      </c>
      <c r="EK242" s="372" t="s">
        <v>13897</v>
      </c>
      <c r="EL242" s="372"/>
      <c r="EM242" s="372" t="s">
        <v>1669</v>
      </c>
      <c r="EN242" s="372">
        <v>6587</v>
      </c>
      <c r="EP242" s="369"/>
      <c r="EQ242" s="369"/>
    </row>
    <row r="243" spans="130:147" hidden="1">
      <c r="DZ243" s="372">
        <v>90638</v>
      </c>
      <c r="EA243" s="372" t="s">
        <v>1484</v>
      </c>
      <c r="EB243" s="372" t="s">
        <v>1594</v>
      </c>
      <c r="EC243" s="372" t="s">
        <v>1486</v>
      </c>
      <c r="ED243" s="372" t="s">
        <v>161</v>
      </c>
      <c r="EE243" s="372" t="s">
        <v>13911</v>
      </c>
      <c r="EF243" s="372" t="s">
        <v>1595</v>
      </c>
      <c r="EG243" s="372">
        <v>57</v>
      </c>
      <c r="EH243" s="372" t="s">
        <v>1596</v>
      </c>
      <c r="EI243" s="372" t="s">
        <v>1597</v>
      </c>
      <c r="EJ243" s="372" t="s">
        <v>2307</v>
      </c>
      <c r="EK243" s="372" t="s">
        <v>13912</v>
      </c>
      <c r="EL243" s="372"/>
      <c r="EM243" s="372" t="s">
        <v>1669</v>
      </c>
      <c r="EN243" s="372">
        <v>6588</v>
      </c>
      <c r="EP243" s="369"/>
      <c r="EQ243" s="369"/>
    </row>
    <row r="244" spans="130:147" hidden="1">
      <c r="DZ244" s="372">
        <v>90646</v>
      </c>
      <c r="EA244" s="372" t="s">
        <v>1484</v>
      </c>
      <c r="EB244" s="372" t="s">
        <v>1598</v>
      </c>
      <c r="EC244" s="372" t="s">
        <v>1486</v>
      </c>
      <c r="ED244" s="372" t="s">
        <v>161</v>
      </c>
      <c r="EE244" s="372" t="s">
        <v>13872</v>
      </c>
      <c r="EF244" s="372" t="s">
        <v>1599</v>
      </c>
      <c r="EG244" s="372">
        <v>104</v>
      </c>
      <c r="EH244" s="372" t="s">
        <v>1600</v>
      </c>
      <c r="EI244" s="372" t="s">
        <v>1601</v>
      </c>
      <c r="EJ244" s="372" t="s">
        <v>2084</v>
      </c>
      <c r="EK244" s="372" t="s">
        <v>13873</v>
      </c>
      <c r="EL244" s="372" t="s">
        <v>1602</v>
      </c>
      <c r="EM244" s="372" t="s">
        <v>1669</v>
      </c>
      <c r="EN244" s="372">
        <v>6589</v>
      </c>
      <c r="EO244" s="369"/>
      <c r="EP244" s="369"/>
      <c r="EQ244" s="369"/>
    </row>
    <row r="245" spans="130:147" hidden="1">
      <c r="DZ245" s="372">
        <v>90654</v>
      </c>
      <c r="EA245" s="372" t="s">
        <v>1484</v>
      </c>
      <c r="EB245" s="372" t="s">
        <v>2308</v>
      </c>
      <c r="EC245" s="372" t="s">
        <v>1812</v>
      </c>
      <c r="ED245" s="372" t="s">
        <v>1813</v>
      </c>
      <c r="EE245" s="372" t="s">
        <v>14184</v>
      </c>
      <c r="EF245" s="372" t="s">
        <v>2309</v>
      </c>
      <c r="EG245" s="372">
        <v>149</v>
      </c>
      <c r="EH245" s="372" t="s">
        <v>2310</v>
      </c>
      <c r="EI245" s="372" t="s">
        <v>2311</v>
      </c>
      <c r="EJ245" s="372" t="s">
        <v>2312</v>
      </c>
      <c r="EK245" s="372" t="s">
        <v>2313</v>
      </c>
      <c r="EL245" s="372" t="s">
        <v>2313</v>
      </c>
      <c r="EM245" s="372" t="s">
        <v>14767</v>
      </c>
      <c r="EN245" s="372">
        <v>6663</v>
      </c>
      <c r="EO245" s="369"/>
      <c r="EP245" s="369"/>
      <c r="EQ245" s="369"/>
    </row>
    <row r="246" spans="130:147" ht="15" hidden="1" customHeight="1">
      <c r="DZ246" s="372">
        <v>90662</v>
      </c>
      <c r="EA246" s="372" t="s">
        <v>1484</v>
      </c>
      <c r="EB246" s="372" t="s">
        <v>2314</v>
      </c>
      <c r="EC246" s="372" t="s">
        <v>1812</v>
      </c>
      <c r="ED246" s="372" t="s">
        <v>1813</v>
      </c>
      <c r="EE246" s="372" t="s">
        <v>14175</v>
      </c>
      <c r="EF246" s="372" t="s">
        <v>2315</v>
      </c>
      <c r="EG246" s="372">
        <v>263</v>
      </c>
      <c r="EH246" s="372" t="s">
        <v>2316</v>
      </c>
      <c r="EI246" s="372" t="s">
        <v>2317</v>
      </c>
      <c r="EJ246" s="372" t="s">
        <v>2318</v>
      </c>
      <c r="EK246" s="372" t="s">
        <v>2319</v>
      </c>
      <c r="EL246" s="372" t="s">
        <v>2319</v>
      </c>
      <c r="EM246" s="372" t="s">
        <v>14767</v>
      </c>
      <c r="EN246" s="372">
        <v>6630</v>
      </c>
      <c r="EO246" s="369"/>
      <c r="EP246" s="369"/>
      <c r="EQ246" s="369"/>
    </row>
    <row r="247" spans="130:147" ht="15" hidden="1">
      <c r="DZ247" s="372">
        <v>90671</v>
      </c>
      <c r="EA247" s="372" t="s">
        <v>1484</v>
      </c>
      <c r="EB247" s="372" t="s">
        <v>2320</v>
      </c>
      <c r="EC247" s="372" t="s">
        <v>1820</v>
      </c>
      <c r="ED247" s="447" t="s">
        <v>13802</v>
      </c>
      <c r="EE247" s="372" t="s">
        <v>2321</v>
      </c>
      <c r="EF247" s="372" t="s">
        <v>2322</v>
      </c>
      <c r="EG247" s="372">
        <v>44</v>
      </c>
      <c r="EH247" s="372" t="s">
        <v>2323</v>
      </c>
      <c r="EI247" s="372" t="s">
        <v>2324</v>
      </c>
      <c r="EJ247" s="372" t="s">
        <v>2325</v>
      </c>
      <c r="EK247" s="372" t="s">
        <v>14391</v>
      </c>
      <c r="EL247" s="372" t="s">
        <v>2326</v>
      </c>
      <c r="EM247" t="s">
        <v>14769</v>
      </c>
      <c r="EN247" s="372">
        <v>6666</v>
      </c>
      <c r="EO247" s="369"/>
      <c r="EP247" s="369"/>
      <c r="EQ247" s="369"/>
    </row>
    <row r="248" spans="130:147" ht="15" hidden="1">
      <c r="DZ248" s="372">
        <v>90689</v>
      </c>
      <c r="EA248" s="372" t="s">
        <v>1484</v>
      </c>
      <c r="EB248" s="372" t="s">
        <v>2327</v>
      </c>
      <c r="EC248" s="372" t="s">
        <v>1820</v>
      </c>
      <c r="ED248" s="447" t="s">
        <v>13802</v>
      </c>
      <c r="EE248" s="372" t="s">
        <v>14401</v>
      </c>
      <c r="EF248" s="372" t="s">
        <v>2328</v>
      </c>
      <c r="EG248" s="372">
        <v>644</v>
      </c>
      <c r="EH248" s="372" t="s">
        <v>2323</v>
      </c>
      <c r="EI248" s="372" t="s">
        <v>2329</v>
      </c>
      <c r="EJ248" s="372" t="s">
        <v>2330</v>
      </c>
      <c r="EK248" s="372" t="s">
        <v>14402</v>
      </c>
      <c r="EL248" s="372"/>
      <c r="EM248" t="s">
        <v>14769</v>
      </c>
      <c r="EN248" s="372">
        <v>6668</v>
      </c>
      <c r="EO248" s="369"/>
      <c r="EP248" s="369"/>
      <c r="EQ248" s="369"/>
    </row>
    <row r="249" spans="130:147" ht="15" hidden="1">
      <c r="DZ249" s="372">
        <v>90697</v>
      </c>
      <c r="EA249" s="372" t="s">
        <v>1484</v>
      </c>
      <c r="EB249" s="372" t="s">
        <v>2331</v>
      </c>
      <c r="EC249" s="372" t="s">
        <v>1820</v>
      </c>
      <c r="ED249" s="447" t="s">
        <v>13802</v>
      </c>
      <c r="EE249" s="372" t="s">
        <v>14416</v>
      </c>
      <c r="EF249" s="372" t="s">
        <v>2332</v>
      </c>
      <c r="EG249" s="372">
        <v>950</v>
      </c>
      <c r="EH249" s="372" t="s">
        <v>2323</v>
      </c>
      <c r="EI249" s="372" t="s">
        <v>2333</v>
      </c>
      <c r="EJ249" s="372" t="s">
        <v>2334</v>
      </c>
      <c r="EK249" s="372" t="s">
        <v>2335</v>
      </c>
      <c r="EL249" s="372" t="s">
        <v>2335</v>
      </c>
      <c r="EM249" t="s">
        <v>14769</v>
      </c>
      <c r="EN249" s="372">
        <v>6670</v>
      </c>
      <c r="EO249" s="369"/>
      <c r="EP249" s="369"/>
      <c r="EQ249" s="369"/>
    </row>
    <row r="250" spans="130:147" ht="15" hidden="1">
      <c r="DZ250" s="372">
        <v>90701</v>
      </c>
      <c r="EA250" s="372" t="s">
        <v>1484</v>
      </c>
      <c r="EB250" s="372" t="s">
        <v>2336</v>
      </c>
      <c r="EC250" s="372" t="s">
        <v>1820</v>
      </c>
      <c r="ED250" s="447" t="s">
        <v>13802</v>
      </c>
      <c r="EE250" s="372" t="s">
        <v>14376</v>
      </c>
      <c r="EF250" s="372" t="s">
        <v>2337</v>
      </c>
      <c r="EG250" s="372">
        <v>295</v>
      </c>
      <c r="EH250" s="372" t="s">
        <v>2338</v>
      </c>
      <c r="EI250" s="372" t="s">
        <v>2339</v>
      </c>
      <c r="EJ250" s="372" t="s">
        <v>2340</v>
      </c>
      <c r="EK250" s="372" t="s">
        <v>14377</v>
      </c>
      <c r="EL250" s="372" t="s">
        <v>2341</v>
      </c>
      <c r="EM250" t="s">
        <v>14769</v>
      </c>
      <c r="EN250" s="372">
        <v>6665</v>
      </c>
      <c r="EO250" s="369"/>
      <c r="EP250" s="369"/>
      <c r="EQ250" s="369"/>
    </row>
    <row r="251" spans="130:147" ht="15" hidden="1">
      <c r="DZ251" s="372">
        <v>90719</v>
      </c>
      <c r="EA251" s="372" t="s">
        <v>1484</v>
      </c>
      <c r="EB251" s="372" t="s">
        <v>2342</v>
      </c>
      <c r="EC251" s="372" t="s">
        <v>1820</v>
      </c>
      <c r="ED251" s="447" t="s">
        <v>13802</v>
      </c>
      <c r="EE251" s="372" t="s">
        <v>14392</v>
      </c>
      <c r="EF251" s="372" t="s">
        <v>2343</v>
      </c>
      <c r="EG251" s="372">
        <v>82</v>
      </c>
      <c r="EH251" s="372" t="s">
        <v>2323</v>
      </c>
      <c r="EI251" s="372" t="s">
        <v>2344</v>
      </c>
      <c r="EJ251" s="372" t="s">
        <v>2345</v>
      </c>
      <c r="EK251" s="372" t="s">
        <v>14393</v>
      </c>
      <c r="EL251" s="372" t="s">
        <v>2346</v>
      </c>
      <c r="EM251" t="s">
        <v>14769</v>
      </c>
      <c r="EN251" s="372">
        <v>6667</v>
      </c>
      <c r="EO251" s="369"/>
      <c r="EP251" s="369"/>
      <c r="EQ251" s="369"/>
    </row>
    <row r="252" spans="130:147" ht="12.75" hidden="1" customHeight="1">
      <c r="DZ252" s="372">
        <v>90727</v>
      </c>
      <c r="EA252" s="372" t="s">
        <v>1484</v>
      </c>
      <c r="EB252" s="372" t="s">
        <v>2347</v>
      </c>
      <c r="EC252" s="372" t="s">
        <v>1820</v>
      </c>
      <c r="ED252" s="447" t="s">
        <v>13802</v>
      </c>
      <c r="EE252" s="372" t="s">
        <v>14420</v>
      </c>
      <c r="EF252" s="372" t="s">
        <v>2348</v>
      </c>
      <c r="EG252" s="372">
        <v>349</v>
      </c>
      <c r="EH252" s="372" t="s">
        <v>2349</v>
      </c>
      <c r="EI252" s="372" t="s">
        <v>2350</v>
      </c>
      <c r="EJ252" s="372" t="s">
        <v>2351</v>
      </c>
      <c r="EK252" s="372" t="s">
        <v>14421</v>
      </c>
      <c r="EL252" s="372" t="s">
        <v>2352</v>
      </c>
      <c r="EM252" t="s">
        <v>14769</v>
      </c>
      <c r="EN252" s="372">
        <v>6676</v>
      </c>
      <c r="EO252" s="369"/>
      <c r="EP252" s="369"/>
      <c r="EQ252" s="369"/>
    </row>
    <row r="253" spans="130:147" hidden="1">
      <c r="DZ253" s="372">
        <v>90735</v>
      </c>
      <c r="EA253" s="372" t="s">
        <v>1484</v>
      </c>
      <c r="EB253" s="372" t="s">
        <v>2353</v>
      </c>
      <c r="EC253" s="372" t="s">
        <v>1812</v>
      </c>
      <c r="ED253" s="372" t="s">
        <v>1813</v>
      </c>
      <c r="EE253" s="372" t="s">
        <v>14165</v>
      </c>
      <c r="EF253" s="372" t="s">
        <v>2354</v>
      </c>
      <c r="EG253" s="372">
        <v>97</v>
      </c>
      <c r="EH253" s="372" t="s">
        <v>2355</v>
      </c>
      <c r="EI253" s="372" t="s">
        <v>2356</v>
      </c>
      <c r="EJ253" s="372" t="s">
        <v>2357</v>
      </c>
      <c r="EK253" s="372" t="s">
        <v>14166</v>
      </c>
      <c r="EL253" s="372" t="s">
        <v>2358</v>
      </c>
      <c r="EM253" s="372" t="s">
        <v>14767</v>
      </c>
      <c r="EN253" s="372">
        <v>6625</v>
      </c>
      <c r="EO253" s="369"/>
      <c r="EP253" s="369"/>
      <c r="EQ253" s="369"/>
    </row>
    <row r="254" spans="130:147" hidden="1">
      <c r="DZ254" s="372">
        <v>90743</v>
      </c>
      <c r="EA254" s="372" t="s">
        <v>1484</v>
      </c>
      <c r="EB254" s="372" t="s">
        <v>2359</v>
      </c>
      <c r="EC254" s="372" t="s">
        <v>1812</v>
      </c>
      <c r="ED254" s="372" t="s">
        <v>1813</v>
      </c>
      <c r="EE254" s="372" t="s">
        <v>14147</v>
      </c>
      <c r="EF254" s="372" t="s">
        <v>2360</v>
      </c>
      <c r="EG254" s="372">
        <v>354</v>
      </c>
      <c r="EH254" s="372" t="s">
        <v>1812</v>
      </c>
      <c r="EI254" s="372" t="s">
        <v>2361</v>
      </c>
      <c r="EJ254" s="372" t="s">
        <v>2362</v>
      </c>
      <c r="EK254" s="372" t="s">
        <v>2363</v>
      </c>
      <c r="EL254" s="372" t="s">
        <v>2363</v>
      </c>
      <c r="EM254" s="372" t="s">
        <v>14767</v>
      </c>
      <c r="EN254" s="372">
        <v>6631</v>
      </c>
      <c r="EO254" s="369"/>
      <c r="EP254" s="369"/>
      <c r="EQ254" s="369"/>
    </row>
    <row r="255" spans="130:147" hidden="1">
      <c r="DZ255" s="372">
        <v>90751</v>
      </c>
      <c r="EA255" s="372" t="s">
        <v>1484</v>
      </c>
      <c r="EB255" s="372" t="s">
        <v>2364</v>
      </c>
      <c r="EC255" s="372" t="s">
        <v>1812</v>
      </c>
      <c r="ED255" s="372" t="s">
        <v>1813</v>
      </c>
      <c r="EE255" s="372" t="s">
        <v>14139</v>
      </c>
      <c r="EF255" s="372" t="s">
        <v>2365</v>
      </c>
      <c r="EG255" s="372">
        <v>232</v>
      </c>
      <c r="EH255" s="372" t="s">
        <v>1812</v>
      </c>
      <c r="EI255" s="372" t="s">
        <v>2366</v>
      </c>
      <c r="EJ255" s="372" t="s">
        <v>2367</v>
      </c>
      <c r="EK255" s="372" t="s">
        <v>14140</v>
      </c>
      <c r="EL255" s="372" t="s">
        <v>2368</v>
      </c>
      <c r="EM255" s="372" t="s">
        <v>14767</v>
      </c>
      <c r="EN255" s="372">
        <v>6632</v>
      </c>
      <c r="EO255" s="369"/>
      <c r="EP255" s="369"/>
      <c r="EQ255" s="369"/>
    </row>
    <row r="256" spans="130:147" hidden="1">
      <c r="DZ256" s="372">
        <v>90760</v>
      </c>
      <c r="EA256" s="372" t="s">
        <v>1484</v>
      </c>
      <c r="EB256" s="372" t="s">
        <v>2369</v>
      </c>
      <c r="EC256" s="372" t="s">
        <v>1812</v>
      </c>
      <c r="ED256" s="372" t="s">
        <v>1813</v>
      </c>
      <c r="EE256" s="372" t="s">
        <v>14189</v>
      </c>
      <c r="EF256" s="372" t="s">
        <v>2370</v>
      </c>
      <c r="EG256" s="372">
        <v>26</v>
      </c>
      <c r="EH256" s="372" t="s">
        <v>1812</v>
      </c>
      <c r="EI256" s="372" t="s">
        <v>2371</v>
      </c>
      <c r="EJ256" s="372" t="s">
        <v>2372</v>
      </c>
      <c r="EK256" s="372" t="s">
        <v>14190</v>
      </c>
      <c r="EL256" s="372" t="s">
        <v>2373</v>
      </c>
      <c r="EM256" s="372" t="s">
        <v>14767</v>
      </c>
      <c r="EN256" s="372">
        <v>6633</v>
      </c>
      <c r="EO256" s="369"/>
      <c r="EP256" s="369"/>
      <c r="EQ256" s="369"/>
    </row>
    <row r="257" spans="130:147" hidden="1">
      <c r="DZ257" s="372">
        <v>90778</v>
      </c>
      <c r="EA257" s="372" t="s">
        <v>1484</v>
      </c>
      <c r="EB257" s="372" t="s">
        <v>2374</v>
      </c>
      <c r="EC257" s="372" t="s">
        <v>1812</v>
      </c>
      <c r="ED257" s="372" t="s">
        <v>1813</v>
      </c>
      <c r="EE257" s="372" t="s">
        <v>14167</v>
      </c>
      <c r="EF257" s="372" t="s">
        <v>2375</v>
      </c>
      <c r="EG257" s="372">
        <v>21</v>
      </c>
      <c r="EH257" s="372" t="s">
        <v>1812</v>
      </c>
      <c r="EI257" s="372" t="s">
        <v>2376</v>
      </c>
      <c r="EJ257" s="372" t="s">
        <v>2377</v>
      </c>
      <c r="EK257" s="372" t="s">
        <v>14168</v>
      </c>
      <c r="EL257" s="372" t="s">
        <v>2378</v>
      </c>
      <c r="EM257" s="372" t="s">
        <v>14767</v>
      </c>
      <c r="EN257" s="372">
        <v>6634</v>
      </c>
      <c r="EO257" s="369"/>
      <c r="EP257" s="369"/>
      <c r="EQ257" s="369"/>
    </row>
    <row r="258" spans="130:147" hidden="1">
      <c r="DZ258" s="372">
        <v>90786</v>
      </c>
      <c r="EA258" s="372" t="s">
        <v>1484</v>
      </c>
      <c r="EB258" s="372" t="s">
        <v>2379</v>
      </c>
      <c r="EC258" s="372" t="s">
        <v>1812</v>
      </c>
      <c r="ED258" s="372" t="s">
        <v>1813</v>
      </c>
      <c r="EE258" s="372" t="s">
        <v>14149</v>
      </c>
      <c r="EF258" s="372" t="s">
        <v>2380</v>
      </c>
      <c r="EG258" s="372">
        <v>645</v>
      </c>
      <c r="EH258" s="372" t="s">
        <v>1812</v>
      </c>
      <c r="EI258" s="372" t="s">
        <v>2381</v>
      </c>
      <c r="EJ258" s="372" t="s">
        <v>2382</v>
      </c>
      <c r="EK258" s="372" t="s">
        <v>2383</v>
      </c>
      <c r="EL258" s="372" t="s">
        <v>2383</v>
      </c>
      <c r="EM258" s="372" t="s">
        <v>14767</v>
      </c>
      <c r="EN258" s="372">
        <v>6635</v>
      </c>
      <c r="EO258" s="369"/>
      <c r="EP258" s="369"/>
      <c r="EQ258" s="369"/>
    </row>
    <row r="259" spans="130:147" hidden="1">
      <c r="DZ259" s="372">
        <v>90794</v>
      </c>
      <c r="EA259" s="372" t="s">
        <v>1484</v>
      </c>
      <c r="EB259" s="372" t="s">
        <v>2384</v>
      </c>
      <c r="EC259" s="372" t="s">
        <v>1812</v>
      </c>
      <c r="ED259" s="372" t="s">
        <v>1813</v>
      </c>
      <c r="EE259" s="372" t="s">
        <v>14133</v>
      </c>
      <c r="EF259" s="372" t="s">
        <v>2385</v>
      </c>
      <c r="EG259" s="372">
        <v>395</v>
      </c>
      <c r="EH259" s="372" t="s">
        <v>2386</v>
      </c>
      <c r="EI259" s="372" t="s">
        <v>2387</v>
      </c>
      <c r="EJ259" s="372" t="s">
        <v>2388</v>
      </c>
      <c r="EK259" s="372" t="s">
        <v>14134</v>
      </c>
      <c r="EL259" s="372" t="s">
        <v>2389</v>
      </c>
      <c r="EM259" s="372" t="s">
        <v>14767</v>
      </c>
      <c r="EN259" s="372">
        <v>6636</v>
      </c>
      <c r="EO259" s="369"/>
      <c r="EP259" s="369"/>
      <c r="EQ259" s="369"/>
    </row>
    <row r="260" spans="130:147" hidden="1">
      <c r="DZ260" s="372">
        <v>90808</v>
      </c>
      <c r="EA260" s="372" t="s">
        <v>1484</v>
      </c>
      <c r="EB260" s="372" t="s">
        <v>2390</v>
      </c>
      <c r="EC260" s="372" t="s">
        <v>1812</v>
      </c>
      <c r="ED260" s="372" t="s">
        <v>1813</v>
      </c>
      <c r="EE260" s="372" t="s">
        <v>14172</v>
      </c>
      <c r="EF260" s="372" t="s">
        <v>2391</v>
      </c>
      <c r="EG260" s="372">
        <v>100</v>
      </c>
      <c r="EH260" s="372" t="s">
        <v>1812</v>
      </c>
      <c r="EI260" s="372" t="s">
        <v>2392</v>
      </c>
      <c r="EJ260" s="372" t="s">
        <v>2393</v>
      </c>
      <c r="EK260" s="372" t="s">
        <v>2394</v>
      </c>
      <c r="EL260" s="372" t="s">
        <v>2394</v>
      </c>
      <c r="EM260" s="372" t="s">
        <v>14767</v>
      </c>
      <c r="EN260" s="372">
        <v>6637</v>
      </c>
      <c r="EO260" s="369"/>
      <c r="EP260" s="369"/>
      <c r="EQ260" s="369"/>
    </row>
    <row r="261" spans="130:147" hidden="1">
      <c r="DZ261" s="372">
        <v>90816</v>
      </c>
      <c r="EA261" s="372" t="s">
        <v>1484</v>
      </c>
      <c r="EB261" s="372" t="s">
        <v>2395</v>
      </c>
      <c r="EC261" s="372" t="s">
        <v>1812</v>
      </c>
      <c r="ED261" s="372" t="s">
        <v>1813</v>
      </c>
      <c r="EE261" s="372" t="s">
        <v>14173</v>
      </c>
      <c r="EF261" s="372" t="s">
        <v>2396</v>
      </c>
      <c r="EG261" s="372">
        <v>757</v>
      </c>
      <c r="EH261" s="372" t="s">
        <v>2397</v>
      </c>
      <c r="EI261" s="372" t="s">
        <v>2398</v>
      </c>
      <c r="EJ261" s="372" t="s">
        <v>2399</v>
      </c>
      <c r="EK261" s="372" t="s">
        <v>2400</v>
      </c>
      <c r="EL261" s="372" t="s">
        <v>2400</v>
      </c>
      <c r="EM261" s="372" t="s">
        <v>14767</v>
      </c>
      <c r="EN261" s="372">
        <v>6638</v>
      </c>
      <c r="EO261" s="369"/>
      <c r="EP261" s="369"/>
      <c r="EQ261" s="369"/>
    </row>
    <row r="262" spans="130:147" hidden="1">
      <c r="DZ262" s="372">
        <v>90824</v>
      </c>
      <c r="EA262" s="372" t="s">
        <v>1484</v>
      </c>
      <c r="EB262" s="372" t="s">
        <v>2401</v>
      </c>
      <c r="EC262" s="372" t="s">
        <v>1812</v>
      </c>
      <c r="ED262" s="372" t="s">
        <v>1813</v>
      </c>
      <c r="EE262" s="372" t="s">
        <v>14185</v>
      </c>
      <c r="EF262" s="372" t="s">
        <v>2402</v>
      </c>
      <c r="EG262" s="372">
        <v>590</v>
      </c>
      <c r="EH262" s="372" t="s">
        <v>2403</v>
      </c>
      <c r="EI262" s="372" t="s">
        <v>2404</v>
      </c>
      <c r="EJ262" s="372" t="s">
        <v>2405</v>
      </c>
      <c r="EK262" s="372" t="s">
        <v>14186</v>
      </c>
      <c r="EL262" s="372" t="s">
        <v>2406</v>
      </c>
      <c r="EM262" s="372" t="s">
        <v>14767</v>
      </c>
      <c r="EN262" s="372">
        <v>6639</v>
      </c>
      <c r="EO262" s="369"/>
      <c r="EP262" s="369"/>
      <c r="EQ262" s="369"/>
    </row>
    <row r="263" spans="130:147" hidden="1">
      <c r="DZ263" s="372">
        <v>90832</v>
      </c>
      <c r="EA263" s="372" t="s">
        <v>1484</v>
      </c>
      <c r="EB263" s="372" t="s">
        <v>2407</v>
      </c>
      <c r="EC263" s="372" t="s">
        <v>1617</v>
      </c>
      <c r="ED263" s="372" t="s">
        <v>1618</v>
      </c>
      <c r="EE263" s="372" t="s">
        <v>14023</v>
      </c>
      <c r="EF263" s="372" t="s">
        <v>2408</v>
      </c>
      <c r="EG263" s="372">
        <v>4</v>
      </c>
      <c r="EH263" s="372" t="s">
        <v>2094</v>
      </c>
      <c r="EI263" s="372" t="s">
        <v>2409</v>
      </c>
      <c r="EJ263" s="372" t="s">
        <v>2410</v>
      </c>
      <c r="EK263" s="372" t="s">
        <v>14024</v>
      </c>
      <c r="EL263" s="372" t="s">
        <v>2411</v>
      </c>
      <c r="EM263" s="372" t="s">
        <v>1624</v>
      </c>
      <c r="EN263" s="372">
        <v>6640</v>
      </c>
      <c r="EO263" s="369"/>
      <c r="EP263" s="369"/>
      <c r="EQ263" s="370"/>
    </row>
    <row r="264" spans="130:147" hidden="1">
      <c r="DZ264" s="372">
        <v>90841</v>
      </c>
      <c r="EA264" s="372" t="s">
        <v>1484</v>
      </c>
      <c r="EB264" s="372" t="s">
        <v>2412</v>
      </c>
      <c r="EC264" s="372" t="s">
        <v>1617</v>
      </c>
      <c r="ED264" s="372" t="s">
        <v>1618</v>
      </c>
      <c r="EE264" s="372" t="s">
        <v>13996</v>
      </c>
      <c r="EF264" s="372" t="s">
        <v>2413</v>
      </c>
      <c r="EG264" s="372">
        <v>323</v>
      </c>
      <c r="EH264" s="372" t="s">
        <v>2414</v>
      </c>
      <c r="EI264" s="372" t="s">
        <v>2415</v>
      </c>
      <c r="EJ264" s="372" t="s">
        <v>2416</v>
      </c>
      <c r="EK264" s="372" t="s">
        <v>13997</v>
      </c>
      <c r="EL264" s="372"/>
      <c r="EM264" s="372" t="s">
        <v>1624</v>
      </c>
      <c r="EN264" s="372">
        <v>6641</v>
      </c>
      <c r="EO264" s="369"/>
      <c r="EP264" s="369"/>
      <c r="EQ264" s="369"/>
    </row>
    <row r="265" spans="130:147" hidden="1">
      <c r="DZ265" s="372">
        <v>90859</v>
      </c>
      <c r="EA265" s="372" t="s">
        <v>1484</v>
      </c>
      <c r="EB265" s="372" t="s">
        <v>2417</v>
      </c>
      <c r="EC265" s="372" t="s">
        <v>1617</v>
      </c>
      <c r="ED265" s="372" t="s">
        <v>1618</v>
      </c>
      <c r="EE265" s="372" t="s">
        <v>14027</v>
      </c>
      <c r="EF265" s="372" t="s">
        <v>2418</v>
      </c>
      <c r="EG265" s="372">
        <v>79</v>
      </c>
      <c r="EH265" s="372" t="s">
        <v>2419</v>
      </c>
      <c r="EI265" s="372" t="s">
        <v>2420</v>
      </c>
      <c r="EJ265" s="372" t="s">
        <v>2421</v>
      </c>
      <c r="EK265" s="372" t="s">
        <v>14028</v>
      </c>
      <c r="EL265" s="372" t="s">
        <v>2422</v>
      </c>
      <c r="EM265" s="372" t="s">
        <v>1624</v>
      </c>
      <c r="EN265" s="372">
        <v>6642</v>
      </c>
      <c r="EO265" s="369"/>
      <c r="EP265" s="370"/>
      <c r="EQ265" s="369"/>
    </row>
    <row r="266" spans="130:147" hidden="1">
      <c r="DZ266" s="372">
        <v>90867</v>
      </c>
      <c r="EA266" s="469" t="s">
        <v>1484</v>
      </c>
      <c r="EB266" s="372" t="s">
        <v>2423</v>
      </c>
      <c r="EC266" s="469" t="s">
        <v>1654</v>
      </c>
      <c r="ED266" s="372" t="s">
        <v>13774</v>
      </c>
      <c r="EE266" s="372" t="s">
        <v>14712</v>
      </c>
      <c r="EF266" s="469" t="s">
        <v>2424</v>
      </c>
      <c r="EG266" s="469">
        <v>154</v>
      </c>
      <c r="EH266" s="469" t="s">
        <v>2425</v>
      </c>
      <c r="EI266" s="371" t="s">
        <v>2426</v>
      </c>
      <c r="EJ266" s="469" t="s">
        <v>2427</v>
      </c>
      <c r="EK266" s="469" t="s">
        <v>14713</v>
      </c>
      <c r="EL266" s="469" t="s">
        <v>2428</v>
      </c>
      <c r="EM266" s="450" t="s">
        <v>7010</v>
      </c>
      <c r="EN266" s="374">
        <v>11325</v>
      </c>
      <c r="EO266" s="369"/>
      <c r="EP266" s="369"/>
      <c r="EQ266" s="369"/>
    </row>
    <row r="267" spans="130:147" hidden="1">
      <c r="DZ267" s="372">
        <v>90875</v>
      </c>
      <c r="EA267" s="469" t="s">
        <v>1484</v>
      </c>
      <c r="EB267" s="372" t="s">
        <v>14673</v>
      </c>
      <c r="EC267" s="469" t="s">
        <v>1654</v>
      </c>
      <c r="ED267" s="372" t="s">
        <v>13774</v>
      </c>
      <c r="EE267" s="372" t="s">
        <v>14674</v>
      </c>
      <c r="EF267" s="469" t="s">
        <v>2429</v>
      </c>
      <c r="EG267" s="469">
        <v>5</v>
      </c>
      <c r="EH267" s="469" t="s">
        <v>2430</v>
      </c>
      <c r="EI267" s="371" t="s">
        <v>2431</v>
      </c>
      <c r="EJ267" s="469" t="s">
        <v>2432</v>
      </c>
      <c r="EK267" s="469" t="s">
        <v>14675</v>
      </c>
      <c r="EL267" s="469" t="s">
        <v>2433</v>
      </c>
      <c r="EM267" s="450" t="s">
        <v>7010</v>
      </c>
      <c r="EN267" s="364">
        <v>11318</v>
      </c>
      <c r="EO267" s="369"/>
      <c r="EP267" s="369"/>
      <c r="EQ267" s="369"/>
    </row>
    <row r="268" spans="130:147" hidden="1">
      <c r="DZ268" s="372">
        <v>90883</v>
      </c>
      <c r="EA268" s="469" t="s">
        <v>1484</v>
      </c>
      <c r="EB268" s="372" t="s">
        <v>2434</v>
      </c>
      <c r="EC268" s="469" t="s">
        <v>1654</v>
      </c>
      <c r="ED268" s="372" t="s">
        <v>13774</v>
      </c>
      <c r="EE268" s="372" t="s">
        <v>14687</v>
      </c>
      <c r="EF268" s="469" t="s">
        <v>2435</v>
      </c>
      <c r="EG268" s="469">
        <v>157</v>
      </c>
      <c r="EH268" s="469" t="s">
        <v>1654</v>
      </c>
      <c r="EI268" s="371" t="s">
        <v>2436</v>
      </c>
      <c r="EJ268" s="469" t="s">
        <v>2437</v>
      </c>
      <c r="EK268" s="469" t="s">
        <v>14688</v>
      </c>
      <c r="EL268" s="471" t="s">
        <v>2438</v>
      </c>
      <c r="EM268" s="450" t="s">
        <v>7010</v>
      </c>
      <c r="EN268" s="374">
        <v>11321</v>
      </c>
      <c r="EO268" s="369"/>
      <c r="EP268" s="369"/>
      <c r="EQ268" s="369"/>
    </row>
    <row r="269" spans="130:147" ht="112" hidden="1">
      <c r="DZ269" s="477">
        <v>90891</v>
      </c>
      <c r="EA269" s="371" t="s">
        <v>1484</v>
      </c>
      <c r="EB269" s="372" t="s">
        <v>2439</v>
      </c>
      <c r="EC269" s="454" t="s">
        <v>1654</v>
      </c>
      <c r="ED269" s="372" t="s">
        <v>13774</v>
      </c>
      <c r="EE269" s="454" t="s">
        <v>14658</v>
      </c>
      <c r="EF269" s="371" t="s">
        <v>2440</v>
      </c>
      <c r="EG269" s="371">
        <v>987</v>
      </c>
      <c r="EH269" s="454" t="s">
        <v>2441</v>
      </c>
      <c r="EI269" s="371" t="s">
        <v>2442</v>
      </c>
      <c r="EJ269" s="373" t="s">
        <v>2443</v>
      </c>
      <c r="EK269" s="454" t="s">
        <v>14659</v>
      </c>
      <c r="EL269" s="454" t="s">
        <v>2444</v>
      </c>
      <c r="EM269" s="450" t="s">
        <v>7010</v>
      </c>
      <c r="EN269" s="464">
        <v>11314</v>
      </c>
      <c r="EO269" s="369"/>
      <c r="EP269" s="369"/>
      <c r="EQ269" s="369"/>
    </row>
    <row r="270" spans="130:147" hidden="1">
      <c r="DZ270" s="372">
        <v>90905</v>
      </c>
      <c r="EA270" s="372" t="s">
        <v>3387</v>
      </c>
      <c r="EB270" s="372" t="s">
        <v>3512</v>
      </c>
      <c r="EC270" s="372" t="s">
        <v>1812</v>
      </c>
      <c r="ED270" s="372" t="s">
        <v>1813</v>
      </c>
      <c r="EE270" s="372" t="s">
        <v>13833</v>
      </c>
      <c r="EF270" s="372" t="s">
        <v>3405</v>
      </c>
      <c r="EG270" s="372" t="s">
        <v>46</v>
      </c>
      <c r="EH270" s="372" t="s">
        <v>3406</v>
      </c>
      <c r="EI270" s="372" t="s">
        <v>3407</v>
      </c>
      <c r="EJ270" s="372" t="s">
        <v>3408</v>
      </c>
      <c r="EK270" s="372" t="s">
        <v>3513</v>
      </c>
      <c r="EL270" s="372" t="s">
        <v>3513</v>
      </c>
      <c r="EM270" s="372" t="s">
        <v>14767</v>
      </c>
      <c r="EN270" s="372">
        <v>6628</v>
      </c>
      <c r="EO270" s="369"/>
      <c r="EP270" s="369"/>
      <c r="EQ270" s="369"/>
    </row>
    <row r="271" spans="130:147" hidden="1">
      <c r="DZ271" s="372">
        <v>90913</v>
      </c>
      <c r="EA271" s="372" t="s">
        <v>1484</v>
      </c>
      <c r="EB271" s="372" t="s">
        <v>2445</v>
      </c>
      <c r="EC271" s="372" t="s">
        <v>1812</v>
      </c>
      <c r="ED271" s="372" t="s">
        <v>1813</v>
      </c>
      <c r="EE271" s="372" t="s">
        <v>14150</v>
      </c>
      <c r="EF271" s="372" t="s">
        <v>2402</v>
      </c>
      <c r="EG271" s="372">
        <v>100</v>
      </c>
      <c r="EH271" s="372" t="s">
        <v>2403</v>
      </c>
      <c r="EI271" s="372" t="s">
        <v>2446</v>
      </c>
      <c r="EJ271" s="372" t="s">
        <v>2405</v>
      </c>
      <c r="EK271" s="372" t="s">
        <v>14151</v>
      </c>
      <c r="EL271" s="372" t="s">
        <v>2447</v>
      </c>
      <c r="EM271" s="372" t="s">
        <v>14767</v>
      </c>
      <c r="EN271" s="372">
        <v>6643</v>
      </c>
      <c r="EO271" s="369"/>
      <c r="EP271" s="369"/>
      <c r="EQ271" s="369"/>
    </row>
    <row r="272" spans="130:147" hidden="1">
      <c r="DZ272" s="372">
        <v>90921</v>
      </c>
      <c r="EA272" s="372" t="s">
        <v>1484</v>
      </c>
      <c r="EB272" s="372" t="s">
        <v>2448</v>
      </c>
      <c r="EC272" s="372" t="s">
        <v>1812</v>
      </c>
      <c r="ED272" s="372" t="s">
        <v>1813</v>
      </c>
      <c r="EE272" s="372" t="s">
        <v>14182</v>
      </c>
      <c r="EF272" s="372" t="s">
        <v>2449</v>
      </c>
      <c r="EG272" s="372">
        <v>149</v>
      </c>
      <c r="EH272" s="372" t="s">
        <v>1812</v>
      </c>
      <c r="EI272" s="372" t="s">
        <v>2450</v>
      </c>
      <c r="EJ272" s="372" t="s">
        <v>2451</v>
      </c>
      <c r="EK272" s="372" t="s">
        <v>14183</v>
      </c>
      <c r="EL272" s="372" t="s">
        <v>2452</v>
      </c>
      <c r="EM272" s="372" t="s">
        <v>14767</v>
      </c>
      <c r="EN272" s="372">
        <v>6644</v>
      </c>
      <c r="EO272" s="369"/>
      <c r="EP272" s="369"/>
      <c r="EQ272" s="369"/>
    </row>
    <row r="273" spans="130:147" hidden="1">
      <c r="DZ273" s="372">
        <v>90921</v>
      </c>
      <c r="EA273" s="372" t="s">
        <v>1484</v>
      </c>
      <c r="EB273" s="372" t="s">
        <v>2448</v>
      </c>
      <c r="EC273" s="372" t="s">
        <v>1812</v>
      </c>
      <c r="ED273" s="372" t="s">
        <v>1813</v>
      </c>
      <c r="EE273" s="372" t="s">
        <v>14182</v>
      </c>
      <c r="EF273" s="372" t="s">
        <v>2449</v>
      </c>
      <c r="EG273" s="372">
        <v>149</v>
      </c>
      <c r="EH273" s="372" t="s">
        <v>1812</v>
      </c>
      <c r="EI273" s="372" t="s">
        <v>2450</v>
      </c>
      <c r="EJ273" s="372" t="s">
        <v>2451</v>
      </c>
      <c r="EK273" s="372" t="s">
        <v>14183</v>
      </c>
      <c r="EL273" s="372" t="s">
        <v>2452</v>
      </c>
      <c r="EM273" s="372" t="s">
        <v>14767</v>
      </c>
      <c r="EN273" s="372">
        <v>6644</v>
      </c>
      <c r="EO273" s="369"/>
      <c r="EP273" s="369"/>
      <c r="EQ273" s="369"/>
    </row>
    <row r="274" spans="130:147" hidden="1">
      <c r="DZ274" s="372">
        <v>90930</v>
      </c>
      <c r="EA274" s="372" t="s">
        <v>1484</v>
      </c>
      <c r="EB274" s="372" t="s">
        <v>2453</v>
      </c>
      <c r="EC274" s="372" t="s">
        <v>1812</v>
      </c>
      <c r="ED274" s="372" t="s">
        <v>1813</v>
      </c>
      <c r="EE274" s="372" t="s">
        <v>14148</v>
      </c>
      <c r="EF274" s="372" t="s">
        <v>2454</v>
      </c>
      <c r="EG274" s="372">
        <v>145</v>
      </c>
      <c r="EH274" s="372" t="s">
        <v>1812</v>
      </c>
      <c r="EI274" s="372" t="s">
        <v>2455</v>
      </c>
      <c r="EJ274" s="372" t="s">
        <v>2456</v>
      </c>
      <c r="EK274" s="372" t="s">
        <v>2457</v>
      </c>
      <c r="EL274" s="372" t="s">
        <v>2457</v>
      </c>
      <c r="EM274" s="372" t="s">
        <v>14767</v>
      </c>
      <c r="EN274" s="372">
        <v>6645</v>
      </c>
      <c r="EO274" s="369"/>
      <c r="EP274" s="369"/>
      <c r="EQ274" s="369"/>
    </row>
    <row r="275" spans="130:147" hidden="1">
      <c r="DZ275" s="372">
        <v>90948</v>
      </c>
      <c r="EA275" s="372" t="s">
        <v>1484</v>
      </c>
      <c r="EB275" s="372" t="s">
        <v>2458</v>
      </c>
      <c r="EC275" s="372" t="s">
        <v>1812</v>
      </c>
      <c r="ED275" s="372" t="s">
        <v>1813</v>
      </c>
      <c r="EE275" s="372" t="s">
        <v>14176</v>
      </c>
      <c r="EF275" s="372" t="s">
        <v>2459</v>
      </c>
      <c r="EG275" s="372">
        <v>133</v>
      </c>
      <c r="EH275" s="372" t="s">
        <v>1812</v>
      </c>
      <c r="EI275" s="372" t="s">
        <v>2460</v>
      </c>
      <c r="EJ275" s="372" t="s">
        <v>2461</v>
      </c>
      <c r="EK275" s="372" t="s">
        <v>2462</v>
      </c>
      <c r="EL275" s="372" t="s">
        <v>2462</v>
      </c>
      <c r="EM275" s="372" t="s">
        <v>14767</v>
      </c>
      <c r="EN275" s="372">
        <v>6646</v>
      </c>
      <c r="EO275" s="369"/>
      <c r="EP275" s="369"/>
      <c r="EQ275" s="369"/>
    </row>
    <row r="276" spans="130:147" hidden="1">
      <c r="DZ276" s="372">
        <v>90956</v>
      </c>
      <c r="EA276" s="372" t="s">
        <v>1484</v>
      </c>
      <c r="EB276" s="372" t="s">
        <v>2463</v>
      </c>
      <c r="EC276" s="372" t="s">
        <v>1812</v>
      </c>
      <c r="ED276" s="372" t="s">
        <v>1813</v>
      </c>
      <c r="EE276" s="372" t="s">
        <v>14141</v>
      </c>
      <c r="EF276" s="372" t="s">
        <v>2464</v>
      </c>
      <c r="EG276" s="372">
        <v>125</v>
      </c>
      <c r="EH276" s="372" t="s">
        <v>1812</v>
      </c>
      <c r="EI276" s="372" t="s">
        <v>2465</v>
      </c>
      <c r="EJ276" s="372" t="s">
        <v>2466</v>
      </c>
      <c r="EK276" s="372" t="s">
        <v>14142</v>
      </c>
      <c r="EL276" s="372" t="s">
        <v>2467</v>
      </c>
      <c r="EM276" s="372" t="s">
        <v>14767</v>
      </c>
      <c r="EN276" s="372">
        <v>6647</v>
      </c>
      <c r="EO276" s="369"/>
      <c r="EP276" s="369"/>
      <c r="EQ276" s="369"/>
    </row>
    <row r="277" spans="130:147" hidden="1">
      <c r="DZ277" s="372">
        <v>90964</v>
      </c>
      <c r="EA277" s="372" t="s">
        <v>1484</v>
      </c>
      <c r="EB277" s="372" t="s">
        <v>2468</v>
      </c>
      <c r="EC277" s="372" t="s">
        <v>1812</v>
      </c>
      <c r="ED277" s="372" t="s">
        <v>1813</v>
      </c>
      <c r="EE277" s="372" t="s">
        <v>14135</v>
      </c>
      <c r="EF277" s="372" t="s">
        <v>2469</v>
      </c>
      <c r="EG277" s="372">
        <v>150</v>
      </c>
      <c r="EH277" s="372" t="s">
        <v>1812</v>
      </c>
      <c r="EI277" s="372" t="s">
        <v>2470</v>
      </c>
      <c r="EJ277" s="372" t="s">
        <v>2471</v>
      </c>
      <c r="EK277" s="372" t="s">
        <v>14136</v>
      </c>
      <c r="EL277" s="372" t="s">
        <v>2472</v>
      </c>
      <c r="EM277" s="372" t="s">
        <v>14767</v>
      </c>
      <c r="EN277" s="372">
        <v>6648</v>
      </c>
      <c r="EO277" s="369"/>
      <c r="EP277" s="369"/>
      <c r="EQ277" s="369"/>
    </row>
    <row r="278" spans="130:147" hidden="1">
      <c r="DZ278" s="372">
        <v>90972</v>
      </c>
      <c r="EA278" s="372" t="s">
        <v>1484</v>
      </c>
      <c r="EB278" s="372" t="s">
        <v>2473</v>
      </c>
      <c r="EC278" s="372" t="s">
        <v>1617</v>
      </c>
      <c r="ED278" s="372" t="s">
        <v>1618</v>
      </c>
      <c r="EE278" s="372" t="s">
        <v>14008</v>
      </c>
      <c r="EF278" s="372" t="s">
        <v>2474</v>
      </c>
      <c r="EG278" s="372">
        <v>10</v>
      </c>
      <c r="EH278" s="372" t="s">
        <v>2475</v>
      </c>
      <c r="EI278" s="372" t="s">
        <v>2476</v>
      </c>
      <c r="EJ278" s="372" t="s">
        <v>2477</v>
      </c>
      <c r="EK278" s="372" t="s">
        <v>14009</v>
      </c>
      <c r="EL278" s="372" t="s">
        <v>2478</v>
      </c>
      <c r="EM278" s="372" t="s">
        <v>1624</v>
      </c>
      <c r="EN278" s="372">
        <v>6649</v>
      </c>
      <c r="EO278" s="369"/>
      <c r="EP278" s="369"/>
      <c r="EQ278" s="369"/>
    </row>
    <row r="279" spans="130:147" hidden="1">
      <c r="DZ279" s="372">
        <v>90981</v>
      </c>
      <c r="EA279" s="372" t="s">
        <v>1484</v>
      </c>
      <c r="EB279" s="372" t="s">
        <v>2479</v>
      </c>
      <c r="EC279" s="372" t="s">
        <v>1617</v>
      </c>
      <c r="ED279" s="372" t="s">
        <v>1618</v>
      </c>
      <c r="EE279" s="372" t="s">
        <v>13976</v>
      </c>
      <c r="EF279" s="372" t="s">
        <v>2480</v>
      </c>
      <c r="EG279" s="372">
        <v>25</v>
      </c>
      <c r="EH279" s="372" t="s">
        <v>2481</v>
      </c>
      <c r="EI279" s="372" t="s">
        <v>2482</v>
      </c>
      <c r="EJ279" s="372" t="s">
        <v>2483</v>
      </c>
      <c r="EK279" s="372" t="s">
        <v>13977</v>
      </c>
      <c r="EL279" s="372" t="s">
        <v>2484</v>
      </c>
      <c r="EM279" s="372" t="s">
        <v>1624</v>
      </c>
      <c r="EN279" s="372">
        <v>6650</v>
      </c>
      <c r="EO279" s="369"/>
      <c r="EP279" s="369"/>
      <c r="EQ279" s="369"/>
    </row>
    <row r="280" spans="130:147" hidden="1">
      <c r="DZ280" s="372">
        <v>90999</v>
      </c>
      <c r="EA280" s="372" t="s">
        <v>1484</v>
      </c>
      <c r="EB280" s="372" t="s">
        <v>2485</v>
      </c>
      <c r="EC280" s="372" t="s">
        <v>1617</v>
      </c>
      <c r="ED280" s="372" t="s">
        <v>1618</v>
      </c>
      <c r="EE280" s="372" t="s">
        <v>13967</v>
      </c>
      <c r="EF280" s="372" t="s">
        <v>2486</v>
      </c>
      <c r="EG280" s="372">
        <v>167</v>
      </c>
      <c r="EH280" s="372" t="s">
        <v>2487</v>
      </c>
      <c r="EI280" s="372" t="s">
        <v>2488</v>
      </c>
      <c r="EJ280" s="372" t="s">
        <v>2489</v>
      </c>
      <c r="EK280" s="372" t="s">
        <v>13968</v>
      </c>
      <c r="EL280" s="372" t="s">
        <v>2490</v>
      </c>
      <c r="EM280" s="372" t="s">
        <v>1624</v>
      </c>
      <c r="EN280" s="372">
        <v>6651</v>
      </c>
      <c r="EP280" s="369"/>
      <c r="EQ280" s="369"/>
    </row>
    <row r="281" spans="130:147" hidden="1">
      <c r="DZ281" s="372">
        <v>91006</v>
      </c>
      <c r="EA281" s="372" t="s">
        <v>1484</v>
      </c>
      <c r="EB281" s="372" t="s">
        <v>2491</v>
      </c>
      <c r="EC281" s="372" t="s">
        <v>1812</v>
      </c>
      <c r="ED281" s="372" t="s">
        <v>1813</v>
      </c>
      <c r="EE281" s="372" t="s">
        <v>14180</v>
      </c>
      <c r="EF281" s="372" t="s">
        <v>2492</v>
      </c>
      <c r="EG281" s="372" t="s">
        <v>2493</v>
      </c>
      <c r="EH281" s="372" t="s">
        <v>2494</v>
      </c>
      <c r="EI281" s="372" t="s">
        <v>2495</v>
      </c>
      <c r="EJ281" s="372" t="s">
        <v>2496</v>
      </c>
      <c r="EK281" s="372" t="s">
        <v>2497</v>
      </c>
      <c r="EL281" s="372" t="s">
        <v>2497</v>
      </c>
      <c r="EM281" s="372" t="s">
        <v>14767</v>
      </c>
      <c r="EN281" s="372">
        <v>6652</v>
      </c>
      <c r="EO281" s="369"/>
      <c r="EP281" s="369"/>
      <c r="EQ281" s="369"/>
    </row>
    <row r="282" spans="130:147" hidden="1">
      <c r="DZ282" s="372">
        <v>91014</v>
      </c>
      <c r="EA282" s="372" t="s">
        <v>1484</v>
      </c>
      <c r="EB282" s="372" t="s">
        <v>2498</v>
      </c>
      <c r="EC282" s="372" t="s">
        <v>1617</v>
      </c>
      <c r="ED282" s="372" t="s">
        <v>1618</v>
      </c>
      <c r="EE282" s="372" t="s">
        <v>13969</v>
      </c>
      <c r="EF282" s="372" t="s">
        <v>2499</v>
      </c>
      <c r="EG282" s="372">
        <v>55</v>
      </c>
      <c r="EH282" s="372" t="s">
        <v>2500</v>
      </c>
      <c r="EI282" s="372" t="s">
        <v>2501</v>
      </c>
      <c r="EJ282" s="372" t="s">
        <v>2502</v>
      </c>
      <c r="EK282" s="372" t="s">
        <v>13970</v>
      </c>
      <c r="EL282" s="372" t="s">
        <v>2503</v>
      </c>
      <c r="EM282" s="372" t="s">
        <v>1624</v>
      </c>
      <c r="EN282" s="372">
        <v>6653</v>
      </c>
      <c r="EO282" s="369"/>
      <c r="EP282" s="369"/>
      <c r="EQ282" s="369"/>
    </row>
    <row r="283" spans="130:147" hidden="1">
      <c r="DZ283" s="372">
        <v>91022</v>
      </c>
      <c r="EA283" s="372" t="s">
        <v>1484</v>
      </c>
      <c r="EB283" s="372" t="s">
        <v>2504</v>
      </c>
      <c r="EC283" s="372" t="s">
        <v>1617</v>
      </c>
      <c r="ED283" s="372" t="s">
        <v>1618</v>
      </c>
      <c r="EE283" s="372" t="s">
        <v>14014</v>
      </c>
      <c r="EF283" s="372" t="s">
        <v>2505</v>
      </c>
      <c r="EG283" s="372">
        <v>216</v>
      </c>
      <c r="EH283" s="372" t="s">
        <v>2500</v>
      </c>
      <c r="EI283" s="372" t="s">
        <v>2506</v>
      </c>
      <c r="EJ283" s="372" t="s">
        <v>2507</v>
      </c>
      <c r="EK283" s="372" t="s">
        <v>14015</v>
      </c>
      <c r="EL283" s="372" t="s">
        <v>2508</v>
      </c>
      <c r="EM283" s="372" t="s">
        <v>1624</v>
      </c>
      <c r="EN283" s="372">
        <v>6654</v>
      </c>
      <c r="EO283" s="369"/>
      <c r="EP283" s="369"/>
      <c r="EQ283" s="369"/>
    </row>
    <row r="284" spans="130:147" hidden="1">
      <c r="DZ284" s="372">
        <v>91031</v>
      </c>
      <c r="EA284" s="372" t="s">
        <v>1484</v>
      </c>
      <c r="EB284" s="372" t="s">
        <v>2509</v>
      </c>
      <c r="EC284" s="372" t="s">
        <v>1617</v>
      </c>
      <c r="ED284" s="372" t="s">
        <v>1618</v>
      </c>
      <c r="EE284" s="372" t="s">
        <v>14025</v>
      </c>
      <c r="EF284" s="372" t="s">
        <v>2510</v>
      </c>
      <c r="EG284" s="372">
        <v>69</v>
      </c>
      <c r="EH284" s="372" t="s">
        <v>1572</v>
      </c>
      <c r="EI284" s="372" t="s">
        <v>2511</v>
      </c>
      <c r="EJ284" s="372" t="s">
        <v>2512</v>
      </c>
      <c r="EK284" s="372" t="s">
        <v>14026</v>
      </c>
      <c r="EL284" s="372" t="s">
        <v>2513</v>
      </c>
      <c r="EM284" s="372" t="s">
        <v>1624</v>
      </c>
      <c r="EN284" s="372">
        <v>6655</v>
      </c>
      <c r="EO284" s="369"/>
      <c r="EP284" s="369"/>
      <c r="EQ284" s="369"/>
    </row>
    <row r="285" spans="130:147" hidden="1">
      <c r="DZ285" s="372">
        <v>91057</v>
      </c>
      <c r="EA285" s="372" t="s">
        <v>1484</v>
      </c>
      <c r="EB285" s="372" t="s">
        <v>2514</v>
      </c>
      <c r="EC285" s="372" t="s">
        <v>1812</v>
      </c>
      <c r="ED285" s="372" t="s">
        <v>1813</v>
      </c>
      <c r="EE285" s="372" t="s">
        <v>14171</v>
      </c>
      <c r="EF285" s="372" t="s">
        <v>2515</v>
      </c>
      <c r="EG285" s="372">
        <v>113</v>
      </c>
      <c r="EH285" s="372" t="s">
        <v>2516</v>
      </c>
      <c r="EI285" s="372" t="s">
        <v>2517</v>
      </c>
      <c r="EJ285" s="372" t="s">
        <v>2518</v>
      </c>
      <c r="EK285" s="372" t="s">
        <v>2519</v>
      </c>
      <c r="EL285" s="372" t="s">
        <v>2519</v>
      </c>
      <c r="EM285" s="372" t="s">
        <v>14767</v>
      </c>
      <c r="EN285" s="372">
        <v>6629</v>
      </c>
      <c r="EO285" s="369"/>
      <c r="EP285" s="369"/>
      <c r="EQ285" s="369"/>
    </row>
    <row r="286" spans="130:147" ht="15" hidden="1" customHeight="1">
      <c r="DZ286" s="372">
        <v>91065</v>
      </c>
      <c r="EA286" s="469" t="s">
        <v>1484</v>
      </c>
      <c r="EB286" s="372" t="s">
        <v>2520</v>
      </c>
      <c r="EC286" s="469" t="s">
        <v>1654</v>
      </c>
      <c r="ED286" s="372" t="s">
        <v>13774</v>
      </c>
      <c r="EE286" s="372" t="s">
        <v>14671</v>
      </c>
      <c r="EF286" s="469" t="s">
        <v>2521</v>
      </c>
      <c r="EG286" s="469">
        <v>340</v>
      </c>
      <c r="EH286" s="469" t="s">
        <v>1654</v>
      </c>
      <c r="EI286" s="371" t="s">
        <v>2522</v>
      </c>
      <c r="EJ286" s="469" t="s">
        <v>2523</v>
      </c>
      <c r="EK286" s="469" t="s">
        <v>14672</v>
      </c>
      <c r="EL286" s="469" t="s">
        <v>2524</v>
      </c>
      <c r="EM286" s="450" t="s">
        <v>7010</v>
      </c>
      <c r="EN286" s="364">
        <v>11441</v>
      </c>
      <c r="EO286" s="369"/>
      <c r="EP286" s="369"/>
      <c r="EQ286" s="369"/>
    </row>
    <row r="287" spans="130:147" ht="15" hidden="1">
      <c r="DZ287" s="372">
        <v>91073</v>
      </c>
      <c r="EA287" s="372" t="s">
        <v>1484</v>
      </c>
      <c r="EB287" s="372" t="s">
        <v>2525</v>
      </c>
      <c r="EC287" s="372" t="s">
        <v>1820</v>
      </c>
      <c r="ED287" s="447" t="s">
        <v>13802</v>
      </c>
      <c r="EE287" s="372" t="s">
        <v>14350</v>
      </c>
      <c r="EF287" s="372" t="s">
        <v>2526</v>
      </c>
      <c r="EG287" s="372">
        <v>643</v>
      </c>
      <c r="EH287" s="372" t="s">
        <v>2527</v>
      </c>
      <c r="EI287" s="372" t="s">
        <v>2528</v>
      </c>
      <c r="EJ287" s="372" t="s">
        <v>2529</v>
      </c>
      <c r="EK287" s="372" t="s">
        <v>14351</v>
      </c>
      <c r="EL287" s="372" t="s">
        <v>2530</v>
      </c>
      <c r="EM287" t="s">
        <v>14769</v>
      </c>
      <c r="EN287" s="372">
        <v>6681</v>
      </c>
      <c r="EO287" s="369"/>
      <c r="EP287" s="369"/>
      <c r="EQ287" s="369"/>
    </row>
    <row r="288" spans="130:147" ht="15" hidden="1">
      <c r="DZ288" s="372">
        <v>91081</v>
      </c>
      <c r="EA288" s="372" t="s">
        <v>1484</v>
      </c>
      <c r="EB288" s="372" t="s">
        <v>2531</v>
      </c>
      <c r="EC288" s="372" t="s">
        <v>1820</v>
      </c>
      <c r="ED288" s="447" t="s">
        <v>13802</v>
      </c>
      <c r="EE288" s="372" t="s">
        <v>14409</v>
      </c>
      <c r="EF288" s="372" t="s">
        <v>1829</v>
      </c>
      <c r="EG288" s="372">
        <v>258</v>
      </c>
      <c r="EH288" s="372" t="s">
        <v>2532</v>
      </c>
      <c r="EI288" s="372" t="s">
        <v>2533</v>
      </c>
      <c r="EJ288" s="372" t="s">
        <v>2534</v>
      </c>
      <c r="EK288" s="372" t="s">
        <v>14410</v>
      </c>
      <c r="EL288" s="372" t="s">
        <v>2535</v>
      </c>
      <c r="EM288" t="s">
        <v>14769</v>
      </c>
      <c r="EN288" s="372">
        <v>6682</v>
      </c>
      <c r="EO288" s="369"/>
      <c r="EP288" s="369"/>
      <c r="EQ288" s="369"/>
    </row>
    <row r="289" spans="130:147" ht="25.5" hidden="1" customHeight="1">
      <c r="DZ289" s="372">
        <v>91090</v>
      </c>
      <c r="EA289" s="372" t="s">
        <v>1484</v>
      </c>
      <c r="EB289" s="372" t="s">
        <v>2536</v>
      </c>
      <c r="EC289" s="372" t="s">
        <v>1820</v>
      </c>
      <c r="ED289" s="447" t="s">
        <v>13802</v>
      </c>
      <c r="EE289" s="372" t="s">
        <v>14411</v>
      </c>
      <c r="EF289" s="372" t="s">
        <v>2537</v>
      </c>
      <c r="EG289" s="372">
        <v>37</v>
      </c>
      <c r="EH289" s="372" t="s">
        <v>2538</v>
      </c>
      <c r="EI289" s="372" t="s">
        <v>2539</v>
      </c>
      <c r="EJ289" s="372" t="s">
        <v>2540</v>
      </c>
      <c r="EK289" s="372" t="s">
        <v>2541</v>
      </c>
      <c r="EL289" s="372" t="s">
        <v>2541</v>
      </c>
      <c r="EM289" t="s">
        <v>14769</v>
      </c>
      <c r="EN289" s="372">
        <v>6669</v>
      </c>
      <c r="EO289" s="369"/>
      <c r="EP289" s="369"/>
      <c r="EQ289" s="369"/>
    </row>
    <row r="290" spans="130:147" ht="239" hidden="1">
      <c r="DZ290" s="372">
        <v>91103</v>
      </c>
      <c r="EA290" s="372" t="s">
        <v>1484</v>
      </c>
      <c r="EB290" s="522" t="s">
        <v>14790</v>
      </c>
      <c r="EC290" s="372" t="s">
        <v>1707</v>
      </c>
      <c r="ED290" s="447" t="s">
        <v>13799</v>
      </c>
      <c r="EE290" s="372" t="s">
        <v>14308</v>
      </c>
      <c r="EF290" s="372" t="s">
        <v>2542</v>
      </c>
      <c r="EG290" s="372">
        <v>261</v>
      </c>
      <c r="EH290" s="372" t="s">
        <v>1710</v>
      </c>
      <c r="EI290" s="372" t="s">
        <v>2543</v>
      </c>
      <c r="EJ290" s="372" t="s">
        <v>2544</v>
      </c>
      <c r="EK290" s="372" t="s">
        <v>14309</v>
      </c>
      <c r="EL290" s="372"/>
      <c r="EM290" s="372" t="s">
        <v>1633</v>
      </c>
      <c r="EN290" s="372">
        <v>6684</v>
      </c>
      <c r="EO290" s="369"/>
      <c r="EP290" s="369"/>
      <c r="EQ290" s="369"/>
    </row>
    <row r="291" spans="130:147" hidden="1">
      <c r="DZ291" s="372">
        <v>91111</v>
      </c>
      <c r="EA291" s="372" t="s">
        <v>1484</v>
      </c>
      <c r="EB291" s="372" t="s">
        <v>2545</v>
      </c>
      <c r="EC291" s="372" t="s">
        <v>1707</v>
      </c>
      <c r="ED291" s="447" t="s">
        <v>13799</v>
      </c>
      <c r="EE291" s="372" t="s">
        <v>14297</v>
      </c>
      <c r="EF291" s="372" t="s">
        <v>2546</v>
      </c>
      <c r="EG291" s="372">
        <v>10</v>
      </c>
      <c r="EH291" s="372" t="s">
        <v>2547</v>
      </c>
      <c r="EI291" s="372" t="s">
        <v>2548</v>
      </c>
      <c r="EJ291" s="372" t="s">
        <v>2549</v>
      </c>
      <c r="EK291" s="372" t="s">
        <v>14298</v>
      </c>
      <c r="EL291" s="372"/>
      <c r="EM291" s="372" t="s">
        <v>1633</v>
      </c>
      <c r="EN291" s="372">
        <v>6685</v>
      </c>
      <c r="EO291" s="369"/>
      <c r="EP291" s="369"/>
      <c r="EQ291" s="369"/>
    </row>
    <row r="292" spans="130:147" hidden="1">
      <c r="DZ292" s="372">
        <v>91120</v>
      </c>
      <c r="EA292" s="372" t="s">
        <v>1484</v>
      </c>
      <c r="EB292" s="372" t="s">
        <v>2550</v>
      </c>
      <c r="EC292" s="372" t="s">
        <v>1707</v>
      </c>
      <c r="ED292" s="447" t="s">
        <v>13799</v>
      </c>
      <c r="EE292" s="372" t="s">
        <v>14271</v>
      </c>
      <c r="EF292" s="372" t="s">
        <v>2551</v>
      </c>
      <c r="EG292" s="372">
        <v>230</v>
      </c>
      <c r="EH292" s="372" t="s">
        <v>2552</v>
      </c>
      <c r="EI292" s="372" t="s">
        <v>2553</v>
      </c>
      <c r="EJ292" s="372" t="s">
        <v>2554</v>
      </c>
      <c r="EK292" s="372" t="s">
        <v>14272</v>
      </c>
      <c r="EL292" s="372"/>
      <c r="EM292" s="372" t="s">
        <v>1633</v>
      </c>
      <c r="EN292" s="372">
        <v>6686</v>
      </c>
      <c r="EO292" s="369"/>
      <c r="EP292" s="369"/>
      <c r="EQ292" s="369"/>
    </row>
    <row r="293" spans="130:147" ht="12.75" hidden="1" customHeight="1">
      <c r="DZ293" s="372">
        <v>91138</v>
      </c>
      <c r="EA293" s="372" t="s">
        <v>1484</v>
      </c>
      <c r="EB293" s="372" t="s">
        <v>2555</v>
      </c>
      <c r="EC293" s="372" t="s">
        <v>1707</v>
      </c>
      <c r="ED293" s="447" t="s">
        <v>13799</v>
      </c>
      <c r="EE293" s="372" t="s">
        <v>14278</v>
      </c>
      <c r="EF293" s="372" t="s">
        <v>2556</v>
      </c>
      <c r="EG293" s="372">
        <v>112</v>
      </c>
      <c r="EH293" s="372" t="s">
        <v>1710</v>
      </c>
      <c r="EI293" s="372" t="s">
        <v>2557</v>
      </c>
      <c r="EJ293" s="372" t="s">
        <v>2558</v>
      </c>
      <c r="EK293" s="372" t="s">
        <v>14279</v>
      </c>
      <c r="EL293" s="372"/>
      <c r="EM293" s="372" t="s">
        <v>1633</v>
      </c>
      <c r="EN293" s="372">
        <v>6687</v>
      </c>
      <c r="EO293" s="369"/>
      <c r="EP293" s="369"/>
      <c r="EQ293" s="369"/>
    </row>
    <row r="294" spans="130:147" ht="12.75" hidden="1" customHeight="1">
      <c r="DZ294" s="372">
        <v>91146</v>
      </c>
      <c r="EA294" s="372" t="s">
        <v>1484</v>
      </c>
      <c r="EB294" s="372" t="s">
        <v>2559</v>
      </c>
      <c r="EC294" s="372" t="s">
        <v>1707</v>
      </c>
      <c r="ED294" s="447" t="s">
        <v>13799</v>
      </c>
      <c r="EE294" s="372" t="s">
        <v>14302</v>
      </c>
      <c r="EF294" s="372" t="s">
        <v>2560</v>
      </c>
      <c r="EG294" s="372">
        <v>478</v>
      </c>
      <c r="EH294" s="372" t="s">
        <v>2561</v>
      </c>
      <c r="EI294" s="372" t="s">
        <v>2562</v>
      </c>
      <c r="EJ294" s="372" t="s">
        <v>2563</v>
      </c>
      <c r="EK294" s="372" t="s">
        <v>14303</v>
      </c>
      <c r="EL294" s="372" t="s">
        <v>2564</v>
      </c>
      <c r="EM294" s="372" t="s">
        <v>1633</v>
      </c>
      <c r="EN294" s="372">
        <v>6688</v>
      </c>
      <c r="EO294" s="369"/>
      <c r="EP294" s="369"/>
      <c r="EQ294" s="369"/>
    </row>
    <row r="295" spans="130:147" hidden="1">
      <c r="DZ295" s="372">
        <v>91154</v>
      </c>
      <c r="EA295" s="372" t="s">
        <v>1484</v>
      </c>
      <c r="EB295" s="372" t="s">
        <v>2565</v>
      </c>
      <c r="EC295" s="372" t="s">
        <v>1617</v>
      </c>
      <c r="ED295" s="372" t="s">
        <v>1618</v>
      </c>
      <c r="EE295" s="372" t="s">
        <v>13974</v>
      </c>
      <c r="EF295" s="372" t="s">
        <v>2566</v>
      </c>
      <c r="EG295" s="372">
        <v>982</v>
      </c>
      <c r="EH295" s="372" t="s">
        <v>2259</v>
      </c>
      <c r="EI295" s="372" t="s">
        <v>2567</v>
      </c>
      <c r="EJ295" s="372" t="s">
        <v>2568</v>
      </c>
      <c r="EK295" s="372" t="s">
        <v>13975</v>
      </c>
      <c r="EL295" s="372" t="s">
        <v>2569</v>
      </c>
      <c r="EM295" s="372" t="s">
        <v>1624</v>
      </c>
      <c r="EN295" s="372">
        <v>6624</v>
      </c>
      <c r="EO295" s="369"/>
      <c r="EP295" s="369"/>
      <c r="EQ295" s="369"/>
    </row>
    <row r="296" spans="130:147" ht="12.75" hidden="1" customHeight="1">
      <c r="DZ296" s="372">
        <v>91162</v>
      </c>
      <c r="EA296" s="372" t="s">
        <v>1484</v>
      </c>
      <c r="EB296" s="372" t="s">
        <v>2570</v>
      </c>
      <c r="EC296" s="372" t="s">
        <v>1617</v>
      </c>
      <c r="ED296" s="372" t="s">
        <v>1618</v>
      </c>
      <c r="EE296" s="372" t="s">
        <v>14006</v>
      </c>
      <c r="EF296" s="372" t="s">
        <v>2571</v>
      </c>
      <c r="EG296" s="372">
        <v>1056</v>
      </c>
      <c r="EH296" s="372" t="s">
        <v>2572</v>
      </c>
      <c r="EI296" s="372" t="s">
        <v>2573</v>
      </c>
      <c r="EJ296" s="372" t="s">
        <v>2574</v>
      </c>
      <c r="EK296" s="372" t="s">
        <v>14007</v>
      </c>
      <c r="EL296" s="372"/>
      <c r="EM296" s="372" t="s">
        <v>1624</v>
      </c>
      <c r="EN296" s="372">
        <v>6656</v>
      </c>
      <c r="EO296" s="369"/>
      <c r="EP296" s="369"/>
      <c r="EQ296" s="369"/>
    </row>
    <row r="297" spans="130:147" ht="12.75" hidden="1" customHeight="1">
      <c r="DZ297" s="372">
        <v>91171</v>
      </c>
      <c r="EA297" s="372" t="s">
        <v>1484</v>
      </c>
      <c r="EB297" s="372" t="s">
        <v>2575</v>
      </c>
      <c r="EC297" s="372" t="s">
        <v>1707</v>
      </c>
      <c r="ED297" s="447" t="s">
        <v>13799</v>
      </c>
      <c r="EE297" s="372" t="s">
        <v>14319</v>
      </c>
      <c r="EF297" s="372" t="s">
        <v>2576</v>
      </c>
      <c r="EG297" s="372">
        <v>8</v>
      </c>
      <c r="EH297" s="372" t="s">
        <v>1968</v>
      </c>
      <c r="EI297" s="372" t="s">
        <v>2577</v>
      </c>
      <c r="EJ297" s="372" t="s">
        <v>2578</v>
      </c>
      <c r="EK297" s="372" t="s">
        <v>14320</v>
      </c>
      <c r="EL297" s="372"/>
      <c r="EM297" s="372" t="s">
        <v>1633</v>
      </c>
      <c r="EN297" s="372">
        <v>6689</v>
      </c>
      <c r="EO297" s="369"/>
      <c r="EP297" s="369"/>
      <c r="EQ297" s="369"/>
    </row>
    <row r="298" spans="130:147" ht="12.75" hidden="1" customHeight="1">
      <c r="DZ298" s="372">
        <v>91189</v>
      </c>
      <c r="EA298" s="372" t="s">
        <v>1484</v>
      </c>
      <c r="EB298" s="372" t="s">
        <v>2579</v>
      </c>
      <c r="EC298" s="372" t="s">
        <v>1707</v>
      </c>
      <c r="ED298" s="447" t="s">
        <v>13799</v>
      </c>
      <c r="EE298" s="372" t="s">
        <v>14310</v>
      </c>
      <c r="EF298" s="372" t="s">
        <v>2580</v>
      </c>
      <c r="EG298" s="372">
        <v>251</v>
      </c>
      <c r="EH298" s="372" t="s">
        <v>1968</v>
      </c>
      <c r="EI298" s="372" t="s">
        <v>2581</v>
      </c>
      <c r="EJ298" s="372" t="s">
        <v>2582</v>
      </c>
      <c r="EK298" s="372" t="s">
        <v>14311</v>
      </c>
      <c r="EL298" s="372"/>
      <c r="EM298" s="372" t="s">
        <v>1633</v>
      </c>
      <c r="EN298" s="372">
        <v>6690</v>
      </c>
      <c r="EO298" s="369"/>
      <c r="EP298" s="369"/>
    </row>
    <row r="299" spans="130:147" hidden="1">
      <c r="DZ299" s="372">
        <v>91197</v>
      </c>
      <c r="EA299" s="372" t="s">
        <v>1484</v>
      </c>
      <c r="EB299" s="372" t="s">
        <v>2583</v>
      </c>
      <c r="EC299" s="372" t="s">
        <v>1707</v>
      </c>
      <c r="ED299" s="447" t="s">
        <v>13799</v>
      </c>
      <c r="EE299" s="372" t="s">
        <v>14332</v>
      </c>
      <c r="EF299" s="372" t="s">
        <v>2584</v>
      </c>
      <c r="EG299" s="372">
        <v>1280</v>
      </c>
      <c r="EH299" s="372" t="s">
        <v>2585</v>
      </c>
      <c r="EI299" s="372" t="s">
        <v>2586</v>
      </c>
      <c r="EJ299" s="372" t="s">
        <v>2587</v>
      </c>
      <c r="EK299" s="372" t="s">
        <v>14333</v>
      </c>
      <c r="EL299" s="372"/>
      <c r="EM299" s="372" t="s">
        <v>1633</v>
      </c>
      <c r="EN299" s="372">
        <v>6691</v>
      </c>
      <c r="EO299" s="369"/>
      <c r="EP299" s="369"/>
      <c r="EQ299" s="369"/>
    </row>
    <row r="300" spans="130:147" hidden="1">
      <c r="DZ300" s="372">
        <v>91201</v>
      </c>
      <c r="EA300" s="372" t="s">
        <v>1484</v>
      </c>
      <c r="EB300" s="372" t="s">
        <v>2588</v>
      </c>
      <c r="EC300" s="372" t="s">
        <v>1707</v>
      </c>
      <c r="ED300" s="447" t="s">
        <v>13799</v>
      </c>
      <c r="EE300" s="372" t="s">
        <v>14325</v>
      </c>
      <c r="EF300" s="372" t="s">
        <v>2589</v>
      </c>
      <c r="EG300" s="372">
        <v>126</v>
      </c>
      <c r="EH300" s="372" t="s">
        <v>1710</v>
      </c>
      <c r="EI300" s="372" t="s">
        <v>2590</v>
      </c>
      <c r="EJ300" s="372" t="s">
        <v>2591</v>
      </c>
      <c r="EK300" s="372" t="s">
        <v>14326</v>
      </c>
      <c r="EL300" s="372"/>
      <c r="EM300" s="372" t="s">
        <v>1633</v>
      </c>
      <c r="EN300" s="372">
        <v>6692</v>
      </c>
      <c r="EO300" s="369"/>
      <c r="EQ300" s="369"/>
    </row>
    <row r="301" spans="130:147" hidden="1">
      <c r="DZ301" s="372">
        <v>91219</v>
      </c>
      <c r="EA301" s="372" t="s">
        <v>1484</v>
      </c>
      <c r="EB301" s="372" t="s">
        <v>2592</v>
      </c>
      <c r="EC301" s="372" t="s">
        <v>1707</v>
      </c>
      <c r="ED301" s="447" t="s">
        <v>13799</v>
      </c>
      <c r="EE301" s="372" t="s">
        <v>14273</v>
      </c>
      <c r="EF301" s="372" t="s">
        <v>2593</v>
      </c>
      <c r="EG301" s="372">
        <v>452</v>
      </c>
      <c r="EH301" s="372" t="s">
        <v>2594</v>
      </c>
      <c r="EI301" s="372" t="s">
        <v>2595</v>
      </c>
      <c r="EJ301" s="372" t="s">
        <v>2596</v>
      </c>
      <c r="EK301" s="372" t="s">
        <v>14274</v>
      </c>
      <c r="EL301" s="372"/>
      <c r="EM301" s="372" t="s">
        <v>1633</v>
      </c>
      <c r="EN301" s="372">
        <v>6693</v>
      </c>
      <c r="EP301" s="369"/>
      <c r="EQ301" s="369"/>
    </row>
    <row r="302" spans="130:147" hidden="1">
      <c r="DZ302" s="372">
        <v>91227</v>
      </c>
      <c r="EA302" s="372" t="s">
        <v>1484</v>
      </c>
      <c r="EB302" s="372" t="s">
        <v>2597</v>
      </c>
      <c r="EC302" s="372" t="s">
        <v>1707</v>
      </c>
      <c r="ED302" s="447" t="s">
        <v>13799</v>
      </c>
      <c r="EE302" s="372" t="s">
        <v>14328</v>
      </c>
      <c r="EF302" s="372" t="s">
        <v>2598</v>
      </c>
      <c r="EG302" s="372">
        <v>95</v>
      </c>
      <c r="EH302" s="372" t="s">
        <v>1968</v>
      </c>
      <c r="EI302" s="372" t="s">
        <v>2599</v>
      </c>
      <c r="EJ302" s="372" t="s">
        <v>2600</v>
      </c>
      <c r="EK302" s="372" t="s">
        <v>14329</v>
      </c>
      <c r="EL302" s="372"/>
      <c r="EM302" s="372" t="s">
        <v>1633</v>
      </c>
      <c r="EN302" s="372">
        <v>6694</v>
      </c>
      <c r="EO302" s="369"/>
      <c r="EP302" s="369"/>
      <c r="EQ302" s="369"/>
    </row>
    <row r="303" spans="130:147" hidden="1">
      <c r="DZ303" s="372">
        <v>91235</v>
      </c>
      <c r="EA303" s="372" t="s">
        <v>1484</v>
      </c>
      <c r="EB303" s="372" t="s">
        <v>2601</v>
      </c>
      <c r="EC303" s="372" t="s">
        <v>1707</v>
      </c>
      <c r="ED303" s="447" t="s">
        <v>13799</v>
      </c>
      <c r="EE303" s="372" t="s">
        <v>14304</v>
      </c>
      <c r="EF303" s="372" t="s">
        <v>2602</v>
      </c>
      <c r="EG303" s="372">
        <v>471</v>
      </c>
      <c r="EH303" s="372" t="s">
        <v>1710</v>
      </c>
      <c r="EI303" s="372" t="s">
        <v>2603</v>
      </c>
      <c r="EJ303" s="372" t="s">
        <v>2604</v>
      </c>
      <c r="EK303" s="372" t="s">
        <v>14305</v>
      </c>
      <c r="EL303" s="372"/>
      <c r="EM303" s="372" t="s">
        <v>1633</v>
      </c>
      <c r="EN303" s="372">
        <v>6695</v>
      </c>
      <c r="EO303" s="369"/>
      <c r="EP303" s="369"/>
      <c r="EQ303" s="369"/>
    </row>
    <row r="304" spans="130:147" hidden="1">
      <c r="DZ304" s="372">
        <v>91243</v>
      </c>
      <c r="EA304" s="372" t="s">
        <v>1484</v>
      </c>
      <c r="EB304" s="372" t="s">
        <v>2605</v>
      </c>
      <c r="EC304" s="372" t="s">
        <v>1707</v>
      </c>
      <c r="ED304" s="447" t="s">
        <v>13799</v>
      </c>
      <c r="EE304" s="372" t="s">
        <v>14315</v>
      </c>
      <c r="EF304" s="372" t="s">
        <v>2606</v>
      </c>
      <c r="EG304" s="372">
        <v>13</v>
      </c>
      <c r="EH304" s="372" t="s">
        <v>2607</v>
      </c>
      <c r="EI304" s="372" t="s">
        <v>2608</v>
      </c>
      <c r="EJ304" s="372" t="s">
        <v>2609</v>
      </c>
      <c r="EK304" s="372" t="s">
        <v>14316</v>
      </c>
      <c r="EL304" s="372"/>
      <c r="EM304" s="372" t="s">
        <v>1633</v>
      </c>
      <c r="EN304" s="372">
        <v>6696</v>
      </c>
      <c r="EO304" s="369"/>
      <c r="EP304" s="369"/>
      <c r="EQ304" s="369"/>
    </row>
    <row r="305" spans="130:147" ht="15" hidden="1" customHeight="1">
      <c r="DZ305" s="372">
        <v>91251</v>
      </c>
      <c r="EA305" s="372" t="s">
        <v>1484</v>
      </c>
      <c r="EB305" s="372" t="s">
        <v>2610</v>
      </c>
      <c r="EC305" s="372" t="s">
        <v>1812</v>
      </c>
      <c r="ED305" s="372" t="s">
        <v>1813</v>
      </c>
      <c r="EE305" s="372" t="s">
        <v>14154</v>
      </c>
      <c r="EF305" s="372" t="s">
        <v>2611</v>
      </c>
      <c r="EG305" s="372">
        <v>493</v>
      </c>
      <c r="EH305" s="372" t="s">
        <v>2612</v>
      </c>
      <c r="EI305" s="372" t="s">
        <v>2613</v>
      </c>
      <c r="EJ305" s="372" t="s">
        <v>2614</v>
      </c>
      <c r="EK305" s="372" t="s">
        <v>2615</v>
      </c>
      <c r="EL305" s="372" t="s">
        <v>2615</v>
      </c>
      <c r="EM305" s="372" t="s">
        <v>14767</v>
      </c>
      <c r="EN305" s="372">
        <v>6657</v>
      </c>
      <c r="EO305" s="369"/>
      <c r="EP305" s="369"/>
      <c r="EQ305" s="369"/>
    </row>
    <row r="306" spans="130:147" ht="15" hidden="1">
      <c r="DZ306" s="372">
        <v>91260</v>
      </c>
      <c r="EA306" s="372" t="s">
        <v>1484</v>
      </c>
      <c r="EB306" s="372" t="s">
        <v>2616</v>
      </c>
      <c r="EC306" s="372" t="s">
        <v>1820</v>
      </c>
      <c r="ED306" s="447" t="s">
        <v>13802</v>
      </c>
      <c r="EE306" s="372" t="s">
        <v>14378</v>
      </c>
      <c r="EF306" s="372" t="s">
        <v>2617</v>
      </c>
      <c r="EG306" s="372">
        <v>640</v>
      </c>
      <c r="EH306" s="372" t="s">
        <v>1823</v>
      </c>
      <c r="EI306" s="372" t="s">
        <v>2618</v>
      </c>
      <c r="EJ306" s="372" t="s">
        <v>2619</v>
      </c>
      <c r="EK306" s="372" t="s">
        <v>14379</v>
      </c>
      <c r="EL306" s="372" t="s">
        <v>2620</v>
      </c>
      <c r="EM306" t="s">
        <v>14769</v>
      </c>
      <c r="EN306" s="372">
        <v>6807</v>
      </c>
      <c r="EO306" s="369"/>
      <c r="EP306" s="369"/>
      <c r="EQ306" s="370"/>
    </row>
    <row r="307" spans="130:147" ht="12.75" hidden="1" customHeight="1">
      <c r="DZ307" s="372">
        <v>91278</v>
      </c>
      <c r="EA307" s="372" t="s">
        <v>1484</v>
      </c>
      <c r="EB307" s="372" t="s">
        <v>2621</v>
      </c>
      <c r="EC307" s="372" t="s">
        <v>1820</v>
      </c>
      <c r="ED307" s="447" t="s">
        <v>13802</v>
      </c>
      <c r="EE307" s="372" t="s">
        <v>14370</v>
      </c>
      <c r="EF307" s="372" t="s">
        <v>2622</v>
      </c>
      <c r="EG307" s="372" t="s">
        <v>46</v>
      </c>
      <c r="EH307" s="372" t="s">
        <v>2623</v>
      </c>
      <c r="EI307" s="372" t="s">
        <v>2624</v>
      </c>
      <c r="EJ307" s="372" t="s">
        <v>2625</v>
      </c>
      <c r="EK307" s="372" t="s">
        <v>14371</v>
      </c>
      <c r="EL307" s="372" t="s">
        <v>2626</v>
      </c>
      <c r="EM307" t="s">
        <v>14769</v>
      </c>
      <c r="EN307" s="372">
        <v>6808</v>
      </c>
      <c r="EO307" s="369"/>
      <c r="EP307" s="369"/>
      <c r="EQ307" s="369"/>
    </row>
    <row r="308" spans="130:147" ht="15" hidden="1" customHeight="1">
      <c r="DZ308" s="372">
        <v>91286</v>
      </c>
      <c r="EA308" s="372" t="s">
        <v>1484</v>
      </c>
      <c r="EB308" s="372" t="s">
        <v>2627</v>
      </c>
      <c r="EC308" s="372" t="s">
        <v>1812</v>
      </c>
      <c r="ED308" s="372" t="s">
        <v>1813</v>
      </c>
      <c r="EE308" s="372" t="s">
        <v>14174</v>
      </c>
      <c r="EF308" s="372" t="s">
        <v>2628</v>
      </c>
      <c r="EG308" s="372" t="s">
        <v>46</v>
      </c>
      <c r="EH308" s="372" t="s">
        <v>2629</v>
      </c>
      <c r="EI308" s="372" t="s">
        <v>2630</v>
      </c>
      <c r="EJ308" s="372" t="s">
        <v>2631</v>
      </c>
      <c r="EK308" s="372" t="s">
        <v>2632</v>
      </c>
      <c r="EL308" s="372" t="s">
        <v>2632</v>
      </c>
      <c r="EM308" s="372" t="s">
        <v>14767</v>
      </c>
      <c r="EN308" s="372">
        <v>6809</v>
      </c>
      <c r="EO308" s="369"/>
      <c r="EP308" s="370"/>
      <c r="EQ308" s="369"/>
    </row>
    <row r="309" spans="130:147" ht="15" hidden="1">
      <c r="DZ309" s="372">
        <v>91294</v>
      </c>
      <c r="EA309" s="372" t="s">
        <v>1484</v>
      </c>
      <c r="EB309" s="372" t="s">
        <v>2633</v>
      </c>
      <c r="EC309" s="372" t="s">
        <v>1820</v>
      </c>
      <c r="ED309" s="447" t="s">
        <v>13802</v>
      </c>
      <c r="EE309" s="372" t="s">
        <v>14417</v>
      </c>
      <c r="EF309" s="372" t="s">
        <v>2634</v>
      </c>
      <c r="EG309" s="372">
        <v>468</v>
      </c>
      <c r="EH309" s="372" t="s">
        <v>1823</v>
      </c>
      <c r="EI309" s="372" t="s">
        <v>2635</v>
      </c>
      <c r="EJ309" s="372" t="s">
        <v>2636</v>
      </c>
      <c r="EK309" s="372" t="s">
        <v>14418</v>
      </c>
      <c r="EL309" s="372" t="s">
        <v>2637</v>
      </c>
      <c r="EM309" t="s">
        <v>14769</v>
      </c>
      <c r="EN309" s="372">
        <v>6810</v>
      </c>
      <c r="EO309" s="369"/>
      <c r="EP309" s="369"/>
      <c r="EQ309" s="369"/>
    </row>
    <row r="310" spans="130:147" ht="15" hidden="1">
      <c r="DZ310" s="372">
        <v>91308</v>
      </c>
      <c r="EA310" s="372" t="s">
        <v>1484</v>
      </c>
      <c r="EB310" s="372" t="s">
        <v>2638</v>
      </c>
      <c r="EC310" s="372" t="s">
        <v>1820</v>
      </c>
      <c r="ED310" s="447" t="s">
        <v>13802</v>
      </c>
      <c r="EE310" s="372" t="s">
        <v>2639</v>
      </c>
      <c r="EF310" s="372" t="s">
        <v>2640</v>
      </c>
      <c r="EG310" s="372">
        <v>30</v>
      </c>
      <c r="EH310" s="372" t="s">
        <v>2641</v>
      </c>
      <c r="EI310" s="372" t="s">
        <v>2642</v>
      </c>
      <c r="EJ310" s="372" t="s">
        <v>2643</v>
      </c>
      <c r="EK310" s="372" t="s">
        <v>14419</v>
      </c>
      <c r="EL310" s="372" t="s">
        <v>2644</v>
      </c>
      <c r="EM310" t="s">
        <v>14769</v>
      </c>
      <c r="EN310" s="372">
        <v>6680</v>
      </c>
      <c r="EO310" s="369"/>
      <c r="EP310" s="369"/>
      <c r="EQ310" s="369"/>
    </row>
    <row r="311" spans="130:147" ht="15" hidden="1">
      <c r="DZ311" s="372">
        <v>91316</v>
      </c>
      <c r="EA311" s="372" t="s">
        <v>1484</v>
      </c>
      <c r="EB311" s="372" t="s">
        <v>2645</v>
      </c>
      <c r="EC311" s="372" t="s">
        <v>1820</v>
      </c>
      <c r="ED311" s="447" t="s">
        <v>13802</v>
      </c>
      <c r="EE311" s="372" t="s">
        <v>14394</v>
      </c>
      <c r="EF311" s="372" t="s">
        <v>2646</v>
      </c>
      <c r="EG311" s="372">
        <v>244</v>
      </c>
      <c r="EH311" s="372" t="s">
        <v>2647</v>
      </c>
      <c r="EI311" s="372" t="s">
        <v>2648</v>
      </c>
      <c r="EJ311" s="372" t="s">
        <v>2649</v>
      </c>
      <c r="EK311" s="372" t="s">
        <v>2650</v>
      </c>
      <c r="EL311" s="372" t="s">
        <v>2650</v>
      </c>
      <c r="EM311" t="s">
        <v>14769</v>
      </c>
      <c r="EN311" s="372">
        <v>6678</v>
      </c>
      <c r="EO311" s="369"/>
      <c r="EP311" s="369"/>
      <c r="EQ311" s="369"/>
    </row>
    <row r="312" spans="130:147" ht="15" hidden="1">
      <c r="DZ312" s="372">
        <v>91324</v>
      </c>
      <c r="EA312" s="372" t="s">
        <v>1484</v>
      </c>
      <c r="EB312" s="372" t="s">
        <v>2651</v>
      </c>
      <c r="EC312" s="372" t="s">
        <v>1820</v>
      </c>
      <c r="ED312" s="447" t="s">
        <v>13802</v>
      </c>
      <c r="EE312" s="372" t="s">
        <v>14366</v>
      </c>
      <c r="EF312" s="372" t="s">
        <v>2652</v>
      </c>
      <c r="EG312" s="372">
        <v>40</v>
      </c>
      <c r="EH312" s="372" t="s">
        <v>2653</v>
      </c>
      <c r="EI312" s="372" t="s">
        <v>2654</v>
      </c>
      <c r="EJ312" s="372" t="s">
        <v>2655</v>
      </c>
      <c r="EK312" s="372" t="s">
        <v>14367</v>
      </c>
      <c r="EL312" s="372" t="s">
        <v>2656</v>
      </c>
      <c r="EM312" t="s">
        <v>14769</v>
      </c>
      <c r="EN312" s="372">
        <v>6679</v>
      </c>
      <c r="EO312" s="369"/>
      <c r="EP312" s="369"/>
      <c r="EQ312" s="369"/>
    </row>
    <row r="313" spans="130:147" ht="15" hidden="1">
      <c r="DZ313" s="372">
        <v>91332</v>
      </c>
      <c r="EA313" s="372" t="s">
        <v>1484</v>
      </c>
      <c r="EB313" s="372" t="s">
        <v>2657</v>
      </c>
      <c r="EC313" s="372" t="s">
        <v>1820</v>
      </c>
      <c r="ED313" s="447" t="s">
        <v>13802</v>
      </c>
      <c r="EE313" s="372" t="s">
        <v>14431</v>
      </c>
      <c r="EF313" s="372" t="s">
        <v>2658</v>
      </c>
      <c r="EG313" s="372">
        <v>46</v>
      </c>
      <c r="EH313" s="372" t="s">
        <v>2659</v>
      </c>
      <c r="EI313" s="372" t="s">
        <v>2660</v>
      </c>
      <c r="EJ313" s="372" t="s">
        <v>2661</v>
      </c>
      <c r="EK313" s="372" t="s">
        <v>14432</v>
      </c>
      <c r="EL313" s="372" t="s">
        <v>2662</v>
      </c>
      <c r="EM313" t="s">
        <v>14769</v>
      </c>
      <c r="EN313" s="372">
        <v>6671</v>
      </c>
      <c r="EO313" s="369"/>
      <c r="EP313" s="369"/>
      <c r="EQ313" s="369"/>
    </row>
    <row r="314" spans="130:147" ht="15" hidden="1">
      <c r="DZ314" s="372">
        <v>91341</v>
      </c>
      <c r="EA314" s="372" t="s">
        <v>1484</v>
      </c>
      <c r="EB314" s="372" t="s">
        <v>2663</v>
      </c>
      <c r="EC314" s="372" t="s">
        <v>1820</v>
      </c>
      <c r="ED314" s="447" t="s">
        <v>13802</v>
      </c>
      <c r="EE314" s="372" t="s">
        <v>14386</v>
      </c>
      <c r="EF314" s="372" t="s">
        <v>2664</v>
      </c>
      <c r="EG314" s="372">
        <v>695</v>
      </c>
      <c r="EH314" s="372" t="s">
        <v>2665</v>
      </c>
      <c r="EI314" s="372" t="s">
        <v>2666</v>
      </c>
      <c r="EJ314" s="372" t="s">
        <v>2667</v>
      </c>
      <c r="EK314" s="372" t="s">
        <v>14387</v>
      </c>
      <c r="EL314" s="372" t="s">
        <v>2668</v>
      </c>
      <c r="EM314" t="s">
        <v>14769</v>
      </c>
      <c r="EN314" s="372">
        <v>6672</v>
      </c>
      <c r="EO314" s="369"/>
      <c r="EP314" s="369"/>
      <c r="EQ314" s="369"/>
    </row>
    <row r="315" spans="130:147" ht="15" hidden="1">
      <c r="DZ315" s="372">
        <v>91359</v>
      </c>
      <c r="EA315" s="372" t="s">
        <v>1484</v>
      </c>
      <c r="EB315" s="372" t="s">
        <v>2669</v>
      </c>
      <c r="EC315" s="372" t="s">
        <v>1820</v>
      </c>
      <c r="ED315" s="447" t="s">
        <v>13802</v>
      </c>
      <c r="EE315" s="372" t="s">
        <v>14405</v>
      </c>
      <c r="EF315" s="372" t="s">
        <v>2670</v>
      </c>
      <c r="EG315" s="372">
        <v>160</v>
      </c>
      <c r="EH315" s="372" t="s">
        <v>2671</v>
      </c>
      <c r="EI315" s="372" t="s">
        <v>2672</v>
      </c>
      <c r="EJ315" s="372" t="s">
        <v>2673</v>
      </c>
      <c r="EK315" s="372" t="s">
        <v>14406</v>
      </c>
      <c r="EL315" s="372" t="s">
        <v>2674</v>
      </c>
      <c r="EM315" t="s">
        <v>14769</v>
      </c>
      <c r="EN315" s="372">
        <v>6673</v>
      </c>
      <c r="EO315" s="369"/>
      <c r="EP315" s="369"/>
      <c r="EQ315" s="369"/>
    </row>
    <row r="316" spans="130:147" ht="15" hidden="1">
      <c r="DZ316" s="372">
        <v>91367</v>
      </c>
      <c r="EA316" s="372" t="s">
        <v>1484</v>
      </c>
      <c r="EB316" s="372" t="s">
        <v>2675</v>
      </c>
      <c r="EC316" s="372" t="s">
        <v>1820</v>
      </c>
      <c r="ED316" s="447" t="s">
        <v>13802</v>
      </c>
      <c r="EE316" s="372" t="s">
        <v>14372</v>
      </c>
      <c r="EF316" s="372" t="s">
        <v>2676</v>
      </c>
      <c r="EG316" s="372">
        <v>365</v>
      </c>
      <c r="EH316" s="372" t="s">
        <v>2677</v>
      </c>
      <c r="EI316" s="372" t="s">
        <v>2678</v>
      </c>
      <c r="EJ316" s="372" t="s">
        <v>2679</v>
      </c>
      <c r="EK316" s="372" t="s">
        <v>14373</v>
      </c>
      <c r="EL316" s="372" t="s">
        <v>2680</v>
      </c>
      <c r="EM316" t="s">
        <v>14769</v>
      </c>
      <c r="EN316" s="372">
        <v>6674</v>
      </c>
      <c r="EO316" s="369"/>
      <c r="EP316" s="369"/>
      <c r="EQ316" s="369"/>
    </row>
    <row r="317" spans="130:147" ht="15" hidden="1">
      <c r="DZ317" s="372">
        <v>91375</v>
      </c>
      <c r="EA317" s="372" t="s">
        <v>1484</v>
      </c>
      <c r="EB317" s="372" t="s">
        <v>2681</v>
      </c>
      <c r="EC317" s="372" t="s">
        <v>1820</v>
      </c>
      <c r="ED317" s="447" t="s">
        <v>13802</v>
      </c>
      <c r="EE317" s="372" t="s">
        <v>14426</v>
      </c>
      <c r="EF317" s="372" t="s">
        <v>2682</v>
      </c>
      <c r="EG317" s="372" t="s">
        <v>46</v>
      </c>
      <c r="EH317" s="372" t="s">
        <v>1823</v>
      </c>
      <c r="EI317" s="372" t="s">
        <v>2683</v>
      </c>
      <c r="EJ317" s="372" t="s">
        <v>2684</v>
      </c>
      <c r="EK317" s="372" t="s">
        <v>14427</v>
      </c>
      <c r="EL317" s="372" t="s">
        <v>2685</v>
      </c>
      <c r="EM317" t="s">
        <v>14769</v>
      </c>
      <c r="EN317" s="372">
        <v>6811</v>
      </c>
      <c r="EO317" s="369"/>
      <c r="EP317" s="369"/>
      <c r="EQ317" s="369"/>
    </row>
    <row r="318" spans="130:147" ht="15" hidden="1">
      <c r="DZ318" s="372">
        <v>91383</v>
      </c>
      <c r="EA318" s="372" t="s">
        <v>1484</v>
      </c>
      <c r="EB318" s="372" t="s">
        <v>2686</v>
      </c>
      <c r="EC318" s="372" t="s">
        <v>1820</v>
      </c>
      <c r="ED318" s="447" t="s">
        <v>13802</v>
      </c>
      <c r="EE318" s="372" t="s">
        <v>14364</v>
      </c>
      <c r="EF318" s="372" t="s">
        <v>2687</v>
      </c>
      <c r="EG318" s="372">
        <v>146</v>
      </c>
      <c r="EH318" s="372" t="s">
        <v>1823</v>
      </c>
      <c r="EI318" s="372" t="s">
        <v>2688</v>
      </c>
      <c r="EJ318" s="372" t="s">
        <v>2689</v>
      </c>
      <c r="EK318" s="372" t="s">
        <v>2690</v>
      </c>
      <c r="EL318" s="372" t="s">
        <v>2690</v>
      </c>
      <c r="EM318" t="s">
        <v>14769</v>
      </c>
      <c r="EN318" s="372">
        <v>6812</v>
      </c>
      <c r="EO318" s="369"/>
      <c r="EP318" s="369"/>
      <c r="EQ318" s="369"/>
    </row>
    <row r="319" spans="130:147" ht="15" hidden="1">
      <c r="DZ319" s="372">
        <v>91391</v>
      </c>
      <c r="EA319" s="372" t="s">
        <v>1484</v>
      </c>
      <c r="EB319" s="372" t="s">
        <v>2691</v>
      </c>
      <c r="EC319" s="372" t="s">
        <v>1820</v>
      </c>
      <c r="ED319" s="447" t="s">
        <v>13802</v>
      </c>
      <c r="EE319" s="372" t="s">
        <v>14407</v>
      </c>
      <c r="EF319" s="372" t="s">
        <v>2692</v>
      </c>
      <c r="EG319" s="372">
        <v>150</v>
      </c>
      <c r="EH319" s="372" t="s">
        <v>1823</v>
      </c>
      <c r="EI319" s="372" t="s">
        <v>2693</v>
      </c>
      <c r="EJ319" s="372" t="s">
        <v>2694</v>
      </c>
      <c r="EK319" s="372" t="s">
        <v>14408</v>
      </c>
      <c r="EL319" s="372" t="s">
        <v>2695</v>
      </c>
      <c r="EM319" t="s">
        <v>14769</v>
      </c>
      <c r="EN319" s="372">
        <v>6813</v>
      </c>
      <c r="EO319" s="369"/>
      <c r="EP319" s="369"/>
      <c r="EQ319" s="369"/>
    </row>
    <row r="320" spans="130:147" ht="15" hidden="1">
      <c r="DZ320" s="372">
        <v>91405</v>
      </c>
      <c r="EA320" s="372" t="s">
        <v>1484</v>
      </c>
      <c r="EB320" s="372" t="s">
        <v>2696</v>
      </c>
      <c r="EC320" s="372" t="s">
        <v>1820</v>
      </c>
      <c r="ED320" s="447" t="s">
        <v>13802</v>
      </c>
      <c r="EE320" s="372" t="s">
        <v>14400</v>
      </c>
      <c r="EF320" s="372" t="s">
        <v>2697</v>
      </c>
      <c r="EG320" s="372">
        <v>136</v>
      </c>
      <c r="EH320" s="372" t="s">
        <v>2698</v>
      </c>
      <c r="EI320" s="372" t="s">
        <v>2699</v>
      </c>
      <c r="EJ320" s="372" t="s">
        <v>2700</v>
      </c>
      <c r="EK320" s="372" t="s">
        <v>2701</v>
      </c>
      <c r="EL320" s="372" t="s">
        <v>2701</v>
      </c>
      <c r="EM320" t="s">
        <v>14769</v>
      </c>
      <c r="EN320" s="372">
        <v>6675</v>
      </c>
      <c r="EO320" s="369"/>
      <c r="EP320" s="369"/>
      <c r="EQ320" s="369"/>
    </row>
    <row r="321" spans="130:147" ht="15" hidden="1">
      <c r="DZ321" s="372">
        <v>91413</v>
      </c>
      <c r="EA321" s="372" t="s">
        <v>1484</v>
      </c>
      <c r="EB321" s="372" t="s">
        <v>2702</v>
      </c>
      <c r="EC321" s="372" t="s">
        <v>1820</v>
      </c>
      <c r="ED321" s="447" t="s">
        <v>13802</v>
      </c>
      <c r="EE321" s="372" t="s">
        <v>14422</v>
      </c>
      <c r="EF321" s="372" t="s">
        <v>2703</v>
      </c>
      <c r="EG321" s="372">
        <v>237</v>
      </c>
      <c r="EH321" s="372" t="s">
        <v>2704</v>
      </c>
      <c r="EI321" s="372" t="s">
        <v>2705</v>
      </c>
      <c r="EJ321" s="372" t="s">
        <v>2706</v>
      </c>
      <c r="EK321" s="372" t="s">
        <v>14423</v>
      </c>
      <c r="EL321" s="372"/>
      <c r="EM321" t="s">
        <v>14769</v>
      </c>
      <c r="EN321" s="372">
        <v>6683</v>
      </c>
      <c r="EO321" s="369"/>
      <c r="EP321" s="369"/>
      <c r="EQ321" s="369"/>
    </row>
    <row r="322" spans="130:147" ht="12.75" hidden="1" customHeight="1">
      <c r="DZ322" s="372">
        <v>91421</v>
      </c>
      <c r="EA322" s="372" t="s">
        <v>1484</v>
      </c>
      <c r="EB322" s="372" t="s">
        <v>2707</v>
      </c>
      <c r="EC322" s="372" t="s">
        <v>1820</v>
      </c>
      <c r="ED322" s="447" t="s">
        <v>13802</v>
      </c>
      <c r="EE322" s="372" t="s">
        <v>14346</v>
      </c>
      <c r="EF322" s="372" t="s">
        <v>2708</v>
      </c>
      <c r="EG322" s="372">
        <v>360</v>
      </c>
      <c r="EH322" s="372" t="s">
        <v>2709</v>
      </c>
      <c r="EI322" s="372" t="s">
        <v>2710</v>
      </c>
      <c r="EJ322" s="372" t="s">
        <v>2711</v>
      </c>
      <c r="EK322" s="372" t="s">
        <v>14347</v>
      </c>
      <c r="EL322" s="372" t="s">
        <v>2712</v>
      </c>
      <c r="EM322" t="s">
        <v>14769</v>
      </c>
      <c r="EN322" s="372">
        <v>6677</v>
      </c>
      <c r="EO322" s="369"/>
      <c r="EP322" s="369"/>
      <c r="EQ322" s="369"/>
    </row>
    <row r="323" spans="130:147" hidden="1">
      <c r="DZ323" s="372">
        <v>91430</v>
      </c>
      <c r="EA323" s="372" t="s">
        <v>1484</v>
      </c>
      <c r="EB323" s="372" t="s">
        <v>14791</v>
      </c>
      <c r="EC323" s="372" t="s">
        <v>1626</v>
      </c>
      <c r="ED323" s="447" t="s">
        <v>13763</v>
      </c>
      <c r="EE323" s="372" t="s">
        <v>13952</v>
      </c>
      <c r="EF323" s="372" t="s">
        <v>2713</v>
      </c>
      <c r="EG323" s="372">
        <v>356</v>
      </c>
      <c r="EH323" s="372" t="s">
        <v>2196</v>
      </c>
      <c r="EI323" s="372" t="s">
        <v>2714</v>
      </c>
      <c r="EJ323" s="372" t="s">
        <v>2715</v>
      </c>
      <c r="EK323" s="372" t="s">
        <v>13953</v>
      </c>
      <c r="EL323" s="372" t="s">
        <v>2716</v>
      </c>
      <c r="EM323" s="372" t="s">
        <v>1633</v>
      </c>
      <c r="EN323" s="372">
        <v>6725</v>
      </c>
      <c r="EO323" s="369"/>
      <c r="EP323" s="369"/>
      <c r="EQ323" s="369"/>
    </row>
    <row r="324" spans="130:147" hidden="1">
      <c r="DZ324" s="372">
        <v>91448</v>
      </c>
      <c r="EA324" s="372" t="s">
        <v>1484</v>
      </c>
      <c r="EB324" s="372" t="s">
        <v>2717</v>
      </c>
      <c r="EC324" s="372" t="s">
        <v>1626</v>
      </c>
      <c r="ED324" s="447" t="s">
        <v>13763</v>
      </c>
      <c r="EE324" s="372" t="s">
        <v>13960</v>
      </c>
      <c r="EF324" s="372" t="s">
        <v>2718</v>
      </c>
      <c r="EG324" s="372" t="s">
        <v>46</v>
      </c>
      <c r="EH324" s="372" t="s">
        <v>2196</v>
      </c>
      <c r="EI324" s="372" t="s">
        <v>2719</v>
      </c>
      <c r="EJ324" s="372" t="s">
        <v>2720</v>
      </c>
      <c r="EK324" s="372" t="s">
        <v>2721</v>
      </c>
      <c r="EL324" s="372" t="s">
        <v>2721</v>
      </c>
      <c r="EM324" s="372" t="s">
        <v>1633</v>
      </c>
      <c r="EN324" s="372">
        <v>6726</v>
      </c>
      <c r="EO324" s="369"/>
      <c r="EP324" s="369"/>
      <c r="EQ324" s="369"/>
    </row>
    <row r="325" spans="130:147" hidden="1">
      <c r="DZ325" s="372">
        <v>91456</v>
      </c>
      <c r="EA325" s="372" t="s">
        <v>1484</v>
      </c>
      <c r="EB325" s="372" t="s">
        <v>2722</v>
      </c>
      <c r="EC325" s="372" t="s">
        <v>1626</v>
      </c>
      <c r="ED325" s="447" t="s">
        <v>13763</v>
      </c>
      <c r="EE325" s="372" t="s">
        <v>13942</v>
      </c>
      <c r="EF325" s="372" t="s">
        <v>2723</v>
      </c>
      <c r="EG325" s="372">
        <v>1347</v>
      </c>
      <c r="EH325" s="372" t="s">
        <v>2196</v>
      </c>
      <c r="EI325" s="372" t="s">
        <v>2724</v>
      </c>
      <c r="EJ325" s="372" t="s">
        <v>2725</v>
      </c>
      <c r="EK325" s="372" t="s">
        <v>2726</v>
      </c>
      <c r="EL325" s="372" t="s">
        <v>2726</v>
      </c>
      <c r="EM325" s="372" t="s">
        <v>1633</v>
      </c>
      <c r="EN325" s="372">
        <v>6727</v>
      </c>
      <c r="EO325" s="369"/>
      <c r="EP325" s="369"/>
      <c r="EQ325" s="369"/>
    </row>
    <row r="326" spans="130:147" hidden="1">
      <c r="DZ326" s="372">
        <v>91464</v>
      </c>
      <c r="EA326" s="372" t="s">
        <v>1484</v>
      </c>
      <c r="EB326" s="372" t="s">
        <v>2727</v>
      </c>
      <c r="EC326" s="372" t="s">
        <v>1626</v>
      </c>
      <c r="ED326" s="447" t="s">
        <v>13763</v>
      </c>
      <c r="EE326" s="372" t="s">
        <v>13921</v>
      </c>
      <c r="EF326" s="372" t="s">
        <v>2728</v>
      </c>
      <c r="EG326" s="372">
        <v>182</v>
      </c>
      <c r="EH326" s="372" t="s">
        <v>2196</v>
      </c>
      <c r="EI326" s="372" t="s">
        <v>2729</v>
      </c>
      <c r="EJ326" s="372" t="s">
        <v>2730</v>
      </c>
      <c r="EK326" s="372" t="s">
        <v>13922</v>
      </c>
      <c r="EL326" s="372" t="s">
        <v>2731</v>
      </c>
      <c r="EM326" s="372" t="s">
        <v>1633</v>
      </c>
      <c r="EN326" s="372">
        <v>6728</v>
      </c>
      <c r="EO326" s="369"/>
      <c r="EP326" s="369"/>
      <c r="EQ326" s="369"/>
    </row>
    <row r="327" spans="130:147" ht="12.75" hidden="1" customHeight="1">
      <c r="DZ327" s="372">
        <v>91472</v>
      </c>
      <c r="EA327" s="372" t="s">
        <v>1484</v>
      </c>
      <c r="EB327" s="372" t="s">
        <v>2732</v>
      </c>
      <c r="EC327" s="372" t="s">
        <v>1626</v>
      </c>
      <c r="ED327" s="447" t="s">
        <v>13763</v>
      </c>
      <c r="EE327" s="372" t="s">
        <v>13944</v>
      </c>
      <c r="EF327" s="372" t="s">
        <v>2733</v>
      </c>
      <c r="EG327" s="372">
        <v>2</v>
      </c>
      <c r="EH327" s="372" t="s">
        <v>2734</v>
      </c>
      <c r="EI327" s="372" t="s">
        <v>2735</v>
      </c>
      <c r="EJ327" s="372" t="s">
        <v>2736</v>
      </c>
      <c r="EK327" s="372" t="s">
        <v>13945</v>
      </c>
      <c r="EL327" s="372" t="s">
        <v>2737</v>
      </c>
      <c r="EM327" s="372" t="s">
        <v>1633</v>
      </c>
      <c r="EN327" s="372">
        <v>6729</v>
      </c>
      <c r="EO327" s="369"/>
      <c r="EP327" s="369"/>
      <c r="EQ327" s="369"/>
    </row>
    <row r="328" spans="130:147" ht="12.75" hidden="1" customHeight="1">
      <c r="DZ328" s="372">
        <v>91481</v>
      </c>
      <c r="EA328" s="372" t="s">
        <v>1484</v>
      </c>
      <c r="EB328" s="372" t="s">
        <v>2738</v>
      </c>
      <c r="EC328" s="372" t="s">
        <v>1626</v>
      </c>
      <c r="ED328" s="447" t="s">
        <v>13763</v>
      </c>
      <c r="EE328" s="372" t="s">
        <v>13928</v>
      </c>
      <c r="EF328" s="372" t="s">
        <v>2739</v>
      </c>
      <c r="EG328" s="372">
        <v>12</v>
      </c>
      <c r="EH328" s="372" t="s">
        <v>2740</v>
      </c>
      <c r="EI328" s="372" t="s">
        <v>2741</v>
      </c>
      <c r="EJ328" s="372" t="s">
        <v>2742</v>
      </c>
      <c r="EK328" s="372" t="s">
        <v>13929</v>
      </c>
      <c r="EL328" s="372" t="s">
        <v>2743</v>
      </c>
      <c r="EM328" s="372" t="s">
        <v>1633</v>
      </c>
      <c r="EN328" s="372">
        <v>6730</v>
      </c>
      <c r="EO328" s="369"/>
      <c r="EP328" s="369"/>
    </row>
    <row r="329" spans="130:147" hidden="1">
      <c r="DZ329" s="372">
        <v>91499</v>
      </c>
      <c r="EA329" s="372" t="s">
        <v>1484</v>
      </c>
      <c r="EB329" s="372" t="s">
        <v>2744</v>
      </c>
      <c r="EC329" s="372" t="s">
        <v>1626</v>
      </c>
      <c r="ED329" s="447" t="s">
        <v>13763</v>
      </c>
      <c r="EE329" s="372" t="s">
        <v>2745</v>
      </c>
      <c r="EF329" s="372" t="s">
        <v>2746</v>
      </c>
      <c r="EG329" s="372">
        <v>60</v>
      </c>
      <c r="EH329" s="372" t="s">
        <v>2747</v>
      </c>
      <c r="EI329" s="372" t="s">
        <v>2748</v>
      </c>
      <c r="EJ329" s="372" t="s">
        <v>2749</v>
      </c>
      <c r="EK329" s="372" t="s">
        <v>13930</v>
      </c>
      <c r="EL329" s="372" t="s">
        <v>2750</v>
      </c>
      <c r="EM329" s="372" t="s">
        <v>1633</v>
      </c>
      <c r="EN329" s="372">
        <v>6731</v>
      </c>
      <c r="EO329" s="369"/>
      <c r="EP329" s="369"/>
      <c r="EQ329" s="369"/>
    </row>
    <row r="330" spans="130:147" ht="15" hidden="1">
      <c r="DZ330" s="372">
        <v>91502</v>
      </c>
      <c r="EA330" s="457" t="s">
        <v>1484</v>
      </c>
      <c r="EB330" s="457" t="s">
        <v>2751</v>
      </c>
      <c r="EC330" s="372" t="s">
        <v>1626</v>
      </c>
      <c r="ED330" s="447" t="s">
        <v>13763</v>
      </c>
      <c r="EE330" s="457" t="s">
        <v>2752</v>
      </c>
      <c r="EF330" s="457" t="s">
        <v>2753</v>
      </c>
      <c r="EG330" s="457">
        <v>205</v>
      </c>
      <c r="EH330" s="457" t="s">
        <v>2754</v>
      </c>
      <c r="EI330" s="457" t="s">
        <v>2755</v>
      </c>
      <c r="EJ330" s="372" t="s">
        <v>2756</v>
      </c>
      <c r="EK330" s="372" t="s">
        <v>2757</v>
      </c>
      <c r="EL330" s="372" t="s">
        <v>2757</v>
      </c>
      <c r="EM330" s="372" t="s">
        <v>1633</v>
      </c>
      <c r="EN330" s="372">
        <v>6718</v>
      </c>
      <c r="EO330" s="369"/>
      <c r="EP330"/>
      <c r="EQ330" s="369"/>
    </row>
    <row r="331" spans="130:147" ht="12.75" hidden="1" customHeight="1">
      <c r="DZ331" s="372">
        <v>91511</v>
      </c>
      <c r="EA331" s="372" t="s">
        <v>1484</v>
      </c>
      <c r="EB331" s="372" t="s">
        <v>2758</v>
      </c>
      <c r="EC331" s="372" t="s">
        <v>1626</v>
      </c>
      <c r="ED331" s="447" t="s">
        <v>13763</v>
      </c>
      <c r="EE331" s="372" t="s">
        <v>13950</v>
      </c>
      <c r="EF331" s="372" t="s">
        <v>2759</v>
      </c>
      <c r="EG331" s="372">
        <v>140</v>
      </c>
      <c r="EH331" s="372" t="s">
        <v>2760</v>
      </c>
      <c r="EI331" s="372" t="s">
        <v>2761</v>
      </c>
      <c r="EJ331" s="372" t="s">
        <v>2762</v>
      </c>
      <c r="EK331" s="372" t="s">
        <v>13951</v>
      </c>
      <c r="EL331" s="372" t="s">
        <v>2763</v>
      </c>
      <c r="EM331" s="372" t="s">
        <v>1633</v>
      </c>
      <c r="EN331" s="372">
        <v>6719</v>
      </c>
      <c r="EO331"/>
      <c r="EP331" s="369"/>
      <c r="EQ331" s="369"/>
    </row>
    <row r="332" spans="130:147" hidden="1">
      <c r="DZ332" s="458">
        <v>91529</v>
      </c>
      <c r="EA332" s="458" t="s">
        <v>1484</v>
      </c>
      <c r="EB332" s="458" t="s">
        <v>2764</v>
      </c>
      <c r="EC332" s="458" t="s">
        <v>1626</v>
      </c>
      <c r="ED332" s="447" t="s">
        <v>13763</v>
      </c>
      <c r="EE332" s="458" t="s">
        <v>13936</v>
      </c>
      <c r="EF332" s="458" t="s">
        <v>2765</v>
      </c>
      <c r="EG332" s="458">
        <v>19</v>
      </c>
      <c r="EH332" s="458" t="s">
        <v>2766</v>
      </c>
      <c r="EI332" s="458" t="s">
        <v>2767</v>
      </c>
      <c r="EJ332" s="458" t="s">
        <v>2768</v>
      </c>
      <c r="EK332" s="458" t="s">
        <v>1735</v>
      </c>
      <c r="EL332" s="458" t="s">
        <v>1735</v>
      </c>
      <c r="EM332" s="372" t="s">
        <v>1633</v>
      </c>
      <c r="EN332" s="458">
        <v>6720</v>
      </c>
      <c r="EO332" s="369"/>
      <c r="EP332" s="369"/>
      <c r="EQ332" s="369"/>
    </row>
    <row r="333" spans="130:147" hidden="1">
      <c r="DZ333" s="458">
        <v>91537</v>
      </c>
      <c r="EA333" s="458" t="s">
        <v>1484</v>
      </c>
      <c r="EB333" s="458" t="s">
        <v>2769</v>
      </c>
      <c r="EC333" s="458" t="s">
        <v>1626</v>
      </c>
      <c r="ED333" s="447" t="s">
        <v>13763</v>
      </c>
      <c r="EE333" s="458" t="s">
        <v>13963</v>
      </c>
      <c r="EF333" s="458" t="s">
        <v>2770</v>
      </c>
      <c r="EG333" s="458" t="s">
        <v>46</v>
      </c>
      <c r="EH333" s="458" t="s">
        <v>2771</v>
      </c>
      <c r="EI333" s="458" t="s">
        <v>2772</v>
      </c>
      <c r="EJ333" s="458" t="s">
        <v>2773</v>
      </c>
      <c r="EK333" s="458" t="s">
        <v>2774</v>
      </c>
      <c r="EL333" s="458" t="s">
        <v>2774</v>
      </c>
      <c r="EM333" s="372" t="s">
        <v>1633</v>
      </c>
      <c r="EN333" s="458">
        <v>6721</v>
      </c>
      <c r="EO333" s="369"/>
      <c r="EP333" s="369"/>
      <c r="EQ333" s="369"/>
    </row>
    <row r="334" spans="130:147" hidden="1">
      <c r="DZ334" s="458">
        <v>91545</v>
      </c>
      <c r="EA334" s="458" t="s">
        <v>1484</v>
      </c>
      <c r="EB334" s="458" t="s">
        <v>2775</v>
      </c>
      <c r="EC334" s="458" t="s">
        <v>1626</v>
      </c>
      <c r="ED334" s="447" t="s">
        <v>13763</v>
      </c>
      <c r="EE334" s="458" t="s">
        <v>13948</v>
      </c>
      <c r="EF334" s="458" t="s">
        <v>2776</v>
      </c>
      <c r="EG334" s="458">
        <v>64</v>
      </c>
      <c r="EH334" s="458" t="s">
        <v>2777</v>
      </c>
      <c r="EI334" s="458" t="s">
        <v>2778</v>
      </c>
      <c r="EJ334" s="458" t="s">
        <v>2779</v>
      </c>
      <c r="EK334" s="458" t="s">
        <v>13949</v>
      </c>
      <c r="EL334" s="458" t="s">
        <v>2780</v>
      </c>
      <c r="EM334" s="372" t="s">
        <v>1633</v>
      </c>
      <c r="EN334" s="458">
        <v>6740</v>
      </c>
      <c r="EO334" s="369"/>
      <c r="EP334" s="369"/>
      <c r="EQ334" s="369"/>
    </row>
    <row r="335" spans="130:147" hidden="1">
      <c r="DZ335" s="458">
        <v>91553</v>
      </c>
      <c r="EA335" s="458" t="s">
        <v>1484</v>
      </c>
      <c r="EB335" s="458" t="s">
        <v>2785</v>
      </c>
      <c r="EC335" s="458" t="s">
        <v>1626</v>
      </c>
      <c r="ED335" s="447" t="s">
        <v>13763</v>
      </c>
      <c r="EE335" s="458" t="s">
        <v>13958</v>
      </c>
      <c r="EF335" s="458" t="s">
        <v>2781</v>
      </c>
      <c r="EG335" s="458">
        <v>358</v>
      </c>
      <c r="EH335" s="458" t="s">
        <v>2782</v>
      </c>
      <c r="EI335" s="458" t="s">
        <v>2783</v>
      </c>
      <c r="EJ335" s="458" t="s">
        <v>2786</v>
      </c>
      <c r="EK335" s="458" t="s">
        <v>2784</v>
      </c>
      <c r="EL335" s="458" t="s">
        <v>2784</v>
      </c>
      <c r="EM335" s="372" t="s">
        <v>1633</v>
      </c>
      <c r="EN335" s="458">
        <v>6723</v>
      </c>
      <c r="EO335" s="369"/>
      <c r="EP335" s="369"/>
      <c r="EQ335" s="369"/>
    </row>
    <row r="336" spans="130:147" hidden="1">
      <c r="DZ336" s="458">
        <v>91561</v>
      </c>
      <c r="EA336" s="458" t="s">
        <v>1484</v>
      </c>
      <c r="EB336" s="458" t="s">
        <v>2787</v>
      </c>
      <c r="EC336" s="458" t="s">
        <v>1626</v>
      </c>
      <c r="ED336" s="447" t="s">
        <v>13763</v>
      </c>
      <c r="EE336" s="458" t="s">
        <v>13925</v>
      </c>
      <c r="EF336" s="458" t="s">
        <v>2788</v>
      </c>
      <c r="EG336" s="458">
        <v>70</v>
      </c>
      <c r="EH336" s="458" t="s">
        <v>2789</v>
      </c>
      <c r="EI336" s="458" t="s">
        <v>2790</v>
      </c>
      <c r="EJ336" s="458" t="s">
        <v>2791</v>
      </c>
      <c r="EK336" s="458" t="s">
        <v>13926</v>
      </c>
      <c r="EL336" s="458" t="s">
        <v>2792</v>
      </c>
      <c r="EM336" s="372" t="s">
        <v>1633</v>
      </c>
      <c r="EN336" s="458">
        <v>6724</v>
      </c>
      <c r="EO336" s="369"/>
      <c r="EP336" s="369"/>
      <c r="EQ336" s="369"/>
    </row>
    <row r="337" spans="130:147" hidden="1">
      <c r="DZ337" s="458">
        <v>91570</v>
      </c>
      <c r="EA337" s="458" t="s">
        <v>1484</v>
      </c>
      <c r="EB337" s="458" t="s">
        <v>2793</v>
      </c>
      <c r="EC337" s="458" t="s">
        <v>1626</v>
      </c>
      <c r="ED337" s="447" t="s">
        <v>13763</v>
      </c>
      <c r="EE337" s="458" t="s">
        <v>13940</v>
      </c>
      <c r="EF337" s="458" t="s">
        <v>2794</v>
      </c>
      <c r="EG337" s="458">
        <v>800</v>
      </c>
      <c r="EH337" s="458" t="s">
        <v>2795</v>
      </c>
      <c r="EI337" s="458" t="s">
        <v>2796</v>
      </c>
      <c r="EJ337" s="458" t="s">
        <v>2797</v>
      </c>
      <c r="EK337" s="458" t="s">
        <v>13941</v>
      </c>
      <c r="EL337" s="458" t="s">
        <v>2798</v>
      </c>
      <c r="EM337" s="372" t="s">
        <v>1633</v>
      </c>
      <c r="EN337" s="458">
        <v>6732</v>
      </c>
      <c r="EP337" s="369"/>
      <c r="EQ337" s="369"/>
    </row>
    <row r="338" spans="130:147" hidden="1">
      <c r="DZ338" s="458">
        <v>91588</v>
      </c>
      <c r="EA338" s="458" t="s">
        <v>1484</v>
      </c>
      <c r="EB338" s="458" t="s">
        <v>2799</v>
      </c>
      <c r="EC338" s="458" t="s">
        <v>1626</v>
      </c>
      <c r="ED338" s="447" t="s">
        <v>13763</v>
      </c>
      <c r="EE338" s="458" t="s">
        <v>2800</v>
      </c>
      <c r="EF338" s="458" t="s">
        <v>2801</v>
      </c>
      <c r="EG338" s="458">
        <v>117</v>
      </c>
      <c r="EH338" s="458" t="s">
        <v>2802</v>
      </c>
      <c r="EI338" s="458" t="s">
        <v>2803</v>
      </c>
      <c r="EJ338" s="458" t="s">
        <v>2804</v>
      </c>
      <c r="EK338" s="458" t="s">
        <v>2805</v>
      </c>
      <c r="EL338" s="458" t="s">
        <v>2805</v>
      </c>
      <c r="EM338" s="372" t="s">
        <v>1633</v>
      </c>
      <c r="EN338" s="458">
        <v>6733</v>
      </c>
      <c r="EP338" s="369"/>
      <c r="EQ338" s="369"/>
    </row>
    <row r="339" spans="130:147" hidden="1">
      <c r="DZ339" s="458">
        <v>91596</v>
      </c>
      <c r="EA339" s="458" t="s">
        <v>1484</v>
      </c>
      <c r="EB339" s="458" t="s">
        <v>2806</v>
      </c>
      <c r="EC339" s="458" t="s">
        <v>1626</v>
      </c>
      <c r="ED339" s="447" t="s">
        <v>13763</v>
      </c>
      <c r="EE339" s="458" t="s">
        <v>2807</v>
      </c>
      <c r="EF339" s="458" t="s">
        <v>2808</v>
      </c>
      <c r="EG339" s="458">
        <v>911</v>
      </c>
      <c r="EH339" s="458" t="s">
        <v>2809</v>
      </c>
      <c r="EI339" s="458" t="s">
        <v>2810</v>
      </c>
      <c r="EJ339" s="458" t="s">
        <v>2811</v>
      </c>
      <c r="EK339" s="458" t="s">
        <v>2812</v>
      </c>
      <c r="EL339" s="458" t="s">
        <v>2812</v>
      </c>
      <c r="EM339" s="372" t="s">
        <v>1633</v>
      </c>
      <c r="EN339" s="458">
        <v>6734</v>
      </c>
      <c r="EO339" s="369"/>
      <c r="EP339" s="369"/>
      <c r="EQ339" s="369"/>
    </row>
    <row r="340" spans="130:147" hidden="1">
      <c r="DZ340" s="458">
        <v>91600</v>
      </c>
      <c r="EA340" s="472" t="s">
        <v>1484</v>
      </c>
      <c r="EB340" s="458" t="s">
        <v>14527</v>
      </c>
      <c r="EC340" s="458" t="s">
        <v>13777</v>
      </c>
      <c r="ED340" s="405" t="s">
        <v>13778</v>
      </c>
      <c r="EE340" s="472" t="s">
        <v>14528</v>
      </c>
      <c r="EF340" s="473" t="s">
        <v>14529</v>
      </c>
      <c r="EG340" s="473">
        <v>66</v>
      </c>
      <c r="EH340" s="474" t="s">
        <v>14530</v>
      </c>
      <c r="EI340" s="473" t="str">
        <f t="shared" ref="EI340:EI351" si="58">EF340&amp;", "&amp;EG340&amp;" - "&amp;EH340</f>
        <v>RUA URATINGA, 66 - VILA CATUPIÁ</v>
      </c>
      <c r="EJ340" s="475">
        <v>2933140</v>
      </c>
      <c r="EK340" s="472" t="s">
        <v>14531</v>
      </c>
      <c r="EL340" s="476"/>
      <c r="EM340" s="372" t="s">
        <v>1633</v>
      </c>
      <c r="EN340" s="458">
        <v>6742</v>
      </c>
      <c r="EO340" s="369"/>
      <c r="EP340" s="369"/>
      <c r="EQ340" s="369"/>
    </row>
    <row r="341" spans="130:147" hidden="1">
      <c r="DZ341" s="458">
        <v>91618</v>
      </c>
      <c r="EA341" s="472" t="s">
        <v>1484</v>
      </c>
      <c r="EB341" s="458" t="s">
        <v>14602</v>
      </c>
      <c r="EC341" s="458" t="s">
        <v>13777</v>
      </c>
      <c r="ED341" s="405" t="s">
        <v>13778</v>
      </c>
      <c r="EE341" s="472" t="s">
        <v>14603</v>
      </c>
      <c r="EF341" s="473" t="s">
        <v>14604</v>
      </c>
      <c r="EG341" s="473" t="s">
        <v>46</v>
      </c>
      <c r="EH341" s="474" t="s">
        <v>14436</v>
      </c>
      <c r="EI341" s="473" t="str">
        <f t="shared" si="58"/>
        <v>PRAÇA BALTAZAR DE GODOY, S/N - PIRITUBA</v>
      </c>
      <c r="EJ341" s="475">
        <v>2935110</v>
      </c>
      <c r="EK341" s="472" t="s">
        <v>14605</v>
      </c>
      <c r="EL341" s="476"/>
      <c r="EM341" s="372" t="s">
        <v>1633</v>
      </c>
      <c r="EN341" s="458">
        <v>6743</v>
      </c>
      <c r="EO341" s="369"/>
      <c r="EP341" s="369"/>
      <c r="EQ341" s="369"/>
    </row>
    <row r="342" spans="130:147" hidden="1">
      <c r="DZ342" s="458">
        <v>91626</v>
      </c>
      <c r="EA342" s="472" t="s">
        <v>1484</v>
      </c>
      <c r="EB342" s="458" t="s">
        <v>14582</v>
      </c>
      <c r="EC342" s="458" t="s">
        <v>13777</v>
      </c>
      <c r="ED342" s="405" t="s">
        <v>13778</v>
      </c>
      <c r="EE342" s="472" t="s">
        <v>14583</v>
      </c>
      <c r="EF342" s="473" t="s">
        <v>14584</v>
      </c>
      <c r="EG342" s="473">
        <v>185</v>
      </c>
      <c r="EH342" s="474" t="s">
        <v>14585</v>
      </c>
      <c r="EI342" s="473" t="str">
        <f t="shared" si="58"/>
        <v>RUA SILVINO DE GODOI, 185 - JARDIM CIDADE PIRITUBA</v>
      </c>
      <c r="EJ342" s="475">
        <v>2942030</v>
      </c>
      <c r="EK342" s="472" t="s">
        <v>14586</v>
      </c>
      <c r="EL342" s="476"/>
      <c r="EM342" s="372" t="s">
        <v>1633</v>
      </c>
      <c r="EN342" s="458">
        <v>6744</v>
      </c>
      <c r="EO342" s="369"/>
      <c r="EP342" s="369"/>
      <c r="EQ342" s="369"/>
    </row>
    <row r="343" spans="130:147" hidden="1">
      <c r="DZ343" s="458">
        <v>91634</v>
      </c>
      <c r="EA343" s="472" t="s">
        <v>1484</v>
      </c>
      <c r="EB343" s="458" t="s">
        <v>14453</v>
      </c>
      <c r="EC343" s="458" t="s">
        <v>13777</v>
      </c>
      <c r="ED343" s="405" t="s">
        <v>13778</v>
      </c>
      <c r="EE343" s="472" t="s">
        <v>14454</v>
      </c>
      <c r="EF343" s="473" t="s">
        <v>14455</v>
      </c>
      <c r="EG343" s="473">
        <v>81</v>
      </c>
      <c r="EH343" s="474" t="s">
        <v>14456</v>
      </c>
      <c r="EI343" s="473" t="str">
        <f t="shared" si="58"/>
        <v>RUA EGÍDIO FELINI, 81 - PARADA DE TAIPAS</v>
      </c>
      <c r="EJ343" s="475">
        <v>2815040</v>
      </c>
      <c r="EK343" s="472" t="s">
        <v>14457</v>
      </c>
      <c r="EL343" s="476"/>
      <c r="EM343" s="372" t="s">
        <v>1633</v>
      </c>
      <c r="EN343" s="458">
        <v>6745</v>
      </c>
      <c r="EO343" s="369"/>
      <c r="EP343" s="369"/>
      <c r="EQ343" s="369"/>
    </row>
    <row r="344" spans="130:147" hidden="1">
      <c r="DZ344" s="372">
        <v>91642</v>
      </c>
      <c r="EA344" s="459" t="s">
        <v>1484</v>
      </c>
      <c r="EB344" s="372" t="s">
        <v>14476</v>
      </c>
      <c r="EC344" s="372" t="s">
        <v>13777</v>
      </c>
      <c r="ED344" s="405" t="s">
        <v>13778</v>
      </c>
      <c r="EE344" s="459" t="s">
        <v>14477</v>
      </c>
      <c r="EF344" s="405" t="s">
        <v>14478</v>
      </c>
      <c r="EG344" s="405">
        <v>510</v>
      </c>
      <c r="EH344" s="460" t="s">
        <v>14479</v>
      </c>
      <c r="EI344" s="405" t="str">
        <f t="shared" si="58"/>
        <v>RUA BARRA DA FORQUILHA, 510 - JARDIM PANAMERICANO</v>
      </c>
      <c r="EJ344" s="461">
        <v>2993000</v>
      </c>
      <c r="EK344" s="459" t="s">
        <v>14480</v>
      </c>
      <c r="EL344" s="447"/>
      <c r="EM344" s="372" t="s">
        <v>1633</v>
      </c>
      <c r="EN344" s="372">
        <v>6746</v>
      </c>
      <c r="EO344" s="369"/>
      <c r="EP344" s="369"/>
      <c r="EQ344" s="369"/>
    </row>
    <row r="345" spans="130:147" hidden="1">
      <c r="DZ345" s="458">
        <v>91651</v>
      </c>
      <c r="EA345" s="472" t="s">
        <v>1484</v>
      </c>
      <c r="EB345" s="458" t="s">
        <v>14532</v>
      </c>
      <c r="EC345" s="458" t="s">
        <v>13777</v>
      </c>
      <c r="ED345" s="405" t="s">
        <v>13778</v>
      </c>
      <c r="EE345" s="472" t="s">
        <v>14533</v>
      </c>
      <c r="EF345" s="473" t="s">
        <v>14534</v>
      </c>
      <c r="EG345" s="473">
        <v>476</v>
      </c>
      <c r="EH345" s="474" t="s">
        <v>14447</v>
      </c>
      <c r="EI345" s="473" t="str">
        <f t="shared" si="58"/>
        <v>RUA ANTONIO MAIA, 476 - PERUS</v>
      </c>
      <c r="EJ345" s="475">
        <v>5204110</v>
      </c>
      <c r="EK345" s="472" t="s">
        <v>14535</v>
      </c>
      <c r="EL345" s="476"/>
      <c r="EM345" s="372" t="s">
        <v>1633</v>
      </c>
      <c r="EN345" s="458">
        <v>6755</v>
      </c>
      <c r="EO345" s="369"/>
      <c r="EP345" s="369"/>
      <c r="EQ345" s="369"/>
    </row>
    <row r="346" spans="130:147" hidden="1">
      <c r="DZ346" s="458">
        <v>91669</v>
      </c>
      <c r="EA346" s="472" t="s">
        <v>1484</v>
      </c>
      <c r="EB346" s="458" t="s">
        <v>14559</v>
      </c>
      <c r="EC346" s="458" t="s">
        <v>13777</v>
      </c>
      <c r="ED346" s="405" t="s">
        <v>13778</v>
      </c>
      <c r="EE346" s="472" t="s">
        <v>14560</v>
      </c>
      <c r="EF346" s="473" t="s">
        <v>14561</v>
      </c>
      <c r="EG346" s="473">
        <v>65</v>
      </c>
      <c r="EH346" s="474" t="s">
        <v>14562</v>
      </c>
      <c r="EI346" s="473" t="str">
        <f t="shared" si="58"/>
        <v>RUA MAJOR ALFREDO ROMÃO, 65 - VILA CLARICE</v>
      </c>
      <c r="EJ346" s="475">
        <v>5177030</v>
      </c>
      <c r="EK346" s="472" t="s">
        <v>14563</v>
      </c>
      <c r="EL346" s="476"/>
      <c r="EM346" s="372" t="s">
        <v>1633</v>
      </c>
      <c r="EN346" s="458">
        <v>6747</v>
      </c>
      <c r="EO346" s="369"/>
      <c r="EP346" s="369"/>
      <c r="EQ346" s="369"/>
    </row>
    <row r="347" spans="130:147" hidden="1">
      <c r="DZ347" s="458">
        <v>91677</v>
      </c>
      <c r="EA347" s="472" t="s">
        <v>1484</v>
      </c>
      <c r="EB347" s="458" t="s">
        <v>14433</v>
      </c>
      <c r="EC347" s="458" t="s">
        <v>13777</v>
      </c>
      <c r="ED347" s="405" t="s">
        <v>13778</v>
      </c>
      <c r="EE347" s="472" t="s">
        <v>14434</v>
      </c>
      <c r="EF347" s="473" t="s">
        <v>14435</v>
      </c>
      <c r="EG347" s="473">
        <v>1406</v>
      </c>
      <c r="EH347" s="474" t="s">
        <v>14436</v>
      </c>
      <c r="EI347" s="473" t="str">
        <f t="shared" si="58"/>
        <v>AVENIDA MUTINGA, 1406 - PIRITUBA</v>
      </c>
      <c r="EJ347" s="475">
        <v>5110000</v>
      </c>
      <c r="EK347" s="472" t="s">
        <v>14437</v>
      </c>
      <c r="EL347" s="476"/>
      <c r="EM347" s="372" t="s">
        <v>1633</v>
      </c>
      <c r="EN347" s="458">
        <v>6748</v>
      </c>
      <c r="EO347" s="369"/>
      <c r="EP347" s="369"/>
      <c r="EQ347" s="369"/>
    </row>
    <row r="348" spans="130:147" hidden="1">
      <c r="DZ348" s="372">
        <v>91685</v>
      </c>
      <c r="EA348" s="459" t="s">
        <v>1484</v>
      </c>
      <c r="EB348" s="372" t="s">
        <v>14544</v>
      </c>
      <c r="EC348" s="372" t="s">
        <v>13777</v>
      </c>
      <c r="ED348" s="405" t="s">
        <v>13778</v>
      </c>
      <c r="EE348" s="459" t="s">
        <v>14545</v>
      </c>
      <c r="EF348" s="405" t="s">
        <v>14546</v>
      </c>
      <c r="EG348" s="405" t="s">
        <v>46</v>
      </c>
      <c r="EH348" s="460" t="s">
        <v>14547</v>
      </c>
      <c r="EI348" s="405" t="str">
        <f t="shared" si="58"/>
        <v>RUA CARLO PERINELLO, S/N - VILA MANGALOT</v>
      </c>
      <c r="EJ348" s="461">
        <v>5132210</v>
      </c>
      <c r="EK348" s="459" t="s">
        <v>14548</v>
      </c>
      <c r="EL348" s="447"/>
      <c r="EM348" s="372" t="s">
        <v>1633</v>
      </c>
      <c r="EN348" s="372">
        <v>6749</v>
      </c>
      <c r="EO348" s="369"/>
      <c r="EP348" s="369"/>
      <c r="EQ348" s="369"/>
    </row>
    <row r="349" spans="130:147" hidden="1">
      <c r="DZ349" s="372">
        <v>91693</v>
      </c>
      <c r="EA349" s="459" t="s">
        <v>1484</v>
      </c>
      <c r="EB349" s="372" t="s">
        <v>14442</v>
      </c>
      <c r="EC349" s="372" t="s">
        <v>13777</v>
      </c>
      <c r="ED349" s="405" t="s">
        <v>13778</v>
      </c>
      <c r="EE349" s="459" t="s">
        <v>14443</v>
      </c>
      <c r="EF349" s="405" t="s">
        <v>14435</v>
      </c>
      <c r="EG349" s="405">
        <v>4855</v>
      </c>
      <c r="EH349" s="460" t="s">
        <v>14444</v>
      </c>
      <c r="EI349" s="405" t="str">
        <f t="shared" si="58"/>
        <v>AVENIDA MUTINGA, 4855 - VILA PIAUI</v>
      </c>
      <c r="EJ349" s="461">
        <v>510000</v>
      </c>
      <c r="EK349" s="459" t="s">
        <v>14445</v>
      </c>
      <c r="EL349" s="447"/>
      <c r="EM349" s="372" t="s">
        <v>1633</v>
      </c>
      <c r="EN349" s="372">
        <v>11298</v>
      </c>
      <c r="EO349" s="369"/>
      <c r="EP349" s="369"/>
      <c r="EQ349" s="369"/>
    </row>
    <row r="350" spans="130:147" hidden="1">
      <c r="DZ350" s="372">
        <v>91707</v>
      </c>
      <c r="EA350" s="459" t="s">
        <v>1484</v>
      </c>
      <c r="EB350" s="372" t="s">
        <v>14554</v>
      </c>
      <c r="EC350" s="372" t="s">
        <v>13777</v>
      </c>
      <c r="ED350" s="405" t="s">
        <v>13778</v>
      </c>
      <c r="EE350" s="459" t="s">
        <v>14555</v>
      </c>
      <c r="EF350" s="405" t="s">
        <v>14556</v>
      </c>
      <c r="EG350" s="405">
        <v>677</v>
      </c>
      <c r="EH350" s="460" t="s">
        <v>14557</v>
      </c>
      <c r="EI350" s="405" t="str">
        <f t="shared" si="58"/>
        <v>RUA PAUVA, 677 - VILA JAGUARA</v>
      </c>
      <c r="EJ350" s="461">
        <v>5116001</v>
      </c>
      <c r="EK350" s="459" t="s">
        <v>14558</v>
      </c>
      <c r="EL350" s="447"/>
      <c r="EM350" s="372" t="s">
        <v>1633</v>
      </c>
      <c r="EN350" s="372">
        <v>11224</v>
      </c>
      <c r="EO350" s="369"/>
      <c r="EP350" s="369"/>
      <c r="EQ350" s="369"/>
    </row>
    <row r="351" spans="130:147" hidden="1">
      <c r="DZ351" s="372">
        <v>91715</v>
      </c>
      <c r="EA351" s="459" t="s">
        <v>1484</v>
      </c>
      <c r="EB351" s="372" t="s">
        <v>14748</v>
      </c>
      <c r="EC351" s="372" t="s">
        <v>13777</v>
      </c>
      <c r="ED351" s="405" t="s">
        <v>13778</v>
      </c>
      <c r="EE351" s="481" t="s">
        <v>14749</v>
      </c>
      <c r="EF351" s="405" t="s">
        <v>14446</v>
      </c>
      <c r="EG351" s="405">
        <v>170</v>
      </c>
      <c r="EH351" s="460" t="s">
        <v>14447</v>
      </c>
      <c r="EI351" s="405" t="str">
        <f t="shared" si="58"/>
        <v>RUA JULIO DE OLIVEIRA, 170 - PERUS</v>
      </c>
      <c r="EJ351" s="461">
        <v>5201070</v>
      </c>
      <c r="EK351" s="459" t="s">
        <v>14448</v>
      </c>
      <c r="EL351" s="447"/>
      <c r="EM351" s="372" t="s">
        <v>1633</v>
      </c>
      <c r="EN351" s="372">
        <v>6756</v>
      </c>
      <c r="EO351" s="369"/>
      <c r="EP351" s="369"/>
      <c r="EQ351" s="369"/>
    </row>
    <row r="352" spans="130:147" hidden="1">
      <c r="DZ352" s="372">
        <v>91723</v>
      </c>
      <c r="EA352" s="372" t="s">
        <v>1484</v>
      </c>
      <c r="EB352" s="372" t="s">
        <v>2813</v>
      </c>
      <c r="EC352" s="372" t="s">
        <v>1626</v>
      </c>
      <c r="ED352" s="447" t="s">
        <v>13763</v>
      </c>
      <c r="EE352" s="372" t="s">
        <v>13954</v>
      </c>
      <c r="EF352" s="372" t="s">
        <v>2814</v>
      </c>
      <c r="EG352" s="372">
        <v>151</v>
      </c>
      <c r="EH352" s="372" t="s">
        <v>2815</v>
      </c>
      <c r="EI352" s="372" t="s">
        <v>2816</v>
      </c>
      <c r="EJ352" s="372" t="s">
        <v>2817</v>
      </c>
      <c r="EK352" s="372" t="s">
        <v>13955</v>
      </c>
      <c r="EL352" s="372" t="s">
        <v>2818</v>
      </c>
      <c r="EM352" s="372" t="s">
        <v>1633</v>
      </c>
      <c r="EN352" s="372">
        <v>6735</v>
      </c>
      <c r="EO352" s="369"/>
      <c r="EP352" s="369"/>
      <c r="EQ352" s="369"/>
    </row>
    <row r="353" spans="130:147" hidden="1">
      <c r="DZ353" s="372">
        <v>91731</v>
      </c>
      <c r="EA353" s="372" t="s">
        <v>1484</v>
      </c>
      <c r="EB353" s="372" t="s">
        <v>2819</v>
      </c>
      <c r="EC353" s="372" t="s">
        <v>1626</v>
      </c>
      <c r="ED353" s="447" t="s">
        <v>13763</v>
      </c>
      <c r="EE353" s="372" t="s">
        <v>13923</v>
      </c>
      <c r="EF353" s="372" t="s">
        <v>2820</v>
      </c>
      <c r="EG353" s="372">
        <v>23</v>
      </c>
      <c r="EH353" s="372" t="s">
        <v>2821</v>
      </c>
      <c r="EI353" s="372" t="s">
        <v>2822</v>
      </c>
      <c r="EJ353" s="372" t="s">
        <v>2823</v>
      </c>
      <c r="EK353" s="372" t="s">
        <v>13924</v>
      </c>
      <c r="EL353" s="372" t="s">
        <v>2824</v>
      </c>
      <c r="EM353" s="372" t="s">
        <v>1633</v>
      </c>
      <c r="EN353" s="372">
        <v>11087</v>
      </c>
      <c r="EO353" s="369"/>
      <c r="EP353" s="369"/>
      <c r="EQ353" s="369"/>
    </row>
    <row r="354" spans="130:147" hidden="1">
      <c r="DZ354" s="372">
        <v>91740</v>
      </c>
      <c r="EA354" s="372" t="s">
        <v>1484</v>
      </c>
      <c r="EB354" s="372" t="s">
        <v>2825</v>
      </c>
      <c r="EC354" s="372" t="s">
        <v>1640</v>
      </c>
      <c r="ED354" s="372" t="s">
        <v>1641</v>
      </c>
      <c r="EE354" s="372" t="s">
        <v>14237</v>
      </c>
      <c r="EF354" s="372" t="s">
        <v>2826</v>
      </c>
      <c r="EG354" s="372">
        <v>581</v>
      </c>
      <c r="EH354" s="372" t="s">
        <v>2827</v>
      </c>
      <c r="EI354" s="372" t="s">
        <v>2828</v>
      </c>
      <c r="EJ354" s="372" t="s">
        <v>2829</v>
      </c>
      <c r="EK354" s="372" t="s">
        <v>14238</v>
      </c>
      <c r="EL354" s="372" t="s">
        <v>2830</v>
      </c>
      <c r="EM354" s="372" t="s">
        <v>1633</v>
      </c>
      <c r="EN354" s="372">
        <v>6767</v>
      </c>
      <c r="EO354" s="369"/>
      <c r="EP354" s="369"/>
      <c r="EQ354" s="369"/>
    </row>
    <row r="355" spans="130:147" hidden="1">
      <c r="DZ355" s="372">
        <v>91758</v>
      </c>
      <c r="EA355" s="372" t="s">
        <v>1484</v>
      </c>
      <c r="EB355" s="372" t="s">
        <v>2831</v>
      </c>
      <c r="EC355" s="372" t="s">
        <v>1640</v>
      </c>
      <c r="ED355" s="372" t="s">
        <v>1641</v>
      </c>
      <c r="EE355" s="372" t="s">
        <v>14235</v>
      </c>
      <c r="EF355" s="372" t="s">
        <v>2832</v>
      </c>
      <c r="EG355" s="372">
        <v>51</v>
      </c>
      <c r="EH355" s="372" t="s">
        <v>2827</v>
      </c>
      <c r="EI355" s="372" t="s">
        <v>2833</v>
      </c>
      <c r="EJ355" s="372" t="s">
        <v>2834</v>
      </c>
      <c r="EK355" s="372" t="s">
        <v>14236</v>
      </c>
      <c r="EL355" s="372" t="s">
        <v>2835</v>
      </c>
      <c r="EM355" s="372" t="s">
        <v>1633</v>
      </c>
      <c r="EN355" s="372">
        <v>6768</v>
      </c>
      <c r="EO355" s="369"/>
      <c r="EP355" s="369"/>
      <c r="EQ355" s="369"/>
    </row>
    <row r="356" spans="130:147" hidden="1">
      <c r="DZ356" s="372">
        <v>91766</v>
      </c>
      <c r="EA356" s="372" t="s">
        <v>1484</v>
      </c>
      <c r="EB356" s="372" t="s">
        <v>2836</v>
      </c>
      <c r="EC356" s="372" t="s">
        <v>1640</v>
      </c>
      <c r="ED356" s="372" t="s">
        <v>1641</v>
      </c>
      <c r="EE356" s="372" t="s">
        <v>14227</v>
      </c>
      <c r="EF356" s="372" t="s">
        <v>2837</v>
      </c>
      <c r="EG356" s="372">
        <v>111</v>
      </c>
      <c r="EH356" s="372" t="s">
        <v>2838</v>
      </c>
      <c r="EI356" s="372" t="s">
        <v>2839</v>
      </c>
      <c r="EJ356" s="372" t="s">
        <v>2840</v>
      </c>
      <c r="EK356" s="372" t="s">
        <v>14228</v>
      </c>
      <c r="EL356" s="372"/>
      <c r="EM356" s="372" t="s">
        <v>1633</v>
      </c>
      <c r="EN356" s="372">
        <v>6769</v>
      </c>
      <c r="EO356" s="369"/>
      <c r="EP356" s="369"/>
      <c r="EQ356" s="369"/>
    </row>
    <row r="357" spans="130:147" hidden="1">
      <c r="DZ357" s="372">
        <v>91774</v>
      </c>
      <c r="EA357" s="372" t="s">
        <v>1484</v>
      </c>
      <c r="EB357" s="372" t="s">
        <v>2841</v>
      </c>
      <c r="EC357" s="372" t="s">
        <v>1640</v>
      </c>
      <c r="ED357" s="372" t="s">
        <v>1641</v>
      </c>
      <c r="EE357" s="372" t="s">
        <v>14219</v>
      </c>
      <c r="EF357" s="372" t="s">
        <v>2842</v>
      </c>
      <c r="EG357" s="372">
        <v>80</v>
      </c>
      <c r="EH357" s="372" t="s">
        <v>1688</v>
      </c>
      <c r="EI357" s="372" t="s">
        <v>2843</v>
      </c>
      <c r="EJ357" s="372" t="s">
        <v>2844</v>
      </c>
      <c r="EK357" s="372" t="s">
        <v>14220</v>
      </c>
      <c r="EL357" s="372" t="s">
        <v>2845</v>
      </c>
      <c r="EM357" s="372" t="s">
        <v>1633</v>
      </c>
      <c r="EN357" s="372">
        <v>6770</v>
      </c>
      <c r="EO357" s="369"/>
      <c r="EP357" s="369"/>
      <c r="EQ357" s="369"/>
    </row>
    <row r="358" spans="130:147" hidden="1">
      <c r="DZ358" s="372">
        <v>91782</v>
      </c>
      <c r="EA358" s="372" t="s">
        <v>1484</v>
      </c>
      <c r="EB358" s="372" t="s">
        <v>2846</v>
      </c>
      <c r="EC358" s="372" t="s">
        <v>1640</v>
      </c>
      <c r="ED358" s="372" t="s">
        <v>1641</v>
      </c>
      <c r="EE358" s="372" t="s">
        <v>14221</v>
      </c>
      <c r="EF358" s="372" t="s">
        <v>2847</v>
      </c>
      <c r="EG358" s="372">
        <v>246</v>
      </c>
      <c r="EH358" s="372" t="s">
        <v>2848</v>
      </c>
      <c r="EI358" s="372" t="s">
        <v>2849</v>
      </c>
      <c r="EJ358" s="372" t="s">
        <v>2850</v>
      </c>
      <c r="EK358" s="372" t="s">
        <v>14222</v>
      </c>
      <c r="EL358" s="372" t="s">
        <v>2851</v>
      </c>
      <c r="EM358" s="372" t="s">
        <v>1633</v>
      </c>
      <c r="EN358" s="372">
        <v>6771</v>
      </c>
      <c r="EO358" s="369"/>
      <c r="EP358" s="369"/>
      <c r="EQ358" s="369"/>
    </row>
    <row r="359" spans="130:147" hidden="1">
      <c r="DZ359" s="372">
        <v>91791</v>
      </c>
      <c r="EA359" s="372" t="s">
        <v>1484</v>
      </c>
      <c r="EB359" s="372" t="s">
        <v>2852</v>
      </c>
      <c r="EC359" s="372" t="s">
        <v>1640</v>
      </c>
      <c r="ED359" s="372" t="s">
        <v>1641</v>
      </c>
      <c r="EE359" s="372" t="s">
        <v>14201</v>
      </c>
      <c r="EF359" s="372" t="s">
        <v>2853</v>
      </c>
      <c r="EG359" s="372">
        <v>20</v>
      </c>
      <c r="EH359" s="372" t="s">
        <v>1620</v>
      </c>
      <c r="EI359" s="372" t="s">
        <v>2854</v>
      </c>
      <c r="EJ359" s="372" t="s">
        <v>2855</v>
      </c>
      <c r="EK359" s="372" t="s">
        <v>14202</v>
      </c>
      <c r="EL359" s="372" t="s">
        <v>2856</v>
      </c>
      <c r="EM359" s="372" t="s">
        <v>1633</v>
      </c>
      <c r="EN359" s="372">
        <v>6772</v>
      </c>
      <c r="EO359" s="369"/>
      <c r="EP359" s="369"/>
      <c r="EQ359" s="369"/>
    </row>
    <row r="360" spans="130:147" hidden="1">
      <c r="DZ360" s="372">
        <v>91821</v>
      </c>
      <c r="EA360" s="372" t="s">
        <v>1484</v>
      </c>
      <c r="EB360" s="372" t="s">
        <v>2857</v>
      </c>
      <c r="EC360" s="372" t="s">
        <v>1661</v>
      </c>
      <c r="ED360" s="447" t="s">
        <v>13771</v>
      </c>
      <c r="EE360" s="372" t="s">
        <v>14070</v>
      </c>
      <c r="EF360" s="372" t="s">
        <v>2858</v>
      </c>
      <c r="EG360" s="372">
        <v>795</v>
      </c>
      <c r="EH360" s="372" t="s">
        <v>2859</v>
      </c>
      <c r="EI360" s="372" t="s">
        <v>2860</v>
      </c>
      <c r="EJ360" s="372" t="s">
        <v>2861</v>
      </c>
      <c r="EK360" s="372" t="s">
        <v>14071</v>
      </c>
      <c r="EL360" s="372" t="s">
        <v>2862</v>
      </c>
      <c r="EM360" s="372" t="s">
        <v>1669</v>
      </c>
      <c r="EN360" s="372">
        <v>6758</v>
      </c>
      <c r="EO360" s="369"/>
      <c r="EP360" s="369"/>
      <c r="EQ360" s="369"/>
    </row>
    <row r="361" spans="130:147" hidden="1">
      <c r="DZ361" s="372">
        <v>91839</v>
      </c>
      <c r="EA361" s="372" t="s">
        <v>1484</v>
      </c>
      <c r="EB361" s="372" t="s">
        <v>2863</v>
      </c>
      <c r="EC361" s="372" t="s">
        <v>1661</v>
      </c>
      <c r="ED361" s="447" t="s">
        <v>13771</v>
      </c>
      <c r="EE361" s="372" t="s">
        <v>14035</v>
      </c>
      <c r="EF361" s="372" t="s">
        <v>2864</v>
      </c>
      <c r="EG361" s="372">
        <v>335</v>
      </c>
      <c r="EH361" s="372" t="s">
        <v>2859</v>
      </c>
      <c r="EI361" s="372" t="s">
        <v>2865</v>
      </c>
      <c r="EJ361" s="372" t="s">
        <v>2866</v>
      </c>
      <c r="EK361" s="372" t="s">
        <v>14036</v>
      </c>
      <c r="EL361" s="372" t="s">
        <v>2867</v>
      </c>
      <c r="EM361" s="372" t="s">
        <v>1669</v>
      </c>
      <c r="EN361" s="372">
        <v>6759</v>
      </c>
      <c r="EO361" s="369"/>
      <c r="EP361" s="369"/>
      <c r="EQ361" s="404"/>
    </row>
    <row r="362" spans="130:147" hidden="1">
      <c r="DZ362" s="372">
        <v>91847</v>
      </c>
      <c r="EA362" s="372" t="s">
        <v>1484</v>
      </c>
      <c r="EB362" s="372" t="s">
        <v>2868</v>
      </c>
      <c r="EC362" s="372" t="s">
        <v>1661</v>
      </c>
      <c r="ED362" s="447" t="s">
        <v>13771</v>
      </c>
      <c r="EE362" s="372" t="s">
        <v>14042</v>
      </c>
      <c r="EF362" s="372" t="s">
        <v>2869</v>
      </c>
      <c r="EG362" s="372">
        <v>536</v>
      </c>
      <c r="EH362" s="372" t="s">
        <v>2870</v>
      </c>
      <c r="EI362" s="372" t="s">
        <v>2871</v>
      </c>
      <c r="EJ362" s="372" t="s">
        <v>2872</v>
      </c>
      <c r="EK362" s="372" t="s">
        <v>14043</v>
      </c>
      <c r="EL362" s="372" t="s">
        <v>14044</v>
      </c>
      <c r="EM362" s="372" t="s">
        <v>1669</v>
      </c>
      <c r="EN362" s="372">
        <v>6760</v>
      </c>
      <c r="EO362" s="369"/>
      <c r="EP362" s="369"/>
      <c r="EQ362" s="370"/>
    </row>
    <row r="363" spans="130:147" hidden="1">
      <c r="DZ363" s="372">
        <v>91855</v>
      </c>
      <c r="EA363" s="372" t="s">
        <v>1484</v>
      </c>
      <c r="EB363" s="372" t="s">
        <v>2873</v>
      </c>
      <c r="EC363" s="372" t="s">
        <v>1661</v>
      </c>
      <c r="ED363" s="447" t="s">
        <v>13771</v>
      </c>
      <c r="EE363" s="372" t="s">
        <v>14110</v>
      </c>
      <c r="EF363" s="372" t="s">
        <v>2874</v>
      </c>
      <c r="EG363" s="372">
        <v>472</v>
      </c>
      <c r="EH363" s="372" t="s">
        <v>2875</v>
      </c>
      <c r="EI363" s="372" t="s">
        <v>2876</v>
      </c>
      <c r="EJ363" s="372" t="s">
        <v>2877</v>
      </c>
      <c r="EK363" s="372" t="s">
        <v>14111</v>
      </c>
      <c r="EL363" s="372" t="s">
        <v>2878</v>
      </c>
      <c r="EM363" s="372" t="s">
        <v>1669</v>
      </c>
      <c r="EN363" s="372">
        <v>6761</v>
      </c>
      <c r="EO363" s="363"/>
      <c r="EP363" s="404"/>
      <c r="EQ363" s="369"/>
    </row>
    <row r="364" spans="130:147" hidden="1">
      <c r="DZ364" s="372">
        <v>91863</v>
      </c>
      <c r="EA364" s="372" t="s">
        <v>1484</v>
      </c>
      <c r="EB364" s="372" t="s">
        <v>2879</v>
      </c>
      <c r="EC364" s="372" t="s">
        <v>1661</v>
      </c>
      <c r="ED364" s="447" t="s">
        <v>13771</v>
      </c>
      <c r="EE364" s="372" t="s">
        <v>14072</v>
      </c>
      <c r="EF364" s="372" t="s">
        <v>2880</v>
      </c>
      <c r="EG364" s="372">
        <v>1012</v>
      </c>
      <c r="EH364" s="372" t="s">
        <v>2881</v>
      </c>
      <c r="EI364" s="372" t="s">
        <v>2882</v>
      </c>
      <c r="EJ364" s="372" t="s">
        <v>2883</v>
      </c>
      <c r="EK364" s="372" t="s">
        <v>14073</v>
      </c>
      <c r="EL364" s="372" t="s">
        <v>2884</v>
      </c>
      <c r="EM364" s="372" t="s">
        <v>1669</v>
      </c>
      <c r="EN364" s="372">
        <v>6762</v>
      </c>
      <c r="EO364" s="404"/>
      <c r="EP364" s="370"/>
      <c r="EQ364" s="370"/>
    </row>
    <row r="365" spans="130:147" hidden="1">
      <c r="DZ365" s="372">
        <v>91871</v>
      </c>
      <c r="EA365" s="372" t="s">
        <v>1484</v>
      </c>
      <c r="EB365" s="372" t="s">
        <v>2885</v>
      </c>
      <c r="EC365" s="372" t="s">
        <v>1661</v>
      </c>
      <c r="ED365" s="447" t="s">
        <v>13771</v>
      </c>
      <c r="EE365" s="372" t="s">
        <v>2886</v>
      </c>
      <c r="EF365" s="372" t="s">
        <v>2887</v>
      </c>
      <c r="EG365" s="372">
        <v>350</v>
      </c>
      <c r="EH365" s="372" t="s">
        <v>2888</v>
      </c>
      <c r="EI365" s="372" t="s">
        <v>2889</v>
      </c>
      <c r="EJ365" s="372" t="s">
        <v>2890</v>
      </c>
      <c r="EK365" s="372" t="s">
        <v>14053</v>
      </c>
      <c r="EL365" s="372" t="s">
        <v>2891</v>
      </c>
      <c r="EM365" s="372" t="s">
        <v>1669</v>
      </c>
      <c r="EN365" s="372">
        <v>6763</v>
      </c>
      <c r="EO365" s="370"/>
      <c r="EP365" s="369"/>
      <c r="EQ365" s="370"/>
    </row>
    <row r="366" spans="130:147" hidden="1">
      <c r="DZ366" s="372">
        <v>91880</v>
      </c>
      <c r="EA366" s="372" t="s">
        <v>1484</v>
      </c>
      <c r="EB366" s="372" t="s">
        <v>2892</v>
      </c>
      <c r="EC366" s="372" t="s">
        <v>1661</v>
      </c>
      <c r="ED366" s="447" t="s">
        <v>13771</v>
      </c>
      <c r="EE366" s="372" t="s">
        <v>14082</v>
      </c>
      <c r="EF366" s="372" t="s">
        <v>2893</v>
      </c>
      <c r="EG366" s="372">
        <v>230</v>
      </c>
      <c r="EH366" s="372" t="s">
        <v>2894</v>
      </c>
      <c r="EI366" s="372" t="s">
        <v>2895</v>
      </c>
      <c r="EJ366" s="372" t="s">
        <v>2896</v>
      </c>
      <c r="EK366" s="372" t="s">
        <v>14083</v>
      </c>
      <c r="EL366" s="372" t="s">
        <v>2897</v>
      </c>
      <c r="EM366" s="372" t="s">
        <v>1669</v>
      </c>
      <c r="EN366" s="372">
        <v>6764</v>
      </c>
      <c r="EO366" s="369"/>
      <c r="EP366" s="370"/>
      <c r="EQ366" s="369"/>
    </row>
    <row r="367" spans="130:147" ht="15" hidden="1" customHeight="1">
      <c r="DZ367" s="372">
        <v>91898</v>
      </c>
      <c r="EA367" s="372" t="s">
        <v>1484</v>
      </c>
      <c r="EB367" s="372" t="s">
        <v>2898</v>
      </c>
      <c r="EC367" s="372" t="s">
        <v>1661</v>
      </c>
      <c r="ED367" s="447" t="s">
        <v>13771</v>
      </c>
      <c r="EE367" s="372" t="s">
        <v>14037</v>
      </c>
      <c r="EF367" s="372" t="s">
        <v>2899</v>
      </c>
      <c r="EG367" s="372" t="s">
        <v>2900</v>
      </c>
      <c r="EH367" s="372" t="s">
        <v>2894</v>
      </c>
      <c r="EI367" s="372" t="s">
        <v>2901</v>
      </c>
      <c r="EJ367" s="372" t="s">
        <v>2902</v>
      </c>
      <c r="EK367" s="372" t="s">
        <v>14038</v>
      </c>
      <c r="EL367" s="372" t="s">
        <v>2903</v>
      </c>
      <c r="EM367" s="372" t="s">
        <v>1669</v>
      </c>
      <c r="EN367" s="372">
        <v>6765</v>
      </c>
      <c r="EO367" s="370"/>
      <c r="EP367" s="370"/>
      <c r="EQ367" s="370"/>
    </row>
    <row r="368" spans="130:147" ht="12.75" hidden="1" customHeight="1">
      <c r="DZ368" s="372">
        <v>91901</v>
      </c>
      <c r="EA368" s="372" t="s">
        <v>1484</v>
      </c>
      <c r="EB368" s="372" t="s">
        <v>2904</v>
      </c>
      <c r="EC368" s="372" t="s">
        <v>1820</v>
      </c>
      <c r="ED368" s="447" t="s">
        <v>13802</v>
      </c>
      <c r="EE368" s="372" t="s">
        <v>14352</v>
      </c>
      <c r="EF368" s="372" t="s">
        <v>2905</v>
      </c>
      <c r="EG368" s="372">
        <v>146</v>
      </c>
      <c r="EH368" s="372" t="s">
        <v>2906</v>
      </c>
      <c r="EI368" s="372" t="s">
        <v>2907</v>
      </c>
      <c r="EJ368" s="372" t="s">
        <v>2908</v>
      </c>
      <c r="EK368" s="372" t="s">
        <v>14353</v>
      </c>
      <c r="EL368" s="372" t="s">
        <v>2909</v>
      </c>
      <c r="EM368" t="s">
        <v>14769</v>
      </c>
      <c r="EN368" s="372">
        <v>9889</v>
      </c>
      <c r="EO368" s="370"/>
      <c r="EP368" s="369"/>
      <c r="EQ368" s="370"/>
    </row>
    <row r="369" spans="130:147" hidden="1">
      <c r="DZ369" s="372">
        <v>91910</v>
      </c>
      <c r="EA369" s="372" t="s">
        <v>1484</v>
      </c>
      <c r="EB369" s="372" t="s">
        <v>2910</v>
      </c>
      <c r="EC369" s="372" t="s">
        <v>1661</v>
      </c>
      <c r="ED369" s="447" t="s">
        <v>13771</v>
      </c>
      <c r="EE369" s="372" t="s">
        <v>14065</v>
      </c>
      <c r="EF369" s="372" t="s">
        <v>2911</v>
      </c>
      <c r="EG369" s="372">
        <v>30</v>
      </c>
      <c r="EH369" s="372" t="s">
        <v>1661</v>
      </c>
      <c r="EI369" s="372" t="s">
        <v>2912</v>
      </c>
      <c r="EJ369" s="372" t="s">
        <v>2913</v>
      </c>
      <c r="EK369" s="372" t="s">
        <v>14066</v>
      </c>
      <c r="EL369" s="372" t="s">
        <v>2914</v>
      </c>
      <c r="EM369" s="372" t="s">
        <v>1669</v>
      </c>
      <c r="EN369" s="372">
        <v>6795</v>
      </c>
      <c r="EO369" s="369"/>
      <c r="EP369" s="370"/>
      <c r="EQ369" s="369"/>
    </row>
    <row r="370" spans="130:147" hidden="1">
      <c r="DZ370" s="372">
        <v>91928</v>
      </c>
      <c r="EA370" s="372" t="s">
        <v>1484</v>
      </c>
      <c r="EB370" s="372" t="s">
        <v>2915</v>
      </c>
      <c r="EC370" s="372" t="s">
        <v>1661</v>
      </c>
      <c r="ED370" s="447" t="s">
        <v>13771</v>
      </c>
      <c r="EE370" s="372" t="s">
        <v>14100</v>
      </c>
      <c r="EF370" s="372" t="s">
        <v>2916</v>
      </c>
      <c r="EG370" s="372">
        <v>469</v>
      </c>
      <c r="EH370" s="372" t="s">
        <v>1661</v>
      </c>
      <c r="EI370" s="372" t="s">
        <v>2917</v>
      </c>
      <c r="EJ370" s="372" t="s">
        <v>2918</v>
      </c>
      <c r="EK370" s="372" t="s">
        <v>14101</v>
      </c>
      <c r="EL370" s="372" t="s">
        <v>2919</v>
      </c>
      <c r="EM370" s="372" t="s">
        <v>1669</v>
      </c>
      <c r="EN370" s="372">
        <v>6796</v>
      </c>
      <c r="EO370" s="370"/>
      <c r="EP370" s="370"/>
      <c r="EQ370" s="369"/>
    </row>
    <row r="371" spans="130:147" hidden="1">
      <c r="DZ371" s="372">
        <v>91936</v>
      </c>
      <c r="EA371" s="372" t="s">
        <v>1484</v>
      </c>
      <c r="EB371" s="372" t="s">
        <v>2920</v>
      </c>
      <c r="EC371" s="372" t="s">
        <v>1661</v>
      </c>
      <c r="ED371" s="447" t="s">
        <v>13771</v>
      </c>
      <c r="EE371" s="372" t="s">
        <v>14092</v>
      </c>
      <c r="EF371" s="372" t="s">
        <v>2921</v>
      </c>
      <c r="EG371" s="372">
        <v>9</v>
      </c>
      <c r="EH371" s="372" t="s">
        <v>1661</v>
      </c>
      <c r="EI371" s="372" t="s">
        <v>2922</v>
      </c>
      <c r="EJ371" s="372" t="s">
        <v>2923</v>
      </c>
      <c r="EK371" s="372" t="s">
        <v>14093</v>
      </c>
      <c r="EL371" s="372" t="s">
        <v>2924</v>
      </c>
      <c r="EM371" s="372" t="s">
        <v>1669</v>
      </c>
      <c r="EN371" s="372">
        <v>6797</v>
      </c>
      <c r="EO371" s="370"/>
      <c r="EP371" s="369"/>
      <c r="EQ371" s="370"/>
    </row>
    <row r="372" spans="130:147" hidden="1">
      <c r="DZ372" s="372">
        <v>91944</v>
      </c>
      <c r="EA372" s="372" t="s">
        <v>1484</v>
      </c>
      <c r="EB372" s="372" t="s">
        <v>2925</v>
      </c>
      <c r="EC372" s="372" t="s">
        <v>1661</v>
      </c>
      <c r="ED372" s="447" t="s">
        <v>13771</v>
      </c>
      <c r="EE372" s="372" t="s">
        <v>14125</v>
      </c>
      <c r="EF372" s="372" t="s">
        <v>2926</v>
      </c>
      <c r="EG372" s="372">
        <v>834</v>
      </c>
      <c r="EH372" s="372" t="s">
        <v>2927</v>
      </c>
      <c r="EI372" s="372" t="s">
        <v>2928</v>
      </c>
      <c r="EJ372" s="372" t="s">
        <v>2929</v>
      </c>
      <c r="EK372" s="372" t="s">
        <v>14126</v>
      </c>
      <c r="EL372" s="372" t="s">
        <v>2930</v>
      </c>
      <c r="EM372" s="372" t="s">
        <v>1669</v>
      </c>
      <c r="EN372" s="372">
        <v>6798</v>
      </c>
      <c r="EO372" s="369"/>
      <c r="EP372" s="369"/>
      <c r="EQ372" s="370"/>
    </row>
    <row r="373" spans="130:147" hidden="1">
      <c r="DZ373" s="372">
        <v>91952</v>
      </c>
      <c r="EA373" s="372" t="s">
        <v>1484</v>
      </c>
      <c r="EB373" s="372" t="s">
        <v>2931</v>
      </c>
      <c r="EC373" s="372" t="s">
        <v>1661</v>
      </c>
      <c r="ED373" s="447" t="s">
        <v>13771</v>
      </c>
      <c r="EE373" s="372" t="s">
        <v>14104</v>
      </c>
      <c r="EF373" s="372" t="s">
        <v>2932</v>
      </c>
      <c r="EG373" s="372">
        <v>91</v>
      </c>
      <c r="EH373" s="372" t="s">
        <v>2087</v>
      </c>
      <c r="EI373" s="372" t="s">
        <v>2933</v>
      </c>
      <c r="EJ373" s="372" t="s">
        <v>2934</v>
      </c>
      <c r="EK373" s="372" t="s">
        <v>14105</v>
      </c>
      <c r="EL373" s="372" t="s">
        <v>2935</v>
      </c>
      <c r="EM373" s="372" t="s">
        <v>1669</v>
      </c>
      <c r="EN373" s="372">
        <v>6799</v>
      </c>
      <c r="EO373" s="369"/>
      <c r="EP373" s="370"/>
      <c r="EQ373" s="370"/>
    </row>
    <row r="374" spans="130:147" hidden="1">
      <c r="DZ374" s="372">
        <v>91961</v>
      </c>
      <c r="EA374" s="372" t="s">
        <v>1484</v>
      </c>
      <c r="EB374" s="372" t="s">
        <v>2936</v>
      </c>
      <c r="EC374" s="372" t="s">
        <v>1661</v>
      </c>
      <c r="ED374" s="447" t="s">
        <v>13771</v>
      </c>
      <c r="EE374" s="372" t="s">
        <v>14096</v>
      </c>
      <c r="EF374" s="372" t="s">
        <v>2937</v>
      </c>
      <c r="EG374" s="372">
        <v>10</v>
      </c>
      <c r="EH374" s="372" t="s">
        <v>2938</v>
      </c>
      <c r="EI374" s="372" t="s">
        <v>2939</v>
      </c>
      <c r="EJ374" s="372" t="s">
        <v>2940</v>
      </c>
      <c r="EK374" s="372" t="s">
        <v>14097</v>
      </c>
      <c r="EL374" s="372" t="s">
        <v>2941</v>
      </c>
      <c r="EM374" s="372" t="s">
        <v>1669</v>
      </c>
      <c r="EN374" s="372">
        <v>6800</v>
      </c>
      <c r="EO374" s="370"/>
      <c r="EP374" s="370"/>
      <c r="EQ374" s="370"/>
    </row>
    <row r="375" spans="130:147" hidden="1">
      <c r="DZ375" s="372">
        <v>91979</v>
      </c>
      <c r="EA375" s="372" t="s">
        <v>1484</v>
      </c>
      <c r="EB375" s="372" t="s">
        <v>2942</v>
      </c>
      <c r="EC375" s="372" t="s">
        <v>1661</v>
      </c>
      <c r="ED375" s="447" t="s">
        <v>13771</v>
      </c>
      <c r="EE375" s="372" t="s">
        <v>14049</v>
      </c>
      <c r="EF375" s="372" t="s">
        <v>2943</v>
      </c>
      <c r="EG375" s="372">
        <v>12</v>
      </c>
      <c r="EH375" s="372" t="s">
        <v>2944</v>
      </c>
      <c r="EI375" s="372" t="s">
        <v>2945</v>
      </c>
      <c r="EJ375" s="372" t="s">
        <v>2946</v>
      </c>
      <c r="EK375" s="372" t="s">
        <v>14050</v>
      </c>
      <c r="EL375" s="372" t="s">
        <v>2947</v>
      </c>
      <c r="EM375" s="372" t="s">
        <v>1669</v>
      </c>
      <c r="EN375" s="372">
        <v>6801</v>
      </c>
      <c r="EO375" s="370"/>
      <c r="EP375" s="370"/>
      <c r="EQ375" s="370"/>
    </row>
    <row r="376" spans="130:147" hidden="1">
      <c r="DZ376" s="372">
        <v>91987</v>
      </c>
      <c r="EA376" s="372" t="s">
        <v>3387</v>
      </c>
      <c r="EB376" s="372" t="s">
        <v>3514</v>
      </c>
      <c r="EC376" s="372" t="s">
        <v>1661</v>
      </c>
      <c r="ED376" s="447" t="s">
        <v>13771</v>
      </c>
      <c r="EE376" s="372" t="s">
        <v>3515</v>
      </c>
      <c r="EF376" s="372" t="s">
        <v>3516</v>
      </c>
      <c r="EG376" s="372">
        <v>111</v>
      </c>
      <c r="EH376" s="372" t="s">
        <v>2043</v>
      </c>
      <c r="EI376" s="372" t="s">
        <v>3517</v>
      </c>
      <c r="EJ376" s="372" t="s">
        <v>3518</v>
      </c>
      <c r="EK376" s="372" t="s">
        <v>13829</v>
      </c>
      <c r="EL376" s="372" t="s">
        <v>3519</v>
      </c>
      <c r="EM376" s="372" t="s">
        <v>1669</v>
      </c>
      <c r="EN376" s="372">
        <v>6802</v>
      </c>
      <c r="EO376" s="370"/>
      <c r="EP376" s="370"/>
      <c r="EQ376" s="370"/>
    </row>
    <row r="377" spans="130:147" hidden="1">
      <c r="DZ377" s="372">
        <v>91995</v>
      </c>
      <c r="EA377" s="372" t="s">
        <v>1484</v>
      </c>
      <c r="EB377" s="372" t="s">
        <v>2948</v>
      </c>
      <c r="EC377" s="372" t="s">
        <v>1661</v>
      </c>
      <c r="ED377" s="447" t="s">
        <v>13771</v>
      </c>
      <c r="EE377" s="372" t="s">
        <v>14054</v>
      </c>
      <c r="EF377" s="372" t="s">
        <v>2949</v>
      </c>
      <c r="EG377" s="372">
        <v>5</v>
      </c>
      <c r="EH377" s="372" t="s">
        <v>1790</v>
      </c>
      <c r="EI377" s="372" t="s">
        <v>2950</v>
      </c>
      <c r="EJ377" s="372" t="s">
        <v>2951</v>
      </c>
      <c r="EK377" s="372" t="s">
        <v>14055</v>
      </c>
      <c r="EL377" s="372" t="s">
        <v>2952</v>
      </c>
      <c r="EM377" s="372" t="s">
        <v>1669</v>
      </c>
      <c r="EN377" s="372">
        <v>6803</v>
      </c>
      <c r="EO377" s="370"/>
      <c r="EP377" s="370"/>
      <c r="EQ377" s="369"/>
    </row>
    <row r="378" spans="130:147" hidden="1">
      <c r="DZ378" s="372">
        <v>92002</v>
      </c>
      <c r="EA378" s="372" t="s">
        <v>1484</v>
      </c>
      <c r="EB378" s="372" t="s">
        <v>2953</v>
      </c>
      <c r="EC378" s="372" t="s">
        <v>1661</v>
      </c>
      <c r="ED378" s="447" t="s">
        <v>13771</v>
      </c>
      <c r="EE378" s="372" t="s">
        <v>14078</v>
      </c>
      <c r="EF378" s="372" t="s">
        <v>2954</v>
      </c>
      <c r="EG378" s="372">
        <v>453</v>
      </c>
      <c r="EH378" s="372" t="s">
        <v>2955</v>
      </c>
      <c r="EI378" s="372" t="s">
        <v>2956</v>
      </c>
      <c r="EJ378" s="372" t="s">
        <v>2957</v>
      </c>
      <c r="EK378" s="372" t="s">
        <v>14079</v>
      </c>
      <c r="EL378" s="372" t="s">
        <v>2958</v>
      </c>
      <c r="EM378" s="372" t="s">
        <v>1669</v>
      </c>
      <c r="EN378" s="372">
        <v>6804</v>
      </c>
      <c r="EO378" s="369"/>
      <c r="EP378" s="370"/>
      <c r="EQ378" s="369"/>
    </row>
    <row r="379" spans="130:147" ht="15" hidden="1" customHeight="1">
      <c r="DZ379" s="372">
        <v>92011</v>
      </c>
      <c r="EA379" s="372" t="s">
        <v>1484</v>
      </c>
      <c r="EB379" s="372" t="s">
        <v>2959</v>
      </c>
      <c r="EC379" s="372" t="s">
        <v>1661</v>
      </c>
      <c r="ED379" s="447" t="s">
        <v>13771</v>
      </c>
      <c r="EE379" s="372" t="s">
        <v>14114</v>
      </c>
      <c r="EF379" s="372" t="s">
        <v>2960</v>
      </c>
      <c r="EG379" s="372">
        <v>305</v>
      </c>
      <c r="EH379" s="372" t="s">
        <v>1661</v>
      </c>
      <c r="EI379" s="372" t="s">
        <v>2961</v>
      </c>
      <c r="EJ379" s="372" t="s">
        <v>2962</v>
      </c>
      <c r="EK379" s="372" t="s">
        <v>14115</v>
      </c>
      <c r="EL379" s="372" t="s">
        <v>2963</v>
      </c>
      <c r="EM379" s="372" t="s">
        <v>1669</v>
      </c>
      <c r="EN379" s="372">
        <v>6805</v>
      </c>
      <c r="EO379" s="370"/>
      <c r="EP379" s="369"/>
      <c r="EQ379" s="370"/>
    </row>
    <row r="380" spans="130:147" ht="15" hidden="1">
      <c r="DZ380" s="372">
        <v>92029</v>
      </c>
      <c r="EA380" s="372" t="s">
        <v>1484</v>
      </c>
      <c r="EB380" s="372" t="s">
        <v>14428</v>
      </c>
      <c r="EC380" s="372" t="s">
        <v>1820</v>
      </c>
      <c r="ED380" s="447" t="s">
        <v>13802</v>
      </c>
      <c r="EE380" s="372" t="s">
        <v>14429</v>
      </c>
      <c r="EF380" s="372" t="s">
        <v>2964</v>
      </c>
      <c r="EG380" s="372">
        <v>185</v>
      </c>
      <c r="EH380" s="372" t="s">
        <v>2965</v>
      </c>
      <c r="EI380" s="372" t="s">
        <v>2966</v>
      </c>
      <c r="EJ380" s="372" t="s">
        <v>2967</v>
      </c>
      <c r="EK380" s="372" t="s">
        <v>14430</v>
      </c>
      <c r="EL380" s="372" t="s">
        <v>2968</v>
      </c>
      <c r="EM380" t="s">
        <v>14769</v>
      </c>
      <c r="EN380" s="372">
        <v>6814</v>
      </c>
      <c r="EO380" s="370"/>
      <c r="EP380" s="369"/>
      <c r="EQ380" s="369"/>
    </row>
    <row r="381" spans="130:147" ht="15" hidden="1">
      <c r="DZ381" s="372">
        <v>92037</v>
      </c>
      <c r="EA381" s="372" t="s">
        <v>1484</v>
      </c>
      <c r="EB381" s="372" t="s">
        <v>2969</v>
      </c>
      <c r="EC381" s="372" t="s">
        <v>1820</v>
      </c>
      <c r="ED381" s="447" t="s">
        <v>13802</v>
      </c>
      <c r="EE381" s="372" t="s">
        <v>14398</v>
      </c>
      <c r="EF381" s="372" t="s">
        <v>2970</v>
      </c>
      <c r="EG381" s="372">
        <v>360</v>
      </c>
      <c r="EH381" s="372" t="s">
        <v>2965</v>
      </c>
      <c r="EI381" s="372" t="s">
        <v>2971</v>
      </c>
      <c r="EJ381" s="372" t="s">
        <v>2972</v>
      </c>
      <c r="EK381" s="372" t="s">
        <v>14399</v>
      </c>
      <c r="EL381" s="372" t="s">
        <v>2973</v>
      </c>
      <c r="EM381" t="s">
        <v>14769</v>
      </c>
      <c r="EN381" s="372">
        <v>6815</v>
      </c>
      <c r="EO381" s="369"/>
      <c r="EP381" s="370"/>
      <c r="EQ381" s="370"/>
    </row>
    <row r="382" spans="130:147" ht="15" hidden="1">
      <c r="DZ382" s="372">
        <v>92045</v>
      </c>
      <c r="EA382" s="372" t="s">
        <v>1484</v>
      </c>
      <c r="EB382" s="372" t="s">
        <v>2974</v>
      </c>
      <c r="EC382" s="372" t="s">
        <v>1820</v>
      </c>
      <c r="ED382" s="447" t="s">
        <v>13802</v>
      </c>
      <c r="EE382" s="372" t="s">
        <v>14374</v>
      </c>
      <c r="EF382" s="372" t="s">
        <v>2975</v>
      </c>
      <c r="EG382" s="372">
        <v>128</v>
      </c>
      <c r="EH382" s="372" t="s">
        <v>2976</v>
      </c>
      <c r="EI382" s="372" t="s">
        <v>2977</v>
      </c>
      <c r="EJ382" s="372" t="s">
        <v>2978</v>
      </c>
      <c r="EK382" s="372" t="s">
        <v>14375</v>
      </c>
      <c r="EL382" s="372" t="s">
        <v>2979</v>
      </c>
      <c r="EM382" t="s">
        <v>14769</v>
      </c>
      <c r="EN382" s="372">
        <v>6816</v>
      </c>
      <c r="EO382" s="362"/>
      <c r="EP382" s="369"/>
      <c r="EQ382" s="370"/>
    </row>
    <row r="383" spans="130:147" ht="15" hidden="1">
      <c r="DZ383" s="372">
        <v>92053</v>
      </c>
      <c r="EA383" s="372" t="s">
        <v>1484</v>
      </c>
      <c r="EB383" s="372" t="s">
        <v>2980</v>
      </c>
      <c r="EC383" s="372" t="s">
        <v>1820</v>
      </c>
      <c r="ED383" s="447" t="s">
        <v>13802</v>
      </c>
      <c r="EE383" s="372" t="s">
        <v>14348</v>
      </c>
      <c r="EF383" s="372" t="s">
        <v>2981</v>
      </c>
      <c r="EG383" s="372">
        <v>781</v>
      </c>
      <c r="EH383" s="372" t="s">
        <v>2982</v>
      </c>
      <c r="EI383" s="372" t="s">
        <v>2983</v>
      </c>
      <c r="EJ383" s="372" t="s">
        <v>2984</v>
      </c>
      <c r="EK383" s="372" t="s">
        <v>14349</v>
      </c>
      <c r="EL383" s="372" t="s">
        <v>2985</v>
      </c>
      <c r="EM383" t="s">
        <v>14769</v>
      </c>
      <c r="EN383" s="372">
        <v>6817</v>
      </c>
      <c r="EO383" s="370"/>
      <c r="EP383" s="370"/>
      <c r="EQ383" s="369"/>
    </row>
    <row r="384" spans="130:147" ht="15" hidden="1">
      <c r="DZ384" s="372">
        <v>92061</v>
      </c>
      <c r="EA384" s="372" t="s">
        <v>1484</v>
      </c>
      <c r="EB384" s="372" t="s">
        <v>2986</v>
      </c>
      <c r="EC384" s="372" t="s">
        <v>1820</v>
      </c>
      <c r="ED384" s="447" t="s">
        <v>13802</v>
      </c>
      <c r="EE384" s="372" t="s">
        <v>14356</v>
      </c>
      <c r="EF384" s="372" t="s">
        <v>2987</v>
      </c>
      <c r="EG384" s="372">
        <v>15</v>
      </c>
      <c r="EH384" s="372" t="s">
        <v>2988</v>
      </c>
      <c r="EI384" s="372" t="s">
        <v>2989</v>
      </c>
      <c r="EJ384" s="372" t="s">
        <v>2990</v>
      </c>
      <c r="EK384" s="372" t="s">
        <v>14357</v>
      </c>
      <c r="EL384" s="372" t="s">
        <v>2991</v>
      </c>
      <c r="EM384" t="s">
        <v>14769</v>
      </c>
      <c r="EN384" s="372">
        <v>6818</v>
      </c>
      <c r="EO384" s="366"/>
      <c r="EP384" s="370"/>
      <c r="EQ384" s="370"/>
    </row>
    <row r="385" spans="130:147" ht="12.75" hidden="1" customHeight="1">
      <c r="DZ385" s="372">
        <v>92070</v>
      </c>
      <c r="EA385" s="372" t="s">
        <v>1484</v>
      </c>
      <c r="EB385" s="372" t="s">
        <v>2992</v>
      </c>
      <c r="EC385" s="372" t="s">
        <v>1820</v>
      </c>
      <c r="ED385" s="447" t="s">
        <v>13802</v>
      </c>
      <c r="EE385" s="372" t="s">
        <v>14403</v>
      </c>
      <c r="EF385" s="372" t="s">
        <v>2993</v>
      </c>
      <c r="EG385" s="372" t="s">
        <v>46</v>
      </c>
      <c r="EH385" s="372" t="s">
        <v>2988</v>
      </c>
      <c r="EI385" s="372" t="s">
        <v>2994</v>
      </c>
      <c r="EJ385" s="372" t="s">
        <v>2995</v>
      </c>
      <c r="EK385" s="372" t="s">
        <v>14404</v>
      </c>
      <c r="EL385" s="372" t="s">
        <v>2996</v>
      </c>
      <c r="EM385" t="s">
        <v>14769</v>
      </c>
      <c r="EN385" s="372">
        <v>6819</v>
      </c>
      <c r="EO385" s="370"/>
      <c r="EP385" s="369"/>
      <c r="EQ385" s="369"/>
    </row>
    <row r="386" spans="130:147" hidden="1">
      <c r="DZ386" s="372">
        <v>92088</v>
      </c>
      <c r="EA386" s="372" t="s">
        <v>1484</v>
      </c>
      <c r="EB386" s="372" t="s">
        <v>2997</v>
      </c>
      <c r="EC386" s="372" t="s">
        <v>1812</v>
      </c>
      <c r="ED386" s="372" t="s">
        <v>1813</v>
      </c>
      <c r="EE386" s="372" t="s">
        <v>14152</v>
      </c>
      <c r="EF386" s="372" t="s">
        <v>2998</v>
      </c>
      <c r="EG386" s="372" t="s">
        <v>46</v>
      </c>
      <c r="EH386" s="372" t="s">
        <v>1944</v>
      </c>
      <c r="EI386" s="372" t="s">
        <v>2999</v>
      </c>
      <c r="EJ386" s="372" t="s">
        <v>3000</v>
      </c>
      <c r="EK386" s="372" t="s">
        <v>14153</v>
      </c>
      <c r="EL386" s="372" t="s">
        <v>3001</v>
      </c>
      <c r="EM386" s="372" t="s">
        <v>14767</v>
      </c>
      <c r="EN386" s="372">
        <v>6820</v>
      </c>
      <c r="EO386" s="365"/>
      <c r="EP386" s="370"/>
      <c r="EQ386" s="369"/>
    </row>
    <row r="387" spans="130:147" hidden="1">
      <c r="DZ387" s="372">
        <v>92096</v>
      </c>
      <c r="EA387" s="372" t="s">
        <v>1484</v>
      </c>
      <c r="EB387" s="372" t="s">
        <v>3002</v>
      </c>
      <c r="EC387" s="372" t="s">
        <v>1812</v>
      </c>
      <c r="ED387" s="372" t="s">
        <v>1813</v>
      </c>
      <c r="EE387" s="372" t="s">
        <v>14161</v>
      </c>
      <c r="EF387" s="372" t="s">
        <v>3003</v>
      </c>
      <c r="EG387" s="372" t="s">
        <v>46</v>
      </c>
      <c r="EH387" s="372" t="s">
        <v>1944</v>
      </c>
      <c r="EI387" s="372" t="s">
        <v>3004</v>
      </c>
      <c r="EJ387" s="372" t="s">
        <v>3005</v>
      </c>
      <c r="EK387" s="372" t="s">
        <v>14162</v>
      </c>
      <c r="EL387" s="372" t="s">
        <v>3006</v>
      </c>
      <c r="EM387" s="372" t="s">
        <v>14767</v>
      </c>
      <c r="EN387" s="372">
        <v>6821</v>
      </c>
      <c r="EO387" s="370"/>
      <c r="EP387" s="369"/>
      <c r="EQ387" s="369"/>
    </row>
    <row r="388" spans="130:147" hidden="1">
      <c r="DZ388" s="372">
        <v>92096</v>
      </c>
      <c r="EA388" s="372" t="s">
        <v>1484</v>
      </c>
      <c r="EB388" s="372" t="s">
        <v>3002</v>
      </c>
      <c r="EC388" s="372" t="s">
        <v>1812</v>
      </c>
      <c r="ED388" s="372" t="s">
        <v>1813</v>
      </c>
      <c r="EE388" s="372" t="s">
        <v>14161</v>
      </c>
      <c r="EF388" s="372" t="s">
        <v>3003</v>
      </c>
      <c r="EG388" s="372" t="s">
        <v>46</v>
      </c>
      <c r="EH388" s="372" t="s">
        <v>1944</v>
      </c>
      <c r="EI388" s="372" t="s">
        <v>3004</v>
      </c>
      <c r="EJ388" s="372" t="s">
        <v>3005</v>
      </c>
      <c r="EK388" s="372" t="s">
        <v>14162</v>
      </c>
      <c r="EL388" s="372" t="s">
        <v>3006</v>
      </c>
      <c r="EM388" s="372" t="s">
        <v>14767</v>
      </c>
      <c r="EN388" s="372">
        <v>6821</v>
      </c>
      <c r="EO388" s="366"/>
      <c r="EP388" s="369"/>
      <c r="EQ388" s="370"/>
    </row>
    <row r="389" spans="130:147" hidden="1">
      <c r="DZ389" s="372">
        <v>92100</v>
      </c>
      <c r="EA389" s="372" t="s">
        <v>1484</v>
      </c>
      <c r="EB389" s="372" t="s">
        <v>3007</v>
      </c>
      <c r="EC389" s="372" t="s">
        <v>1812</v>
      </c>
      <c r="ED389" s="372" t="s">
        <v>1813</v>
      </c>
      <c r="EE389" s="372" t="s">
        <v>14131</v>
      </c>
      <c r="EF389" s="372" t="s">
        <v>3008</v>
      </c>
      <c r="EG389" s="372" t="s">
        <v>46</v>
      </c>
      <c r="EH389" s="372" t="s">
        <v>3009</v>
      </c>
      <c r="EI389" s="372" t="s">
        <v>3010</v>
      </c>
      <c r="EJ389" s="372" t="s">
        <v>3011</v>
      </c>
      <c r="EK389" s="372" t="s">
        <v>14132</v>
      </c>
      <c r="EL389" s="372" t="s">
        <v>3012</v>
      </c>
      <c r="EM389" s="372" t="s">
        <v>14767</v>
      </c>
      <c r="EN389" s="372">
        <v>6822</v>
      </c>
      <c r="EO389" s="365"/>
      <c r="EP389" s="369"/>
      <c r="EQ389" s="369"/>
    </row>
    <row r="390" spans="130:147" hidden="1">
      <c r="DZ390" s="372">
        <v>92118</v>
      </c>
      <c r="EA390" s="372" t="s">
        <v>1484</v>
      </c>
      <c r="EB390" s="372" t="s">
        <v>3013</v>
      </c>
      <c r="EC390" s="372" t="s">
        <v>1812</v>
      </c>
      <c r="ED390" s="372" t="s">
        <v>1813</v>
      </c>
      <c r="EE390" s="372" t="s">
        <v>14178</v>
      </c>
      <c r="EF390" s="372" t="s">
        <v>3014</v>
      </c>
      <c r="EG390" s="372">
        <v>275</v>
      </c>
      <c r="EH390" s="372" t="s">
        <v>3015</v>
      </c>
      <c r="EI390" s="372" t="s">
        <v>3016</v>
      </c>
      <c r="EJ390" s="372" t="s">
        <v>3017</v>
      </c>
      <c r="EK390" s="372" t="s">
        <v>14179</v>
      </c>
      <c r="EL390" s="372" t="s">
        <v>3018</v>
      </c>
      <c r="EM390" s="372" t="s">
        <v>14767</v>
      </c>
      <c r="EN390" s="372">
        <v>10036</v>
      </c>
      <c r="EO390" s="369"/>
      <c r="EP390" s="370"/>
      <c r="EQ390" s="369"/>
    </row>
    <row r="391" spans="130:147" hidden="1">
      <c r="DZ391" s="372">
        <v>92126</v>
      </c>
      <c r="EA391" s="469" t="s">
        <v>1484</v>
      </c>
      <c r="EB391" s="372" t="s">
        <v>3019</v>
      </c>
      <c r="EC391" s="469" t="s">
        <v>1654</v>
      </c>
      <c r="ED391" s="372" t="s">
        <v>13774</v>
      </c>
      <c r="EE391" s="372" t="s">
        <v>14693</v>
      </c>
      <c r="EF391" s="469" t="s">
        <v>3020</v>
      </c>
      <c r="EG391" s="469">
        <v>281</v>
      </c>
      <c r="EH391" s="469" t="s">
        <v>2102</v>
      </c>
      <c r="EI391" s="371" t="s">
        <v>3021</v>
      </c>
      <c r="EJ391" s="469" t="s">
        <v>3022</v>
      </c>
      <c r="EK391" s="469" t="s">
        <v>14694</v>
      </c>
      <c r="EL391" s="469" t="s">
        <v>3023</v>
      </c>
      <c r="EM391" s="450" t="s">
        <v>7010</v>
      </c>
      <c r="EN391" s="364">
        <v>11327</v>
      </c>
      <c r="EO391" s="370"/>
      <c r="EP391" s="369"/>
      <c r="EQ391" s="369"/>
    </row>
    <row r="392" spans="130:147" hidden="1">
      <c r="DZ392" s="372">
        <v>92134</v>
      </c>
      <c r="EA392" s="372" t="s">
        <v>1484</v>
      </c>
      <c r="EB392" s="372" t="s">
        <v>3024</v>
      </c>
      <c r="EC392" s="372" t="s">
        <v>1812</v>
      </c>
      <c r="ED392" s="372" t="s">
        <v>1813</v>
      </c>
      <c r="EE392" s="372" t="s">
        <v>14181</v>
      </c>
      <c r="EF392" s="372" t="s">
        <v>3025</v>
      </c>
      <c r="EG392" s="372">
        <v>395</v>
      </c>
      <c r="EH392" s="372" t="s">
        <v>3026</v>
      </c>
      <c r="EI392" s="372" t="s">
        <v>3027</v>
      </c>
      <c r="EJ392" s="372" t="s">
        <v>3028</v>
      </c>
      <c r="EK392" s="372" t="s">
        <v>3029</v>
      </c>
      <c r="EL392" s="372" t="s">
        <v>3029</v>
      </c>
      <c r="EM392" s="372" t="s">
        <v>14767</v>
      </c>
      <c r="EN392" s="372">
        <v>10045</v>
      </c>
      <c r="EO392" s="369"/>
      <c r="EP392" s="369"/>
      <c r="EQ392" s="369"/>
    </row>
    <row r="393" spans="130:147" ht="15" hidden="1" customHeight="1">
      <c r="DZ393" s="372">
        <v>92142</v>
      </c>
      <c r="EA393" s="372" t="s">
        <v>1484</v>
      </c>
      <c r="EB393" s="372" t="s">
        <v>3030</v>
      </c>
      <c r="EC393" s="372" t="s">
        <v>1812</v>
      </c>
      <c r="ED393" s="372" t="s">
        <v>1813</v>
      </c>
      <c r="EE393" s="372" t="s">
        <v>14187</v>
      </c>
      <c r="EF393" s="372" t="s">
        <v>3031</v>
      </c>
      <c r="EG393" s="372" t="s">
        <v>46</v>
      </c>
      <c r="EH393" s="372" t="s">
        <v>3032</v>
      </c>
      <c r="EI393" s="372" t="s">
        <v>3033</v>
      </c>
      <c r="EJ393" s="372" t="s">
        <v>3034</v>
      </c>
      <c r="EK393" s="372" t="s">
        <v>14188</v>
      </c>
      <c r="EL393" s="372" t="s">
        <v>3035</v>
      </c>
      <c r="EM393" s="372" t="s">
        <v>14767</v>
      </c>
      <c r="EN393" s="372">
        <v>6823</v>
      </c>
      <c r="EO393" s="369"/>
      <c r="EP393" s="369"/>
      <c r="EQ393" s="369"/>
    </row>
    <row r="394" spans="130:147" ht="12.75" hidden="1" customHeight="1">
      <c r="DZ394" s="372">
        <v>92151</v>
      </c>
      <c r="EA394" s="372" t="s">
        <v>1484</v>
      </c>
      <c r="EB394" s="372" t="s">
        <v>3036</v>
      </c>
      <c r="EC394" s="372" t="s">
        <v>1820</v>
      </c>
      <c r="ED394" s="447" t="s">
        <v>13802</v>
      </c>
      <c r="EE394" s="372" t="s">
        <v>14365</v>
      </c>
      <c r="EF394" s="372" t="s">
        <v>3037</v>
      </c>
      <c r="EG394" s="372">
        <v>134</v>
      </c>
      <c r="EH394" s="372" t="s">
        <v>2976</v>
      </c>
      <c r="EI394" s="372" t="s">
        <v>3038</v>
      </c>
      <c r="EJ394" s="372" t="s">
        <v>3039</v>
      </c>
      <c r="EK394" s="372" t="s">
        <v>3040</v>
      </c>
      <c r="EL394" s="372" t="s">
        <v>3040</v>
      </c>
      <c r="EM394" t="s">
        <v>14769</v>
      </c>
      <c r="EN394" s="372">
        <v>6824</v>
      </c>
      <c r="EO394" s="370"/>
      <c r="EP394" s="369"/>
      <c r="EQ394" s="369"/>
    </row>
    <row r="395" spans="130:147" hidden="1">
      <c r="DZ395" s="372">
        <v>92169</v>
      </c>
      <c r="EA395" s="372" t="s">
        <v>1484</v>
      </c>
      <c r="EB395" s="372" t="s">
        <v>3041</v>
      </c>
      <c r="EC395" s="372" t="s">
        <v>1640</v>
      </c>
      <c r="ED395" s="372" t="s">
        <v>1641</v>
      </c>
      <c r="EE395" s="372" t="s">
        <v>14199</v>
      </c>
      <c r="EF395" s="372" t="s">
        <v>3042</v>
      </c>
      <c r="EG395" s="372">
        <v>1592</v>
      </c>
      <c r="EH395" s="372" t="s">
        <v>2201</v>
      </c>
      <c r="EI395" s="372" t="s">
        <v>3043</v>
      </c>
      <c r="EJ395" s="372" t="s">
        <v>3044</v>
      </c>
      <c r="EK395" s="372" t="s">
        <v>14200</v>
      </c>
      <c r="EL395" s="372" t="s">
        <v>3045</v>
      </c>
      <c r="EM395" s="372" t="s">
        <v>1633</v>
      </c>
      <c r="EN395" s="372">
        <v>6783</v>
      </c>
      <c r="EO395" s="363"/>
      <c r="EP395" s="369"/>
      <c r="EQ395" s="369"/>
    </row>
    <row r="396" spans="130:147" hidden="1">
      <c r="DZ396" s="372">
        <v>92177</v>
      </c>
      <c r="EA396" s="372" t="s">
        <v>1484</v>
      </c>
      <c r="EB396" s="372" t="s">
        <v>3046</v>
      </c>
      <c r="EC396" s="372" t="s">
        <v>1640</v>
      </c>
      <c r="ED396" s="372" t="s">
        <v>1641</v>
      </c>
      <c r="EE396" s="372" t="s">
        <v>14243</v>
      </c>
      <c r="EF396" s="372" t="s">
        <v>3047</v>
      </c>
      <c r="EG396" s="372">
        <v>1062</v>
      </c>
      <c r="EH396" s="372" t="s">
        <v>3048</v>
      </c>
      <c r="EI396" s="372" t="s">
        <v>3049</v>
      </c>
      <c r="EJ396" s="372" t="s">
        <v>3050</v>
      </c>
      <c r="EK396" s="372" t="s">
        <v>14244</v>
      </c>
      <c r="EL396" s="372" t="s">
        <v>3051</v>
      </c>
      <c r="EM396" s="372" t="s">
        <v>1633</v>
      </c>
      <c r="EN396" s="372">
        <v>6784</v>
      </c>
      <c r="EO396" s="370"/>
      <c r="EP396" s="369"/>
      <c r="EQ396" s="370"/>
    </row>
    <row r="397" spans="130:147" hidden="1">
      <c r="DZ397" s="372">
        <v>92185</v>
      </c>
      <c r="EA397" s="372" t="s">
        <v>1484</v>
      </c>
      <c r="EB397" s="372" t="s">
        <v>3052</v>
      </c>
      <c r="EC397" s="372" t="s">
        <v>1640</v>
      </c>
      <c r="ED397" s="372" t="s">
        <v>1641</v>
      </c>
      <c r="EE397" s="372" t="s">
        <v>14197</v>
      </c>
      <c r="EF397" s="372" t="s">
        <v>3053</v>
      </c>
      <c r="EG397" s="372">
        <v>25</v>
      </c>
      <c r="EH397" s="372" t="s">
        <v>1856</v>
      </c>
      <c r="EI397" s="372" t="s">
        <v>3054</v>
      </c>
      <c r="EJ397" s="372" t="s">
        <v>3055</v>
      </c>
      <c r="EK397" s="372" t="s">
        <v>14198</v>
      </c>
      <c r="EL397" s="372" t="s">
        <v>3056</v>
      </c>
      <c r="EM397" s="372" t="s">
        <v>1633</v>
      </c>
      <c r="EN397" s="372">
        <v>6785</v>
      </c>
      <c r="EO397" s="370"/>
      <c r="EP397" s="369"/>
      <c r="EQ397" s="369"/>
    </row>
    <row r="398" spans="130:147" hidden="1">
      <c r="DZ398" s="372">
        <v>92193</v>
      </c>
      <c r="EA398" s="372" t="s">
        <v>1484</v>
      </c>
      <c r="EB398" s="372" t="s">
        <v>3057</v>
      </c>
      <c r="EC398" s="372" t="s">
        <v>1640</v>
      </c>
      <c r="ED398" s="372" t="s">
        <v>1641</v>
      </c>
      <c r="EE398" s="372" t="s">
        <v>14269</v>
      </c>
      <c r="EF398" s="372" t="s">
        <v>3058</v>
      </c>
      <c r="EG398" s="372" t="s">
        <v>46</v>
      </c>
      <c r="EH398" s="372" t="s">
        <v>3059</v>
      </c>
      <c r="EI398" s="372" t="s">
        <v>3060</v>
      </c>
      <c r="EJ398" s="372" t="s">
        <v>3061</v>
      </c>
      <c r="EK398" s="372" t="s">
        <v>14270</v>
      </c>
      <c r="EL398" s="372" t="s">
        <v>3062</v>
      </c>
      <c r="EM398" s="372" t="s">
        <v>1633</v>
      </c>
      <c r="EN398" s="372">
        <v>6786</v>
      </c>
      <c r="EO398" s="370"/>
      <c r="EP398" s="370"/>
      <c r="EQ398" s="369"/>
    </row>
    <row r="399" spans="130:147" hidden="1">
      <c r="DZ399" s="372">
        <v>92207</v>
      </c>
      <c r="EA399" s="372" t="s">
        <v>1484</v>
      </c>
      <c r="EB399" s="372" t="s">
        <v>3063</v>
      </c>
      <c r="EC399" s="372" t="s">
        <v>1640</v>
      </c>
      <c r="ED399" s="372" t="s">
        <v>1641</v>
      </c>
      <c r="EE399" s="372" t="s">
        <v>14203</v>
      </c>
      <c r="EF399" s="372" t="s">
        <v>3064</v>
      </c>
      <c r="EG399" s="372" t="s">
        <v>46</v>
      </c>
      <c r="EH399" s="372" t="s">
        <v>1643</v>
      </c>
      <c r="EI399" s="372" t="s">
        <v>3065</v>
      </c>
      <c r="EJ399" s="372" t="s">
        <v>3066</v>
      </c>
      <c r="EK399" s="372" t="s">
        <v>14204</v>
      </c>
      <c r="EL399" s="372" t="s">
        <v>3067</v>
      </c>
      <c r="EM399" s="372" t="s">
        <v>1633</v>
      </c>
      <c r="EN399" s="372">
        <v>6787</v>
      </c>
      <c r="EO399" s="366"/>
      <c r="EP399" s="369"/>
      <c r="EQ399" s="370"/>
    </row>
    <row r="400" spans="130:147" hidden="1">
      <c r="DZ400" s="372">
        <v>92215</v>
      </c>
      <c r="EA400" s="372" t="s">
        <v>1484</v>
      </c>
      <c r="EB400" s="372" t="s">
        <v>3068</v>
      </c>
      <c r="EC400" s="372" t="s">
        <v>1640</v>
      </c>
      <c r="ED400" s="372" t="s">
        <v>1641</v>
      </c>
      <c r="EE400" s="372" t="s">
        <v>14217</v>
      </c>
      <c r="EF400" s="372" t="s">
        <v>3069</v>
      </c>
      <c r="EG400" s="372">
        <v>7</v>
      </c>
      <c r="EH400" s="372" t="s">
        <v>1643</v>
      </c>
      <c r="EI400" s="372" t="s">
        <v>3070</v>
      </c>
      <c r="EJ400" s="372" t="s">
        <v>3071</v>
      </c>
      <c r="EK400" s="372" t="s">
        <v>14218</v>
      </c>
      <c r="EL400" s="372" t="s">
        <v>3072</v>
      </c>
      <c r="EM400" s="372" t="s">
        <v>1633</v>
      </c>
      <c r="EN400" s="372">
        <v>6788</v>
      </c>
      <c r="EO400" s="370"/>
      <c r="EP400" s="369"/>
      <c r="EQ400" s="369"/>
    </row>
    <row r="401" spans="130:147" hidden="1">
      <c r="DZ401" s="372">
        <v>92223</v>
      </c>
      <c r="EA401" s="372" t="s">
        <v>1484</v>
      </c>
      <c r="EB401" s="372" t="s">
        <v>14249</v>
      </c>
      <c r="EC401" s="372" t="s">
        <v>1640</v>
      </c>
      <c r="ED401" s="372" t="s">
        <v>1641</v>
      </c>
      <c r="EE401" s="372" t="s">
        <v>14250</v>
      </c>
      <c r="EF401" s="372" t="s">
        <v>3073</v>
      </c>
      <c r="EG401" s="372">
        <v>160</v>
      </c>
      <c r="EH401" s="372" t="s">
        <v>3074</v>
      </c>
      <c r="EI401" s="372" t="s">
        <v>3075</v>
      </c>
      <c r="EJ401" s="372" t="s">
        <v>3076</v>
      </c>
      <c r="EK401" s="372" t="s">
        <v>14251</v>
      </c>
      <c r="EL401" s="372" t="s">
        <v>3077</v>
      </c>
      <c r="EM401" s="372" t="s">
        <v>1633</v>
      </c>
      <c r="EN401" s="372">
        <v>6789</v>
      </c>
      <c r="EO401" s="369"/>
      <c r="EP401" s="370"/>
      <c r="EQ401" s="370"/>
    </row>
    <row r="402" spans="130:147" hidden="1">
      <c r="DZ402" s="372">
        <v>92231</v>
      </c>
      <c r="EA402" s="372" t="s">
        <v>1484</v>
      </c>
      <c r="EB402" s="372" t="s">
        <v>3078</v>
      </c>
      <c r="EC402" s="372" t="s">
        <v>1640</v>
      </c>
      <c r="ED402" s="372" t="s">
        <v>1641</v>
      </c>
      <c r="EE402" s="372" t="s">
        <v>14207</v>
      </c>
      <c r="EF402" s="372" t="s">
        <v>3079</v>
      </c>
      <c r="EG402" s="372">
        <v>27</v>
      </c>
      <c r="EH402" s="372" t="s">
        <v>3074</v>
      </c>
      <c r="EI402" s="372" t="s">
        <v>3080</v>
      </c>
      <c r="EJ402" s="372" t="s">
        <v>3081</v>
      </c>
      <c r="EK402" s="372" t="s">
        <v>14208</v>
      </c>
      <c r="EL402" s="372" t="s">
        <v>3082</v>
      </c>
      <c r="EM402" s="372" t="s">
        <v>1633</v>
      </c>
      <c r="EN402" s="372">
        <v>6792</v>
      </c>
      <c r="EO402" s="366"/>
      <c r="EP402" s="369"/>
      <c r="EQ402" s="370"/>
    </row>
    <row r="403" spans="130:147" hidden="1">
      <c r="DZ403" s="372">
        <v>92240</v>
      </c>
      <c r="EA403" s="372" t="s">
        <v>1484</v>
      </c>
      <c r="EB403" s="372" t="s">
        <v>3083</v>
      </c>
      <c r="EC403" s="372" t="s">
        <v>1640</v>
      </c>
      <c r="ED403" s="372" t="s">
        <v>1641</v>
      </c>
      <c r="EE403" s="372" t="s">
        <v>14215</v>
      </c>
      <c r="EF403" s="372" t="s">
        <v>3084</v>
      </c>
      <c r="EG403" s="372">
        <v>1561</v>
      </c>
      <c r="EH403" s="372" t="s">
        <v>3085</v>
      </c>
      <c r="EI403" s="372" t="s">
        <v>3086</v>
      </c>
      <c r="EJ403" s="372" t="s">
        <v>3087</v>
      </c>
      <c r="EK403" s="372" t="s">
        <v>14216</v>
      </c>
      <c r="EL403" s="372" t="s">
        <v>3088</v>
      </c>
      <c r="EM403" s="372" t="s">
        <v>1633</v>
      </c>
      <c r="EN403" s="372">
        <v>6775</v>
      </c>
      <c r="EO403" s="369"/>
      <c r="EP403" s="370"/>
      <c r="EQ403" s="370"/>
    </row>
    <row r="404" spans="130:147" hidden="1">
      <c r="DZ404" s="372">
        <v>92258</v>
      </c>
      <c r="EA404" s="372" t="s">
        <v>1484</v>
      </c>
      <c r="EB404" s="372" t="s">
        <v>3089</v>
      </c>
      <c r="EC404" s="372" t="s">
        <v>1640</v>
      </c>
      <c r="ED404" s="372" t="s">
        <v>1641</v>
      </c>
      <c r="EE404" s="372" t="s">
        <v>14256</v>
      </c>
      <c r="EF404" s="372" t="s">
        <v>3090</v>
      </c>
      <c r="EG404" s="372">
        <v>62</v>
      </c>
      <c r="EH404" s="372" t="s">
        <v>3091</v>
      </c>
      <c r="EI404" s="372" t="s">
        <v>3092</v>
      </c>
      <c r="EJ404" s="372" t="s">
        <v>3093</v>
      </c>
      <c r="EK404" s="372" t="s">
        <v>14257</v>
      </c>
      <c r="EL404" s="372" t="s">
        <v>3094</v>
      </c>
      <c r="EM404" s="372" t="s">
        <v>1633</v>
      </c>
      <c r="EN404" s="372">
        <v>6773</v>
      </c>
      <c r="EO404" s="366"/>
      <c r="EP404" s="370"/>
      <c r="EQ404" s="369"/>
    </row>
    <row r="405" spans="130:147" hidden="1">
      <c r="DZ405" s="372">
        <v>92266</v>
      </c>
      <c r="EA405" s="372" t="s">
        <v>1484</v>
      </c>
      <c r="EB405" s="372" t="s">
        <v>3095</v>
      </c>
      <c r="EC405" s="372" t="s">
        <v>1640</v>
      </c>
      <c r="ED405" s="372" t="s">
        <v>1641</v>
      </c>
      <c r="EE405" s="372" t="s">
        <v>14262</v>
      </c>
      <c r="EF405" s="372" t="s">
        <v>3096</v>
      </c>
      <c r="EG405" s="372">
        <v>500</v>
      </c>
      <c r="EH405" s="372" t="s">
        <v>3097</v>
      </c>
      <c r="EI405" s="372" t="s">
        <v>3098</v>
      </c>
      <c r="EJ405" s="372" t="s">
        <v>3099</v>
      </c>
      <c r="EK405" s="372" t="s">
        <v>14263</v>
      </c>
      <c r="EL405" s="372" t="s">
        <v>3100</v>
      </c>
      <c r="EM405" s="372" t="s">
        <v>1633</v>
      </c>
      <c r="EN405" s="372">
        <v>6774</v>
      </c>
      <c r="EO405" s="370"/>
      <c r="EP405" s="370"/>
      <c r="EQ405" s="369"/>
    </row>
    <row r="406" spans="130:147" hidden="1">
      <c r="DZ406" s="372">
        <v>92274</v>
      </c>
      <c r="EA406" s="372" t="s">
        <v>1484</v>
      </c>
      <c r="EB406" s="372" t="s">
        <v>3101</v>
      </c>
      <c r="EC406" s="372" t="s">
        <v>1640</v>
      </c>
      <c r="ED406" s="372" t="s">
        <v>1641</v>
      </c>
      <c r="EE406" s="372" t="s">
        <v>14229</v>
      </c>
      <c r="EF406" s="372" t="s">
        <v>3102</v>
      </c>
      <c r="EG406" s="372">
        <v>2680</v>
      </c>
      <c r="EH406" s="372" t="s">
        <v>3103</v>
      </c>
      <c r="EI406" s="372" t="s">
        <v>3104</v>
      </c>
      <c r="EJ406" s="372" t="s">
        <v>3105</v>
      </c>
      <c r="EK406" s="372" t="s">
        <v>14230</v>
      </c>
      <c r="EL406" s="372" t="s">
        <v>3106</v>
      </c>
      <c r="EM406" s="372" t="s">
        <v>1633</v>
      </c>
      <c r="EN406" s="372">
        <v>6794</v>
      </c>
      <c r="EO406" s="370"/>
      <c r="EP406" s="369"/>
      <c r="EQ406" s="369"/>
    </row>
    <row r="407" spans="130:147" hidden="1">
      <c r="DZ407" s="372">
        <v>92282</v>
      </c>
      <c r="EA407" s="372" t="s">
        <v>1484</v>
      </c>
      <c r="EB407" s="372" t="s">
        <v>3107</v>
      </c>
      <c r="EC407" s="372" t="s">
        <v>1640</v>
      </c>
      <c r="ED407" s="372" t="s">
        <v>1641</v>
      </c>
      <c r="EE407" s="372" t="s">
        <v>14241</v>
      </c>
      <c r="EF407" s="372" t="s">
        <v>3102</v>
      </c>
      <c r="EG407" s="372">
        <v>915</v>
      </c>
      <c r="EH407" s="372" t="s">
        <v>3108</v>
      </c>
      <c r="EI407" s="372" t="s">
        <v>3109</v>
      </c>
      <c r="EJ407" s="372" t="s">
        <v>3105</v>
      </c>
      <c r="EK407" s="372" t="s">
        <v>14242</v>
      </c>
      <c r="EL407" s="372" t="s">
        <v>3110</v>
      </c>
      <c r="EM407" s="372" t="s">
        <v>1633</v>
      </c>
      <c r="EN407" s="372">
        <v>6791</v>
      </c>
      <c r="EO407" s="370"/>
      <c r="EP407" s="369"/>
      <c r="EQ407" s="369"/>
    </row>
    <row r="408" spans="130:147" hidden="1">
      <c r="DZ408" s="372">
        <v>92291</v>
      </c>
      <c r="EA408" s="372" t="s">
        <v>1484</v>
      </c>
      <c r="EB408" s="372" t="s">
        <v>3111</v>
      </c>
      <c r="EC408" s="372" t="s">
        <v>1640</v>
      </c>
      <c r="ED408" s="372" t="s">
        <v>1641</v>
      </c>
      <c r="EE408" s="372" t="s">
        <v>14225</v>
      </c>
      <c r="EF408" s="372" t="s">
        <v>3112</v>
      </c>
      <c r="EG408" s="372">
        <v>735</v>
      </c>
      <c r="EH408" s="372" t="s">
        <v>3113</v>
      </c>
      <c r="EI408" s="372" t="s">
        <v>3114</v>
      </c>
      <c r="EJ408" s="372" t="s">
        <v>3115</v>
      </c>
      <c r="EK408" s="372" t="s">
        <v>14226</v>
      </c>
      <c r="EL408" s="372" t="s">
        <v>3116</v>
      </c>
      <c r="EM408" s="372" t="s">
        <v>1633</v>
      </c>
      <c r="EN408" s="372">
        <v>6778</v>
      </c>
      <c r="EO408" s="370"/>
      <c r="EP408" s="369"/>
      <c r="EQ408" s="369"/>
    </row>
    <row r="409" spans="130:147" hidden="1">
      <c r="DZ409" s="372">
        <v>92363</v>
      </c>
      <c r="EA409" s="372" t="s">
        <v>1484</v>
      </c>
      <c r="EB409" s="372" t="s">
        <v>3117</v>
      </c>
      <c r="EC409" s="372" t="s">
        <v>1661</v>
      </c>
      <c r="ED409" s="447" t="s">
        <v>13771</v>
      </c>
      <c r="EE409" s="372" t="s">
        <v>14090</v>
      </c>
      <c r="EF409" s="372" t="s">
        <v>3118</v>
      </c>
      <c r="EG409" s="372">
        <v>1410</v>
      </c>
      <c r="EH409" s="372" t="s">
        <v>3119</v>
      </c>
      <c r="EI409" s="372" t="s">
        <v>3120</v>
      </c>
      <c r="EJ409" s="372" t="s">
        <v>3121</v>
      </c>
      <c r="EK409" s="372" t="s">
        <v>14091</v>
      </c>
      <c r="EL409" s="372" t="s">
        <v>3122</v>
      </c>
      <c r="EM409" s="372" t="s">
        <v>1669</v>
      </c>
      <c r="EN409" s="372">
        <v>6837</v>
      </c>
      <c r="EO409" s="370"/>
      <c r="EP409" s="369"/>
    </row>
    <row r="410" spans="130:147" hidden="1">
      <c r="DZ410" s="372">
        <v>92371</v>
      </c>
      <c r="EA410" s="372" t="s">
        <v>1484</v>
      </c>
      <c r="EB410" s="372" t="s">
        <v>3123</v>
      </c>
      <c r="EC410" s="372" t="s">
        <v>1661</v>
      </c>
      <c r="ED410" s="447" t="s">
        <v>13771</v>
      </c>
      <c r="EE410" s="372" t="s">
        <v>14076</v>
      </c>
      <c r="EF410" s="372" t="s">
        <v>3124</v>
      </c>
      <c r="EG410" s="372">
        <v>1639</v>
      </c>
      <c r="EH410" s="372" t="s">
        <v>3125</v>
      </c>
      <c r="EI410" s="372" t="s">
        <v>3126</v>
      </c>
      <c r="EJ410" s="372" t="s">
        <v>3127</v>
      </c>
      <c r="EK410" s="372" t="s">
        <v>14077</v>
      </c>
      <c r="EL410" s="372" t="s">
        <v>3128</v>
      </c>
      <c r="EM410" s="372" t="s">
        <v>1669</v>
      </c>
      <c r="EN410" s="372">
        <v>8433</v>
      </c>
      <c r="EO410" s="368"/>
      <c r="EP410" s="369"/>
    </row>
    <row r="411" spans="130:147" hidden="1">
      <c r="DZ411" s="372">
        <v>92380</v>
      </c>
      <c r="EA411" s="372" t="s">
        <v>1484</v>
      </c>
      <c r="EB411" s="372" t="s">
        <v>3129</v>
      </c>
      <c r="EC411" s="372" t="s">
        <v>1661</v>
      </c>
      <c r="ED411" s="447" t="s">
        <v>13771</v>
      </c>
      <c r="EE411" s="372" t="s">
        <v>14045</v>
      </c>
      <c r="EF411" s="372" t="s">
        <v>3130</v>
      </c>
      <c r="EG411" s="372">
        <v>254</v>
      </c>
      <c r="EH411" s="372" t="s">
        <v>3125</v>
      </c>
      <c r="EI411" s="372" t="s">
        <v>3131</v>
      </c>
      <c r="EJ411" s="372" t="s">
        <v>3132</v>
      </c>
      <c r="EK411" s="372" t="s">
        <v>14046</v>
      </c>
      <c r="EL411" s="372" t="s">
        <v>3133</v>
      </c>
      <c r="EM411" s="372" t="s">
        <v>1669</v>
      </c>
      <c r="EN411" s="372">
        <v>8434</v>
      </c>
      <c r="EO411" s="370"/>
    </row>
    <row r="412" spans="130:147" hidden="1">
      <c r="DZ412" s="372">
        <v>92398</v>
      </c>
      <c r="EA412" s="372" t="s">
        <v>1484</v>
      </c>
      <c r="EB412" s="372" t="s">
        <v>3134</v>
      </c>
      <c r="EC412" s="372" t="s">
        <v>1661</v>
      </c>
      <c r="ED412" s="447" t="s">
        <v>13771</v>
      </c>
      <c r="EE412" s="372" t="s">
        <v>3135</v>
      </c>
      <c r="EF412" s="372" t="s">
        <v>3136</v>
      </c>
      <c r="EG412" s="372">
        <v>1231</v>
      </c>
      <c r="EH412" s="372" t="s">
        <v>1671</v>
      </c>
      <c r="EI412" s="372" t="s">
        <v>3137</v>
      </c>
      <c r="EJ412" s="372" t="s">
        <v>3138</v>
      </c>
      <c r="EK412" s="372" t="s">
        <v>14120</v>
      </c>
      <c r="EL412" s="372" t="s">
        <v>3139</v>
      </c>
      <c r="EM412" s="372" t="s">
        <v>1669</v>
      </c>
      <c r="EN412" s="372">
        <v>8435</v>
      </c>
    </row>
    <row r="413" spans="130:147" hidden="1">
      <c r="DZ413" s="372">
        <v>92401</v>
      </c>
      <c r="EA413" s="372" t="s">
        <v>1484</v>
      </c>
      <c r="EB413" s="372" t="s">
        <v>3140</v>
      </c>
      <c r="EC413" s="372" t="s">
        <v>1661</v>
      </c>
      <c r="ED413" s="447" t="s">
        <v>13771</v>
      </c>
      <c r="EE413" s="372" t="s">
        <v>14074</v>
      </c>
      <c r="EF413" s="372" t="s">
        <v>3141</v>
      </c>
      <c r="EG413" s="372">
        <v>232</v>
      </c>
      <c r="EH413" s="372" t="s">
        <v>3142</v>
      </c>
      <c r="EI413" s="372" t="s">
        <v>3143</v>
      </c>
      <c r="EJ413" s="372" t="s">
        <v>3144</v>
      </c>
      <c r="EK413" s="372" t="s">
        <v>14075</v>
      </c>
      <c r="EL413" s="372" t="s">
        <v>3145</v>
      </c>
      <c r="EM413" s="372" t="s">
        <v>1669</v>
      </c>
      <c r="EN413" s="372">
        <v>8436</v>
      </c>
    </row>
    <row r="414" spans="130:147" hidden="1">
      <c r="DZ414" s="372">
        <v>92410</v>
      </c>
      <c r="EA414" s="372" t="s">
        <v>1484</v>
      </c>
      <c r="EB414" s="372" t="s">
        <v>14039</v>
      </c>
      <c r="EC414" s="372" t="s">
        <v>1661</v>
      </c>
      <c r="ED414" s="447" t="s">
        <v>13771</v>
      </c>
      <c r="EE414" s="372" t="s">
        <v>14040</v>
      </c>
      <c r="EF414" s="372" t="s">
        <v>3146</v>
      </c>
      <c r="EG414" s="372">
        <v>244</v>
      </c>
      <c r="EH414" s="372" t="s">
        <v>3142</v>
      </c>
      <c r="EI414" s="372" t="s">
        <v>3147</v>
      </c>
      <c r="EJ414" s="372" t="s">
        <v>3148</v>
      </c>
      <c r="EK414" s="372" t="s">
        <v>14041</v>
      </c>
      <c r="EL414" s="372" t="s">
        <v>3149</v>
      </c>
      <c r="EM414" s="372" t="s">
        <v>1669</v>
      </c>
      <c r="EN414" s="372">
        <v>8437</v>
      </c>
    </row>
    <row r="415" spans="130:147" hidden="1">
      <c r="DZ415" s="372">
        <v>92428</v>
      </c>
      <c r="EA415" s="372" t="s">
        <v>1484</v>
      </c>
      <c r="EB415" s="372" t="s">
        <v>3150</v>
      </c>
      <c r="EC415" s="372" t="s">
        <v>1661</v>
      </c>
      <c r="ED415" s="447" t="s">
        <v>13771</v>
      </c>
      <c r="EE415" s="372" t="s">
        <v>14106</v>
      </c>
      <c r="EF415" s="372" t="s">
        <v>3151</v>
      </c>
      <c r="EG415" s="372">
        <v>171</v>
      </c>
      <c r="EH415" s="372" t="s">
        <v>3142</v>
      </c>
      <c r="EI415" s="372" t="s">
        <v>3152</v>
      </c>
      <c r="EJ415" s="372" t="s">
        <v>3153</v>
      </c>
      <c r="EK415" s="372" t="s">
        <v>14107</v>
      </c>
      <c r="EL415" s="372" t="s">
        <v>3154</v>
      </c>
      <c r="EM415" s="372" t="s">
        <v>1669</v>
      </c>
      <c r="EN415" s="372">
        <v>8438</v>
      </c>
    </row>
    <row r="416" spans="130:147" hidden="1">
      <c r="DZ416" s="372">
        <v>92436</v>
      </c>
      <c r="EA416" s="372" t="s">
        <v>1484</v>
      </c>
      <c r="EB416" s="372" t="s">
        <v>3155</v>
      </c>
      <c r="EC416" s="372" t="s">
        <v>1661</v>
      </c>
      <c r="ED416" s="447" t="s">
        <v>13771</v>
      </c>
      <c r="EE416" s="372" t="s">
        <v>14112</v>
      </c>
      <c r="EF416" s="372" t="s">
        <v>3156</v>
      </c>
      <c r="EG416" s="372">
        <v>259</v>
      </c>
      <c r="EH416" s="372" t="s">
        <v>3142</v>
      </c>
      <c r="EI416" s="372" t="s">
        <v>3157</v>
      </c>
      <c r="EJ416" s="372" t="s">
        <v>3158</v>
      </c>
      <c r="EK416" s="372" t="s">
        <v>14113</v>
      </c>
      <c r="EL416" s="372" t="s">
        <v>3159</v>
      </c>
      <c r="EM416" s="372" t="s">
        <v>1669</v>
      </c>
      <c r="EN416" s="372">
        <v>8439</v>
      </c>
    </row>
    <row r="417" spans="130:144" hidden="1">
      <c r="DZ417" s="372">
        <v>92452</v>
      </c>
      <c r="EA417" s="372" t="s">
        <v>1484</v>
      </c>
      <c r="EB417" s="372" t="s">
        <v>3160</v>
      </c>
      <c r="EC417" s="372" t="s">
        <v>1661</v>
      </c>
      <c r="ED417" s="447" t="s">
        <v>13771</v>
      </c>
      <c r="EE417" s="372" t="s">
        <v>14116</v>
      </c>
      <c r="EF417" s="372" t="s">
        <v>3161</v>
      </c>
      <c r="EG417" s="372" t="s">
        <v>46</v>
      </c>
      <c r="EH417" s="372" t="s">
        <v>1835</v>
      </c>
      <c r="EI417" s="372" t="s">
        <v>3162</v>
      </c>
      <c r="EJ417" s="372" t="s">
        <v>3163</v>
      </c>
      <c r="EK417" s="372" t="s">
        <v>14117</v>
      </c>
      <c r="EL417" s="372" t="s">
        <v>3164</v>
      </c>
      <c r="EM417" s="372" t="s">
        <v>1669</v>
      </c>
      <c r="EN417" s="372">
        <v>6854</v>
      </c>
    </row>
    <row r="418" spans="130:144" hidden="1">
      <c r="DZ418" s="372">
        <v>92461</v>
      </c>
      <c r="EA418" s="372" t="s">
        <v>1484</v>
      </c>
      <c r="EB418" s="372" t="s">
        <v>3165</v>
      </c>
      <c r="EC418" s="372" t="s">
        <v>1661</v>
      </c>
      <c r="ED418" s="447" t="s">
        <v>13771</v>
      </c>
      <c r="EE418" s="372" t="s">
        <v>14033</v>
      </c>
      <c r="EF418" s="372" t="s">
        <v>3166</v>
      </c>
      <c r="EG418" s="372">
        <v>61</v>
      </c>
      <c r="EH418" s="372" t="s">
        <v>3167</v>
      </c>
      <c r="EI418" s="372" t="s">
        <v>3168</v>
      </c>
      <c r="EJ418" s="372" t="s">
        <v>3169</v>
      </c>
      <c r="EK418" s="372" t="s">
        <v>14034</v>
      </c>
      <c r="EL418" s="372"/>
      <c r="EM418" s="372" t="s">
        <v>1669</v>
      </c>
      <c r="EN418" s="372">
        <v>6855</v>
      </c>
    </row>
    <row r="419" spans="130:144" hidden="1">
      <c r="DZ419" s="372">
        <v>92479</v>
      </c>
      <c r="EA419" s="372" t="s">
        <v>1484</v>
      </c>
      <c r="EB419" s="372" t="s">
        <v>3170</v>
      </c>
      <c r="EC419" s="372" t="s">
        <v>1661</v>
      </c>
      <c r="ED419" s="447" t="s">
        <v>13771</v>
      </c>
      <c r="EE419" s="372" t="s">
        <v>14129</v>
      </c>
      <c r="EF419" s="372" t="s">
        <v>3171</v>
      </c>
      <c r="EG419" s="372">
        <v>240</v>
      </c>
      <c r="EH419" s="372" t="s">
        <v>3172</v>
      </c>
      <c r="EI419" s="372" t="s">
        <v>3173</v>
      </c>
      <c r="EJ419" s="372" t="s">
        <v>3174</v>
      </c>
      <c r="EK419" s="372" t="s">
        <v>14130</v>
      </c>
      <c r="EL419" s="372" t="s">
        <v>3175</v>
      </c>
      <c r="EM419" s="372" t="s">
        <v>1669</v>
      </c>
      <c r="EN419" s="372">
        <v>6856</v>
      </c>
    </row>
    <row r="420" spans="130:144" hidden="1">
      <c r="DZ420" s="372">
        <v>92487</v>
      </c>
      <c r="EA420" s="372" t="s">
        <v>1484</v>
      </c>
      <c r="EB420" s="372" t="s">
        <v>14121</v>
      </c>
      <c r="EC420" s="372" t="s">
        <v>1661</v>
      </c>
      <c r="ED420" s="447" t="s">
        <v>13771</v>
      </c>
      <c r="EE420" s="372" t="s">
        <v>14122</v>
      </c>
      <c r="EF420" s="372" t="s">
        <v>3176</v>
      </c>
      <c r="EG420" s="372">
        <v>284</v>
      </c>
      <c r="EH420" s="372" t="s">
        <v>1664</v>
      </c>
      <c r="EI420" s="372" t="s">
        <v>3177</v>
      </c>
      <c r="EJ420" s="372" t="s">
        <v>3178</v>
      </c>
      <c r="EK420" s="372" t="s">
        <v>14123</v>
      </c>
      <c r="EL420" s="372" t="s">
        <v>3179</v>
      </c>
      <c r="EM420" s="372" t="s">
        <v>1669</v>
      </c>
      <c r="EN420" s="372">
        <v>6857</v>
      </c>
    </row>
    <row r="421" spans="130:144" hidden="1">
      <c r="DZ421" s="372">
        <v>92495</v>
      </c>
      <c r="EA421" s="372" t="s">
        <v>1484</v>
      </c>
      <c r="EB421" s="372" t="s">
        <v>3180</v>
      </c>
      <c r="EC421" s="372" t="s">
        <v>1661</v>
      </c>
      <c r="ED421" s="447" t="s">
        <v>13771</v>
      </c>
      <c r="EE421" s="372" t="s">
        <v>14086</v>
      </c>
      <c r="EF421" s="372" t="s">
        <v>3181</v>
      </c>
      <c r="EG421" s="372">
        <v>16</v>
      </c>
      <c r="EH421" s="372" t="s">
        <v>3182</v>
      </c>
      <c r="EI421" s="372" t="s">
        <v>3183</v>
      </c>
      <c r="EJ421" s="372" t="s">
        <v>3184</v>
      </c>
      <c r="EK421" s="372" t="s">
        <v>14087</v>
      </c>
      <c r="EL421" s="372" t="s">
        <v>3185</v>
      </c>
      <c r="EM421" s="372" t="s">
        <v>1669</v>
      </c>
      <c r="EN421" s="372">
        <v>6858</v>
      </c>
    </row>
    <row r="422" spans="130:144" hidden="1">
      <c r="DZ422" s="372">
        <v>92509</v>
      </c>
      <c r="EA422" s="372" t="s">
        <v>1484</v>
      </c>
      <c r="EB422" s="372" t="s">
        <v>3186</v>
      </c>
      <c r="EC422" s="372" t="s">
        <v>1661</v>
      </c>
      <c r="ED422" s="447" t="s">
        <v>13771</v>
      </c>
      <c r="EE422" s="372" t="s">
        <v>14056</v>
      </c>
      <c r="EF422" s="372" t="s">
        <v>3187</v>
      </c>
      <c r="EG422" s="372">
        <v>217</v>
      </c>
      <c r="EH422" s="372" t="s">
        <v>1835</v>
      </c>
      <c r="EI422" s="372" t="s">
        <v>3188</v>
      </c>
      <c r="EJ422" s="372" t="s">
        <v>3189</v>
      </c>
      <c r="EK422" s="372" t="s">
        <v>14057</v>
      </c>
      <c r="EL422" s="372" t="s">
        <v>14058</v>
      </c>
      <c r="EM422" s="372" t="s">
        <v>1669</v>
      </c>
      <c r="EN422" s="372">
        <v>6859</v>
      </c>
    </row>
    <row r="423" spans="130:144" hidden="1">
      <c r="DZ423" s="372">
        <v>92517</v>
      </c>
      <c r="EA423" s="469" t="s">
        <v>1484</v>
      </c>
      <c r="EB423" s="372" t="s">
        <v>3190</v>
      </c>
      <c r="EC423" s="469" t="s">
        <v>1654</v>
      </c>
      <c r="ED423" s="372" t="s">
        <v>13774</v>
      </c>
      <c r="EE423" s="372" t="s">
        <v>14708</v>
      </c>
      <c r="EF423" s="469" t="s">
        <v>3191</v>
      </c>
      <c r="EG423" s="469" t="s">
        <v>46</v>
      </c>
      <c r="EH423" s="469" t="s">
        <v>3192</v>
      </c>
      <c r="EI423" s="371" t="s">
        <v>3193</v>
      </c>
      <c r="EJ423" s="469" t="s">
        <v>3194</v>
      </c>
      <c r="EK423" s="469" t="s">
        <v>14709</v>
      </c>
      <c r="EL423" s="469" t="s">
        <v>3195</v>
      </c>
      <c r="EM423" s="450" t="s">
        <v>7010</v>
      </c>
      <c r="EN423" s="374">
        <v>6840</v>
      </c>
    </row>
    <row r="424" spans="130:144" hidden="1">
      <c r="DZ424" s="447">
        <v>92525</v>
      </c>
      <c r="EA424" s="447" t="s">
        <v>1484</v>
      </c>
      <c r="EB424" s="372" t="s">
        <v>3196</v>
      </c>
      <c r="EC424" s="447" t="s">
        <v>1654</v>
      </c>
      <c r="ED424" s="372" t="s">
        <v>13774</v>
      </c>
      <c r="EE424" s="372" t="s">
        <v>14653</v>
      </c>
      <c r="EF424" s="447" t="s">
        <v>3197</v>
      </c>
      <c r="EG424" s="447">
        <v>133</v>
      </c>
      <c r="EH424" s="447" t="s">
        <v>2659</v>
      </c>
      <c r="EI424" s="371" t="s">
        <v>3198</v>
      </c>
      <c r="EJ424" s="373" t="s">
        <v>3199</v>
      </c>
      <c r="EK424" s="447" t="s">
        <v>14654</v>
      </c>
      <c r="EL424" s="447" t="s">
        <v>3200</v>
      </c>
      <c r="EM424" s="450" t="s">
        <v>7010</v>
      </c>
      <c r="EN424" s="447">
        <v>6841</v>
      </c>
    </row>
    <row r="425" spans="130:144" hidden="1">
      <c r="DZ425" s="372">
        <v>92533</v>
      </c>
      <c r="EA425" s="469" t="s">
        <v>1484</v>
      </c>
      <c r="EB425" s="372" t="s">
        <v>3201</v>
      </c>
      <c r="EC425" s="469" t="s">
        <v>1654</v>
      </c>
      <c r="ED425" s="372" t="s">
        <v>13774</v>
      </c>
      <c r="EE425" s="372" t="s">
        <v>14689</v>
      </c>
      <c r="EF425" s="469" t="s">
        <v>3202</v>
      </c>
      <c r="EG425" s="469">
        <v>320</v>
      </c>
      <c r="EH425" s="469" t="s">
        <v>3203</v>
      </c>
      <c r="EI425" s="371" t="s">
        <v>3204</v>
      </c>
      <c r="EJ425" s="469" t="s">
        <v>3205</v>
      </c>
      <c r="EK425" s="469" t="s">
        <v>14690</v>
      </c>
      <c r="EL425" s="469" t="s">
        <v>3206</v>
      </c>
      <c r="EM425" s="450" t="s">
        <v>7010</v>
      </c>
      <c r="EN425" s="364">
        <v>6842</v>
      </c>
    </row>
    <row r="426" spans="130:144" hidden="1">
      <c r="DZ426" s="372">
        <v>92541</v>
      </c>
      <c r="EA426" s="372" t="s">
        <v>1484</v>
      </c>
      <c r="EB426" s="372" t="s">
        <v>3207</v>
      </c>
      <c r="EC426" s="372" t="s">
        <v>1654</v>
      </c>
      <c r="ED426" s="372" t="s">
        <v>13774</v>
      </c>
      <c r="EE426" s="372" t="s">
        <v>14719</v>
      </c>
      <c r="EF426" s="372" t="s">
        <v>3208</v>
      </c>
      <c r="EG426" s="372">
        <v>60</v>
      </c>
      <c r="EH426" s="372" t="s">
        <v>3209</v>
      </c>
      <c r="EI426" s="372" t="s">
        <v>3210</v>
      </c>
      <c r="EJ426" s="372" t="s">
        <v>3211</v>
      </c>
      <c r="EK426" s="372" t="s">
        <v>14720</v>
      </c>
      <c r="EL426" s="372" t="s">
        <v>3212</v>
      </c>
      <c r="EM426" s="450" t="s">
        <v>7010</v>
      </c>
      <c r="EN426" s="372">
        <v>6843</v>
      </c>
    </row>
    <row r="427" spans="130:144" hidden="1">
      <c r="DZ427" s="447">
        <v>92550</v>
      </c>
      <c r="EA427" s="447" t="s">
        <v>1484</v>
      </c>
      <c r="EB427" s="372" t="s">
        <v>3213</v>
      </c>
      <c r="EC427" s="447" t="s">
        <v>1654</v>
      </c>
      <c r="ED427" s="372" t="s">
        <v>13774</v>
      </c>
      <c r="EE427" s="447" t="s">
        <v>14651</v>
      </c>
      <c r="EF427" s="447" t="s">
        <v>3214</v>
      </c>
      <c r="EG427" s="447">
        <v>172</v>
      </c>
      <c r="EH427" s="447" t="s">
        <v>3215</v>
      </c>
      <c r="EI427" s="371" t="s">
        <v>3216</v>
      </c>
      <c r="EJ427" s="373" t="s">
        <v>3217</v>
      </c>
      <c r="EK427" s="447" t="s">
        <v>14652</v>
      </c>
      <c r="EL427" s="447" t="s">
        <v>3218</v>
      </c>
      <c r="EM427" s="450" t="s">
        <v>7010</v>
      </c>
      <c r="EN427" s="447">
        <v>11312</v>
      </c>
    </row>
    <row r="428" spans="130:144" hidden="1">
      <c r="DZ428" s="372">
        <v>92568</v>
      </c>
      <c r="EA428" s="469" t="s">
        <v>1484</v>
      </c>
      <c r="EB428" s="372" t="s">
        <v>3219</v>
      </c>
      <c r="EC428" s="469" t="s">
        <v>1654</v>
      </c>
      <c r="ED428" s="372" t="s">
        <v>13774</v>
      </c>
      <c r="EE428" s="372" t="s">
        <v>14704</v>
      </c>
      <c r="EF428" s="469" t="s">
        <v>3220</v>
      </c>
      <c r="EG428" s="469">
        <v>511</v>
      </c>
      <c r="EH428" s="469" t="s">
        <v>3221</v>
      </c>
      <c r="EI428" s="371" t="s">
        <v>3222</v>
      </c>
      <c r="EJ428" s="469" t="s">
        <v>3223</v>
      </c>
      <c r="EK428" s="469" t="s">
        <v>14705</v>
      </c>
      <c r="EL428" s="469" t="s">
        <v>3224</v>
      </c>
      <c r="EM428" s="450" t="s">
        <v>7010</v>
      </c>
      <c r="EN428" s="364">
        <v>11324</v>
      </c>
    </row>
    <row r="429" spans="130:144" hidden="1">
      <c r="DZ429" s="372">
        <v>92576</v>
      </c>
      <c r="EA429" s="372" t="s">
        <v>1484</v>
      </c>
      <c r="EB429" s="372" t="s">
        <v>3225</v>
      </c>
      <c r="EC429" s="372" t="s">
        <v>1654</v>
      </c>
      <c r="ED429" s="372" t="s">
        <v>13774</v>
      </c>
      <c r="EE429" s="372" t="s">
        <v>14721</v>
      </c>
      <c r="EF429" s="372" t="s">
        <v>3226</v>
      </c>
      <c r="EG429" s="372">
        <v>320</v>
      </c>
      <c r="EH429" s="372" t="s">
        <v>2031</v>
      </c>
      <c r="EI429" s="372" t="s">
        <v>3227</v>
      </c>
      <c r="EJ429" s="372" t="s">
        <v>3228</v>
      </c>
      <c r="EK429" s="372" t="s">
        <v>14722</v>
      </c>
      <c r="EL429" s="372" t="s">
        <v>3229</v>
      </c>
      <c r="EM429" s="450" t="s">
        <v>7010</v>
      </c>
      <c r="EN429" s="372">
        <v>11310</v>
      </c>
    </row>
    <row r="430" spans="130:144" ht="84" hidden="1">
      <c r="DZ430" s="477">
        <v>92584</v>
      </c>
      <c r="EA430" s="371" t="s">
        <v>1484</v>
      </c>
      <c r="EB430" s="372" t="s">
        <v>3230</v>
      </c>
      <c r="EC430" s="454" t="s">
        <v>1654</v>
      </c>
      <c r="ED430" s="372" t="s">
        <v>13774</v>
      </c>
      <c r="EE430" s="372" t="s">
        <v>14644</v>
      </c>
      <c r="EF430" s="371" t="s">
        <v>3231</v>
      </c>
      <c r="EG430" s="371">
        <v>1</v>
      </c>
      <c r="EH430" s="454" t="s">
        <v>3232</v>
      </c>
      <c r="EI430" s="371" t="s">
        <v>3233</v>
      </c>
      <c r="EJ430" s="373" t="s">
        <v>3234</v>
      </c>
      <c r="EK430" s="454" t="s">
        <v>14645</v>
      </c>
      <c r="EL430" s="454" t="s">
        <v>3235</v>
      </c>
      <c r="EM430" s="450" t="s">
        <v>7010</v>
      </c>
      <c r="EN430" s="464">
        <v>11328</v>
      </c>
    </row>
    <row r="431" spans="130:144" hidden="1">
      <c r="DZ431" s="372">
        <v>92592</v>
      </c>
      <c r="EA431" s="469" t="s">
        <v>1484</v>
      </c>
      <c r="EB431" s="372" t="s">
        <v>3236</v>
      </c>
      <c r="EC431" s="469" t="s">
        <v>1654</v>
      </c>
      <c r="ED431" s="372" t="s">
        <v>13774</v>
      </c>
      <c r="EE431" s="372" t="s">
        <v>14698</v>
      </c>
      <c r="EF431" s="469" t="s">
        <v>3237</v>
      </c>
      <c r="EG431" s="469">
        <v>297</v>
      </c>
      <c r="EH431" s="469" t="s">
        <v>1657</v>
      </c>
      <c r="EI431" s="371" t="s">
        <v>3238</v>
      </c>
      <c r="EJ431" s="469" t="s">
        <v>3239</v>
      </c>
      <c r="EK431" s="469" t="s">
        <v>14699</v>
      </c>
      <c r="EL431" s="469" t="s">
        <v>3240</v>
      </c>
      <c r="EM431" s="450" t="s">
        <v>7010</v>
      </c>
      <c r="EN431" s="364">
        <v>11323</v>
      </c>
    </row>
    <row r="432" spans="130:144" hidden="1">
      <c r="DZ432" s="372">
        <v>92606</v>
      </c>
      <c r="EA432" s="372" t="s">
        <v>1484</v>
      </c>
      <c r="EB432" s="372" t="s">
        <v>3241</v>
      </c>
      <c r="EC432" s="372" t="s">
        <v>1654</v>
      </c>
      <c r="ED432" s="372" t="s">
        <v>13774</v>
      </c>
      <c r="EE432" s="372" t="s">
        <v>14640</v>
      </c>
      <c r="EF432" s="372" t="s">
        <v>3242</v>
      </c>
      <c r="EG432" s="372">
        <v>791</v>
      </c>
      <c r="EH432" s="372" t="s">
        <v>3209</v>
      </c>
      <c r="EI432" s="372" t="s">
        <v>3243</v>
      </c>
      <c r="EJ432" s="372" t="s">
        <v>3244</v>
      </c>
      <c r="EK432" s="372" t="s">
        <v>14641</v>
      </c>
      <c r="EL432" s="372" t="s">
        <v>3245</v>
      </c>
      <c r="EM432" s="450" t="s">
        <v>7010</v>
      </c>
      <c r="EN432" s="372">
        <v>6844</v>
      </c>
    </row>
    <row r="433" spans="130:144" hidden="1">
      <c r="DZ433" s="447">
        <v>92614</v>
      </c>
      <c r="EA433" s="447" t="s">
        <v>1484</v>
      </c>
      <c r="EB433" s="372" t="s">
        <v>3246</v>
      </c>
      <c r="EC433" s="447" t="s">
        <v>1654</v>
      </c>
      <c r="ED433" s="372" t="s">
        <v>13774</v>
      </c>
      <c r="EE433" s="371" t="s">
        <v>14655</v>
      </c>
      <c r="EF433" s="447" t="s">
        <v>3247</v>
      </c>
      <c r="EG433" s="447">
        <v>191</v>
      </c>
      <c r="EH433" s="447" t="s">
        <v>3248</v>
      </c>
      <c r="EI433" s="371" t="s">
        <v>3249</v>
      </c>
      <c r="EJ433" s="373" t="s">
        <v>3250</v>
      </c>
      <c r="EK433" s="447" t="s">
        <v>14656</v>
      </c>
      <c r="EL433" s="447"/>
      <c r="EM433" s="450" t="s">
        <v>7010</v>
      </c>
      <c r="EN433" s="447">
        <v>6845</v>
      </c>
    </row>
    <row r="434" spans="130:144" hidden="1">
      <c r="DZ434" s="372">
        <v>92631</v>
      </c>
      <c r="EA434" s="469" t="s">
        <v>1484</v>
      </c>
      <c r="EB434" s="372" t="s">
        <v>3251</v>
      </c>
      <c r="EC434" s="469" t="s">
        <v>1654</v>
      </c>
      <c r="ED434" s="372" t="s">
        <v>13774</v>
      </c>
      <c r="EE434" s="372" t="s">
        <v>14664</v>
      </c>
      <c r="EF434" s="469" t="s">
        <v>3252</v>
      </c>
      <c r="EG434" s="469">
        <v>190</v>
      </c>
      <c r="EH434" s="469" t="s">
        <v>3209</v>
      </c>
      <c r="EI434" s="371" t="s">
        <v>3253</v>
      </c>
      <c r="EJ434" s="469" t="s">
        <v>3254</v>
      </c>
      <c r="EK434" s="469"/>
      <c r="EL434" s="469"/>
      <c r="EM434" s="450" t="s">
        <v>7010</v>
      </c>
      <c r="EN434" s="364">
        <v>6846</v>
      </c>
    </row>
    <row r="435" spans="130:144" hidden="1">
      <c r="DZ435" s="372">
        <v>92649</v>
      </c>
      <c r="EA435" s="469" t="s">
        <v>1484</v>
      </c>
      <c r="EB435" s="372" t="s">
        <v>3255</v>
      </c>
      <c r="EC435" s="469" t="s">
        <v>1654</v>
      </c>
      <c r="ED435" s="372" t="s">
        <v>13774</v>
      </c>
      <c r="EE435" s="372" t="s">
        <v>14663</v>
      </c>
      <c r="EF435" s="469" t="s">
        <v>3256</v>
      </c>
      <c r="EG435" s="469">
        <v>298</v>
      </c>
      <c r="EH435" s="469" t="s">
        <v>3209</v>
      </c>
      <c r="EI435" s="371" t="s">
        <v>3257</v>
      </c>
      <c r="EJ435" s="469" t="s">
        <v>3258</v>
      </c>
      <c r="EK435" s="469"/>
      <c r="EL435" s="469"/>
      <c r="EM435" s="450" t="s">
        <v>7010</v>
      </c>
      <c r="EN435" s="364">
        <v>6847</v>
      </c>
    </row>
    <row r="436" spans="130:144" hidden="1">
      <c r="DZ436" s="372">
        <v>92657</v>
      </c>
      <c r="EA436" s="469" t="s">
        <v>1484</v>
      </c>
      <c r="EB436" s="372" t="s">
        <v>3259</v>
      </c>
      <c r="EC436" s="469" t="s">
        <v>1654</v>
      </c>
      <c r="ED436" s="372" t="s">
        <v>13774</v>
      </c>
      <c r="EE436" s="372" t="s">
        <v>14706</v>
      </c>
      <c r="EF436" s="469" t="s">
        <v>3260</v>
      </c>
      <c r="EG436" s="469">
        <v>180</v>
      </c>
      <c r="EH436" s="469" t="s">
        <v>3209</v>
      </c>
      <c r="EI436" s="371" t="s">
        <v>3261</v>
      </c>
      <c r="EJ436" s="469" t="s">
        <v>3262</v>
      </c>
      <c r="EK436" s="469" t="s">
        <v>14707</v>
      </c>
      <c r="EL436" s="469"/>
      <c r="EM436" s="450" t="s">
        <v>7010</v>
      </c>
      <c r="EN436" s="364">
        <v>6848</v>
      </c>
    </row>
    <row r="437" spans="130:144" hidden="1">
      <c r="DZ437" s="447">
        <v>92665</v>
      </c>
      <c r="EA437" s="447" t="s">
        <v>1484</v>
      </c>
      <c r="EB437" s="372" t="s">
        <v>3263</v>
      </c>
      <c r="EC437" s="447" t="s">
        <v>1654</v>
      </c>
      <c r="ED437" s="372" t="s">
        <v>13774</v>
      </c>
      <c r="EE437" s="447" t="s">
        <v>14657</v>
      </c>
      <c r="EF437" s="447" t="s">
        <v>3264</v>
      </c>
      <c r="EG437" s="447">
        <v>10</v>
      </c>
      <c r="EH437" s="447" t="s">
        <v>3265</v>
      </c>
      <c r="EI437" s="371" t="s">
        <v>3266</v>
      </c>
      <c r="EJ437" s="373" t="s">
        <v>3267</v>
      </c>
      <c r="EK437" s="447"/>
      <c r="EL437" s="447"/>
      <c r="EM437" s="450" t="s">
        <v>7010</v>
      </c>
      <c r="EN437" s="447">
        <v>11313</v>
      </c>
    </row>
    <row r="438" spans="130:144" hidden="1">
      <c r="DZ438" s="372">
        <v>92673</v>
      </c>
      <c r="EA438" s="469" t="s">
        <v>1484</v>
      </c>
      <c r="EB438" s="372" t="s">
        <v>3268</v>
      </c>
      <c r="EC438" s="469" t="s">
        <v>1654</v>
      </c>
      <c r="ED438" s="372" t="s">
        <v>13774</v>
      </c>
      <c r="EE438" s="372" t="s">
        <v>14691</v>
      </c>
      <c r="EF438" s="469" t="s">
        <v>3269</v>
      </c>
      <c r="EG438" s="469">
        <v>341</v>
      </c>
      <c r="EH438" s="469" t="s">
        <v>3270</v>
      </c>
      <c r="EI438" s="371" t="s">
        <v>3271</v>
      </c>
      <c r="EJ438" s="469" t="s">
        <v>2437</v>
      </c>
      <c r="EK438" s="469" t="s">
        <v>14692</v>
      </c>
      <c r="EL438" s="469" t="s">
        <v>3272</v>
      </c>
      <c r="EM438" s="450" t="s">
        <v>7010</v>
      </c>
      <c r="EN438" s="364">
        <v>11322</v>
      </c>
    </row>
    <row r="439" spans="130:144" hidden="1">
      <c r="DZ439" s="372">
        <v>97071</v>
      </c>
      <c r="EA439" s="372" t="s">
        <v>1484</v>
      </c>
      <c r="EB439" s="372" t="s">
        <v>3273</v>
      </c>
      <c r="EC439" s="372" t="s">
        <v>1617</v>
      </c>
      <c r="ED439" s="372" t="s">
        <v>1618</v>
      </c>
      <c r="EE439" s="372" t="s">
        <v>14002</v>
      </c>
      <c r="EF439" s="372" t="s">
        <v>3274</v>
      </c>
      <c r="EG439" s="372" t="s">
        <v>46</v>
      </c>
      <c r="EH439" s="372" t="s">
        <v>3275</v>
      </c>
      <c r="EI439" s="372" t="s">
        <v>3276</v>
      </c>
      <c r="EJ439" s="372" t="s">
        <v>3277</v>
      </c>
      <c r="EK439" s="372" t="s">
        <v>14003</v>
      </c>
      <c r="EL439" s="372"/>
      <c r="EM439" s="372" t="s">
        <v>1624</v>
      </c>
      <c r="EN439" s="372">
        <v>6658</v>
      </c>
    </row>
    <row r="440" spans="130:144" hidden="1">
      <c r="DZ440" s="372">
        <v>97080</v>
      </c>
      <c r="EA440" s="372" t="s">
        <v>1484</v>
      </c>
      <c r="EB440" s="372" t="s">
        <v>3278</v>
      </c>
      <c r="EC440" s="372" t="s">
        <v>1617</v>
      </c>
      <c r="ED440" s="372" t="s">
        <v>1618</v>
      </c>
      <c r="EE440" s="372" t="s">
        <v>13985</v>
      </c>
      <c r="EF440" s="372" t="s">
        <v>3279</v>
      </c>
      <c r="EG440" s="372">
        <v>55</v>
      </c>
      <c r="EH440" s="372" t="s">
        <v>3280</v>
      </c>
      <c r="EI440" s="372" t="s">
        <v>3281</v>
      </c>
      <c r="EJ440" s="372" t="s">
        <v>3282</v>
      </c>
      <c r="EK440" s="372" t="s">
        <v>13986</v>
      </c>
      <c r="EL440" s="372"/>
      <c r="EM440" s="372" t="s">
        <v>1624</v>
      </c>
      <c r="EN440" s="372">
        <v>6626</v>
      </c>
    </row>
    <row r="441" spans="130:144" hidden="1">
      <c r="DZ441" s="372">
        <v>97098</v>
      </c>
      <c r="EA441" s="372" t="s">
        <v>1484</v>
      </c>
      <c r="EB441" s="372" t="s">
        <v>3283</v>
      </c>
      <c r="EC441" s="372" t="s">
        <v>1617</v>
      </c>
      <c r="ED441" s="372" t="s">
        <v>1618</v>
      </c>
      <c r="EE441" s="372" t="s">
        <v>14029</v>
      </c>
      <c r="EF441" s="372" t="s">
        <v>3284</v>
      </c>
      <c r="EG441" s="372">
        <v>333</v>
      </c>
      <c r="EH441" s="372" t="s">
        <v>1676</v>
      </c>
      <c r="EI441" s="372" t="s">
        <v>3285</v>
      </c>
      <c r="EJ441" s="372" t="s">
        <v>3286</v>
      </c>
      <c r="EK441" s="372" t="s">
        <v>14030</v>
      </c>
      <c r="EL441" s="372" t="s">
        <v>3287</v>
      </c>
      <c r="EM441" s="372" t="s">
        <v>1624</v>
      </c>
      <c r="EN441" s="372">
        <v>6659</v>
      </c>
    </row>
    <row r="442" spans="130:144" hidden="1">
      <c r="DZ442" s="372">
        <v>97101</v>
      </c>
      <c r="EA442" s="372" t="s">
        <v>1484</v>
      </c>
      <c r="EB442" s="372" t="s">
        <v>3288</v>
      </c>
      <c r="EC442" s="372" t="s">
        <v>1707</v>
      </c>
      <c r="ED442" s="447" t="s">
        <v>13799</v>
      </c>
      <c r="EE442" s="372" t="s">
        <v>14338</v>
      </c>
      <c r="EF442" s="372" t="s">
        <v>3289</v>
      </c>
      <c r="EG442" s="372">
        <v>287</v>
      </c>
      <c r="EH442" s="372" t="s">
        <v>1968</v>
      </c>
      <c r="EI442" s="372" t="s">
        <v>3290</v>
      </c>
      <c r="EJ442" s="372" t="s">
        <v>3291</v>
      </c>
      <c r="EK442" s="372" t="s">
        <v>14339</v>
      </c>
      <c r="EL442" s="372" t="s">
        <v>3292</v>
      </c>
      <c r="EM442" s="372" t="s">
        <v>1633</v>
      </c>
      <c r="EN442" s="372">
        <v>6697</v>
      </c>
    </row>
    <row r="443" spans="130:144" hidden="1">
      <c r="DZ443" s="372">
        <v>97691</v>
      </c>
      <c r="EA443" s="372" t="s">
        <v>1484</v>
      </c>
      <c r="EB443" s="372" t="s">
        <v>3293</v>
      </c>
      <c r="EC443" s="372" t="s">
        <v>1707</v>
      </c>
      <c r="ED443" s="447" t="s">
        <v>13799</v>
      </c>
      <c r="EE443" s="372" t="s">
        <v>14291</v>
      </c>
      <c r="EF443" s="372" t="s">
        <v>3294</v>
      </c>
      <c r="EG443" s="372">
        <v>489</v>
      </c>
      <c r="EH443" s="372" t="s">
        <v>3295</v>
      </c>
      <c r="EI443" s="372" t="s">
        <v>3296</v>
      </c>
      <c r="EJ443" s="372" t="s">
        <v>3297</v>
      </c>
      <c r="EK443" s="372" t="s">
        <v>14292</v>
      </c>
      <c r="EL443" s="372"/>
      <c r="EM443" s="372" t="s">
        <v>1633</v>
      </c>
      <c r="EN443" s="372">
        <v>6698</v>
      </c>
    </row>
    <row r="444" spans="130:144" hidden="1">
      <c r="DZ444" s="372">
        <v>98515</v>
      </c>
      <c r="EA444" s="372" t="s">
        <v>1484</v>
      </c>
      <c r="EB444" s="372" t="s">
        <v>1603</v>
      </c>
      <c r="EC444" s="372" t="s">
        <v>1486</v>
      </c>
      <c r="ED444" s="372" t="s">
        <v>161</v>
      </c>
      <c r="EE444" s="372" t="s">
        <v>13857</v>
      </c>
      <c r="EF444" s="372" t="s">
        <v>1604</v>
      </c>
      <c r="EG444" s="372" t="s">
        <v>46</v>
      </c>
      <c r="EH444" s="372" t="s">
        <v>1605</v>
      </c>
      <c r="EI444" s="372" t="s">
        <v>1606</v>
      </c>
      <c r="EJ444" s="372" t="s">
        <v>3298</v>
      </c>
      <c r="EK444" s="372" t="s">
        <v>13858</v>
      </c>
      <c r="EL444" s="372"/>
      <c r="EM444" s="372" t="s">
        <v>1669</v>
      </c>
      <c r="EN444" s="372">
        <v>6590</v>
      </c>
    </row>
    <row r="445" spans="130:144" hidden="1">
      <c r="DZ445" s="372">
        <v>98604</v>
      </c>
      <c r="EA445" s="372" t="s">
        <v>1484</v>
      </c>
      <c r="EB445" s="372" t="s">
        <v>3299</v>
      </c>
      <c r="EC445" s="372" t="s">
        <v>1661</v>
      </c>
      <c r="ED445" s="447" t="s">
        <v>13771</v>
      </c>
      <c r="EE445" s="372" t="s">
        <v>14061</v>
      </c>
      <c r="EF445" s="372" t="s">
        <v>3300</v>
      </c>
      <c r="EG445" s="372">
        <v>45</v>
      </c>
      <c r="EH445" s="372" t="s">
        <v>3301</v>
      </c>
      <c r="EI445" s="372" t="s">
        <v>3302</v>
      </c>
      <c r="EJ445" s="372" t="s">
        <v>3303</v>
      </c>
      <c r="EK445" s="372" t="s">
        <v>14062</v>
      </c>
      <c r="EL445" s="372" t="s">
        <v>3304</v>
      </c>
      <c r="EM445" s="372" t="s">
        <v>1669</v>
      </c>
      <c r="EN445" s="372">
        <v>6849</v>
      </c>
    </row>
    <row r="446" spans="130:144" hidden="1">
      <c r="DZ446" s="372">
        <v>98884</v>
      </c>
      <c r="EA446" s="372" t="s">
        <v>1484</v>
      </c>
      <c r="EB446" s="372" t="s">
        <v>3305</v>
      </c>
      <c r="EC446" s="372" t="s">
        <v>1707</v>
      </c>
      <c r="ED446" s="447" t="s">
        <v>13799</v>
      </c>
      <c r="EE446" s="372" t="s">
        <v>3306</v>
      </c>
      <c r="EF446" s="372" t="s">
        <v>3307</v>
      </c>
      <c r="EG446" s="372">
        <v>103</v>
      </c>
      <c r="EH446" s="372" t="s">
        <v>1997</v>
      </c>
      <c r="EI446" s="372" t="s">
        <v>3308</v>
      </c>
      <c r="EJ446" s="372" t="s">
        <v>3309</v>
      </c>
      <c r="EK446" s="372" t="s">
        <v>14277</v>
      </c>
      <c r="EL446" s="372"/>
      <c r="EM446" s="372" t="s">
        <v>1633</v>
      </c>
      <c r="EN446" s="372">
        <v>6699</v>
      </c>
    </row>
    <row r="447" spans="130:144" hidden="1">
      <c r="DZ447" s="372">
        <v>98931</v>
      </c>
      <c r="EA447" s="372" t="s">
        <v>1484</v>
      </c>
      <c r="EB447" s="372" t="s">
        <v>1607</v>
      </c>
      <c r="EC447" s="372" t="s">
        <v>1486</v>
      </c>
      <c r="ED447" s="372" t="s">
        <v>161</v>
      </c>
      <c r="EE447" s="372" t="s">
        <v>13903</v>
      </c>
      <c r="EF447" s="372" t="s">
        <v>1608</v>
      </c>
      <c r="EG447" s="372" t="s">
        <v>46</v>
      </c>
      <c r="EH447" s="372" t="s">
        <v>1609</v>
      </c>
      <c r="EI447" s="372" t="s">
        <v>1610</v>
      </c>
      <c r="EJ447" s="372" t="s">
        <v>3310</v>
      </c>
      <c r="EK447" s="372" t="s">
        <v>13904</v>
      </c>
      <c r="EL447" s="372"/>
      <c r="EM447" s="372" t="s">
        <v>1669</v>
      </c>
      <c r="EN447" s="372">
        <v>6591</v>
      </c>
    </row>
    <row r="448" spans="130:144" hidden="1">
      <c r="DZ448" s="372">
        <v>98957</v>
      </c>
      <c r="EA448" s="372" t="s">
        <v>1484</v>
      </c>
      <c r="EB448" s="372" t="s">
        <v>3311</v>
      </c>
      <c r="EC448" s="372" t="s">
        <v>1626</v>
      </c>
      <c r="ED448" s="447" t="s">
        <v>13763</v>
      </c>
      <c r="EE448" s="372" t="s">
        <v>13933</v>
      </c>
      <c r="EF448" s="372" t="s">
        <v>3312</v>
      </c>
      <c r="EG448" s="372">
        <v>9</v>
      </c>
      <c r="EH448" s="372" t="s">
        <v>3313</v>
      </c>
      <c r="EI448" s="372" t="s">
        <v>3314</v>
      </c>
      <c r="EJ448" s="372" t="s">
        <v>3315</v>
      </c>
      <c r="EK448" s="372" t="s">
        <v>13934</v>
      </c>
      <c r="EL448" s="372" t="s">
        <v>3316</v>
      </c>
      <c r="EM448" s="372" t="s">
        <v>1633</v>
      </c>
      <c r="EN448" s="372">
        <v>6737</v>
      </c>
    </row>
    <row r="449" spans="130:144" hidden="1">
      <c r="DZ449" s="372">
        <v>98965</v>
      </c>
      <c r="EA449" s="372" t="s">
        <v>1484</v>
      </c>
      <c r="EB449" s="372" t="s">
        <v>3317</v>
      </c>
      <c r="EC449" s="372" t="s">
        <v>1626</v>
      </c>
      <c r="ED449" s="447" t="s">
        <v>13763</v>
      </c>
      <c r="EE449" s="372" t="s">
        <v>13959</v>
      </c>
      <c r="EF449" s="372" t="s">
        <v>3318</v>
      </c>
      <c r="EG449" s="372">
        <v>206</v>
      </c>
      <c r="EH449" s="372" t="s">
        <v>2809</v>
      </c>
      <c r="EI449" s="372" t="s">
        <v>3319</v>
      </c>
      <c r="EJ449" s="372" t="s">
        <v>3320</v>
      </c>
      <c r="EK449" s="372" t="s">
        <v>3321</v>
      </c>
      <c r="EL449" s="372" t="s">
        <v>3321</v>
      </c>
      <c r="EM449" s="372" t="s">
        <v>1633</v>
      </c>
      <c r="EN449" s="372">
        <v>6741</v>
      </c>
    </row>
    <row r="450" spans="130:144" hidden="1">
      <c r="DZ450" s="372">
        <v>98973</v>
      </c>
      <c r="EA450" s="372" t="s">
        <v>1484</v>
      </c>
      <c r="EB450" s="372" t="s">
        <v>3322</v>
      </c>
      <c r="EC450" s="372" t="s">
        <v>1640</v>
      </c>
      <c r="ED450" s="372" t="s">
        <v>1641</v>
      </c>
      <c r="EE450" s="372" t="s">
        <v>14195</v>
      </c>
      <c r="EF450" s="372" t="s">
        <v>3323</v>
      </c>
      <c r="EG450" s="372">
        <v>934</v>
      </c>
      <c r="EH450" s="372" t="s">
        <v>3324</v>
      </c>
      <c r="EI450" s="372" t="s">
        <v>3325</v>
      </c>
      <c r="EJ450" s="372" t="s">
        <v>3326</v>
      </c>
      <c r="EK450" s="372" t="s">
        <v>14196</v>
      </c>
      <c r="EL450" s="372" t="s">
        <v>3327</v>
      </c>
      <c r="EM450" s="372" t="s">
        <v>1633</v>
      </c>
      <c r="EN450" s="372">
        <v>6777</v>
      </c>
    </row>
    <row r="451" spans="130:144" hidden="1">
      <c r="DZ451" s="372">
        <v>98981</v>
      </c>
      <c r="EA451" s="372" t="s">
        <v>1484</v>
      </c>
      <c r="EB451" s="372" t="s">
        <v>3328</v>
      </c>
      <c r="EC451" s="372" t="s">
        <v>1640</v>
      </c>
      <c r="ED451" s="372" t="s">
        <v>1641</v>
      </c>
      <c r="EE451" s="372" t="s">
        <v>14245</v>
      </c>
      <c r="EF451" s="372" t="s">
        <v>3329</v>
      </c>
      <c r="EG451" s="372">
        <v>45</v>
      </c>
      <c r="EH451" s="372" t="s">
        <v>3074</v>
      </c>
      <c r="EI451" s="372" t="s">
        <v>3330</v>
      </c>
      <c r="EJ451" s="372" t="s">
        <v>3331</v>
      </c>
      <c r="EK451" s="372" t="s">
        <v>14246</v>
      </c>
      <c r="EL451" s="372" t="s">
        <v>3332</v>
      </c>
      <c r="EM451" s="372" t="s">
        <v>1633</v>
      </c>
      <c r="EN451" s="372">
        <v>6790</v>
      </c>
    </row>
    <row r="452" spans="130:144" hidden="1">
      <c r="DZ452" s="372">
        <v>98990</v>
      </c>
      <c r="EA452" s="372" t="s">
        <v>1484</v>
      </c>
      <c r="EB452" s="372" t="s">
        <v>3333</v>
      </c>
      <c r="EC452" s="372" t="s">
        <v>1640</v>
      </c>
      <c r="ED452" s="372" t="s">
        <v>1641</v>
      </c>
      <c r="EE452" s="372" t="s">
        <v>14233</v>
      </c>
      <c r="EF452" s="372" t="s">
        <v>3334</v>
      </c>
      <c r="EG452" s="372">
        <v>153</v>
      </c>
      <c r="EH452" s="372" t="s">
        <v>3335</v>
      </c>
      <c r="EI452" s="372" t="s">
        <v>3336</v>
      </c>
      <c r="EJ452" s="372" t="s">
        <v>3337</v>
      </c>
      <c r="EK452" s="372" t="s">
        <v>14234</v>
      </c>
      <c r="EL452" s="372" t="s">
        <v>3338</v>
      </c>
      <c r="EM452" s="372" t="s">
        <v>1633</v>
      </c>
      <c r="EN452" s="372">
        <v>6782</v>
      </c>
    </row>
    <row r="453" spans="130:144" hidden="1">
      <c r="DZ453" s="372">
        <v>99007</v>
      </c>
      <c r="EA453" s="459" t="s">
        <v>1484</v>
      </c>
      <c r="EB453" s="372" t="s">
        <v>14549</v>
      </c>
      <c r="EC453" s="372" t="s">
        <v>13777</v>
      </c>
      <c r="ED453" s="405" t="s">
        <v>13778</v>
      </c>
      <c r="EE453" s="459" t="s">
        <v>14550</v>
      </c>
      <c r="EF453" s="405" t="s">
        <v>14551</v>
      </c>
      <c r="EG453" s="405">
        <v>95</v>
      </c>
      <c r="EH453" s="460" t="s">
        <v>14552</v>
      </c>
      <c r="EI453" s="405" t="str">
        <f>EF453&amp;", "&amp;EG453&amp;" - "&amp;EH453</f>
        <v>RUA FÁBIO DE ALMEIDA MAGALHÃES, 95 - JARDIM STO ELIAS</v>
      </c>
      <c r="EJ453" s="461">
        <v>5135370</v>
      </c>
      <c r="EK453" s="459" t="s">
        <v>14553</v>
      </c>
      <c r="EL453" s="447"/>
      <c r="EM453" s="372" t="s">
        <v>1633</v>
      </c>
      <c r="EN453" s="372">
        <v>6750</v>
      </c>
    </row>
    <row r="454" spans="130:144" hidden="1">
      <c r="DZ454" s="372">
        <v>99015</v>
      </c>
      <c r="EA454" s="459" t="s">
        <v>1484</v>
      </c>
      <c r="EB454" s="372" t="s">
        <v>14564</v>
      </c>
      <c r="EC454" s="372" t="s">
        <v>13777</v>
      </c>
      <c r="ED454" s="405" t="s">
        <v>13778</v>
      </c>
      <c r="EE454" s="459" t="s">
        <v>14565</v>
      </c>
      <c r="EF454" s="405" t="s">
        <v>14566</v>
      </c>
      <c r="EG454" s="405">
        <v>73</v>
      </c>
      <c r="EH454" s="460" t="s">
        <v>14567</v>
      </c>
      <c r="EI454" s="405" t="str">
        <f>EF454&amp;", "&amp;EG454&amp;" - "&amp;EH454</f>
        <v>RUA BARRA DO JACARE, 73 - VILA HERMINIA</v>
      </c>
      <c r="EJ454" s="461">
        <v>2977090</v>
      </c>
      <c r="EK454" s="459" t="s">
        <v>14568</v>
      </c>
      <c r="EL454" s="447"/>
      <c r="EM454" s="372" t="s">
        <v>1633</v>
      </c>
      <c r="EN454" s="372">
        <v>6751</v>
      </c>
    </row>
    <row r="455" spans="130:144" ht="15" hidden="1" customHeight="1">
      <c r="DZ455" s="372">
        <v>99074</v>
      </c>
      <c r="EA455" s="469" t="s">
        <v>1484</v>
      </c>
      <c r="EB455" s="372" t="s">
        <v>3339</v>
      </c>
      <c r="EC455" s="469" t="s">
        <v>1654</v>
      </c>
      <c r="ED455" s="372" t="s">
        <v>13774</v>
      </c>
      <c r="EE455" s="372" t="s">
        <v>14667</v>
      </c>
      <c r="EF455" s="469" t="s">
        <v>3340</v>
      </c>
      <c r="EG455" s="469">
        <v>319</v>
      </c>
      <c r="EH455" s="469" t="s">
        <v>3341</v>
      </c>
      <c r="EI455" s="371" t="s">
        <v>3342</v>
      </c>
      <c r="EJ455" s="469" t="s">
        <v>3343</v>
      </c>
      <c r="EK455" s="469" t="s">
        <v>14668</v>
      </c>
      <c r="EL455" s="469"/>
      <c r="EM455" s="450" t="s">
        <v>7010</v>
      </c>
      <c r="EN455" s="364">
        <v>6860</v>
      </c>
    </row>
    <row r="456" spans="130:144" ht="12.75" hidden="1" customHeight="1">
      <c r="DZ456" s="372">
        <v>99082</v>
      </c>
      <c r="EA456" s="372" t="s">
        <v>1484</v>
      </c>
      <c r="EB456" s="372" t="s">
        <v>3344</v>
      </c>
      <c r="EC456" s="372" t="s">
        <v>1820</v>
      </c>
      <c r="ED456" s="447" t="s">
        <v>13802</v>
      </c>
      <c r="EE456" s="372" t="s">
        <v>14384</v>
      </c>
      <c r="EF456" s="372" t="s">
        <v>3345</v>
      </c>
      <c r="EG456" s="372">
        <v>391</v>
      </c>
      <c r="EH456" s="372" t="s">
        <v>3346</v>
      </c>
      <c r="EI456" s="372" t="s">
        <v>3347</v>
      </c>
      <c r="EJ456" s="372" t="s">
        <v>3348</v>
      </c>
      <c r="EK456" s="372" t="s">
        <v>14385</v>
      </c>
      <c r="EL456" s="372" t="s">
        <v>3349</v>
      </c>
      <c r="EM456" t="s">
        <v>14769</v>
      </c>
      <c r="EN456" s="372">
        <v>6828</v>
      </c>
    </row>
    <row r="457" spans="130:144" ht="15" hidden="1" customHeight="1">
      <c r="DZ457" s="480">
        <v>99210</v>
      </c>
      <c r="EA457" s="465" t="s">
        <v>1484</v>
      </c>
      <c r="EB457" s="372" t="s">
        <v>3350</v>
      </c>
      <c r="EC457" s="466" t="s">
        <v>1654</v>
      </c>
      <c r="ED457" s="372" t="s">
        <v>13774</v>
      </c>
      <c r="EE457" s="466" t="s">
        <v>14661</v>
      </c>
      <c r="EF457" s="465" t="s">
        <v>3260</v>
      </c>
      <c r="EG457" s="465">
        <v>463</v>
      </c>
      <c r="EH457" s="466" t="s">
        <v>3351</v>
      </c>
      <c r="EI457" s="465" t="s">
        <v>3352</v>
      </c>
      <c r="EJ457" s="467" t="s">
        <v>3262</v>
      </c>
      <c r="EK457" s="466" t="s">
        <v>14662</v>
      </c>
      <c r="EL457" s="466" t="s">
        <v>3353</v>
      </c>
      <c r="EM457" s="450" t="s">
        <v>7010</v>
      </c>
      <c r="EN457" s="468">
        <v>6851</v>
      </c>
    </row>
    <row r="458" spans="130:144" ht="12.75" hidden="1" customHeight="1">
      <c r="DZ458" s="372">
        <v>99279</v>
      </c>
      <c r="EA458" s="372" t="s">
        <v>1484</v>
      </c>
      <c r="EB458" s="372" t="s">
        <v>3354</v>
      </c>
      <c r="EC458" s="372" t="s">
        <v>1820</v>
      </c>
      <c r="ED458" s="447" t="s">
        <v>13802</v>
      </c>
      <c r="EE458" s="372" t="s">
        <v>14380</v>
      </c>
      <c r="EF458" s="372" t="s">
        <v>3355</v>
      </c>
      <c r="EG458" s="372">
        <v>912</v>
      </c>
      <c r="EH458" s="372" t="s">
        <v>3356</v>
      </c>
      <c r="EI458" s="372" t="s">
        <v>3357</v>
      </c>
      <c r="EJ458" s="372" t="s">
        <v>3358</v>
      </c>
      <c r="EK458" s="372" t="s">
        <v>14381</v>
      </c>
      <c r="EL458" s="372" t="s">
        <v>3359</v>
      </c>
      <c r="EM458" t="s">
        <v>14769</v>
      </c>
      <c r="EN458" s="372">
        <v>6664</v>
      </c>
    </row>
    <row r="459" spans="130:144" hidden="1">
      <c r="DZ459" s="372">
        <v>99333</v>
      </c>
      <c r="EA459" s="372" t="s">
        <v>1484</v>
      </c>
      <c r="EB459" s="372" t="s">
        <v>3360</v>
      </c>
      <c r="EC459" s="372" t="s">
        <v>1812</v>
      </c>
      <c r="ED459" s="372" t="s">
        <v>1813</v>
      </c>
      <c r="EE459" s="372" t="s">
        <v>14157</v>
      </c>
      <c r="EF459" s="372" t="s">
        <v>3361</v>
      </c>
      <c r="EG459" s="372">
        <v>20</v>
      </c>
      <c r="EH459" s="372" t="s">
        <v>3362</v>
      </c>
      <c r="EI459" s="372" t="s">
        <v>3363</v>
      </c>
      <c r="EJ459" s="372" t="s">
        <v>3364</v>
      </c>
      <c r="EK459" s="372" t="s">
        <v>14158</v>
      </c>
      <c r="EL459" s="372" t="s">
        <v>3365</v>
      </c>
      <c r="EM459" s="372" t="s">
        <v>14767</v>
      </c>
      <c r="EN459" s="372">
        <v>6627</v>
      </c>
    </row>
    <row r="460" spans="130:144" hidden="1">
      <c r="DZ460" s="372">
        <v>99341</v>
      </c>
      <c r="EA460" s="372" t="s">
        <v>1484</v>
      </c>
      <c r="EB460" s="372" t="s">
        <v>3366</v>
      </c>
      <c r="EC460" s="372" t="s">
        <v>1707</v>
      </c>
      <c r="ED460" s="447" t="s">
        <v>13799</v>
      </c>
      <c r="EE460" s="372" t="s">
        <v>14321</v>
      </c>
      <c r="EF460" s="372" t="s">
        <v>3367</v>
      </c>
      <c r="EG460" s="372">
        <v>18</v>
      </c>
      <c r="EH460" s="372" t="s">
        <v>3368</v>
      </c>
      <c r="EI460" s="372" t="s">
        <v>3369</v>
      </c>
      <c r="EJ460" s="372" t="s">
        <v>3370</v>
      </c>
      <c r="EK460" s="372" t="s">
        <v>14322</v>
      </c>
      <c r="EL460" s="372"/>
      <c r="EM460" s="372" t="s">
        <v>1633</v>
      </c>
      <c r="EN460" s="372">
        <v>6700</v>
      </c>
    </row>
    <row r="461" spans="130:144" hidden="1">
      <c r="DZ461" s="372">
        <v>99538</v>
      </c>
      <c r="EA461" s="469" t="s">
        <v>1484</v>
      </c>
      <c r="EB461" s="372" t="s">
        <v>3371</v>
      </c>
      <c r="EC461" s="469" t="s">
        <v>1654</v>
      </c>
      <c r="ED461" s="372" t="s">
        <v>13774</v>
      </c>
      <c r="EE461" s="372" t="s">
        <v>14714</v>
      </c>
      <c r="EF461" s="469" t="s">
        <v>3372</v>
      </c>
      <c r="EG461" s="469">
        <v>585</v>
      </c>
      <c r="EH461" s="469" t="s">
        <v>3373</v>
      </c>
      <c r="EI461" s="371" t="s">
        <v>3374</v>
      </c>
      <c r="EJ461" s="469" t="s">
        <v>3375</v>
      </c>
      <c r="EK461" s="469" t="s">
        <v>14715</v>
      </c>
      <c r="EL461" s="469"/>
      <c r="EM461" s="450" t="s">
        <v>7010</v>
      </c>
      <c r="EN461" s="364">
        <v>6852</v>
      </c>
    </row>
    <row r="462" spans="130:144" hidden="1">
      <c r="DZ462" s="372">
        <v>99643</v>
      </c>
      <c r="EA462" s="372" t="s">
        <v>1484</v>
      </c>
      <c r="EB462" s="372" t="s">
        <v>3376</v>
      </c>
      <c r="EC462" s="372" t="s">
        <v>1626</v>
      </c>
      <c r="ED462" s="447" t="s">
        <v>13763</v>
      </c>
      <c r="EE462" s="372" t="s">
        <v>3377</v>
      </c>
      <c r="EF462" s="372" t="s">
        <v>3378</v>
      </c>
      <c r="EG462" s="372">
        <v>10</v>
      </c>
      <c r="EH462" s="372" t="s">
        <v>3379</v>
      </c>
      <c r="EI462" s="372" t="s">
        <v>3380</v>
      </c>
      <c r="EJ462" s="372" t="s">
        <v>3381</v>
      </c>
      <c r="EK462" s="372" t="s">
        <v>13939</v>
      </c>
      <c r="EL462" s="372" t="s">
        <v>3382</v>
      </c>
      <c r="EM462" s="372" t="s">
        <v>1633</v>
      </c>
      <c r="EN462" s="372">
        <v>6738</v>
      </c>
    </row>
    <row r="463" spans="130:144" hidden="1">
      <c r="DZ463" s="372">
        <v>99805</v>
      </c>
      <c r="EA463" s="372" t="s">
        <v>1484</v>
      </c>
      <c r="EB463" s="372" t="s">
        <v>3383</v>
      </c>
      <c r="EC463" s="372" t="s">
        <v>1707</v>
      </c>
      <c r="ED463" s="447" t="s">
        <v>13799</v>
      </c>
      <c r="EE463" s="372" t="s">
        <v>14306</v>
      </c>
      <c r="EF463" s="372" t="s">
        <v>3384</v>
      </c>
      <c r="EG463" s="372">
        <v>1209</v>
      </c>
      <c r="EH463" s="372" t="s">
        <v>1968</v>
      </c>
      <c r="EI463" s="372" t="s">
        <v>3385</v>
      </c>
      <c r="EJ463" s="372" t="s">
        <v>3386</v>
      </c>
      <c r="EK463" s="372" t="s">
        <v>14307</v>
      </c>
      <c r="EL463" s="372"/>
      <c r="EM463" s="372" t="s">
        <v>1633</v>
      </c>
      <c r="EN463" s="372">
        <v>6701</v>
      </c>
    </row>
    <row r="464" spans="130:144" hidden="1">
      <c r="DZ464" s="372">
        <v>99988</v>
      </c>
      <c r="EA464" s="459" t="s">
        <v>1484</v>
      </c>
      <c r="EB464" s="372" t="s">
        <v>14512</v>
      </c>
      <c r="EC464" s="372" t="s">
        <v>13777</v>
      </c>
      <c r="ED464" s="405" t="s">
        <v>13778</v>
      </c>
      <c r="EE464" s="459" t="s">
        <v>14513</v>
      </c>
      <c r="EF464" s="405" t="s">
        <v>14514</v>
      </c>
      <c r="EG464" s="405">
        <v>84</v>
      </c>
      <c r="EH464" s="460" t="s">
        <v>14515</v>
      </c>
      <c r="EI464" s="405" t="str">
        <f>EF464&amp;", "&amp;EG464&amp;" - "&amp;EH464</f>
        <v>RUA PASTOR JOÃO GRECCHI, 84 - PARQUE ANHANGUERA</v>
      </c>
      <c r="EJ464" s="461">
        <v>5271290</v>
      </c>
      <c r="EK464" s="459" t="s">
        <v>14516</v>
      </c>
      <c r="EL464" s="447"/>
      <c r="EM464" s="372" t="s">
        <v>1633</v>
      </c>
      <c r="EN464" s="372">
        <v>6757</v>
      </c>
    </row>
    <row r="465" spans="130:146" ht="15" hidden="1">
      <c r="DZ465" s="447">
        <v>400232</v>
      </c>
      <c r="EA465" s="447" t="s">
        <v>7662</v>
      </c>
      <c r="EB465" s="447" t="s">
        <v>13770</v>
      </c>
      <c r="EC465" s="447" t="s">
        <v>1661</v>
      </c>
      <c r="ED465" s="447" t="s">
        <v>13771</v>
      </c>
      <c r="EE465" s="540" t="s">
        <v>13772</v>
      </c>
      <c r="EF465" s="485" t="s">
        <v>13773</v>
      </c>
      <c r="EG465" s="485">
        <v>1963</v>
      </c>
      <c r="EH465" s="485" t="s">
        <v>1671</v>
      </c>
      <c r="EI465" s="486" t="s">
        <v>1672</v>
      </c>
      <c r="EJ465" s="487" t="s">
        <v>1673</v>
      </c>
      <c r="EK465" s="485"/>
      <c r="EL465" s="485"/>
      <c r="EM465" s="447" t="s">
        <v>1669</v>
      </c>
      <c r="EN465" s="371">
        <v>14459</v>
      </c>
      <c r="EP465" t="s">
        <v>14766</v>
      </c>
    </row>
    <row r="466" spans="130:146" ht="12.75" hidden="1" customHeight="1">
      <c r="DZ466" s="447">
        <v>400875</v>
      </c>
      <c r="EA466" s="447" t="s">
        <v>7662</v>
      </c>
      <c r="EB466" s="447" t="s">
        <v>13752</v>
      </c>
      <c r="EC466" s="447" t="s">
        <v>1486</v>
      </c>
      <c r="ED466" s="447" t="s">
        <v>161</v>
      </c>
      <c r="EE466" s="539" t="s">
        <v>13764</v>
      </c>
      <c r="EF466" s="447" t="s">
        <v>13751</v>
      </c>
      <c r="EG466" s="447">
        <v>125</v>
      </c>
      <c r="EH466" s="447" t="s">
        <v>13752</v>
      </c>
      <c r="EI466" s="371" t="s">
        <v>13765</v>
      </c>
      <c r="EJ466" s="373">
        <v>4829220</v>
      </c>
      <c r="EK466" s="447"/>
      <c r="EL466" s="447"/>
      <c r="EM466" s="447" t="s">
        <v>1669</v>
      </c>
      <c r="EN466" s="371">
        <v>14194</v>
      </c>
      <c r="EO466" t="s">
        <v>14765</v>
      </c>
    </row>
  </sheetData>
  <sheetProtection algorithmName="SHA-512" hashValue="LZSScOe+soNRKYeT7ngPdhDSO32Sff9TBrP3opFeI1NlZdQIrEwvbvy23iZ1S/zxRZdZmVmTF/QG3dhQKJnGWA==" saltValue="Tb8CtA8Kby1v9yw03dMN8w==" spinCount="100000" sheet="1" objects="1" scenarios="1" selectLockedCells="1"/>
  <autoFilter ref="DZ2:EN463" xr:uid="{00000000-0009-0000-0000-000001000000}"/>
  <sortState xmlns:xlrd2="http://schemas.microsoft.com/office/spreadsheetml/2017/richdata2" ref="DZ224:EO466">
    <sortCondition ref="DZ224"/>
  </sortState>
  <customSheetViews>
    <customSheetView guid="{A4151E33-58C6-41F5-BA81-6DF0478FCCB4}" scale="55" showPageBreaks="1" showGridLines="0" printArea="1" hiddenRows="1" hiddenColumns="1">
      <selection activeCell="BY15" sqref="BY15"/>
      <rowBreaks count="1" manualBreakCount="1">
        <brk id="62" min="2" max="74" man="1"/>
      </rowBreaks>
      <pageMargins left="0.17" right="0" top="3.937007874015748E-2" bottom="0" header="0" footer="0"/>
      <printOptions horizontalCentered="1"/>
      <pageSetup paperSize="9" scale="53" fitToHeight="0" pageOrder="overThenDown" orientation="landscape" r:id="rId1"/>
    </customSheetView>
  </customSheetViews>
  <mergeCells count="901">
    <mergeCell ref="CD73:CF73"/>
    <mergeCell ref="BY54:BZ54"/>
    <mergeCell ref="BY55:BZ55"/>
    <mergeCell ref="BY56:BZ56"/>
    <mergeCell ref="BY57:BZ57"/>
    <mergeCell ref="BY58:BZ58"/>
    <mergeCell ref="BY59:BZ59"/>
    <mergeCell ref="Q106:R106"/>
    <mergeCell ref="Q105:R105"/>
    <mergeCell ref="Q104:R104"/>
    <mergeCell ref="Q103:R103"/>
    <mergeCell ref="Q102:R102"/>
    <mergeCell ref="Q100:R100"/>
    <mergeCell ref="Q95:R95"/>
    <mergeCell ref="Q99:R99"/>
    <mergeCell ref="Q98:R98"/>
    <mergeCell ref="Q97:R97"/>
    <mergeCell ref="Q96:R96"/>
    <mergeCell ref="Q101:R101"/>
    <mergeCell ref="X54:Z54"/>
    <mergeCell ref="X55:Z55"/>
    <mergeCell ref="AE94:AG94"/>
    <mergeCell ref="AE95:AG95"/>
    <mergeCell ref="AI78:BW78"/>
    <mergeCell ref="BY47:BZ47"/>
    <mergeCell ref="BY48:BZ48"/>
    <mergeCell ref="BY49:BZ49"/>
    <mergeCell ref="BY50:BZ50"/>
    <mergeCell ref="BY51:BZ51"/>
    <mergeCell ref="BY52:BZ52"/>
    <mergeCell ref="BY53:BZ53"/>
    <mergeCell ref="C119:BW128"/>
    <mergeCell ref="BZ73:CC73"/>
    <mergeCell ref="O106:P106"/>
    <mergeCell ref="U47:V47"/>
    <mergeCell ref="U48:V48"/>
    <mergeCell ref="U49:V49"/>
    <mergeCell ref="U50:V50"/>
    <mergeCell ref="AE57:AG57"/>
    <mergeCell ref="X50:Z50"/>
    <mergeCell ref="X52:Z52"/>
    <mergeCell ref="X53:Z53"/>
    <mergeCell ref="AY57:BD57"/>
    <mergeCell ref="BJ57:BL57"/>
    <mergeCell ref="BE57:BG57"/>
    <mergeCell ref="AY49:BD49"/>
    <mergeCell ref="AY50:BD50"/>
    <mergeCell ref="AY51:BD51"/>
    <mergeCell ref="BY42:BZ42"/>
    <mergeCell ref="BY43:BZ43"/>
    <mergeCell ref="BY44:BZ44"/>
    <mergeCell ref="BY27:BZ27"/>
    <mergeCell ref="BY28:BZ28"/>
    <mergeCell ref="BY29:BZ29"/>
    <mergeCell ref="BY30:BZ30"/>
    <mergeCell ref="BY31:BZ31"/>
    <mergeCell ref="BY32:BZ32"/>
    <mergeCell ref="BY33:BZ33"/>
    <mergeCell ref="BY34:BZ34"/>
    <mergeCell ref="BY35:BZ35"/>
    <mergeCell ref="BY36:BZ36"/>
    <mergeCell ref="BY37:BZ37"/>
    <mergeCell ref="BY38:BZ38"/>
    <mergeCell ref="BY39:BZ39"/>
    <mergeCell ref="BY40:BZ40"/>
    <mergeCell ref="BY41:BZ41"/>
    <mergeCell ref="BY45:BZ45"/>
    <mergeCell ref="BY46:BZ46"/>
    <mergeCell ref="AE50:AG50"/>
    <mergeCell ref="AE51:AG51"/>
    <mergeCell ref="AE52:AG52"/>
    <mergeCell ref="AE53:AG53"/>
    <mergeCell ref="AE54:AG54"/>
    <mergeCell ref="AE55:AG55"/>
    <mergeCell ref="AE56:AG56"/>
    <mergeCell ref="BJ56:BL56"/>
    <mergeCell ref="BE53:BG53"/>
    <mergeCell ref="AY53:BD53"/>
    <mergeCell ref="AY54:BD54"/>
    <mergeCell ref="AY55:BD55"/>
    <mergeCell ref="AY56:BD56"/>
    <mergeCell ref="BJ53:BL53"/>
    <mergeCell ref="BJ54:BL54"/>
    <mergeCell ref="BJ55:BL55"/>
    <mergeCell ref="BE54:BG54"/>
    <mergeCell ref="BE55:BG55"/>
    <mergeCell ref="BE56:BG56"/>
    <mergeCell ref="AY46:BD46"/>
    <mergeCell ref="AY47:BD47"/>
    <mergeCell ref="AY48:BD48"/>
    <mergeCell ref="AY52:BD52"/>
    <mergeCell ref="BJ46:BL46"/>
    <mergeCell ref="BE46:BG46"/>
    <mergeCell ref="BE47:BG47"/>
    <mergeCell ref="BE48:BG48"/>
    <mergeCell ref="BE49:BG49"/>
    <mergeCell ref="BE50:BG50"/>
    <mergeCell ref="BE51:BG51"/>
    <mergeCell ref="BE52:BG52"/>
    <mergeCell ref="BJ47:BL47"/>
    <mergeCell ref="BJ48:BL48"/>
    <mergeCell ref="BJ49:BL49"/>
    <mergeCell ref="BJ50:BL50"/>
    <mergeCell ref="BJ51:BL51"/>
    <mergeCell ref="BJ52:BL52"/>
    <mergeCell ref="C61:F62"/>
    <mergeCell ref="G61:BU62"/>
    <mergeCell ref="AI100:BW100"/>
    <mergeCell ref="AI101:BW101"/>
    <mergeCell ref="AI102:BW102"/>
    <mergeCell ref="AI79:BW79"/>
    <mergeCell ref="AE96:AG96"/>
    <mergeCell ref="AE97:AG97"/>
    <mergeCell ref="Z91:AB91"/>
    <mergeCell ref="Z92:AB92"/>
    <mergeCell ref="Z93:AB93"/>
    <mergeCell ref="Z94:AB94"/>
    <mergeCell ref="Z95:AB95"/>
    <mergeCell ref="Z96:AB96"/>
    <mergeCell ref="Z97:AB97"/>
    <mergeCell ref="Z98:AB98"/>
    <mergeCell ref="Z99:AB99"/>
    <mergeCell ref="Z82:AB82"/>
    <mergeCell ref="Z83:AB83"/>
    <mergeCell ref="Z84:AB84"/>
    <mergeCell ref="AI88:BW88"/>
    <mergeCell ref="AI89:BW89"/>
    <mergeCell ref="AI90:BW90"/>
    <mergeCell ref="AE88:AG88"/>
    <mergeCell ref="AE89:AG89"/>
    <mergeCell ref="AE90:AG90"/>
    <mergeCell ref="AE91:AG91"/>
    <mergeCell ref="AE92:AG92"/>
    <mergeCell ref="AE93:AG93"/>
    <mergeCell ref="AE82:AG82"/>
    <mergeCell ref="AE83:AG83"/>
    <mergeCell ref="AE84:AG84"/>
    <mergeCell ref="AE85:AG85"/>
    <mergeCell ref="AE86:AG86"/>
    <mergeCell ref="AE87:AG87"/>
    <mergeCell ref="AI82:BW82"/>
    <mergeCell ref="AI83:BW83"/>
    <mergeCell ref="AI84:BW84"/>
    <mergeCell ref="AI85:BW85"/>
    <mergeCell ref="AI86:BW86"/>
    <mergeCell ref="AI87:BW87"/>
    <mergeCell ref="AI107:BW107"/>
    <mergeCell ref="AI108:BW108"/>
    <mergeCell ref="AI91:BW91"/>
    <mergeCell ref="AI92:BW92"/>
    <mergeCell ref="AI93:BW93"/>
    <mergeCell ref="AI94:BW94"/>
    <mergeCell ref="AI95:BW95"/>
    <mergeCell ref="AI96:BW96"/>
    <mergeCell ref="AI97:BW97"/>
    <mergeCell ref="AI98:BW98"/>
    <mergeCell ref="AI99:BW99"/>
    <mergeCell ref="AI106:BW106"/>
    <mergeCell ref="AI105:BW105"/>
    <mergeCell ref="AI103:BW103"/>
    <mergeCell ref="AI104:BW104"/>
    <mergeCell ref="BJ58:BL58"/>
    <mergeCell ref="BJ59:BK59"/>
    <mergeCell ref="AY59:BD59"/>
    <mergeCell ref="BE59:BG59"/>
    <mergeCell ref="AI72:BW74"/>
    <mergeCell ref="AI81:BW81"/>
    <mergeCell ref="AI80:BW80"/>
    <mergeCell ref="BE58:BG58"/>
    <mergeCell ref="AY58:BD58"/>
    <mergeCell ref="AI77:BW77"/>
    <mergeCell ref="BJ28:BL28"/>
    <mergeCell ref="BJ29:BL29"/>
    <mergeCell ref="BJ30:BL30"/>
    <mergeCell ref="BJ31:BL31"/>
    <mergeCell ref="BJ32:BL32"/>
    <mergeCell ref="BJ33:BL33"/>
    <mergeCell ref="BJ34:BL34"/>
    <mergeCell ref="BJ35:BL35"/>
    <mergeCell ref="BJ36:BL36"/>
    <mergeCell ref="BJ37:BL37"/>
    <mergeCell ref="BJ38:BL38"/>
    <mergeCell ref="BJ39:BL39"/>
    <mergeCell ref="BJ40:BL40"/>
    <mergeCell ref="BJ41:BL41"/>
    <mergeCell ref="BJ42:BL42"/>
    <mergeCell ref="BJ43:BL43"/>
    <mergeCell ref="BJ44:BL44"/>
    <mergeCell ref="BJ45:BL45"/>
    <mergeCell ref="BE45:BG45"/>
    <mergeCell ref="BE28:BG28"/>
    <mergeCell ref="BE29:BG29"/>
    <mergeCell ref="BE30:BG30"/>
    <mergeCell ref="BE31:BG31"/>
    <mergeCell ref="BE32:BG32"/>
    <mergeCell ref="BE33:BG33"/>
    <mergeCell ref="BE34:BG34"/>
    <mergeCell ref="BE35:BG35"/>
    <mergeCell ref="BE44:BG44"/>
    <mergeCell ref="AY35:BD35"/>
    <mergeCell ref="BE36:BG36"/>
    <mergeCell ref="BE37:BG37"/>
    <mergeCell ref="BE38:BG38"/>
    <mergeCell ref="BE39:BG39"/>
    <mergeCell ref="BE40:BG40"/>
    <mergeCell ref="BE41:BG41"/>
    <mergeCell ref="BE42:BG42"/>
    <mergeCell ref="BE43:BG43"/>
    <mergeCell ref="AY44:BD44"/>
    <mergeCell ref="AY45:BD45"/>
    <mergeCell ref="AY36:BD36"/>
    <mergeCell ref="AY37:BD37"/>
    <mergeCell ref="AY38:BD38"/>
    <mergeCell ref="AY39:BD39"/>
    <mergeCell ref="AY40:BD40"/>
    <mergeCell ref="AY41:BD41"/>
    <mergeCell ref="AY42:BD42"/>
    <mergeCell ref="AY43:BD43"/>
    <mergeCell ref="AY28:BD28"/>
    <mergeCell ref="AY30:BD30"/>
    <mergeCell ref="AY31:BD31"/>
    <mergeCell ref="AY32:BD32"/>
    <mergeCell ref="AY33:BD33"/>
    <mergeCell ref="AY34:BD34"/>
    <mergeCell ref="AY29:BD29"/>
    <mergeCell ref="X45:Z45"/>
    <mergeCell ref="X51:Z51"/>
    <mergeCell ref="X46:Z46"/>
    <mergeCell ref="X47:Z47"/>
    <mergeCell ref="X48:Z48"/>
    <mergeCell ref="X49:Z49"/>
    <mergeCell ref="AE45:AG45"/>
    <mergeCell ref="AE46:AG46"/>
    <mergeCell ref="AE47:AG47"/>
    <mergeCell ref="AE48:AG48"/>
    <mergeCell ref="AE49:AG49"/>
    <mergeCell ref="AE28:AG28"/>
    <mergeCell ref="AE29:AG29"/>
    <mergeCell ref="AE30:AG30"/>
    <mergeCell ref="AE31:AG31"/>
    <mergeCell ref="AE32:AG32"/>
    <mergeCell ref="AE33:AG33"/>
    <mergeCell ref="R58:S58"/>
    <mergeCell ref="R30:S30"/>
    <mergeCell ref="R31:S31"/>
    <mergeCell ref="R32:S32"/>
    <mergeCell ref="R33:S33"/>
    <mergeCell ref="X29:Z29"/>
    <mergeCell ref="X30:Z30"/>
    <mergeCell ref="X31:Z31"/>
    <mergeCell ref="X32:Z32"/>
    <mergeCell ref="X33:Z33"/>
    <mergeCell ref="X34:Z34"/>
    <mergeCell ref="X35:Z35"/>
    <mergeCell ref="X36:Z36"/>
    <mergeCell ref="X37:Z37"/>
    <mergeCell ref="X56:Z56"/>
    <mergeCell ref="X57:Z57"/>
    <mergeCell ref="U53:V53"/>
    <mergeCell ref="U54:V54"/>
    <mergeCell ref="U55:V55"/>
    <mergeCell ref="U46:V46"/>
    <mergeCell ref="U56:V56"/>
    <mergeCell ref="U57:V57"/>
    <mergeCell ref="U51:V51"/>
    <mergeCell ref="U52:V52"/>
    <mergeCell ref="U37:V37"/>
    <mergeCell ref="U38:V38"/>
    <mergeCell ref="U39:V39"/>
    <mergeCell ref="U40:V40"/>
    <mergeCell ref="U41:V41"/>
    <mergeCell ref="U42:V42"/>
    <mergeCell ref="U43:V43"/>
    <mergeCell ref="U44:V44"/>
    <mergeCell ref="U45:V45"/>
    <mergeCell ref="U28:V28"/>
    <mergeCell ref="U29:V29"/>
    <mergeCell ref="U30:V30"/>
    <mergeCell ref="U31:V31"/>
    <mergeCell ref="U32:V32"/>
    <mergeCell ref="U33:V33"/>
    <mergeCell ref="U34:V34"/>
    <mergeCell ref="U35:V35"/>
    <mergeCell ref="U36:V36"/>
    <mergeCell ref="R39:S39"/>
    <mergeCell ref="R40:S40"/>
    <mergeCell ref="R41:S41"/>
    <mergeCell ref="R42:S42"/>
    <mergeCell ref="R43:S43"/>
    <mergeCell ref="R44:S44"/>
    <mergeCell ref="R45:S45"/>
    <mergeCell ref="AE34:AG34"/>
    <mergeCell ref="AE35:AG35"/>
    <mergeCell ref="AE36:AG36"/>
    <mergeCell ref="AE37:AG37"/>
    <mergeCell ref="AE38:AG38"/>
    <mergeCell ref="AE39:AG39"/>
    <mergeCell ref="AE40:AG40"/>
    <mergeCell ref="AE41:AG41"/>
    <mergeCell ref="AE42:AG42"/>
    <mergeCell ref="X38:Z38"/>
    <mergeCell ref="X39:Z39"/>
    <mergeCell ref="X40:Z40"/>
    <mergeCell ref="X41:Z41"/>
    <mergeCell ref="X42:Z42"/>
    <mergeCell ref="X43:Z43"/>
    <mergeCell ref="X44:Z44"/>
    <mergeCell ref="R34:S34"/>
    <mergeCell ref="R35:S35"/>
    <mergeCell ref="R36:S36"/>
    <mergeCell ref="R37:S37"/>
    <mergeCell ref="R38:S38"/>
    <mergeCell ref="AE107:AG107"/>
    <mergeCell ref="Z108:AB108"/>
    <mergeCell ref="AE108:AG108"/>
    <mergeCell ref="D72:R72"/>
    <mergeCell ref="S72:T74"/>
    <mergeCell ref="U72:V74"/>
    <mergeCell ref="X72:AG73"/>
    <mergeCell ref="AE98:AG98"/>
    <mergeCell ref="AE99:AG99"/>
    <mergeCell ref="AE100:AG100"/>
    <mergeCell ref="AE101:AG101"/>
    <mergeCell ref="AE102:AG102"/>
    <mergeCell ref="AE103:AG103"/>
    <mergeCell ref="AE104:AG104"/>
    <mergeCell ref="AE105:AG105"/>
    <mergeCell ref="AE106:AG106"/>
    <mergeCell ref="Z100:AB100"/>
    <mergeCell ref="Z101:AB101"/>
    <mergeCell ref="Z102:AB102"/>
    <mergeCell ref="Z103:AB103"/>
    <mergeCell ref="Z104:AB104"/>
    <mergeCell ref="Z105:AB105"/>
    <mergeCell ref="Z106:AB106"/>
    <mergeCell ref="Z107:AB107"/>
    <mergeCell ref="Z85:AB85"/>
    <mergeCell ref="Z86:AB86"/>
    <mergeCell ref="Z87:AB87"/>
    <mergeCell ref="Z88:AB88"/>
    <mergeCell ref="Z89:AB89"/>
    <mergeCell ref="Z90:AB90"/>
    <mergeCell ref="U24:V24"/>
    <mergeCell ref="AE24:AG24"/>
    <mergeCell ref="X24:Z24"/>
    <mergeCell ref="AE74:AG74"/>
    <mergeCell ref="Z74:AB74"/>
    <mergeCell ref="AE81:AG81"/>
    <mergeCell ref="AE80:AG80"/>
    <mergeCell ref="AE79:AG79"/>
    <mergeCell ref="AE78:AG78"/>
    <mergeCell ref="AE77:AG77"/>
    <mergeCell ref="Z81:AB81"/>
    <mergeCell ref="Z80:AB80"/>
    <mergeCell ref="Z79:AB79"/>
    <mergeCell ref="Z78:AB78"/>
    <mergeCell ref="Z77:AB77"/>
    <mergeCell ref="AE58:AG58"/>
    <mergeCell ref="AE59:AG59"/>
    <mergeCell ref="U58:V58"/>
    <mergeCell ref="AE43:AG43"/>
    <mergeCell ref="AE44:AG44"/>
    <mergeCell ref="X58:Z58"/>
    <mergeCell ref="X59:Z59"/>
    <mergeCell ref="U59:V59"/>
    <mergeCell ref="X28:Z28"/>
    <mergeCell ref="R24:S24"/>
    <mergeCell ref="R23:AI23"/>
    <mergeCell ref="C22:BW22"/>
    <mergeCell ref="R28:S28"/>
    <mergeCell ref="R29:S29"/>
    <mergeCell ref="E59:F59"/>
    <mergeCell ref="C59:D59"/>
    <mergeCell ref="E50:F50"/>
    <mergeCell ref="E49:F49"/>
    <mergeCell ref="E48:F48"/>
    <mergeCell ref="E47:F47"/>
    <mergeCell ref="E46:F46"/>
    <mergeCell ref="E45:F45"/>
    <mergeCell ref="E44:F44"/>
    <mergeCell ref="C58:D58"/>
    <mergeCell ref="C57:D57"/>
    <mergeCell ref="C56:D56"/>
    <mergeCell ref="C55:D55"/>
    <mergeCell ref="E23:Q23"/>
    <mergeCell ref="E24:F24"/>
    <mergeCell ref="E38:F38"/>
    <mergeCell ref="E37:F37"/>
    <mergeCell ref="E36:F36"/>
    <mergeCell ref="E32:F32"/>
    <mergeCell ref="E31:F31"/>
    <mergeCell ref="E30:F30"/>
    <mergeCell ref="E29:F29"/>
    <mergeCell ref="E28:F28"/>
    <mergeCell ref="E43:F43"/>
    <mergeCell ref="E42:F42"/>
    <mergeCell ref="E41:F41"/>
    <mergeCell ref="E40:F40"/>
    <mergeCell ref="E39:F39"/>
    <mergeCell ref="E35:F35"/>
    <mergeCell ref="E34:F34"/>
    <mergeCell ref="E33:F33"/>
    <mergeCell ref="E58:F58"/>
    <mergeCell ref="E57:F57"/>
    <mergeCell ref="E56:F56"/>
    <mergeCell ref="E55:F55"/>
    <mergeCell ref="E54:F54"/>
    <mergeCell ref="E53:F53"/>
    <mergeCell ref="E52:F52"/>
    <mergeCell ref="E51:F51"/>
    <mergeCell ref="C54:D54"/>
    <mergeCell ref="C53:D53"/>
    <mergeCell ref="S108:T108"/>
    <mergeCell ref="U108:V108"/>
    <mergeCell ref="C23:D24"/>
    <mergeCell ref="C28:D28"/>
    <mergeCell ref="C36:D36"/>
    <mergeCell ref="C35:D35"/>
    <mergeCell ref="C34:D34"/>
    <mergeCell ref="C33:D33"/>
    <mergeCell ref="C32:D32"/>
    <mergeCell ref="C31:D31"/>
    <mergeCell ref="C30:D30"/>
    <mergeCell ref="C29:D29"/>
    <mergeCell ref="C45:D45"/>
    <mergeCell ref="C44:D44"/>
    <mergeCell ref="C43:D43"/>
    <mergeCell ref="C42:D42"/>
    <mergeCell ref="C41:D41"/>
    <mergeCell ref="C40:D40"/>
    <mergeCell ref="C39:D39"/>
    <mergeCell ref="C38:D38"/>
    <mergeCell ref="C37:D37"/>
    <mergeCell ref="C52:D52"/>
    <mergeCell ref="C51:D51"/>
    <mergeCell ref="C50:D50"/>
    <mergeCell ref="U82:V82"/>
    <mergeCell ref="S82:T82"/>
    <mergeCell ref="U81:V81"/>
    <mergeCell ref="S81:T81"/>
    <mergeCell ref="U97:V97"/>
    <mergeCell ref="S97:T97"/>
    <mergeCell ref="U96:V96"/>
    <mergeCell ref="S96:T96"/>
    <mergeCell ref="U95:V95"/>
    <mergeCell ref="S95:T95"/>
    <mergeCell ref="U94:V94"/>
    <mergeCell ref="S94:T94"/>
    <mergeCell ref="U93:V93"/>
    <mergeCell ref="S93:T93"/>
    <mergeCell ref="U100:V100"/>
    <mergeCell ref="S100:T100"/>
    <mergeCell ref="U99:V99"/>
    <mergeCell ref="S99:T99"/>
    <mergeCell ref="U98:V98"/>
    <mergeCell ref="S98:T98"/>
    <mergeCell ref="U78:V78"/>
    <mergeCell ref="S78:T78"/>
    <mergeCell ref="U77:V77"/>
    <mergeCell ref="S77:T77"/>
    <mergeCell ref="U92:V92"/>
    <mergeCell ref="S92:T92"/>
    <mergeCell ref="U91:V91"/>
    <mergeCell ref="S91:T91"/>
    <mergeCell ref="U90:V90"/>
    <mergeCell ref="S90:T90"/>
    <mergeCell ref="U89:V89"/>
    <mergeCell ref="S89:T89"/>
    <mergeCell ref="U88:V88"/>
    <mergeCell ref="S88:T88"/>
    <mergeCell ref="U87:V87"/>
    <mergeCell ref="S87:T87"/>
    <mergeCell ref="U86:V86"/>
    <mergeCell ref="S86:T86"/>
    <mergeCell ref="U105:V105"/>
    <mergeCell ref="S105:T105"/>
    <mergeCell ref="U104:V104"/>
    <mergeCell ref="S104:T104"/>
    <mergeCell ref="U103:V103"/>
    <mergeCell ref="S103:T103"/>
    <mergeCell ref="U102:V102"/>
    <mergeCell ref="S102:T102"/>
    <mergeCell ref="U101:V101"/>
    <mergeCell ref="S101:T101"/>
    <mergeCell ref="Q107:R107"/>
    <mergeCell ref="O107:P107"/>
    <mergeCell ref="M107:N107"/>
    <mergeCell ref="M108:N108"/>
    <mergeCell ref="O108:P108"/>
    <mergeCell ref="Q108:R108"/>
    <mergeCell ref="U85:V85"/>
    <mergeCell ref="S85:T85"/>
    <mergeCell ref="U84:V84"/>
    <mergeCell ref="S84:T84"/>
    <mergeCell ref="Q89:R89"/>
    <mergeCell ref="M94:N94"/>
    <mergeCell ref="O94:P94"/>
    <mergeCell ref="Q94:R94"/>
    <mergeCell ref="Q93:R93"/>
    <mergeCell ref="O93:P93"/>
    <mergeCell ref="M93:N93"/>
    <mergeCell ref="Q92:R92"/>
    <mergeCell ref="O92:P92"/>
    <mergeCell ref="M92:N92"/>
    <mergeCell ref="U107:V107"/>
    <mergeCell ref="S107:T107"/>
    <mergeCell ref="U106:V106"/>
    <mergeCell ref="S106:T106"/>
    <mergeCell ref="U80:V80"/>
    <mergeCell ref="S80:T80"/>
    <mergeCell ref="U79:V79"/>
    <mergeCell ref="M91:N91"/>
    <mergeCell ref="M90:N90"/>
    <mergeCell ref="O90:P90"/>
    <mergeCell ref="Q90:R90"/>
    <mergeCell ref="Q86:R86"/>
    <mergeCell ref="O86:P86"/>
    <mergeCell ref="M86:N86"/>
    <mergeCell ref="M87:N87"/>
    <mergeCell ref="O87:P87"/>
    <mergeCell ref="Q87:R87"/>
    <mergeCell ref="M88:N88"/>
    <mergeCell ref="O88:P88"/>
    <mergeCell ref="O89:P89"/>
    <mergeCell ref="M89:N89"/>
    <mergeCell ref="Q91:R91"/>
    <mergeCell ref="O91:P91"/>
    <mergeCell ref="Q88:R88"/>
    <mergeCell ref="M79:N79"/>
    <mergeCell ref="S79:T79"/>
    <mergeCell ref="U83:V83"/>
    <mergeCell ref="S83:T83"/>
    <mergeCell ref="D108:E108"/>
    <mergeCell ref="F108:G108"/>
    <mergeCell ref="H108:J108"/>
    <mergeCell ref="K108:L108"/>
    <mergeCell ref="M73:R73"/>
    <mergeCell ref="M74:N74"/>
    <mergeCell ref="O74:P74"/>
    <mergeCell ref="Q74:R74"/>
    <mergeCell ref="M77:N77"/>
    <mergeCell ref="O77:P77"/>
    <mergeCell ref="Q77:R77"/>
    <mergeCell ref="Q82:R82"/>
    <mergeCell ref="O82:P82"/>
    <mergeCell ref="M82:N82"/>
    <mergeCell ref="Q81:R81"/>
    <mergeCell ref="O81:P81"/>
    <mergeCell ref="M81:N81"/>
    <mergeCell ref="Q80:R80"/>
    <mergeCell ref="O80:P80"/>
    <mergeCell ref="M80:N80"/>
    <mergeCell ref="Q79:R79"/>
    <mergeCell ref="O79:P79"/>
    <mergeCell ref="K82:L82"/>
    <mergeCell ref="K81:L81"/>
    <mergeCell ref="K80:L80"/>
    <mergeCell ref="K79:L79"/>
    <mergeCell ref="K78:L78"/>
    <mergeCell ref="K77:L77"/>
    <mergeCell ref="K107:L107"/>
    <mergeCell ref="K106:L106"/>
    <mergeCell ref="K105:L105"/>
    <mergeCell ref="K104:L104"/>
    <mergeCell ref="K103:L103"/>
    <mergeCell ref="K102:L102"/>
    <mergeCell ref="K101:L101"/>
    <mergeCell ref="K100:L100"/>
    <mergeCell ref="H97:J97"/>
    <mergeCell ref="H96:J96"/>
    <mergeCell ref="H95:J95"/>
    <mergeCell ref="H94:J94"/>
    <mergeCell ref="H93:J93"/>
    <mergeCell ref="H107:J107"/>
    <mergeCell ref="K74:L74"/>
    <mergeCell ref="K99:L99"/>
    <mergeCell ref="K98:L98"/>
    <mergeCell ref="K97:L97"/>
    <mergeCell ref="K96:L96"/>
    <mergeCell ref="K95:L95"/>
    <mergeCell ref="K94:L94"/>
    <mergeCell ref="K93:L93"/>
    <mergeCell ref="K92:L92"/>
    <mergeCell ref="K91:L91"/>
    <mergeCell ref="K90:L90"/>
    <mergeCell ref="K89:L89"/>
    <mergeCell ref="K88:L88"/>
    <mergeCell ref="K87:L87"/>
    <mergeCell ref="K86:L86"/>
    <mergeCell ref="K85:L85"/>
    <mergeCell ref="K84:L84"/>
    <mergeCell ref="K83:L83"/>
    <mergeCell ref="H106:J106"/>
    <mergeCell ref="H105:J105"/>
    <mergeCell ref="H104:J104"/>
    <mergeCell ref="H103:J103"/>
    <mergeCell ref="H102:J102"/>
    <mergeCell ref="H101:J101"/>
    <mergeCell ref="H100:J100"/>
    <mergeCell ref="H99:J99"/>
    <mergeCell ref="H98:J98"/>
    <mergeCell ref="H74:J74"/>
    <mergeCell ref="H92:J92"/>
    <mergeCell ref="H91:J91"/>
    <mergeCell ref="H90:J90"/>
    <mergeCell ref="H89:J89"/>
    <mergeCell ref="H88:J88"/>
    <mergeCell ref="H87:J87"/>
    <mergeCell ref="H86:J86"/>
    <mergeCell ref="H85:J85"/>
    <mergeCell ref="H84:J84"/>
    <mergeCell ref="H83:J83"/>
    <mergeCell ref="H82:J82"/>
    <mergeCell ref="H81:J81"/>
    <mergeCell ref="H80:J80"/>
    <mergeCell ref="H79:J79"/>
    <mergeCell ref="H78:J78"/>
    <mergeCell ref="H77:J77"/>
    <mergeCell ref="F82:G82"/>
    <mergeCell ref="F81:G81"/>
    <mergeCell ref="F80:G80"/>
    <mergeCell ref="F79:G79"/>
    <mergeCell ref="F78:G78"/>
    <mergeCell ref="F107:G107"/>
    <mergeCell ref="F106:G106"/>
    <mergeCell ref="F105:G105"/>
    <mergeCell ref="F104:G104"/>
    <mergeCell ref="F103:G103"/>
    <mergeCell ref="F102:G102"/>
    <mergeCell ref="F101:G101"/>
    <mergeCell ref="F100:G100"/>
    <mergeCell ref="F99:G99"/>
    <mergeCell ref="F98:G98"/>
    <mergeCell ref="F97:G97"/>
    <mergeCell ref="F96:G96"/>
    <mergeCell ref="F95:G95"/>
    <mergeCell ref="F94:G94"/>
    <mergeCell ref="F93:G93"/>
    <mergeCell ref="F92:G92"/>
    <mergeCell ref="F91:G91"/>
    <mergeCell ref="F90:G90"/>
    <mergeCell ref="D98:E98"/>
    <mergeCell ref="D97:E97"/>
    <mergeCell ref="D96:E96"/>
    <mergeCell ref="D95:E95"/>
    <mergeCell ref="D94:E94"/>
    <mergeCell ref="D93:E93"/>
    <mergeCell ref="D92:E92"/>
    <mergeCell ref="D91:E91"/>
    <mergeCell ref="F83:G83"/>
    <mergeCell ref="D85:E85"/>
    <mergeCell ref="D86:E86"/>
    <mergeCell ref="D87:E87"/>
    <mergeCell ref="F89:G89"/>
    <mergeCell ref="F88:G88"/>
    <mergeCell ref="F87:G87"/>
    <mergeCell ref="F86:G86"/>
    <mergeCell ref="F85:G85"/>
    <mergeCell ref="F84:G84"/>
    <mergeCell ref="D88:E88"/>
    <mergeCell ref="D107:E107"/>
    <mergeCell ref="D106:E106"/>
    <mergeCell ref="D105:E105"/>
    <mergeCell ref="D104:E104"/>
    <mergeCell ref="D103:E103"/>
    <mergeCell ref="D102:E102"/>
    <mergeCell ref="D101:E101"/>
    <mergeCell ref="D100:E100"/>
    <mergeCell ref="D99:E99"/>
    <mergeCell ref="DK57:DK58"/>
    <mergeCell ref="L6:BB6"/>
    <mergeCell ref="DO24:DO26"/>
    <mergeCell ref="BI9:BO9"/>
    <mergeCell ref="L19:P19"/>
    <mergeCell ref="BI8:BO8"/>
    <mergeCell ref="D9:BA9"/>
    <mergeCell ref="BD17:BI17"/>
    <mergeCell ref="BD19:BE19"/>
    <mergeCell ref="BD18:BE18"/>
    <mergeCell ref="BG18:BI18"/>
    <mergeCell ref="BG19:BI19"/>
    <mergeCell ref="BJ16:BQ16"/>
    <mergeCell ref="BJ17:BQ17"/>
    <mergeCell ref="BJ18:BQ18"/>
    <mergeCell ref="L17:P17"/>
    <mergeCell ref="AW16:BI16"/>
    <mergeCell ref="L18:P18"/>
    <mergeCell ref="L14:P14"/>
    <mergeCell ref="L20:P20"/>
    <mergeCell ref="C49:D49"/>
    <mergeCell ref="C48:D48"/>
    <mergeCell ref="C47:D47"/>
    <mergeCell ref="C46:D46"/>
    <mergeCell ref="AW19:AY19"/>
    <mergeCell ref="AS19:AU19"/>
    <mergeCell ref="AS20:AU20"/>
    <mergeCell ref="BR23:BW23"/>
    <mergeCell ref="BJ24:BK24"/>
    <mergeCell ref="BE24:BG24"/>
    <mergeCell ref="AY24:BD24"/>
    <mergeCell ref="AU23:BQ23"/>
    <mergeCell ref="AK23:AS23"/>
    <mergeCell ref="DT25:DV25"/>
    <mergeCell ref="DW25:DY25"/>
    <mergeCell ref="BO21:BS21"/>
    <mergeCell ref="BA21:BE21"/>
    <mergeCell ref="BG21:BK21"/>
    <mergeCell ref="DP25:DQ25"/>
    <mergeCell ref="DR25:DS25"/>
    <mergeCell ref="BJ19:BQ19"/>
    <mergeCell ref="BJ20:BQ20"/>
    <mergeCell ref="BY24:BZ24"/>
    <mergeCell ref="CR23:CW23"/>
    <mergeCell ref="CX23:DD23"/>
    <mergeCell ref="CK23:CQ23"/>
    <mergeCell ref="H1:L1"/>
    <mergeCell ref="AI14:AO14"/>
    <mergeCell ref="D7:F7"/>
    <mergeCell ref="H7:BA7"/>
    <mergeCell ref="H6:J6"/>
    <mergeCell ref="L15:P15"/>
    <mergeCell ref="L16:P16"/>
    <mergeCell ref="R14:U14"/>
    <mergeCell ref="R15:U15"/>
    <mergeCell ref="R16:U16"/>
    <mergeCell ref="D8:BA8"/>
    <mergeCell ref="F2:BW2"/>
    <mergeCell ref="F3:BW3"/>
    <mergeCell ref="F4:BW4"/>
    <mergeCell ref="F5:BW5"/>
    <mergeCell ref="C15:E15"/>
    <mergeCell ref="C16:E16"/>
    <mergeCell ref="F14:I14"/>
    <mergeCell ref="BO13:BU13"/>
    <mergeCell ref="D6:G6"/>
    <mergeCell ref="BU6:BW6"/>
    <mergeCell ref="BU7:BW7"/>
    <mergeCell ref="BQ8:BW8"/>
    <mergeCell ref="BI10:BW10"/>
    <mergeCell ref="B23:B24"/>
    <mergeCell ref="D109:Z109"/>
    <mergeCell ref="AE109:AU109"/>
    <mergeCell ref="AY109:BW109"/>
    <mergeCell ref="BV61:BW62"/>
    <mergeCell ref="F19:H19"/>
    <mergeCell ref="R19:U19"/>
    <mergeCell ref="R20:U20"/>
    <mergeCell ref="C19:E19"/>
    <mergeCell ref="D73:L73"/>
    <mergeCell ref="D74:E74"/>
    <mergeCell ref="D77:E77"/>
    <mergeCell ref="D78:E78"/>
    <mergeCell ref="F77:G77"/>
    <mergeCell ref="F74:G74"/>
    <mergeCell ref="D90:E90"/>
    <mergeCell ref="D89:E89"/>
    <mergeCell ref="D79:E79"/>
    <mergeCell ref="D80:E80"/>
    <mergeCell ref="D81:E81"/>
    <mergeCell ref="D82:E82"/>
    <mergeCell ref="D83:E83"/>
    <mergeCell ref="D84:E84"/>
    <mergeCell ref="V20:AE20"/>
    <mergeCell ref="U112:Z112"/>
    <mergeCell ref="C110:G110"/>
    <mergeCell ref="C111:G111"/>
    <mergeCell ref="C112:G112"/>
    <mergeCell ref="H110:S110"/>
    <mergeCell ref="H111:S111"/>
    <mergeCell ref="H112:S112"/>
    <mergeCell ref="BD110:BW110"/>
    <mergeCell ref="BD111:BW111"/>
    <mergeCell ref="U110:Z110"/>
    <mergeCell ref="U111:Z111"/>
    <mergeCell ref="BD112:BW112"/>
    <mergeCell ref="AO110:AO111"/>
    <mergeCell ref="AQ110:AU111"/>
    <mergeCell ref="AG110:AM110"/>
    <mergeCell ref="AG111:AM111"/>
    <mergeCell ref="AG112:AM112"/>
    <mergeCell ref="C118:AE118"/>
    <mergeCell ref="M113:AM113"/>
    <mergeCell ref="M115:AM115"/>
    <mergeCell ref="C113:K113"/>
    <mergeCell ref="E114:J114"/>
    <mergeCell ref="E115:J115"/>
    <mergeCell ref="C116:AX116"/>
    <mergeCell ref="C117:BW117"/>
    <mergeCell ref="AS113:BW113"/>
    <mergeCell ref="BK6:BR6"/>
    <mergeCell ref="V14:AE14"/>
    <mergeCell ref="R18:U18"/>
    <mergeCell ref="AW17:AY17"/>
    <mergeCell ref="AW18:AY18"/>
    <mergeCell ref="AS17:AU17"/>
    <mergeCell ref="AS18:AU18"/>
    <mergeCell ref="C13:AM13"/>
    <mergeCell ref="AI15:AL16"/>
    <mergeCell ref="AM15:AO16"/>
    <mergeCell ref="V15:AE15"/>
    <mergeCell ref="V16:AE16"/>
    <mergeCell ref="V17:AE17"/>
    <mergeCell ref="V18:AE18"/>
    <mergeCell ref="AW14:BQ15"/>
    <mergeCell ref="AI17:AO18"/>
    <mergeCell ref="V19:AE19"/>
    <mergeCell ref="BD6:BJ6"/>
    <mergeCell ref="BD7:BJ7"/>
    <mergeCell ref="D11:AU11"/>
    <mergeCell ref="D10:AU10"/>
    <mergeCell ref="C17:E17"/>
    <mergeCell ref="C18:E18"/>
    <mergeCell ref="C14:E14"/>
    <mergeCell ref="J14:K14"/>
    <mergeCell ref="AS14:AU15"/>
    <mergeCell ref="AS16:AU16"/>
    <mergeCell ref="D12:BW12"/>
    <mergeCell ref="F18:H18"/>
    <mergeCell ref="F17:H17"/>
    <mergeCell ref="F16:H16"/>
    <mergeCell ref="F15:H15"/>
    <mergeCell ref="BG13:BM13"/>
    <mergeCell ref="R17:U17"/>
    <mergeCell ref="BQ9:BW9"/>
    <mergeCell ref="BI11:BQ11"/>
    <mergeCell ref="BR11:BW11"/>
    <mergeCell ref="BK7:BS7"/>
    <mergeCell ref="AW10:BG10"/>
    <mergeCell ref="AW11:BG11"/>
    <mergeCell ref="O99:P99"/>
    <mergeCell ref="M98:N98"/>
    <mergeCell ref="R46:S46"/>
    <mergeCell ref="R47:S47"/>
    <mergeCell ref="R48:S48"/>
    <mergeCell ref="R49:S49"/>
    <mergeCell ref="R56:S56"/>
    <mergeCell ref="R50:S50"/>
    <mergeCell ref="R51:S51"/>
    <mergeCell ref="R52:S52"/>
    <mergeCell ref="R53:S53"/>
    <mergeCell ref="Q78:R78"/>
    <mergeCell ref="O78:P78"/>
    <mergeCell ref="M78:N78"/>
    <mergeCell ref="Q85:R85"/>
    <mergeCell ref="O85:P85"/>
    <mergeCell ref="M85:N85"/>
    <mergeCell ref="M84:N84"/>
    <mergeCell ref="O84:P84"/>
    <mergeCell ref="Q84:R84"/>
    <mergeCell ref="Q83:R83"/>
    <mergeCell ref="O83:P83"/>
    <mergeCell ref="M83:N83"/>
    <mergeCell ref="R59:S59"/>
    <mergeCell ref="R57:S57"/>
    <mergeCell ref="R54:S54"/>
    <mergeCell ref="R55:S55"/>
    <mergeCell ref="M106:N106"/>
    <mergeCell ref="M105:N105"/>
    <mergeCell ref="O105:P105"/>
    <mergeCell ref="O102:P102"/>
    <mergeCell ref="M102:N102"/>
    <mergeCell ref="O95:P95"/>
    <mergeCell ref="M95:N95"/>
    <mergeCell ref="O96:P96"/>
    <mergeCell ref="M96:N96"/>
    <mergeCell ref="M97:N97"/>
    <mergeCell ref="O97:P97"/>
    <mergeCell ref="M101:N101"/>
    <mergeCell ref="O98:P98"/>
    <mergeCell ref="O101:P101"/>
    <mergeCell ref="O104:P104"/>
    <mergeCell ref="M104:N104"/>
    <mergeCell ref="M103:N103"/>
    <mergeCell ref="O103:P103"/>
    <mergeCell ref="O100:P100"/>
    <mergeCell ref="M100:N100"/>
    <mergeCell ref="M99:N99"/>
    <mergeCell ref="FU23:FU24"/>
    <mergeCell ref="FU72:FU75"/>
    <mergeCell ref="C72:C74"/>
    <mergeCell ref="BJ27:BK27"/>
    <mergeCell ref="D76:E76"/>
    <mergeCell ref="F76:G76"/>
    <mergeCell ref="H76:J76"/>
    <mergeCell ref="K76:L76"/>
    <mergeCell ref="M76:N76"/>
    <mergeCell ref="O76:P76"/>
    <mergeCell ref="Q76:R76"/>
    <mergeCell ref="S76:T76"/>
    <mergeCell ref="U76:V76"/>
    <mergeCell ref="Z76:AB76"/>
    <mergeCell ref="AE76:AG76"/>
    <mergeCell ref="AI76:BW76"/>
    <mergeCell ref="C27:D27"/>
    <mergeCell ref="E27:F27"/>
    <mergeCell ref="R27:S27"/>
    <mergeCell ref="U27:V27"/>
    <mergeCell ref="X27:Z27"/>
    <mergeCell ref="AE27:AG27"/>
    <mergeCell ref="AY27:BD27"/>
    <mergeCell ref="BE27:BG27"/>
  </mergeCells>
  <conditionalFormatting sqref="BD7 BM21:BN21">
    <cfRule type="cellIs" dxfId="356" priority="1175" stopIfTrue="1" operator="equal">
      <formula>0</formula>
    </cfRule>
  </conditionalFormatting>
  <conditionalFormatting sqref="BA21:BF21">
    <cfRule type="cellIs" dxfId="355" priority="1176" stopIfTrue="1" operator="equal">
      <formula>0</formula>
    </cfRule>
  </conditionalFormatting>
  <conditionalFormatting sqref="BU21:BV21">
    <cfRule type="cellIs" dxfId="354" priority="1174" stopIfTrue="1" operator="equal">
      <formula>0</formula>
    </cfRule>
  </conditionalFormatting>
  <conditionalFormatting sqref="C28:BW58 T28:BQ28 C28:R30 T29:BW58">
    <cfRule type="expression" dxfId="353" priority="1215" stopIfTrue="1">
      <formula>IF($A28="SAB",TRUE,IF($A28="DOM",TRUE,IF($C28="",TRUE,FALSE)))</formula>
    </cfRule>
  </conditionalFormatting>
  <conditionalFormatting sqref="R59">
    <cfRule type="expression" dxfId="352" priority="997" stopIfTrue="1">
      <formula>IF($A59="SAB",TRUE,IF($A59="DOM",TRUE,IF($C59="",TRUE,FALSE)))</formula>
    </cfRule>
  </conditionalFormatting>
  <conditionalFormatting sqref="W59">
    <cfRule type="expression" dxfId="351" priority="991" stopIfTrue="1">
      <formula>IF($A59="SAB",TRUE,IF($A59="DOM",TRUE,IF($C59="",TRUE,FALSE)))</formula>
    </cfRule>
  </conditionalFormatting>
  <conditionalFormatting sqref="C28:C55">
    <cfRule type="expression" dxfId="350" priority="1539" stopIfTrue="1">
      <formula>IF(#REF!="LPR","VERDADEIRO","FALSO")</formula>
    </cfRule>
    <cfRule type="expression" dxfId="349" priority="1540" stopIfTrue="1">
      <formula>IF(#REF!="RPL","VERDADEIRO","FALSO")</formula>
    </cfRule>
  </conditionalFormatting>
  <conditionalFormatting sqref="AJ59">
    <cfRule type="expression" dxfId="348" priority="860" stopIfTrue="1">
      <formula>IF($A59="SAB",TRUE,IF($A59="DOM",TRUE,IF($C59="",TRUE,FALSE)))</formula>
    </cfRule>
  </conditionalFormatting>
  <conditionalFormatting sqref="AL59">
    <cfRule type="expression" dxfId="347" priority="830" stopIfTrue="1">
      <formula>IF($A59="SAB",TRUE,IF($A59="DOM",TRUE,IF($C59="",TRUE,FALSE)))</formula>
    </cfRule>
  </conditionalFormatting>
  <conditionalFormatting sqref="AR59">
    <cfRule type="expression" dxfId="346" priority="820" stopIfTrue="1">
      <formula>IF($A59="SAB",TRUE,IF($A59="DOM",TRUE,IF($C59="",TRUE,FALSE)))</formula>
    </cfRule>
  </conditionalFormatting>
  <conditionalFormatting sqref="AN59">
    <cfRule type="expression" dxfId="345" priority="810" stopIfTrue="1">
      <formula>IF($A59="SAB",TRUE,IF($A59="DOM",TRUE,IF($C59="",TRUE,FALSE)))</formula>
    </cfRule>
  </conditionalFormatting>
  <conditionalFormatting sqref="AT59">
    <cfRule type="expression" dxfId="344" priority="825" stopIfTrue="1">
      <formula>IF($A59="SAB",TRUE,IF($A59="DOM",TRUE,IF($C59="",TRUE,FALSE)))</formula>
    </cfRule>
  </conditionalFormatting>
  <conditionalFormatting sqref="AP59">
    <cfRule type="expression" dxfId="343" priority="815" stopIfTrue="1">
      <formula>IF($A59="SAB",TRUE,IF($A59="DOM",TRUE,IF($C59="",TRUE,FALSE)))</formula>
    </cfRule>
  </conditionalFormatting>
  <conditionalFormatting sqref="L6:O6">
    <cfRule type="cellIs" dxfId="342" priority="758" stopIfTrue="1" operator="equal">
      <formula>"&lt;&lt;&lt;&lt;&lt; Digite ou Selecione o Código EOL da sua Unidade"</formula>
    </cfRule>
  </conditionalFormatting>
  <conditionalFormatting sqref="H6:I6">
    <cfRule type="cellIs" dxfId="341" priority="759" stopIfTrue="1" operator="equal">
      <formula>"&lt;&lt;&lt;&lt;&lt;&lt;&lt;&lt;&lt;"</formula>
    </cfRule>
  </conditionalFormatting>
  <conditionalFormatting sqref="AH59">
    <cfRule type="expression" dxfId="340" priority="721" stopIfTrue="1">
      <formula>IF($A59="SAB",TRUE,IF($A59="DOM",TRUE,IF($C59="",TRUE,FALSE)))</formula>
    </cfRule>
  </conditionalFormatting>
  <conditionalFormatting sqref="AC59">
    <cfRule type="expression" dxfId="339" priority="705" stopIfTrue="1">
      <formula>IF($A59="SAB",TRUE,IF($A59="DOM",TRUE,IF($C59="",TRUE,FALSE)))</formula>
    </cfRule>
  </conditionalFormatting>
  <conditionalFormatting sqref="AV59">
    <cfRule type="expression" dxfId="338" priority="695" stopIfTrue="1">
      <formula>IF($A59="SAB",TRUE,IF($A59="DOM",TRUE,IF($C59="",TRUE,FALSE)))</formula>
    </cfRule>
  </conditionalFormatting>
  <conditionalFormatting sqref="AX59">
    <cfRule type="expression" dxfId="337" priority="685" stopIfTrue="1">
      <formula>IF($A59="SAB",TRUE,IF($A59="DOM",TRUE,IF($C59="",TRUE,FALSE)))</formula>
    </cfRule>
  </conditionalFormatting>
  <conditionalFormatting sqref="AA59">
    <cfRule type="expression" dxfId="336" priority="655" stopIfTrue="1">
      <formula>IF($A59="SAB",TRUE,IF($A59="DOM",TRUE,IF($C59="",TRUE,FALSE)))</formula>
    </cfRule>
  </conditionalFormatting>
  <conditionalFormatting sqref="W28:W58">
    <cfRule type="expression" dxfId="335" priority="647" stopIfTrue="1">
      <formula>IF($A28="SAB",TRUE,IF($A28="DOM",TRUE,IF($C28="",TRUE,FALSE)))</formula>
    </cfRule>
  </conditionalFormatting>
  <conditionalFormatting sqref="W59">
    <cfRule type="expression" dxfId="334" priority="646" stopIfTrue="1">
      <formula>IF($A59="SAB",TRUE,IF($A59="DOM",TRUE,IF($C59="",TRUE,FALSE)))</formula>
    </cfRule>
  </conditionalFormatting>
  <conditionalFormatting sqref="AM59">
    <cfRule type="expression" dxfId="333" priority="612" stopIfTrue="1">
      <formula>IF($A59="SAB",TRUE,IF($A59="DOM",TRUE,IF($C59="",TRUE,FALSE)))</formula>
    </cfRule>
  </conditionalFormatting>
  <conditionalFormatting sqref="AB28:AB58">
    <cfRule type="expression" dxfId="332" priority="644" stopIfTrue="1">
      <formula>IF($A28="SAB",TRUE,IF($A28="DOM",TRUE,IF($C28="",TRUE,FALSE)))</formula>
    </cfRule>
  </conditionalFormatting>
  <conditionalFormatting sqref="AE28">
    <cfRule type="expression" dxfId="331" priority="627" stopIfTrue="1">
      <formula>IF($A28="SAB",TRUE,IF($A28="DOM",TRUE,IF($C28="",TRUE,FALSE)))</formula>
    </cfRule>
  </conditionalFormatting>
  <conditionalFormatting sqref="AI28:AI58">
    <cfRule type="expression" dxfId="330" priority="620" stopIfTrue="1">
      <formula>IF($A28="SAB",TRUE,IF($A28="DOM",TRUE,IF($C28="",TRUE,FALSE)))</formula>
    </cfRule>
  </conditionalFormatting>
  <conditionalFormatting sqref="AI28:AI58">
    <cfRule type="expression" dxfId="329" priority="619" stopIfTrue="1">
      <formula>IF($A28="SAB",TRUE,IF($A28="DOM",TRUE,IF($C28="",TRUE,FALSE)))</formula>
    </cfRule>
  </conditionalFormatting>
  <conditionalFormatting sqref="AI59">
    <cfRule type="expression" dxfId="328" priority="618" stopIfTrue="1">
      <formula>IF($A59="SAB",TRUE,IF($A59="DOM",TRUE,IF($C59="",TRUE,FALSE)))</formula>
    </cfRule>
  </conditionalFormatting>
  <conditionalFormatting sqref="AI59">
    <cfRule type="expression" dxfId="327" priority="617" stopIfTrue="1">
      <formula>IF($A59="SAB",TRUE,IF($A59="DOM",TRUE,IF($C59="",TRUE,FALSE)))</formula>
    </cfRule>
  </conditionalFormatting>
  <conditionalFormatting sqref="AK28:AK58">
    <cfRule type="expression" dxfId="326" priority="616" stopIfTrue="1">
      <formula>IF($A28="SAB",TRUE,IF($A28="DOM",TRUE,IF($C28="",TRUE,FALSE)))</formula>
    </cfRule>
  </conditionalFormatting>
  <conditionalFormatting sqref="AQ28:AQ58">
    <cfRule type="expression" dxfId="325" priority="610" stopIfTrue="1">
      <formula>IF($A28="SAB",TRUE,IF($A28="DOM",TRUE,IF($C28="",TRUE,FALSE)))</formula>
    </cfRule>
  </conditionalFormatting>
  <conditionalFormatting sqref="AQ59">
    <cfRule type="expression" dxfId="324" priority="609" stopIfTrue="1">
      <formula>IF($A59="SAB",TRUE,IF($A59="DOM",TRUE,IF($C59="",TRUE,FALSE)))</formula>
    </cfRule>
  </conditionalFormatting>
  <conditionalFormatting sqref="AK59">
    <cfRule type="expression" dxfId="323" priority="615" stopIfTrue="1">
      <formula>IF($A59="SAB",TRUE,IF($A59="DOM",TRUE,IF($C59="",TRUE,FALSE)))</formula>
    </cfRule>
  </conditionalFormatting>
  <conditionalFormatting sqref="AK59">
    <cfRule type="expression" dxfId="322" priority="614" stopIfTrue="1">
      <formula>IF($A59="SAB",TRUE,IF($A59="DOM",TRUE,IF($C59="",TRUE,FALSE)))</formula>
    </cfRule>
  </conditionalFormatting>
  <conditionalFormatting sqref="AM28:AM58">
    <cfRule type="expression" dxfId="321" priority="613" stopIfTrue="1">
      <formula>IF($A28="SAB",TRUE,IF($A28="DOM",TRUE,IF($C28="",TRUE,FALSE)))</formula>
    </cfRule>
  </conditionalFormatting>
  <conditionalFormatting sqref="AO28:AO58">
    <cfRule type="expression" dxfId="320" priority="611" stopIfTrue="1">
      <formula>IF($A28="SAB",TRUE,IF($A28="DOM",TRUE,IF($C28="",TRUE,FALSE)))</formula>
    </cfRule>
  </conditionalFormatting>
  <conditionalFormatting sqref="AS28:AS58">
    <cfRule type="expression" dxfId="319" priority="608" stopIfTrue="1">
      <formula>IF($A28="SAB",TRUE,IF($A28="DOM",TRUE,IF($C28="",TRUE,FALSE)))</formula>
    </cfRule>
  </conditionalFormatting>
  <conditionalFormatting sqref="AS59">
    <cfRule type="expression" dxfId="318" priority="607" stopIfTrue="1">
      <formula>IF($A59="SAB",TRUE,IF($A59="DOM",TRUE,IF($C59="",TRUE,FALSE)))</formula>
    </cfRule>
  </conditionalFormatting>
  <conditionalFormatting sqref="AU28:AU58">
    <cfRule type="expression" dxfId="317" priority="606" stopIfTrue="1">
      <formula>IF($A28="SAB",TRUE,IF($A28="DOM",TRUE,IF($C28="",TRUE,FALSE)))</formula>
    </cfRule>
  </conditionalFormatting>
  <conditionalFormatting sqref="AU59">
    <cfRule type="expression" dxfId="316" priority="605" stopIfTrue="1">
      <formula>IF($A59="SAB",TRUE,IF($A59="DOM",TRUE,IF($C59="",TRUE,FALSE)))</formula>
    </cfRule>
  </conditionalFormatting>
  <conditionalFormatting sqref="AU59">
    <cfRule type="expression" dxfId="315" priority="604" stopIfTrue="1">
      <formula>IF($A59="SAB",TRUE,IF($A59="DOM",TRUE,IF($C59="",TRUE,FALSE)))</formula>
    </cfRule>
  </conditionalFormatting>
  <conditionalFormatting sqref="AW28:AW58">
    <cfRule type="expression" dxfId="314" priority="603" stopIfTrue="1">
      <formula>IF($A28="SAB",TRUE,IF($A28="DOM",TRUE,IF($C28="",TRUE,FALSE)))</formula>
    </cfRule>
  </conditionalFormatting>
  <conditionalFormatting sqref="AW28:AW58">
    <cfRule type="expression" dxfId="313" priority="602" stopIfTrue="1">
      <formula>IF($A28="SAB",TRUE,IF($A28="DOM",TRUE,IF($C28="",TRUE,FALSE)))</formula>
    </cfRule>
  </conditionalFormatting>
  <conditionalFormatting sqref="AW59">
    <cfRule type="expression" dxfId="312" priority="601" stopIfTrue="1">
      <formula>IF($A59="SAB",TRUE,IF($A59="DOM",TRUE,IF($C59="",TRUE,FALSE)))</formula>
    </cfRule>
  </conditionalFormatting>
  <conditionalFormatting sqref="AW59">
    <cfRule type="expression" dxfId="311" priority="600" stopIfTrue="1">
      <formula>IF($A59="SAB",TRUE,IF($A59="DOM",TRUE,IF($C59="",TRUE,FALSE)))</formula>
    </cfRule>
  </conditionalFormatting>
  <conditionalFormatting sqref="AY59">
    <cfRule type="expression" dxfId="310" priority="598" stopIfTrue="1">
      <formula>IF($A59="SAB",TRUE,IF($A59="DOM",TRUE,IF($C59="",TRUE,FALSE)))</formula>
    </cfRule>
  </conditionalFormatting>
  <conditionalFormatting sqref="AY59">
    <cfRule type="expression" dxfId="309" priority="597" stopIfTrue="1">
      <formula>IF($A59="SAB",TRUE,IF($A59="DOM",TRUE,IF($C59="",TRUE,FALSE)))</formula>
    </cfRule>
  </conditionalFormatting>
  <conditionalFormatting sqref="BE28">
    <cfRule type="expression" dxfId="308" priority="590" stopIfTrue="1">
      <formula>IF($A28="SAB",TRUE,IF($A28="DOM",TRUE,IF($C28="",TRUE,FALSE)))</formula>
    </cfRule>
  </conditionalFormatting>
  <conditionalFormatting sqref="BE59">
    <cfRule type="expression" dxfId="307" priority="589" stopIfTrue="1">
      <formula>IF($A59="SAB",TRUE,IF($A59="DOM",TRUE,IF($C59="",TRUE,FALSE)))</formula>
    </cfRule>
  </conditionalFormatting>
  <conditionalFormatting sqref="BI28:BI58">
    <cfRule type="expression" dxfId="306" priority="583" stopIfTrue="1">
      <formula>IF($A28="SAB",TRUE,IF($A28="DOM",TRUE,IF($C28="",TRUE,FALSE)))</formula>
    </cfRule>
  </conditionalFormatting>
  <conditionalFormatting sqref="BI28:BI58">
    <cfRule type="expression" dxfId="305" priority="582" stopIfTrue="1">
      <formula>IF($A28="SAB",TRUE,IF($A28="DOM",TRUE,IF($C28="",TRUE,FALSE)))</formula>
    </cfRule>
  </conditionalFormatting>
  <conditionalFormatting sqref="BI59">
    <cfRule type="expression" dxfId="304" priority="581" stopIfTrue="1">
      <formula>IF($A59="SAB",TRUE,IF($A59="DOM",TRUE,IF($C59="",TRUE,FALSE)))</formula>
    </cfRule>
  </conditionalFormatting>
  <conditionalFormatting sqref="BI59">
    <cfRule type="expression" dxfId="303" priority="580" stopIfTrue="1">
      <formula>IF($A59="SAB",TRUE,IF($A59="DOM",TRUE,IF($C59="",TRUE,FALSE)))</formula>
    </cfRule>
  </conditionalFormatting>
  <conditionalFormatting sqref="BJ59">
    <cfRule type="expression" dxfId="302" priority="578" stopIfTrue="1">
      <formula>IF($A59="SAB",TRUE,IF($A59="DOM",TRUE,IF($C59="",TRUE,FALSE)))</formula>
    </cfRule>
  </conditionalFormatting>
  <conditionalFormatting sqref="BJ59">
    <cfRule type="expression" dxfId="301" priority="577" stopIfTrue="1">
      <formula>IF($A59="SAB",TRUE,IF($A59="DOM",TRUE,IF($C59="",TRUE,FALSE)))</formula>
    </cfRule>
  </conditionalFormatting>
  <conditionalFormatting sqref="BW59">
    <cfRule type="expression" dxfId="300" priority="512" stopIfTrue="1">
      <formula>IF($A59="SAB",TRUE,IF($A59="DOM",TRUE,IF($C59="",TRUE,FALSE)))</formula>
    </cfRule>
  </conditionalFormatting>
  <conditionalFormatting sqref="BR59">
    <cfRule type="expression" dxfId="299" priority="515" stopIfTrue="1">
      <formula>IF($A59="SAB",TRUE,IF($A59="DOM",TRUE,IF($C59="",TRUE,FALSE)))</formula>
    </cfRule>
  </conditionalFormatting>
  <conditionalFormatting sqref="BU59">
    <cfRule type="expression" dxfId="298" priority="514" stopIfTrue="1">
      <formula>IF($A59="SAB",TRUE,IF($A59="DOM",TRUE,IF($C59="",TRUE,FALSE)))</formula>
    </cfRule>
  </conditionalFormatting>
  <conditionalFormatting sqref="BV59">
    <cfRule type="expression" dxfId="297" priority="513" stopIfTrue="1">
      <formula>IF($A59="SAB",TRUE,IF($A59="DOM",TRUE,IF($C59="",TRUE,FALSE)))</formula>
    </cfRule>
  </conditionalFormatting>
  <conditionalFormatting sqref="BQ28:BQ58">
    <cfRule type="expression" dxfId="296" priority="511" stopIfTrue="1">
      <formula>IF($A28="SAB",TRUE,IF($A28="DOM",TRUE,IF($C28="",TRUE,FALSE)))</formula>
    </cfRule>
  </conditionalFormatting>
  <conditionalFormatting sqref="BR29:BW58">
    <cfRule type="expression" dxfId="295" priority="506" stopIfTrue="1">
      <formula>IF($A29="SAB",TRUE,IF($A29="DOM",TRUE,IF($C29="",TRUE,FALSE)))</formula>
    </cfRule>
  </conditionalFormatting>
  <conditionalFormatting sqref="C77:BW107">
    <cfRule type="expression" dxfId="294" priority="491">
      <formula>IF($A28="SAB",TRUE,IF($A28="DOM",TRUE,IF($C28="",TRUE,FALSE)))</formula>
    </cfRule>
  </conditionalFormatting>
  <conditionalFormatting sqref="D109">
    <cfRule type="cellIs" dxfId="293" priority="481" stopIfTrue="1" operator="equal">
      <formula>"VOCÊ DEVE INFOMAR O NOME E RF DO(S) RESPONSÁVEL(EIS) PELO ACOMPANHAMENTO DIÁRIO DAS ATIVIDADES DO PROGRAMA DE ALIMENTAÇÃO ESCOLAR"</formula>
    </cfRule>
  </conditionalFormatting>
  <conditionalFormatting sqref="BC114:BH114">
    <cfRule type="cellIs" dxfId="292" priority="480" stopIfTrue="1" operator="equal">
      <formula>0</formula>
    </cfRule>
  </conditionalFormatting>
  <conditionalFormatting sqref="Z82">
    <cfRule type="expression" dxfId="291" priority="479">
      <formula>IF($A33="SAB",TRUE,IF($A33="DOM",TRUE,IF($C33="",TRUE,FALSE)))</formula>
    </cfRule>
  </conditionalFormatting>
  <conditionalFormatting sqref="Z83">
    <cfRule type="expression" dxfId="290" priority="478">
      <formula>IF($A34="SAB",TRUE,IF($A34="DOM",TRUE,IF($C34="",TRUE,FALSE)))</formula>
    </cfRule>
  </conditionalFormatting>
  <conditionalFormatting sqref="Z84">
    <cfRule type="expression" dxfId="289" priority="477">
      <formula>IF($A35="SAB",TRUE,IF($A35="DOM",TRUE,IF($C35="",TRUE,FALSE)))</formula>
    </cfRule>
  </conditionalFormatting>
  <conditionalFormatting sqref="Z85">
    <cfRule type="expression" dxfId="288" priority="476">
      <formula>IF($A36="SAB",TRUE,IF($A36="DOM",TRUE,IF($C36="",TRUE,FALSE)))</formula>
    </cfRule>
  </conditionalFormatting>
  <conditionalFormatting sqref="Z86">
    <cfRule type="expression" dxfId="287" priority="475">
      <formula>IF($A37="SAB",TRUE,IF($A37="DOM",TRUE,IF($C37="",TRUE,FALSE)))</formula>
    </cfRule>
  </conditionalFormatting>
  <conditionalFormatting sqref="Z87">
    <cfRule type="expression" dxfId="286" priority="474">
      <formula>IF($A38="SAB",TRUE,IF($A38="DOM",TRUE,IF($C38="",TRUE,FALSE)))</formula>
    </cfRule>
  </conditionalFormatting>
  <conditionalFormatting sqref="Z88">
    <cfRule type="expression" dxfId="285" priority="473">
      <formula>IF($A39="SAB",TRUE,IF($A39="DOM",TRUE,IF($C39="",TRUE,FALSE)))</formula>
    </cfRule>
  </conditionalFormatting>
  <conditionalFormatting sqref="Z89">
    <cfRule type="expression" dxfId="284" priority="472">
      <formula>IF($A40="SAB",TRUE,IF($A40="DOM",TRUE,IF($C40="",TRUE,FALSE)))</formula>
    </cfRule>
  </conditionalFormatting>
  <conditionalFormatting sqref="Z90">
    <cfRule type="expression" dxfId="283" priority="471">
      <formula>IF($A41="SAB",TRUE,IF($A41="DOM",TRUE,IF($C41="",TRUE,FALSE)))</formula>
    </cfRule>
  </conditionalFormatting>
  <conditionalFormatting sqref="Z91">
    <cfRule type="expression" dxfId="282" priority="470">
      <formula>IF($A42="SAB",TRUE,IF($A42="DOM",TRUE,IF($C42="",TRUE,FALSE)))</formula>
    </cfRule>
  </conditionalFormatting>
  <conditionalFormatting sqref="Z92">
    <cfRule type="expression" dxfId="281" priority="469">
      <formula>IF($A43="SAB",TRUE,IF($A43="DOM",TRUE,IF($C43="",TRUE,FALSE)))</formula>
    </cfRule>
  </conditionalFormatting>
  <conditionalFormatting sqref="Z93">
    <cfRule type="expression" dxfId="280" priority="468">
      <formula>IF($A44="SAB",TRUE,IF($A44="DOM",TRUE,IF($C44="",TRUE,FALSE)))</formula>
    </cfRule>
  </conditionalFormatting>
  <conditionalFormatting sqref="Z94">
    <cfRule type="expression" dxfId="279" priority="467">
      <formula>IF($A45="SAB",TRUE,IF($A45="DOM",TRUE,IF($C45="",TRUE,FALSE)))</formula>
    </cfRule>
  </conditionalFormatting>
  <conditionalFormatting sqref="Z95">
    <cfRule type="expression" dxfId="278" priority="466">
      <formula>IF($A46="SAB",TRUE,IF($A46="DOM",TRUE,IF($C46="",TRUE,FALSE)))</formula>
    </cfRule>
  </conditionalFormatting>
  <conditionalFormatting sqref="Z96">
    <cfRule type="expression" dxfId="277" priority="465">
      <formula>IF($A47="SAB",TRUE,IF($A47="DOM",TRUE,IF($C47="",TRUE,FALSE)))</formula>
    </cfRule>
  </conditionalFormatting>
  <conditionalFormatting sqref="Z97">
    <cfRule type="expression" dxfId="276" priority="464">
      <formula>IF($A48="SAB",TRUE,IF($A48="DOM",TRUE,IF($C48="",TRUE,FALSE)))</formula>
    </cfRule>
  </conditionalFormatting>
  <conditionalFormatting sqref="Z98">
    <cfRule type="expression" dxfId="275" priority="463">
      <formula>IF($A49="SAB",TRUE,IF($A49="DOM",TRUE,IF($C49="",TRUE,FALSE)))</formula>
    </cfRule>
  </conditionalFormatting>
  <conditionalFormatting sqref="Z99">
    <cfRule type="expression" dxfId="274" priority="462">
      <formula>IF($A50="SAB",TRUE,IF($A50="DOM",TRUE,IF($C50="",TRUE,FALSE)))</formula>
    </cfRule>
  </conditionalFormatting>
  <conditionalFormatting sqref="Z100">
    <cfRule type="expression" dxfId="273" priority="461">
      <formula>IF($A51="SAB",TRUE,IF($A51="DOM",TRUE,IF($C51="",TRUE,FALSE)))</formula>
    </cfRule>
  </conditionalFormatting>
  <conditionalFormatting sqref="Z101">
    <cfRule type="expression" dxfId="272" priority="460">
      <formula>IF($A52="SAB",TRUE,IF($A52="DOM",TRUE,IF($C52="",TRUE,FALSE)))</formula>
    </cfRule>
  </conditionalFormatting>
  <conditionalFormatting sqref="Z102">
    <cfRule type="expression" dxfId="271" priority="459">
      <formula>IF($A53="SAB",TRUE,IF($A53="DOM",TRUE,IF($C53="",TRUE,FALSE)))</formula>
    </cfRule>
  </conditionalFormatting>
  <conditionalFormatting sqref="Z103">
    <cfRule type="expression" dxfId="270" priority="458">
      <formula>IF($A54="SAB",TRUE,IF($A54="DOM",TRUE,IF($C54="",TRUE,FALSE)))</formula>
    </cfRule>
  </conditionalFormatting>
  <conditionalFormatting sqref="Z104">
    <cfRule type="expression" dxfId="269" priority="457">
      <formula>IF($A55="SAB",TRUE,IF($A55="DOM",TRUE,IF($C55="",TRUE,FALSE)))</formula>
    </cfRule>
  </conditionalFormatting>
  <conditionalFormatting sqref="Z105">
    <cfRule type="expression" dxfId="268" priority="456">
      <formula>IF($A56="SAB",TRUE,IF($A56="DOM",TRUE,IF($C56="",TRUE,FALSE)))</formula>
    </cfRule>
  </conditionalFormatting>
  <conditionalFormatting sqref="Z106">
    <cfRule type="expression" dxfId="267" priority="455">
      <formula>IF($A57="SAB",TRUE,IF($A57="DOM",TRUE,IF($C57="",TRUE,FALSE)))</formula>
    </cfRule>
  </conditionalFormatting>
  <conditionalFormatting sqref="Z107">
    <cfRule type="expression" dxfId="266" priority="454">
      <formula>IF($A58="SAB",TRUE,IF($A58="DOM",TRUE,IF($C58="",TRUE,FALSE)))</formula>
    </cfRule>
  </conditionalFormatting>
  <conditionalFormatting sqref="AE82">
    <cfRule type="expression" dxfId="265" priority="453">
      <formula>IF($A33="SAB",TRUE,IF($A33="DOM",TRUE,IF($C33="",TRUE,FALSE)))</formula>
    </cfRule>
  </conditionalFormatting>
  <conditionalFormatting sqref="AE83">
    <cfRule type="expression" dxfId="264" priority="452">
      <formula>IF($A34="SAB",TRUE,IF($A34="DOM",TRUE,IF($C34="",TRUE,FALSE)))</formula>
    </cfRule>
  </conditionalFormatting>
  <conditionalFormatting sqref="AE84">
    <cfRule type="expression" dxfId="263" priority="451">
      <formula>IF($A35="SAB",TRUE,IF($A35="DOM",TRUE,IF($C35="",TRUE,FALSE)))</formula>
    </cfRule>
  </conditionalFormatting>
  <conditionalFormatting sqref="AE85">
    <cfRule type="expression" dxfId="262" priority="450">
      <formula>IF($A36="SAB",TRUE,IF($A36="DOM",TRUE,IF($C36="",TRUE,FALSE)))</formula>
    </cfRule>
  </conditionalFormatting>
  <conditionalFormatting sqref="AE86">
    <cfRule type="expression" dxfId="261" priority="449">
      <formula>IF($A37="SAB",TRUE,IF($A37="DOM",TRUE,IF($C37="",TRUE,FALSE)))</formula>
    </cfRule>
  </conditionalFormatting>
  <conditionalFormatting sqref="AE87">
    <cfRule type="expression" dxfId="260" priority="448">
      <formula>IF($A38="SAB",TRUE,IF($A38="DOM",TRUE,IF($C38="",TRUE,FALSE)))</formula>
    </cfRule>
  </conditionalFormatting>
  <conditionalFormatting sqref="AE88">
    <cfRule type="expression" dxfId="259" priority="447">
      <formula>IF($A39="SAB",TRUE,IF($A39="DOM",TRUE,IF($C39="",TRUE,FALSE)))</formula>
    </cfRule>
  </conditionalFormatting>
  <conditionalFormatting sqref="AE89">
    <cfRule type="expression" dxfId="258" priority="446">
      <formula>IF($A40="SAB",TRUE,IF($A40="DOM",TRUE,IF($C40="",TRUE,FALSE)))</formula>
    </cfRule>
  </conditionalFormatting>
  <conditionalFormatting sqref="AE90">
    <cfRule type="expression" dxfId="257" priority="445">
      <formula>IF($A41="SAB",TRUE,IF($A41="DOM",TRUE,IF($C41="",TRUE,FALSE)))</formula>
    </cfRule>
  </conditionalFormatting>
  <conditionalFormatting sqref="AE91">
    <cfRule type="expression" dxfId="256" priority="444">
      <formula>IF($A42="SAB",TRUE,IF($A42="DOM",TRUE,IF($C42="",TRUE,FALSE)))</formula>
    </cfRule>
  </conditionalFormatting>
  <conditionalFormatting sqref="AE92">
    <cfRule type="expression" dxfId="255" priority="443">
      <formula>IF($A43="SAB",TRUE,IF($A43="DOM",TRUE,IF($C43="",TRUE,FALSE)))</formula>
    </cfRule>
  </conditionalFormatting>
  <conditionalFormatting sqref="AE93">
    <cfRule type="expression" dxfId="254" priority="442">
      <formula>IF($A44="SAB",TRUE,IF($A44="DOM",TRUE,IF($C44="",TRUE,FALSE)))</formula>
    </cfRule>
  </conditionalFormatting>
  <conditionalFormatting sqref="AE94">
    <cfRule type="expression" dxfId="253" priority="441">
      <formula>IF($A45="SAB",TRUE,IF($A45="DOM",TRUE,IF($C45="",TRUE,FALSE)))</formula>
    </cfRule>
  </conditionalFormatting>
  <conditionalFormatting sqref="AE95">
    <cfRule type="expression" dxfId="252" priority="440">
      <formula>IF($A46="SAB",TRUE,IF($A46="DOM",TRUE,IF($C46="",TRUE,FALSE)))</formula>
    </cfRule>
  </conditionalFormatting>
  <conditionalFormatting sqref="AE96">
    <cfRule type="expression" dxfId="251" priority="439">
      <formula>IF($A47="SAB",TRUE,IF($A47="DOM",TRUE,IF($C47="",TRUE,FALSE)))</formula>
    </cfRule>
  </conditionalFormatting>
  <conditionalFormatting sqref="AE97">
    <cfRule type="expression" dxfId="250" priority="438">
      <formula>IF($A48="SAB",TRUE,IF($A48="DOM",TRUE,IF($C48="",TRUE,FALSE)))</formula>
    </cfRule>
  </conditionalFormatting>
  <conditionalFormatting sqref="AE98">
    <cfRule type="expression" dxfId="249" priority="437">
      <formula>IF($A49="SAB",TRUE,IF($A49="DOM",TRUE,IF($C49="",TRUE,FALSE)))</formula>
    </cfRule>
  </conditionalFormatting>
  <conditionalFormatting sqref="AE99">
    <cfRule type="expression" dxfId="248" priority="436">
      <formula>IF($A50="SAB",TRUE,IF($A50="DOM",TRUE,IF($C50="",TRUE,FALSE)))</formula>
    </cfRule>
  </conditionalFormatting>
  <conditionalFormatting sqref="AE100">
    <cfRule type="expression" dxfId="247" priority="435">
      <formula>IF($A51="SAB",TRUE,IF($A51="DOM",TRUE,IF($C51="",TRUE,FALSE)))</formula>
    </cfRule>
  </conditionalFormatting>
  <conditionalFormatting sqref="AE101">
    <cfRule type="expression" dxfId="246" priority="434">
      <formula>IF($A52="SAB",TRUE,IF($A52="DOM",TRUE,IF($C52="",TRUE,FALSE)))</formula>
    </cfRule>
  </conditionalFormatting>
  <conditionalFormatting sqref="AE102">
    <cfRule type="expression" dxfId="245" priority="433">
      <formula>IF($A53="SAB",TRUE,IF($A53="DOM",TRUE,IF($C53="",TRUE,FALSE)))</formula>
    </cfRule>
  </conditionalFormatting>
  <conditionalFormatting sqref="AE103">
    <cfRule type="expression" dxfId="244" priority="432">
      <formula>IF($A54="SAB",TRUE,IF($A54="DOM",TRUE,IF($C54="",TRUE,FALSE)))</formula>
    </cfRule>
  </conditionalFormatting>
  <conditionalFormatting sqref="AE104">
    <cfRule type="expression" dxfId="243" priority="431">
      <formula>IF($A55="SAB",TRUE,IF($A55="DOM",TRUE,IF($C55="",TRUE,FALSE)))</formula>
    </cfRule>
  </conditionalFormatting>
  <conditionalFormatting sqref="AE105">
    <cfRule type="expression" dxfId="242" priority="430">
      <formula>IF($A56="SAB",TRUE,IF($A56="DOM",TRUE,IF($C56="",TRUE,FALSE)))</formula>
    </cfRule>
  </conditionalFormatting>
  <conditionalFormatting sqref="AE106">
    <cfRule type="expression" dxfId="241" priority="429">
      <formula>IF($A57="SAB",TRUE,IF($A57="DOM",TRUE,IF($C57="",TRUE,FALSE)))</formula>
    </cfRule>
  </conditionalFormatting>
  <conditionalFormatting sqref="AE107">
    <cfRule type="expression" dxfId="240" priority="428">
      <formula>IF($A58="SAB",TRUE,IF($A58="DOM",TRUE,IF($C58="",TRUE,FALSE)))</formula>
    </cfRule>
  </conditionalFormatting>
  <conditionalFormatting sqref="R29">
    <cfRule type="expression" dxfId="239" priority="427" stopIfTrue="1">
      <formula>IF($A29="SAB",TRUE,IF($A29="DOM",TRUE,IF($C29="",TRUE,FALSE)))</formula>
    </cfRule>
  </conditionalFormatting>
  <conditionalFormatting sqref="R30">
    <cfRule type="expression" dxfId="238" priority="426" stopIfTrue="1">
      <formula>IF($A30="SAB",TRUE,IF($A30="DOM",TRUE,IF($C30="",TRUE,FALSE)))</formula>
    </cfRule>
  </conditionalFormatting>
  <conditionalFormatting sqref="R31">
    <cfRule type="expression" dxfId="237" priority="425" stopIfTrue="1">
      <formula>IF($A31="SAB",TRUE,IF($A31="DOM",TRUE,IF($C31="",TRUE,FALSE)))</formula>
    </cfRule>
  </conditionalFormatting>
  <conditionalFormatting sqref="R32">
    <cfRule type="expression" dxfId="236" priority="424" stopIfTrue="1">
      <formula>IF($A32="SAB",TRUE,IF($A32="DOM",TRUE,IF($C32="",TRUE,FALSE)))</formula>
    </cfRule>
  </conditionalFormatting>
  <conditionalFormatting sqref="R33">
    <cfRule type="expression" dxfId="235" priority="423" stopIfTrue="1">
      <formula>IF($A33="SAB",TRUE,IF($A33="DOM",TRUE,IF($C33="",TRUE,FALSE)))</formula>
    </cfRule>
  </conditionalFormatting>
  <conditionalFormatting sqref="R34">
    <cfRule type="expression" dxfId="234" priority="422" stopIfTrue="1">
      <formula>IF($A34="SAB",TRUE,IF($A34="DOM",TRUE,IF($C34="",TRUE,FALSE)))</formula>
    </cfRule>
  </conditionalFormatting>
  <conditionalFormatting sqref="R35">
    <cfRule type="expression" dxfId="233" priority="421" stopIfTrue="1">
      <formula>IF($A35="SAB",TRUE,IF($A35="DOM",TRUE,IF($C35="",TRUE,FALSE)))</formula>
    </cfRule>
  </conditionalFormatting>
  <conditionalFormatting sqref="R36">
    <cfRule type="expression" dxfId="232" priority="420" stopIfTrue="1">
      <formula>IF($A36="SAB",TRUE,IF($A36="DOM",TRUE,IF($C36="",TRUE,FALSE)))</formula>
    </cfRule>
  </conditionalFormatting>
  <conditionalFormatting sqref="R37">
    <cfRule type="expression" dxfId="231" priority="419" stopIfTrue="1">
      <formula>IF($A37="SAB",TRUE,IF($A37="DOM",TRUE,IF($C37="",TRUE,FALSE)))</formula>
    </cfRule>
  </conditionalFormatting>
  <conditionalFormatting sqref="R38">
    <cfRule type="expression" dxfId="230" priority="418" stopIfTrue="1">
      <formula>IF($A38="SAB",TRUE,IF($A38="DOM",TRUE,IF($C38="",TRUE,FALSE)))</formula>
    </cfRule>
  </conditionalFormatting>
  <conditionalFormatting sqref="R39">
    <cfRule type="expression" dxfId="229" priority="417" stopIfTrue="1">
      <formula>IF($A39="SAB",TRUE,IF($A39="DOM",TRUE,IF($C39="",TRUE,FALSE)))</formula>
    </cfRule>
  </conditionalFormatting>
  <conditionalFormatting sqref="R40">
    <cfRule type="expression" dxfId="228" priority="416" stopIfTrue="1">
      <formula>IF($A40="SAB",TRUE,IF($A40="DOM",TRUE,IF($C40="",TRUE,FALSE)))</formula>
    </cfRule>
  </conditionalFormatting>
  <conditionalFormatting sqref="R41">
    <cfRule type="expression" dxfId="227" priority="415" stopIfTrue="1">
      <formula>IF($A41="SAB",TRUE,IF($A41="DOM",TRUE,IF($C41="",TRUE,FALSE)))</formula>
    </cfRule>
  </conditionalFormatting>
  <conditionalFormatting sqref="R42">
    <cfRule type="expression" dxfId="226" priority="414" stopIfTrue="1">
      <formula>IF($A42="SAB",TRUE,IF($A42="DOM",TRUE,IF($C42="",TRUE,FALSE)))</formula>
    </cfRule>
  </conditionalFormatting>
  <conditionalFormatting sqref="R43">
    <cfRule type="expression" dxfId="225" priority="413" stopIfTrue="1">
      <formula>IF($A43="SAB",TRUE,IF($A43="DOM",TRUE,IF($C43="",TRUE,FALSE)))</formula>
    </cfRule>
  </conditionalFormatting>
  <conditionalFormatting sqref="R44">
    <cfRule type="expression" dxfId="224" priority="412" stopIfTrue="1">
      <formula>IF($A44="SAB",TRUE,IF($A44="DOM",TRUE,IF($C44="",TRUE,FALSE)))</formula>
    </cfRule>
  </conditionalFormatting>
  <conditionalFormatting sqref="R45">
    <cfRule type="expression" dxfId="223" priority="411" stopIfTrue="1">
      <formula>IF($A45="SAB",TRUE,IF($A45="DOM",TRUE,IF($C45="",TRUE,FALSE)))</formula>
    </cfRule>
  </conditionalFormatting>
  <conditionalFormatting sqref="R46">
    <cfRule type="expression" dxfId="222" priority="410" stopIfTrue="1">
      <formula>IF($A46="SAB",TRUE,IF($A46="DOM",TRUE,IF($C46="",TRUE,FALSE)))</formula>
    </cfRule>
  </conditionalFormatting>
  <conditionalFormatting sqref="R47">
    <cfRule type="expression" dxfId="221" priority="409" stopIfTrue="1">
      <formula>IF($A47="SAB",TRUE,IF($A47="DOM",TRUE,IF($C47="",TRUE,FALSE)))</formula>
    </cfRule>
  </conditionalFormatting>
  <conditionalFormatting sqref="R48">
    <cfRule type="expression" dxfId="220" priority="408" stopIfTrue="1">
      <formula>IF($A48="SAB",TRUE,IF($A48="DOM",TRUE,IF($C48="",TRUE,FALSE)))</formula>
    </cfRule>
  </conditionalFormatting>
  <conditionalFormatting sqref="R49">
    <cfRule type="expression" dxfId="219" priority="407" stopIfTrue="1">
      <formula>IF($A49="SAB",TRUE,IF($A49="DOM",TRUE,IF($C49="",TRUE,FALSE)))</formula>
    </cfRule>
  </conditionalFormatting>
  <conditionalFormatting sqref="R50">
    <cfRule type="expression" dxfId="218" priority="406" stopIfTrue="1">
      <formula>IF($A50="SAB",TRUE,IF($A50="DOM",TRUE,IF($C50="",TRUE,FALSE)))</formula>
    </cfRule>
  </conditionalFormatting>
  <conditionalFormatting sqref="R51">
    <cfRule type="expression" dxfId="217" priority="405" stopIfTrue="1">
      <formula>IF($A51="SAB",TRUE,IF($A51="DOM",TRUE,IF($C51="",TRUE,FALSE)))</formula>
    </cfRule>
  </conditionalFormatting>
  <conditionalFormatting sqref="R52">
    <cfRule type="expression" dxfId="216" priority="404" stopIfTrue="1">
      <formula>IF($A52="SAB",TRUE,IF($A52="DOM",TRUE,IF($C52="",TRUE,FALSE)))</formula>
    </cfRule>
  </conditionalFormatting>
  <conditionalFormatting sqref="R53">
    <cfRule type="expression" dxfId="215" priority="403" stopIfTrue="1">
      <formula>IF($A53="SAB",TRUE,IF($A53="DOM",TRUE,IF($C53="",TRUE,FALSE)))</formula>
    </cfRule>
  </conditionalFormatting>
  <conditionalFormatting sqref="R54">
    <cfRule type="expression" dxfId="214" priority="402" stopIfTrue="1">
      <formula>IF($A54="SAB",TRUE,IF($A54="DOM",TRUE,IF($C54="",TRUE,FALSE)))</formula>
    </cfRule>
  </conditionalFormatting>
  <conditionalFormatting sqref="R55">
    <cfRule type="expression" dxfId="213" priority="401" stopIfTrue="1">
      <formula>IF($A55="SAB",TRUE,IF($A55="DOM",TRUE,IF($C55="",TRUE,FALSE)))</formula>
    </cfRule>
  </conditionalFormatting>
  <conditionalFormatting sqref="R56">
    <cfRule type="expression" dxfId="212" priority="400" stopIfTrue="1">
      <formula>IF($A56="SAB",TRUE,IF($A56="DOM",TRUE,IF($C56="",TRUE,FALSE)))</formula>
    </cfRule>
  </conditionalFormatting>
  <conditionalFormatting sqref="R57">
    <cfRule type="expression" dxfId="211" priority="399" stopIfTrue="1">
      <formula>IF($A57="SAB",TRUE,IF($A57="DOM",TRUE,IF($C57="",TRUE,FALSE)))</formula>
    </cfRule>
  </conditionalFormatting>
  <conditionalFormatting sqref="R58">
    <cfRule type="expression" dxfId="210" priority="398" stopIfTrue="1">
      <formula>IF($A58="SAB",TRUE,IF($A58="DOM",TRUE,IF($C58="",TRUE,FALSE)))</formula>
    </cfRule>
  </conditionalFormatting>
  <conditionalFormatting sqref="AE29">
    <cfRule type="expression" dxfId="209" priority="397" stopIfTrue="1">
      <formula>IF($A29="SAB",TRUE,IF($A29="DOM",TRUE,IF($C29="",TRUE,FALSE)))</formula>
    </cfRule>
  </conditionalFormatting>
  <conditionalFormatting sqref="AE30">
    <cfRule type="expression" dxfId="208" priority="396" stopIfTrue="1">
      <formula>IF($A30="SAB",TRUE,IF($A30="DOM",TRUE,IF($C30="",TRUE,FALSE)))</formula>
    </cfRule>
  </conditionalFormatting>
  <conditionalFormatting sqref="AE31">
    <cfRule type="expression" dxfId="207" priority="395" stopIfTrue="1">
      <formula>IF($A31="SAB",TRUE,IF($A31="DOM",TRUE,IF($C31="",TRUE,FALSE)))</formula>
    </cfRule>
  </conditionalFormatting>
  <conditionalFormatting sqref="AE32">
    <cfRule type="expression" dxfId="206" priority="394" stopIfTrue="1">
      <formula>IF($A32="SAB",TRUE,IF($A32="DOM",TRUE,IF($C32="",TRUE,FALSE)))</formula>
    </cfRule>
  </conditionalFormatting>
  <conditionalFormatting sqref="AE33">
    <cfRule type="expression" dxfId="205" priority="393" stopIfTrue="1">
      <formula>IF($A33="SAB",TRUE,IF($A33="DOM",TRUE,IF($C33="",TRUE,FALSE)))</formula>
    </cfRule>
  </conditionalFormatting>
  <conditionalFormatting sqref="AE34">
    <cfRule type="expression" dxfId="204" priority="392" stopIfTrue="1">
      <formula>IF($A34="SAB",TRUE,IF($A34="DOM",TRUE,IF($C34="",TRUE,FALSE)))</formula>
    </cfRule>
  </conditionalFormatting>
  <conditionalFormatting sqref="AE35">
    <cfRule type="expression" dxfId="203" priority="391" stopIfTrue="1">
      <formula>IF($A35="SAB",TRUE,IF($A35="DOM",TRUE,IF($C35="",TRUE,FALSE)))</formula>
    </cfRule>
  </conditionalFormatting>
  <conditionalFormatting sqref="AE36">
    <cfRule type="expression" dxfId="202" priority="390" stopIfTrue="1">
      <formula>IF($A36="SAB",TRUE,IF($A36="DOM",TRUE,IF($C36="",TRUE,FALSE)))</formula>
    </cfRule>
  </conditionalFormatting>
  <conditionalFormatting sqref="AE37">
    <cfRule type="expression" dxfId="201" priority="389" stopIfTrue="1">
      <formula>IF($A37="SAB",TRUE,IF($A37="DOM",TRUE,IF($C37="",TRUE,FALSE)))</formula>
    </cfRule>
  </conditionalFormatting>
  <conditionalFormatting sqref="AE38">
    <cfRule type="expression" dxfId="200" priority="388" stopIfTrue="1">
      <formula>IF($A38="SAB",TRUE,IF($A38="DOM",TRUE,IF($C38="",TRUE,FALSE)))</formula>
    </cfRule>
  </conditionalFormatting>
  <conditionalFormatting sqref="AE39">
    <cfRule type="expression" dxfId="199" priority="387" stopIfTrue="1">
      <formula>IF($A39="SAB",TRUE,IF($A39="DOM",TRUE,IF($C39="",TRUE,FALSE)))</formula>
    </cfRule>
  </conditionalFormatting>
  <conditionalFormatting sqref="AE40">
    <cfRule type="expression" dxfId="198" priority="386" stopIfTrue="1">
      <formula>IF($A40="SAB",TRUE,IF($A40="DOM",TRUE,IF($C40="",TRUE,FALSE)))</formula>
    </cfRule>
  </conditionalFormatting>
  <conditionalFormatting sqref="AE41">
    <cfRule type="expression" dxfId="197" priority="385" stopIfTrue="1">
      <formula>IF($A41="SAB",TRUE,IF($A41="DOM",TRUE,IF($C41="",TRUE,FALSE)))</formula>
    </cfRule>
  </conditionalFormatting>
  <conditionalFormatting sqref="AE42">
    <cfRule type="expression" dxfId="196" priority="384" stopIfTrue="1">
      <formula>IF($A42="SAB",TRUE,IF($A42="DOM",TRUE,IF($C42="",TRUE,FALSE)))</formula>
    </cfRule>
  </conditionalFormatting>
  <conditionalFormatting sqref="AE43">
    <cfRule type="expression" dxfId="195" priority="383" stopIfTrue="1">
      <formula>IF($A43="SAB",TRUE,IF($A43="DOM",TRUE,IF($C43="",TRUE,FALSE)))</formula>
    </cfRule>
  </conditionalFormatting>
  <conditionalFormatting sqref="AE44">
    <cfRule type="expression" dxfId="194" priority="382" stopIfTrue="1">
      <formula>IF($A44="SAB",TRUE,IF($A44="DOM",TRUE,IF($C44="",TRUE,FALSE)))</formula>
    </cfRule>
  </conditionalFormatting>
  <conditionalFormatting sqref="AE45">
    <cfRule type="expression" dxfId="193" priority="381" stopIfTrue="1">
      <formula>IF($A45="SAB",TRUE,IF($A45="DOM",TRUE,IF($C45="",TRUE,FALSE)))</formula>
    </cfRule>
  </conditionalFormatting>
  <conditionalFormatting sqref="AE46">
    <cfRule type="expression" dxfId="192" priority="380" stopIfTrue="1">
      <formula>IF($A46="SAB",TRUE,IF($A46="DOM",TRUE,IF($C46="",TRUE,FALSE)))</formula>
    </cfRule>
  </conditionalFormatting>
  <conditionalFormatting sqref="AE47">
    <cfRule type="expression" dxfId="191" priority="379" stopIfTrue="1">
      <formula>IF($A47="SAB",TRUE,IF($A47="DOM",TRUE,IF($C47="",TRUE,FALSE)))</formula>
    </cfRule>
  </conditionalFormatting>
  <conditionalFormatting sqref="AE48">
    <cfRule type="expression" dxfId="190" priority="378" stopIfTrue="1">
      <formula>IF($A48="SAB",TRUE,IF($A48="DOM",TRUE,IF($C48="",TRUE,FALSE)))</formula>
    </cfRule>
  </conditionalFormatting>
  <conditionalFormatting sqref="AE49">
    <cfRule type="expression" dxfId="189" priority="377" stopIfTrue="1">
      <formula>IF($A49="SAB",TRUE,IF($A49="DOM",TRUE,IF($C49="",TRUE,FALSE)))</formula>
    </cfRule>
  </conditionalFormatting>
  <conditionalFormatting sqref="AE50">
    <cfRule type="expression" dxfId="188" priority="376" stopIfTrue="1">
      <formula>IF($A50="SAB",TRUE,IF($A50="DOM",TRUE,IF($C50="",TRUE,FALSE)))</formula>
    </cfRule>
  </conditionalFormatting>
  <conditionalFormatting sqref="AE51">
    <cfRule type="expression" dxfId="187" priority="375" stopIfTrue="1">
      <formula>IF($A51="SAB",TRUE,IF($A51="DOM",TRUE,IF($C51="",TRUE,FALSE)))</formula>
    </cfRule>
  </conditionalFormatting>
  <conditionalFormatting sqref="AE52">
    <cfRule type="expression" dxfId="186" priority="374" stopIfTrue="1">
      <formula>IF($A52="SAB",TRUE,IF($A52="DOM",TRUE,IF($C52="",TRUE,FALSE)))</formula>
    </cfRule>
  </conditionalFormatting>
  <conditionalFormatting sqref="AE53">
    <cfRule type="expression" dxfId="185" priority="373" stopIfTrue="1">
      <formula>IF($A53="SAB",TRUE,IF($A53="DOM",TRUE,IF($C53="",TRUE,FALSE)))</formula>
    </cfRule>
  </conditionalFormatting>
  <conditionalFormatting sqref="AE54">
    <cfRule type="expression" dxfId="184" priority="372" stopIfTrue="1">
      <formula>IF($A54="SAB",TRUE,IF($A54="DOM",TRUE,IF($C54="",TRUE,FALSE)))</formula>
    </cfRule>
  </conditionalFormatting>
  <conditionalFormatting sqref="AE55">
    <cfRule type="expression" dxfId="183" priority="371" stopIfTrue="1">
      <formula>IF($A55="SAB",TRUE,IF($A55="DOM",TRUE,IF($C55="",TRUE,FALSE)))</formula>
    </cfRule>
  </conditionalFormatting>
  <conditionalFormatting sqref="AE56">
    <cfRule type="expression" dxfId="182" priority="370" stopIfTrue="1">
      <formula>IF($A56="SAB",TRUE,IF($A56="DOM",TRUE,IF($C56="",TRUE,FALSE)))</formula>
    </cfRule>
  </conditionalFormatting>
  <conditionalFormatting sqref="AE57">
    <cfRule type="expression" dxfId="181" priority="369" stopIfTrue="1">
      <formula>IF($A57="SAB",TRUE,IF($A57="DOM",TRUE,IF($C57="",TRUE,FALSE)))</formula>
    </cfRule>
  </conditionalFormatting>
  <conditionalFormatting sqref="AE58">
    <cfRule type="expression" dxfId="180" priority="368" stopIfTrue="1">
      <formula>IF($A58="SAB",TRUE,IF($A58="DOM",TRUE,IF($C58="",TRUE,FALSE)))</formula>
    </cfRule>
  </conditionalFormatting>
  <conditionalFormatting sqref="AE59">
    <cfRule type="expression" dxfId="179" priority="367" stopIfTrue="1">
      <formula>IF($A59="SAB",TRUE,IF($A59="DOM",TRUE,IF($C59="",TRUE,FALSE)))</formula>
    </cfRule>
  </conditionalFormatting>
  <conditionalFormatting sqref="U29">
    <cfRule type="expression" dxfId="178" priority="366" stopIfTrue="1">
      <formula>IF($A29="SAB",TRUE,IF($A29="DOM",TRUE,IF($C29="",TRUE,FALSE)))</formula>
    </cfRule>
  </conditionalFormatting>
  <conditionalFormatting sqref="U30">
    <cfRule type="expression" dxfId="177" priority="365" stopIfTrue="1">
      <formula>IF($A30="SAB",TRUE,IF($A30="DOM",TRUE,IF($C30="",TRUE,FALSE)))</formula>
    </cfRule>
  </conditionalFormatting>
  <conditionalFormatting sqref="U31">
    <cfRule type="expression" dxfId="176" priority="364" stopIfTrue="1">
      <formula>IF($A31="SAB",TRUE,IF($A31="DOM",TRUE,IF($C31="",TRUE,FALSE)))</formula>
    </cfRule>
  </conditionalFormatting>
  <conditionalFormatting sqref="U32">
    <cfRule type="expression" dxfId="175" priority="363" stopIfTrue="1">
      <formula>IF($A32="SAB",TRUE,IF($A32="DOM",TRUE,IF($C32="",TRUE,FALSE)))</formula>
    </cfRule>
  </conditionalFormatting>
  <conditionalFormatting sqref="U33">
    <cfRule type="expression" dxfId="174" priority="362" stopIfTrue="1">
      <formula>IF($A33="SAB",TRUE,IF($A33="DOM",TRUE,IF($C33="",TRUE,FALSE)))</formula>
    </cfRule>
  </conditionalFormatting>
  <conditionalFormatting sqref="U34">
    <cfRule type="expression" dxfId="173" priority="361" stopIfTrue="1">
      <formula>IF($A34="SAB",TRUE,IF($A34="DOM",TRUE,IF($C34="",TRUE,FALSE)))</formula>
    </cfRule>
  </conditionalFormatting>
  <conditionalFormatting sqref="U35">
    <cfRule type="expression" dxfId="172" priority="360" stopIfTrue="1">
      <formula>IF($A35="SAB",TRUE,IF($A35="DOM",TRUE,IF($C35="",TRUE,FALSE)))</formula>
    </cfRule>
  </conditionalFormatting>
  <conditionalFormatting sqref="U36">
    <cfRule type="expression" dxfId="171" priority="359" stopIfTrue="1">
      <formula>IF($A36="SAB",TRUE,IF($A36="DOM",TRUE,IF($C36="",TRUE,FALSE)))</formula>
    </cfRule>
  </conditionalFormatting>
  <conditionalFormatting sqref="U37">
    <cfRule type="expression" dxfId="170" priority="358" stopIfTrue="1">
      <formula>IF($A37="SAB",TRUE,IF($A37="DOM",TRUE,IF($C37="",TRUE,FALSE)))</formula>
    </cfRule>
  </conditionalFormatting>
  <conditionalFormatting sqref="U38">
    <cfRule type="expression" dxfId="169" priority="357" stopIfTrue="1">
      <formula>IF($A38="SAB",TRUE,IF($A38="DOM",TRUE,IF($C38="",TRUE,FALSE)))</formula>
    </cfRule>
  </conditionalFormatting>
  <conditionalFormatting sqref="U39">
    <cfRule type="expression" dxfId="168" priority="356" stopIfTrue="1">
      <formula>IF($A39="SAB",TRUE,IF($A39="DOM",TRUE,IF($C39="",TRUE,FALSE)))</formula>
    </cfRule>
  </conditionalFormatting>
  <conditionalFormatting sqref="U40">
    <cfRule type="expression" dxfId="167" priority="355" stopIfTrue="1">
      <formula>IF($A40="SAB",TRUE,IF($A40="DOM",TRUE,IF($C40="",TRUE,FALSE)))</formula>
    </cfRule>
  </conditionalFormatting>
  <conditionalFormatting sqref="U41">
    <cfRule type="expression" dxfId="166" priority="354" stopIfTrue="1">
      <formula>IF($A41="SAB",TRUE,IF($A41="DOM",TRUE,IF($C41="",TRUE,FALSE)))</formula>
    </cfRule>
  </conditionalFormatting>
  <conditionalFormatting sqref="U42">
    <cfRule type="expression" dxfId="165" priority="353" stopIfTrue="1">
      <formula>IF($A42="SAB",TRUE,IF($A42="DOM",TRUE,IF($C42="",TRUE,FALSE)))</formula>
    </cfRule>
  </conditionalFormatting>
  <conditionalFormatting sqref="U43">
    <cfRule type="expression" dxfId="164" priority="352" stopIfTrue="1">
      <formula>IF($A43="SAB",TRUE,IF($A43="DOM",TRUE,IF($C43="",TRUE,FALSE)))</formula>
    </cfRule>
  </conditionalFormatting>
  <conditionalFormatting sqref="U44">
    <cfRule type="expression" dxfId="163" priority="351" stopIfTrue="1">
      <formula>IF($A44="SAB",TRUE,IF($A44="DOM",TRUE,IF($C44="",TRUE,FALSE)))</formula>
    </cfRule>
  </conditionalFormatting>
  <conditionalFormatting sqref="U45">
    <cfRule type="expression" dxfId="162" priority="350" stopIfTrue="1">
      <formula>IF($A45="SAB",TRUE,IF($A45="DOM",TRUE,IF($C45="",TRUE,FALSE)))</formula>
    </cfRule>
  </conditionalFormatting>
  <conditionalFormatting sqref="U46">
    <cfRule type="expression" dxfId="161" priority="349" stopIfTrue="1">
      <formula>IF($A46="SAB",TRUE,IF($A46="DOM",TRUE,IF($C46="",TRUE,FALSE)))</formula>
    </cfRule>
  </conditionalFormatting>
  <conditionalFormatting sqref="U47">
    <cfRule type="expression" dxfId="160" priority="348" stopIfTrue="1">
      <formula>IF($A47="SAB",TRUE,IF($A47="DOM",TRUE,IF($C47="",TRUE,FALSE)))</formula>
    </cfRule>
  </conditionalFormatting>
  <conditionalFormatting sqref="U48">
    <cfRule type="expression" dxfId="159" priority="347" stopIfTrue="1">
      <formula>IF($A48="SAB",TRUE,IF($A48="DOM",TRUE,IF($C48="",TRUE,FALSE)))</formula>
    </cfRule>
  </conditionalFormatting>
  <conditionalFormatting sqref="U49">
    <cfRule type="expression" dxfId="158" priority="346" stopIfTrue="1">
      <formula>IF($A49="SAB",TRUE,IF($A49="DOM",TRUE,IF($C49="",TRUE,FALSE)))</formula>
    </cfRule>
  </conditionalFormatting>
  <conditionalFormatting sqref="U50">
    <cfRule type="expression" dxfId="157" priority="345" stopIfTrue="1">
      <formula>IF($A50="SAB",TRUE,IF($A50="DOM",TRUE,IF($C50="",TRUE,FALSE)))</formula>
    </cfRule>
  </conditionalFormatting>
  <conditionalFormatting sqref="U51">
    <cfRule type="expression" dxfId="156" priority="344" stopIfTrue="1">
      <formula>IF($A51="SAB",TRUE,IF($A51="DOM",TRUE,IF($C51="",TRUE,FALSE)))</formula>
    </cfRule>
  </conditionalFormatting>
  <conditionalFormatting sqref="U52">
    <cfRule type="expression" dxfId="155" priority="343" stopIfTrue="1">
      <formula>IF($A52="SAB",TRUE,IF($A52="DOM",TRUE,IF($C52="",TRUE,FALSE)))</formula>
    </cfRule>
  </conditionalFormatting>
  <conditionalFormatting sqref="U53">
    <cfRule type="expression" dxfId="154" priority="342" stopIfTrue="1">
      <formula>IF($A53="SAB",TRUE,IF($A53="DOM",TRUE,IF($C53="",TRUE,FALSE)))</formula>
    </cfRule>
  </conditionalFormatting>
  <conditionalFormatting sqref="U54">
    <cfRule type="expression" dxfId="153" priority="341" stopIfTrue="1">
      <formula>IF($A54="SAB",TRUE,IF($A54="DOM",TRUE,IF($C54="",TRUE,FALSE)))</formula>
    </cfRule>
  </conditionalFormatting>
  <conditionalFormatting sqref="U55">
    <cfRule type="expression" dxfId="152" priority="340" stopIfTrue="1">
      <formula>IF($A55="SAB",TRUE,IF($A55="DOM",TRUE,IF($C55="",TRUE,FALSE)))</formula>
    </cfRule>
  </conditionalFormatting>
  <conditionalFormatting sqref="U56">
    <cfRule type="expression" dxfId="151" priority="339" stopIfTrue="1">
      <formula>IF($A56="SAB",TRUE,IF($A56="DOM",TRUE,IF($C56="",TRUE,FALSE)))</formula>
    </cfRule>
  </conditionalFormatting>
  <conditionalFormatting sqref="U57">
    <cfRule type="expression" dxfId="150" priority="338" stopIfTrue="1">
      <formula>IF($A57="SAB",TRUE,IF($A57="DOM",TRUE,IF($C57="",TRUE,FALSE)))</formula>
    </cfRule>
  </conditionalFormatting>
  <conditionalFormatting sqref="U58">
    <cfRule type="expression" dxfId="149" priority="337" stopIfTrue="1">
      <formula>IF($A58="SAB",TRUE,IF($A58="DOM",TRUE,IF($C58="",TRUE,FALSE)))</formula>
    </cfRule>
  </conditionalFormatting>
  <conditionalFormatting sqref="U59">
    <cfRule type="expression" dxfId="148" priority="336" stopIfTrue="1">
      <formula>IF($A59="SAB",TRUE,IF($A59="DOM",TRUE,IF($C59="",TRUE,FALSE)))</formula>
    </cfRule>
  </conditionalFormatting>
  <conditionalFormatting sqref="X29">
    <cfRule type="expression" dxfId="147" priority="335" stopIfTrue="1">
      <formula>IF($A29="SAB",TRUE,IF($A29="DOM",TRUE,IF($C29="",TRUE,FALSE)))</formula>
    </cfRule>
  </conditionalFormatting>
  <conditionalFormatting sqref="X30">
    <cfRule type="expression" dxfId="146" priority="334" stopIfTrue="1">
      <formula>IF($A30="SAB",TRUE,IF($A30="DOM",TRUE,IF($C30="",TRUE,FALSE)))</formula>
    </cfRule>
  </conditionalFormatting>
  <conditionalFormatting sqref="X31">
    <cfRule type="expression" dxfId="145" priority="333" stopIfTrue="1">
      <formula>IF($A31="SAB",TRUE,IF($A31="DOM",TRUE,IF($C31="",TRUE,FALSE)))</formula>
    </cfRule>
  </conditionalFormatting>
  <conditionalFormatting sqref="X32">
    <cfRule type="expression" dxfId="144" priority="332" stopIfTrue="1">
      <formula>IF($A32="SAB",TRUE,IF($A32="DOM",TRUE,IF($C32="",TRUE,FALSE)))</formula>
    </cfRule>
  </conditionalFormatting>
  <conditionalFormatting sqref="X33">
    <cfRule type="expression" dxfId="143" priority="331" stopIfTrue="1">
      <formula>IF($A33="SAB",TRUE,IF($A33="DOM",TRUE,IF($C33="",TRUE,FALSE)))</formula>
    </cfRule>
  </conditionalFormatting>
  <conditionalFormatting sqref="X34">
    <cfRule type="expression" dxfId="142" priority="330" stopIfTrue="1">
      <formula>IF($A34="SAB",TRUE,IF($A34="DOM",TRUE,IF($C34="",TRUE,FALSE)))</formula>
    </cfRule>
  </conditionalFormatting>
  <conditionalFormatting sqref="X35">
    <cfRule type="expression" dxfId="141" priority="329" stopIfTrue="1">
      <formula>IF($A35="SAB",TRUE,IF($A35="DOM",TRUE,IF($C35="",TRUE,FALSE)))</formula>
    </cfRule>
  </conditionalFormatting>
  <conditionalFormatting sqref="X36">
    <cfRule type="expression" dxfId="140" priority="328" stopIfTrue="1">
      <formula>IF($A36="SAB",TRUE,IF($A36="DOM",TRUE,IF($C36="",TRUE,FALSE)))</formula>
    </cfRule>
  </conditionalFormatting>
  <conditionalFormatting sqref="X37">
    <cfRule type="expression" dxfId="139" priority="327" stopIfTrue="1">
      <formula>IF($A37="SAB",TRUE,IF($A37="DOM",TRUE,IF($C37="",TRUE,FALSE)))</formula>
    </cfRule>
  </conditionalFormatting>
  <conditionalFormatting sqref="X38">
    <cfRule type="expression" dxfId="138" priority="326" stopIfTrue="1">
      <formula>IF($A38="SAB",TRUE,IF($A38="DOM",TRUE,IF($C38="",TRUE,FALSE)))</formula>
    </cfRule>
  </conditionalFormatting>
  <conditionalFormatting sqref="X39">
    <cfRule type="expression" dxfId="137" priority="325" stopIfTrue="1">
      <formula>IF($A39="SAB",TRUE,IF($A39="DOM",TRUE,IF($C39="",TRUE,FALSE)))</formula>
    </cfRule>
  </conditionalFormatting>
  <conditionalFormatting sqref="X40">
    <cfRule type="expression" dxfId="136" priority="324" stopIfTrue="1">
      <formula>IF($A40="SAB",TRUE,IF($A40="DOM",TRUE,IF($C40="",TRUE,FALSE)))</formula>
    </cfRule>
  </conditionalFormatting>
  <conditionalFormatting sqref="X41">
    <cfRule type="expression" dxfId="135" priority="323" stopIfTrue="1">
      <formula>IF($A41="SAB",TRUE,IF($A41="DOM",TRUE,IF($C41="",TRUE,FALSE)))</formula>
    </cfRule>
  </conditionalFormatting>
  <conditionalFormatting sqref="X42">
    <cfRule type="expression" dxfId="134" priority="322" stopIfTrue="1">
      <formula>IF($A42="SAB",TRUE,IF($A42="DOM",TRUE,IF($C42="",TRUE,FALSE)))</formula>
    </cfRule>
  </conditionalFormatting>
  <conditionalFormatting sqref="X43">
    <cfRule type="expression" dxfId="133" priority="321" stopIfTrue="1">
      <formula>IF($A43="SAB",TRUE,IF($A43="DOM",TRUE,IF($C43="",TRUE,FALSE)))</formula>
    </cfRule>
  </conditionalFormatting>
  <conditionalFormatting sqref="X44">
    <cfRule type="expression" dxfId="132" priority="320" stopIfTrue="1">
      <formula>IF($A44="SAB",TRUE,IF($A44="DOM",TRUE,IF($C44="",TRUE,FALSE)))</formula>
    </cfRule>
  </conditionalFormatting>
  <conditionalFormatting sqref="X45">
    <cfRule type="expression" dxfId="131" priority="319" stopIfTrue="1">
      <formula>IF($A45="SAB",TRUE,IF($A45="DOM",TRUE,IF($C45="",TRUE,FALSE)))</formula>
    </cfRule>
  </conditionalFormatting>
  <conditionalFormatting sqref="X46">
    <cfRule type="expression" dxfId="130" priority="318" stopIfTrue="1">
      <formula>IF($A46="SAB",TRUE,IF($A46="DOM",TRUE,IF($C46="",TRUE,FALSE)))</formula>
    </cfRule>
  </conditionalFormatting>
  <conditionalFormatting sqref="X47">
    <cfRule type="expression" dxfId="129" priority="317" stopIfTrue="1">
      <formula>IF($A47="SAB",TRUE,IF($A47="DOM",TRUE,IF($C47="",TRUE,FALSE)))</formula>
    </cfRule>
  </conditionalFormatting>
  <conditionalFormatting sqref="X48">
    <cfRule type="expression" dxfId="128" priority="316" stopIfTrue="1">
      <formula>IF($A48="SAB",TRUE,IF($A48="DOM",TRUE,IF($C48="",TRUE,FALSE)))</formula>
    </cfRule>
  </conditionalFormatting>
  <conditionalFormatting sqref="X49">
    <cfRule type="expression" dxfId="127" priority="315" stopIfTrue="1">
      <formula>IF($A49="SAB",TRUE,IF($A49="DOM",TRUE,IF($C49="",TRUE,FALSE)))</formula>
    </cfRule>
  </conditionalFormatting>
  <conditionalFormatting sqref="X50">
    <cfRule type="expression" dxfId="126" priority="314" stopIfTrue="1">
      <formula>IF($A50="SAB",TRUE,IF($A50="DOM",TRUE,IF($C50="",TRUE,FALSE)))</formula>
    </cfRule>
  </conditionalFormatting>
  <conditionalFormatting sqref="X51">
    <cfRule type="expression" dxfId="125" priority="313" stopIfTrue="1">
      <formula>IF($A51="SAB",TRUE,IF($A51="DOM",TRUE,IF($C51="",TRUE,FALSE)))</formula>
    </cfRule>
  </conditionalFormatting>
  <conditionalFormatting sqref="X52">
    <cfRule type="expression" dxfId="124" priority="312" stopIfTrue="1">
      <formula>IF($A52="SAB",TRUE,IF($A52="DOM",TRUE,IF($C52="",TRUE,FALSE)))</formula>
    </cfRule>
  </conditionalFormatting>
  <conditionalFormatting sqref="X53">
    <cfRule type="expression" dxfId="123" priority="311" stopIfTrue="1">
      <formula>IF($A53="SAB",TRUE,IF($A53="DOM",TRUE,IF($C53="",TRUE,FALSE)))</formula>
    </cfRule>
  </conditionalFormatting>
  <conditionalFormatting sqref="X54">
    <cfRule type="expression" dxfId="122" priority="310" stopIfTrue="1">
      <formula>IF($A54="SAB",TRUE,IF($A54="DOM",TRUE,IF($C54="",TRUE,FALSE)))</formula>
    </cfRule>
  </conditionalFormatting>
  <conditionalFormatting sqref="X55">
    <cfRule type="expression" dxfId="121" priority="309" stopIfTrue="1">
      <formula>IF($A55="SAB",TRUE,IF($A55="DOM",TRUE,IF($C55="",TRUE,FALSE)))</formula>
    </cfRule>
  </conditionalFormatting>
  <conditionalFormatting sqref="X56">
    <cfRule type="expression" dxfId="120" priority="308" stopIfTrue="1">
      <formula>IF($A56="SAB",TRUE,IF($A56="DOM",TRUE,IF($C56="",TRUE,FALSE)))</formula>
    </cfRule>
  </conditionalFormatting>
  <conditionalFormatting sqref="X57">
    <cfRule type="expression" dxfId="119" priority="307" stopIfTrue="1">
      <formula>IF($A57="SAB",TRUE,IF($A57="DOM",TRUE,IF($C57="",TRUE,FALSE)))</formula>
    </cfRule>
  </conditionalFormatting>
  <conditionalFormatting sqref="X58">
    <cfRule type="expression" dxfId="118" priority="306" stopIfTrue="1">
      <formula>IF($A58="SAB",TRUE,IF($A58="DOM",TRUE,IF($C58="",TRUE,FALSE)))</formula>
    </cfRule>
  </conditionalFormatting>
  <conditionalFormatting sqref="X59">
    <cfRule type="expression" dxfId="117" priority="305" stopIfTrue="1">
      <formula>IF($A59="SAB",TRUE,IF($A59="DOM",TRUE,IF($C59="",TRUE,FALSE)))</formula>
    </cfRule>
  </conditionalFormatting>
  <conditionalFormatting sqref="BJ58">
    <cfRule type="expression" dxfId="116" priority="209" stopIfTrue="1">
      <formula>IF($A58="SAB",TRUE,IF($A58="DOM",TRUE,IF($C58="",TRUE,FALSE)))</formula>
    </cfRule>
  </conditionalFormatting>
  <conditionalFormatting sqref="AY28">
    <cfRule type="expression" dxfId="115" priority="303" stopIfTrue="1">
      <formula>IF($A28="SAB",TRUE,IF($A28="DOM",TRUE,IF($C28="",TRUE,FALSE)))</formula>
    </cfRule>
  </conditionalFormatting>
  <conditionalFormatting sqref="BJ29">
    <cfRule type="expression" dxfId="114" priority="238" stopIfTrue="1">
      <formula>IF($A29="SAB",TRUE,IF($A29="DOM",TRUE,IF($C29="",TRUE,FALSE)))</formula>
    </cfRule>
  </conditionalFormatting>
  <conditionalFormatting sqref="AY30">
    <cfRule type="expression" dxfId="113" priority="300" stopIfTrue="1">
      <formula>IF($A30="SAB",TRUE,IF($A30="DOM",TRUE,IF($C30="",TRUE,FALSE)))</formula>
    </cfRule>
  </conditionalFormatting>
  <conditionalFormatting sqref="AY31">
    <cfRule type="expression" dxfId="112" priority="299" stopIfTrue="1">
      <formula>IF($A31="SAB",TRUE,IF($A31="DOM",TRUE,IF($C31="",TRUE,FALSE)))</formula>
    </cfRule>
  </conditionalFormatting>
  <conditionalFormatting sqref="AY32">
    <cfRule type="expression" dxfId="111" priority="298" stopIfTrue="1">
      <formula>IF($A32="SAB",TRUE,IF($A32="DOM",TRUE,IF($C32="",TRUE,FALSE)))</formula>
    </cfRule>
  </conditionalFormatting>
  <conditionalFormatting sqref="AY33">
    <cfRule type="expression" dxfId="110" priority="297" stopIfTrue="1">
      <formula>IF($A33="SAB",TRUE,IF($A33="DOM",TRUE,IF($C33="",TRUE,FALSE)))</formula>
    </cfRule>
  </conditionalFormatting>
  <conditionalFormatting sqref="AY34">
    <cfRule type="expression" dxfId="109" priority="296" stopIfTrue="1">
      <formula>IF($A34="SAB",TRUE,IF($A34="DOM",TRUE,IF($C34="",TRUE,FALSE)))</formula>
    </cfRule>
  </conditionalFormatting>
  <conditionalFormatting sqref="AY35">
    <cfRule type="expression" dxfId="108" priority="295" stopIfTrue="1">
      <formula>IF($A35="SAB",TRUE,IF($A35="DOM",TRUE,IF($C35="",TRUE,FALSE)))</formula>
    </cfRule>
  </conditionalFormatting>
  <conditionalFormatting sqref="AY36">
    <cfRule type="expression" dxfId="107" priority="294" stopIfTrue="1">
      <formula>IF($A36="SAB",TRUE,IF($A36="DOM",TRUE,IF($C36="",TRUE,FALSE)))</formula>
    </cfRule>
  </conditionalFormatting>
  <conditionalFormatting sqref="AY37">
    <cfRule type="expression" dxfId="106" priority="293" stopIfTrue="1">
      <formula>IF($A37="SAB",TRUE,IF($A37="DOM",TRUE,IF($C37="",TRUE,FALSE)))</formula>
    </cfRule>
  </conditionalFormatting>
  <conditionalFormatting sqref="AY38">
    <cfRule type="expression" dxfId="105" priority="292" stopIfTrue="1">
      <formula>IF($A38="SAB",TRUE,IF($A38="DOM",TRUE,IF($C38="",TRUE,FALSE)))</formula>
    </cfRule>
  </conditionalFormatting>
  <conditionalFormatting sqref="AY39">
    <cfRule type="expression" dxfId="104" priority="291" stopIfTrue="1">
      <formula>IF($A39="SAB",TRUE,IF($A39="DOM",TRUE,IF($C39="",TRUE,FALSE)))</formula>
    </cfRule>
  </conditionalFormatting>
  <conditionalFormatting sqref="AY40">
    <cfRule type="expression" dxfId="103" priority="290" stopIfTrue="1">
      <formula>IF($A40="SAB",TRUE,IF($A40="DOM",TRUE,IF($C40="",TRUE,FALSE)))</formula>
    </cfRule>
  </conditionalFormatting>
  <conditionalFormatting sqref="AY41">
    <cfRule type="expression" dxfId="102" priority="289" stopIfTrue="1">
      <formula>IF($A41="SAB",TRUE,IF($A41="DOM",TRUE,IF($C41="",TRUE,FALSE)))</formula>
    </cfRule>
  </conditionalFormatting>
  <conditionalFormatting sqref="AY42">
    <cfRule type="expression" dxfId="101" priority="288" stopIfTrue="1">
      <formula>IF($A42="SAB",TRUE,IF($A42="DOM",TRUE,IF($C42="",TRUE,FALSE)))</formula>
    </cfRule>
  </conditionalFormatting>
  <conditionalFormatting sqref="AY43">
    <cfRule type="expression" dxfId="100" priority="287" stopIfTrue="1">
      <formula>IF($A43="SAB",TRUE,IF($A43="DOM",TRUE,IF($C43="",TRUE,FALSE)))</formula>
    </cfRule>
  </conditionalFormatting>
  <conditionalFormatting sqref="AY44">
    <cfRule type="expression" dxfId="99" priority="286" stopIfTrue="1">
      <formula>IF($A44="SAB",TRUE,IF($A44="DOM",TRUE,IF($C44="",TRUE,FALSE)))</formula>
    </cfRule>
  </conditionalFormatting>
  <conditionalFormatting sqref="AY45">
    <cfRule type="expression" dxfId="98" priority="285" stopIfTrue="1">
      <formula>IF($A45="SAB",TRUE,IF($A45="DOM",TRUE,IF($C45="",TRUE,FALSE)))</formula>
    </cfRule>
  </conditionalFormatting>
  <conditionalFormatting sqref="AY46">
    <cfRule type="expression" dxfId="97" priority="284" stopIfTrue="1">
      <formula>IF($A46="SAB",TRUE,IF($A46="DOM",TRUE,IF($C46="",TRUE,FALSE)))</formula>
    </cfRule>
  </conditionalFormatting>
  <conditionalFormatting sqref="AY47">
    <cfRule type="expression" dxfId="96" priority="283" stopIfTrue="1">
      <formula>IF($A47="SAB",TRUE,IF($A47="DOM",TRUE,IF($C47="",TRUE,FALSE)))</formula>
    </cfRule>
  </conditionalFormatting>
  <conditionalFormatting sqref="AY48">
    <cfRule type="expression" dxfId="95" priority="282" stopIfTrue="1">
      <formula>IF($A48="SAB",TRUE,IF($A48="DOM",TRUE,IF($C48="",TRUE,FALSE)))</formula>
    </cfRule>
  </conditionalFormatting>
  <conditionalFormatting sqref="AY49">
    <cfRule type="expression" dxfId="94" priority="281" stopIfTrue="1">
      <formula>IF($A49="SAB",TRUE,IF($A49="DOM",TRUE,IF($C49="",TRUE,FALSE)))</formula>
    </cfRule>
  </conditionalFormatting>
  <conditionalFormatting sqref="AY50">
    <cfRule type="expression" dxfId="93" priority="280" stopIfTrue="1">
      <formula>IF($A50="SAB",TRUE,IF($A50="DOM",TRUE,IF($C50="",TRUE,FALSE)))</formula>
    </cfRule>
  </conditionalFormatting>
  <conditionalFormatting sqref="AY51">
    <cfRule type="expression" dxfId="92" priority="279" stopIfTrue="1">
      <formula>IF($A51="SAB",TRUE,IF($A51="DOM",TRUE,IF($C51="",TRUE,FALSE)))</formula>
    </cfRule>
  </conditionalFormatting>
  <conditionalFormatting sqref="AY52">
    <cfRule type="expression" dxfId="91" priority="278" stopIfTrue="1">
      <formula>IF($A52="SAB",TRUE,IF($A52="DOM",TRUE,IF($C52="",TRUE,FALSE)))</formula>
    </cfRule>
  </conditionalFormatting>
  <conditionalFormatting sqref="AY53">
    <cfRule type="expression" dxfId="90" priority="277" stopIfTrue="1">
      <formula>IF($A53="SAB",TRUE,IF($A53="DOM",TRUE,IF($C53="",TRUE,FALSE)))</formula>
    </cfRule>
  </conditionalFormatting>
  <conditionalFormatting sqref="AY54">
    <cfRule type="expression" dxfId="89" priority="276" stopIfTrue="1">
      <formula>IF($A54="SAB",TRUE,IF($A54="DOM",TRUE,IF($C54="",TRUE,FALSE)))</formula>
    </cfRule>
  </conditionalFormatting>
  <conditionalFormatting sqref="AY55">
    <cfRule type="expression" dxfId="88" priority="275" stopIfTrue="1">
      <formula>IF($A55="SAB",TRUE,IF($A55="DOM",TRUE,IF($C55="",TRUE,FALSE)))</formula>
    </cfRule>
  </conditionalFormatting>
  <conditionalFormatting sqref="AY56">
    <cfRule type="expression" dxfId="87" priority="274" stopIfTrue="1">
      <formula>IF($A56="SAB",TRUE,IF($A56="DOM",TRUE,IF($C56="",TRUE,FALSE)))</formula>
    </cfRule>
  </conditionalFormatting>
  <conditionalFormatting sqref="AY57">
    <cfRule type="expression" dxfId="86" priority="273" stopIfTrue="1">
      <formula>IF($A57="SAB",TRUE,IF($A57="DOM",TRUE,IF($C57="",TRUE,FALSE)))</formula>
    </cfRule>
  </conditionalFormatting>
  <conditionalFormatting sqref="AY58">
    <cfRule type="expression" dxfId="85" priority="272" stopIfTrue="1">
      <formula>IF($A58="SAB",TRUE,IF($A58="DOM",TRUE,IF($C58="",TRUE,FALSE)))</formula>
    </cfRule>
  </conditionalFormatting>
  <conditionalFormatting sqref="AY29">
    <cfRule type="expression" dxfId="84" priority="270" stopIfTrue="1">
      <formula>IF($A29="SAB",TRUE,IF($A29="DOM",TRUE,IF($C29="",TRUE,FALSE)))</formula>
    </cfRule>
  </conditionalFormatting>
  <conditionalFormatting sqref="BE29">
    <cfRule type="expression" dxfId="83" priority="269" stopIfTrue="1">
      <formula>IF($A29="SAB",TRUE,IF($A29="DOM",TRUE,IF($C29="",TRUE,FALSE)))</formula>
    </cfRule>
  </conditionalFormatting>
  <conditionalFormatting sqref="BE30">
    <cfRule type="expression" dxfId="82" priority="268" stopIfTrue="1">
      <formula>IF($A30="SAB",TRUE,IF($A30="DOM",TRUE,IF($C30="",TRUE,FALSE)))</formula>
    </cfRule>
  </conditionalFormatting>
  <conditionalFormatting sqref="BE31">
    <cfRule type="expression" dxfId="81" priority="267" stopIfTrue="1">
      <formula>IF($A31="SAB",TRUE,IF($A31="DOM",TRUE,IF($C31="",TRUE,FALSE)))</formula>
    </cfRule>
  </conditionalFormatting>
  <conditionalFormatting sqref="BE32">
    <cfRule type="expression" dxfId="80" priority="266" stopIfTrue="1">
      <formula>IF($A32="SAB",TRUE,IF($A32="DOM",TRUE,IF($C32="",TRUE,FALSE)))</formula>
    </cfRule>
  </conditionalFormatting>
  <conditionalFormatting sqref="BE33">
    <cfRule type="expression" dxfId="79" priority="265" stopIfTrue="1">
      <formula>IF($A33="SAB",TRUE,IF($A33="DOM",TRUE,IF($C33="",TRUE,FALSE)))</formula>
    </cfRule>
  </conditionalFormatting>
  <conditionalFormatting sqref="BE34">
    <cfRule type="expression" dxfId="78" priority="264" stopIfTrue="1">
      <formula>IF($A34="SAB",TRUE,IF($A34="DOM",TRUE,IF($C34="",TRUE,FALSE)))</formula>
    </cfRule>
  </conditionalFormatting>
  <conditionalFormatting sqref="BE35">
    <cfRule type="expression" dxfId="77" priority="263" stopIfTrue="1">
      <formula>IF($A35="SAB",TRUE,IF($A35="DOM",TRUE,IF($C35="",TRUE,FALSE)))</formula>
    </cfRule>
  </conditionalFormatting>
  <conditionalFormatting sqref="BE36">
    <cfRule type="expression" dxfId="76" priority="262" stopIfTrue="1">
      <formula>IF($A36="SAB",TRUE,IF($A36="DOM",TRUE,IF($C36="",TRUE,FALSE)))</formula>
    </cfRule>
  </conditionalFormatting>
  <conditionalFormatting sqref="BE37">
    <cfRule type="expression" dxfId="75" priority="261" stopIfTrue="1">
      <formula>IF($A37="SAB",TRUE,IF($A37="DOM",TRUE,IF($C37="",TRUE,FALSE)))</formula>
    </cfRule>
  </conditionalFormatting>
  <conditionalFormatting sqref="BE38">
    <cfRule type="expression" dxfId="74" priority="260" stopIfTrue="1">
      <formula>IF($A38="SAB",TRUE,IF($A38="DOM",TRUE,IF($C38="",TRUE,FALSE)))</formula>
    </cfRule>
  </conditionalFormatting>
  <conditionalFormatting sqref="BE39">
    <cfRule type="expression" dxfId="73" priority="259" stopIfTrue="1">
      <formula>IF($A39="SAB",TRUE,IF($A39="DOM",TRUE,IF($C39="",TRUE,FALSE)))</formula>
    </cfRule>
  </conditionalFormatting>
  <conditionalFormatting sqref="BE40">
    <cfRule type="expression" dxfId="72" priority="258" stopIfTrue="1">
      <formula>IF($A40="SAB",TRUE,IF($A40="DOM",TRUE,IF($C40="",TRUE,FALSE)))</formula>
    </cfRule>
  </conditionalFormatting>
  <conditionalFormatting sqref="BE41">
    <cfRule type="expression" dxfId="71" priority="257" stopIfTrue="1">
      <formula>IF($A41="SAB",TRUE,IF($A41="DOM",TRUE,IF($C41="",TRUE,FALSE)))</formula>
    </cfRule>
  </conditionalFormatting>
  <conditionalFormatting sqref="BE42">
    <cfRule type="expression" dxfId="70" priority="256" stopIfTrue="1">
      <formula>IF($A42="SAB",TRUE,IF($A42="DOM",TRUE,IF($C42="",TRUE,FALSE)))</formula>
    </cfRule>
  </conditionalFormatting>
  <conditionalFormatting sqref="BE43">
    <cfRule type="expression" dxfId="69" priority="255" stopIfTrue="1">
      <formula>IF($A43="SAB",TRUE,IF($A43="DOM",TRUE,IF($C43="",TRUE,FALSE)))</formula>
    </cfRule>
  </conditionalFormatting>
  <conditionalFormatting sqref="BE44">
    <cfRule type="expression" dxfId="68" priority="254" stopIfTrue="1">
      <formula>IF($A44="SAB",TRUE,IF($A44="DOM",TRUE,IF($C44="",TRUE,FALSE)))</formula>
    </cfRule>
  </conditionalFormatting>
  <conditionalFormatting sqref="BE45">
    <cfRule type="expression" dxfId="67" priority="253" stopIfTrue="1">
      <formula>IF($A45="SAB",TRUE,IF($A45="DOM",TRUE,IF($C45="",TRUE,FALSE)))</formula>
    </cfRule>
  </conditionalFormatting>
  <conditionalFormatting sqref="BE46">
    <cfRule type="expression" dxfId="66" priority="252" stopIfTrue="1">
      <formula>IF($A46="SAB",TRUE,IF($A46="DOM",TRUE,IF($C46="",TRUE,FALSE)))</formula>
    </cfRule>
  </conditionalFormatting>
  <conditionalFormatting sqref="BE47">
    <cfRule type="expression" dxfId="65" priority="251" stopIfTrue="1">
      <formula>IF($A47="SAB",TRUE,IF($A47="DOM",TRUE,IF($C47="",TRUE,FALSE)))</formula>
    </cfRule>
  </conditionalFormatting>
  <conditionalFormatting sqref="BE48">
    <cfRule type="expression" dxfId="64" priority="250" stopIfTrue="1">
      <formula>IF($A48="SAB",TRUE,IF($A48="DOM",TRUE,IF($C48="",TRUE,FALSE)))</formula>
    </cfRule>
  </conditionalFormatting>
  <conditionalFormatting sqref="BE49">
    <cfRule type="expression" dxfId="63" priority="249" stopIfTrue="1">
      <formula>IF($A49="SAB",TRUE,IF($A49="DOM",TRUE,IF($C49="",TRUE,FALSE)))</formula>
    </cfRule>
  </conditionalFormatting>
  <conditionalFormatting sqref="BE50">
    <cfRule type="expression" dxfId="62" priority="248" stopIfTrue="1">
      <formula>IF($A50="SAB",TRUE,IF($A50="DOM",TRUE,IF($C50="",TRUE,FALSE)))</formula>
    </cfRule>
  </conditionalFormatting>
  <conditionalFormatting sqref="BE51">
    <cfRule type="expression" dxfId="61" priority="247" stopIfTrue="1">
      <formula>IF($A51="SAB",TRUE,IF($A51="DOM",TRUE,IF($C51="",TRUE,FALSE)))</formula>
    </cfRule>
  </conditionalFormatting>
  <conditionalFormatting sqref="BE52">
    <cfRule type="expression" dxfId="60" priority="246" stopIfTrue="1">
      <formula>IF($A52="SAB",TRUE,IF($A52="DOM",TRUE,IF($C52="",TRUE,FALSE)))</formula>
    </cfRule>
  </conditionalFormatting>
  <conditionalFormatting sqref="BE53">
    <cfRule type="expression" dxfId="59" priority="245" stopIfTrue="1">
      <formula>IF($A53="SAB",TRUE,IF($A53="DOM",TRUE,IF($C53="",TRUE,FALSE)))</formula>
    </cfRule>
  </conditionalFormatting>
  <conditionalFormatting sqref="BE54">
    <cfRule type="expression" dxfId="58" priority="244" stopIfTrue="1">
      <formula>IF($A54="SAB",TRUE,IF($A54="DOM",TRUE,IF($C54="",TRUE,FALSE)))</formula>
    </cfRule>
  </conditionalFormatting>
  <conditionalFormatting sqref="BE55">
    <cfRule type="expression" dxfId="57" priority="243" stopIfTrue="1">
      <formula>IF($A55="SAB",TRUE,IF($A55="DOM",TRUE,IF($C55="",TRUE,FALSE)))</formula>
    </cfRule>
  </conditionalFormatting>
  <conditionalFormatting sqref="BE56">
    <cfRule type="expression" dxfId="56" priority="242" stopIfTrue="1">
      <formula>IF($A56="SAB",TRUE,IF($A56="DOM",TRUE,IF($C56="",TRUE,FALSE)))</formula>
    </cfRule>
  </conditionalFormatting>
  <conditionalFormatting sqref="BE57">
    <cfRule type="expression" dxfId="55" priority="241" stopIfTrue="1">
      <formula>IF($A57="SAB",TRUE,IF($A57="DOM",TRUE,IF($C57="",TRUE,FALSE)))</formula>
    </cfRule>
  </conditionalFormatting>
  <conditionalFormatting sqref="BE58">
    <cfRule type="expression" dxfId="54" priority="240" stopIfTrue="1">
      <formula>IF($A58="SAB",TRUE,IF($A58="DOM",TRUE,IF($C58="",TRUE,FALSE)))</formula>
    </cfRule>
  </conditionalFormatting>
  <conditionalFormatting sqref="BJ28">
    <cfRule type="expression" dxfId="53" priority="239" stopIfTrue="1">
      <formula>IF($A28="SAB",TRUE,IF($A28="DOM",TRUE,IF($C28="",TRUE,FALSE)))</formula>
    </cfRule>
  </conditionalFormatting>
  <conditionalFormatting sqref="BJ30">
    <cfRule type="expression" dxfId="52" priority="237" stopIfTrue="1">
      <formula>IF($A30="SAB",TRUE,IF($A30="DOM",TRUE,IF($C30="",TRUE,FALSE)))</formula>
    </cfRule>
  </conditionalFormatting>
  <conditionalFormatting sqref="BJ31">
    <cfRule type="expression" dxfId="51" priority="236" stopIfTrue="1">
      <formula>IF($A31="SAB",TRUE,IF($A31="DOM",TRUE,IF($C31="",TRUE,FALSE)))</formula>
    </cfRule>
  </conditionalFormatting>
  <conditionalFormatting sqref="BJ32">
    <cfRule type="expression" dxfId="50" priority="235" stopIfTrue="1">
      <formula>IF($A32="SAB",TRUE,IF($A32="DOM",TRUE,IF($C32="",TRUE,FALSE)))</formula>
    </cfRule>
  </conditionalFormatting>
  <conditionalFormatting sqref="BJ33">
    <cfRule type="expression" dxfId="49" priority="234" stopIfTrue="1">
      <formula>IF($A33="SAB",TRUE,IF($A33="DOM",TRUE,IF($C33="",TRUE,FALSE)))</formula>
    </cfRule>
  </conditionalFormatting>
  <conditionalFormatting sqref="BJ34">
    <cfRule type="expression" dxfId="48" priority="233" stopIfTrue="1">
      <formula>IF($A34="SAB",TRUE,IF($A34="DOM",TRUE,IF($C34="",TRUE,FALSE)))</formula>
    </cfRule>
  </conditionalFormatting>
  <conditionalFormatting sqref="BJ35">
    <cfRule type="expression" dxfId="47" priority="232" stopIfTrue="1">
      <formula>IF($A35="SAB",TRUE,IF($A35="DOM",TRUE,IF($C35="",TRUE,FALSE)))</formula>
    </cfRule>
  </conditionalFormatting>
  <conditionalFormatting sqref="BJ36">
    <cfRule type="expression" dxfId="46" priority="231" stopIfTrue="1">
      <formula>IF($A36="SAB",TRUE,IF($A36="DOM",TRUE,IF($C36="",TRUE,FALSE)))</formula>
    </cfRule>
  </conditionalFormatting>
  <conditionalFormatting sqref="BJ37">
    <cfRule type="expression" dxfId="45" priority="230" stopIfTrue="1">
      <formula>IF($A37="SAB",TRUE,IF($A37="DOM",TRUE,IF($C37="",TRUE,FALSE)))</formula>
    </cfRule>
  </conditionalFormatting>
  <conditionalFormatting sqref="BJ38">
    <cfRule type="expression" dxfId="44" priority="229" stopIfTrue="1">
      <formula>IF($A38="SAB",TRUE,IF($A38="DOM",TRUE,IF($C38="",TRUE,FALSE)))</formula>
    </cfRule>
  </conditionalFormatting>
  <conditionalFormatting sqref="BJ39">
    <cfRule type="expression" dxfId="43" priority="228" stopIfTrue="1">
      <formula>IF($A39="SAB",TRUE,IF($A39="DOM",TRUE,IF($C39="",TRUE,FALSE)))</formula>
    </cfRule>
  </conditionalFormatting>
  <conditionalFormatting sqref="BJ40">
    <cfRule type="expression" dxfId="42" priority="227" stopIfTrue="1">
      <formula>IF($A40="SAB",TRUE,IF($A40="DOM",TRUE,IF($C40="",TRUE,FALSE)))</formula>
    </cfRule>
  </conditionalFormatting>
  <conditionalFormatting sqref="BJ41">
    <cfRule type="expression" dxfId="41" priority="226" stopIfTrue="1">
      <formula>IF($A41="SAB",TRUE,IF($A41="DOM",TRUE,IF($C41="",TRUE,FALSE)))</formula>
    </cfRule>
  </conditionalFormatting>
  <conditionalFormatting sqref="BJ42">
    <cfRule type="expression" dxfId="40" priority="225" stopIfTrue="1">
      <formula>IF($A42="SAB",TRUE,IF($A42="DOM",TRUE,IF($C42="",TRUE,FALSE)))</formula>
    </cfRule>
  </conditionalFormatting>
  <conditionalFormatting sqref="BJ43">
    <cfRule type="expression" dxfId="39" priority="224" stopIfTrue="1">
      <formula>IF($A43="SAB",TRUE,IF($A43="DOM",TRUE,IF($C43="",TRUE,FALSE)))</formula>
    </cfRule>
  </conditionalFormatting>
  <conditionalFormatting sqref="BJ44">
    <cfRule type="expression" dxfId="38" priority="223" stopIfTrue="1">
      <formula>IF($A44="SAB",TRUE,IF($A44="DOM",TRUE,IF($C44="",TRUE,FALSE)))</formula>
    </cfRule>
  </conditionalFormatting>
  <conditionalFormatting sqref="BJ45">
    <cfRule type="expression" dxfId="37" priority="222" stopIfTrue="1">
      <formula>IF($A45="SAB",TRUE,IF($A45="DOM",TRUE,IF($C45="",TRUE,FALSE)))</formula>
    </cfRule>
  </conditionalFormatting>
  <conditionalFormatting sqref="BJ46">
    <cfRule type="expression" dxfId="36" priority="221" stopIfTrue="1">
      <formula>IF($A46="SAB",TRUE,IF($A46="DOM",TRUE,IF($C46="",TRUE,FALSE)))</formula>
    </cfRule>
  </conditionalFormatting>
  <conditionalFormatting sqref="BJ47">
    <cfRule type="expression" dxfId="35" priority="220" stopIfTrue="1">
      <formula>IF($A47="SAB",TRUE,IF($A47="DOM",TRUE,IF($C47="",TRUE,FALSE)))</formula>
    </cfRule>
  </conditionalFormatting>
  <conditionalFormatting sqref="BJ48">
    <cfRule type="expression" dxfId="34" priority="219" stopIfTrue="1">
      <formula>IF($A48="SAB",TRUE,IF($A48="DOM",TRUE,IF($C48="",TRUE,FALSE)))</formula>
    </cfRule>
  </conditionalFormatting>
  <conditionalFormatting sqref="BJ49">
    <cfRule type="expression" dxfId="33" priority="218" stopIfTrue="1">
      <formula>IF($A49="SAB",TRUE,IF($A49="DOM",TRUE,IF($C49="",TRUE,FALSE)))</formula>
    </cfRule>
  </conditionalFormatting>
  <conditionalFormatting sqref="BJ50">
    <cfRule type="expression" dxfId="32" priority="217" stopIfTrue="1">
      <formula>IF($A50="SAB",TRUE,IF($A50="DOM",TRUE,IF($C50="",TRUE,FALSE)))</formula>
    </cfRule>
  </conditionalFormatting>
  <conditionalFormatting sqref="BJ51">
    <cfRule type="expression" dxfId="31" priority="216" stopIfTrue="1">
      <formula>IF($A51="SAB",TRUE,IF($A51="DOM",TRUE,IF($C51="",TRUE,FALSE)))</formula>
    </cfRule>
  </conditionalFormatting>
  <conditionalFormatting sqref="BJ52">
    <cfRule type="expression" dxfId="30" priority="215" stopIfTrue="1">
      <formula>IF($A52="SAB",TRUE,IF($A52="DOM",TRUE,IF($C52="",TRUE,FALSE)))</formula>
    </cfRule>
  </conditionalFormatting>
  <conditionalFormatting sqref="BJ53">
    <cfRule type="expression" dxfId="29" priority="214" stopIfTrue="1">
      <formula>IF($A53="SAB",TRUE,IF($A53="DOM",TRUE,IF($C53="",TRUE,FALSE)))</formula>
    </cfRule>
  </conditionalFormatting>
  <conditionalFormatting sqref="BJ54">
    <cfRule type="expression" dxfId="28" priority="213" stopIfTrue="1">
      <formula>IF($A54="SAB",TRUE,IF($A54="DOM",TRUE,IF($C54="",TRUE,FALSE)))</formula>
    </cfRule>
  </conditionalFormatting>
  <conditionalFormatting sqref="BJ55">
    <cfRule type="expression" dxfId="27" priority="212" stopIfTrue="1">
      <formula>IF($A55="SAB",TRUE,IF($A55="DOM",TRUE,IF($C55="",TRUE,FALSE)))</formula>
    </cfRule>
  </conditionalFormatting>
  <conditionalFormatting sqref="BJ56">
    <cfRule type="expression" dxfId="26" priority="211" stopIfTrue="1">
      <formula>IF($A56="SAB",TRUE,IF($A56="DOM",TRUE,IF($C56="",TRUE,FALSE)))</formula>
    </cfRule>
  </conditionalFormatting>
  <conditionalFormatting sqref="BJ57">
    <cfRule type="expression" dxfId="25" priority="210" stopIfTrue="1">
      <formula>IF($A57="SAB",TRUE,IF($A57="DOM",TRUE,IF($C57="",TRUE,FALSE)))</formula>
    </cfRule>
  </conditionalFormatting>
  <conditionalFormatting sqref="AI108">
    <cfRule type="expression" dxfId="24" priority="178">
      <formula>IF($A59="SAB",TRUE,IF($A59="DOM",TRUE,IF($C59="",TRUE,FALSE)))</formula>
    </cfRule>
  </conditionalFormatting>
  <conditionalFormatting sqref="BQ59">
    <cfRule type="expression" dxfId="23" priority="177" stopIfTrue="1">
      <formula>IF($A59="SAB",TRUE,IF($A59="DOM",TRUE,IF($C59="",TRUE,FALSE)))</formula>
    </cfRule>
  </conditionalFormatting>
  <conditionalFormatting sqref="BQ59">
    <cfRule type="expression" dxfId="22" priority="176" stopIfTrue="1">
      <formula>IF($A59="SAB",TRUE,IF($A59="DOM",TRUE,IF($C59="",TRUE,FALSE)))</formula>
    </cfRule>
  </conditionalFormatting>
  <conditionalFormatting sqref="C28:BW58 C77:BW107 D73:BW73 C77:BW107 C72">
    <cfRule type="expression" dxfId="21" priority="7">
      <formula>IF(OR($C28=$P$1,$C28=$Q$1,$C28=$R$1,$C28=$S$1,$C28=$T$1,$C28=$U$1,$C28=$V$1),TRUE)</formula>
    </cfRule>
  </conditionalFormatting>
  <conditionalFormatting sqref="D74:BW74">
    <cfRule type="expression" dxfId="20" priority="1544">
      <formula>IF(OR($C72=$P$1,$C72=$Q$1,$C72=$R$1,$C72=$S$1,$C72=$T$1,$C72=$U$1),TRUE)</formula>
    </cfRule>
  </conditionalFormatting>
  <conditionalFormatting sqref="D72:BW72">
    <cfRule type="expression" dxfId="19" priority="1545">
      <formula>IF(OR(#REF!=$P$1,#REF!=$Q$1,#REF!=$R$1,#REF!=$S$1,#REF!=$T$1,#REF!=$U$1),TRUE)</formula>
    </cfRule>
  </conditionalFormatting>
  <conditionalFormatting sqref="C77:C107">
    <cfRule type="expression" dxfId="18" priority="571" stopIfTrue="1">
      <formula>IF(#REF!="LPR","VERDADEIRO","FALSO")</formula>
    </cfRule>
    <cfRule type="expression" dxfId="17" priority="572" stopIfTrue="1">
      <formula>IF(#REF!="RPL","VERDADEIRO","FALSO")</formula>
    </cfRule>
  </conditionalFormatting>
  <conditionalFormatting sqref="EQ73:EQ87">
    <cfRule type="cellIs" dxfId="16" priority="4" stopIfTrue="1" operator="equal">
      <formula>""</formula>
    </cfRule>
  </conditionalFormatting>
  <conditionalFormatting sqref="EP73:EP87">
    <cfRule type="cellIs" dxfId="15" priority="3" stopIfTrue="1" operator="equal">
      <formula>""</formula>
    </cfRule>
  </conditionalFormatting>
  <conditionalFormatting sqref="EA460:EB462 EC459:EC462 EN463 EA463:EC463 EE460:EK463">
    <cfRule type="cellIs" dxfId="14" priority="2" stopIfTrue="1" operator="equal">
      <formula>""</formula>
    </cfRule>
  </conditionalFormatting>
  <conditionalFormatting sqref="EI459 EN459">
    <cfRule type="cellIs" dxfId="13" priority="1" stopIfTrue="1" operator="equal">
      <formula>""</formula>
    </cfRule>
  </conditionalFormatting>
  <dataValidations count="42">
    <dataValidation type="whole" allowBlank="1" showInputMessage="1" showErrorMessage="1" sqref="P1:Y1" xr:uid="{00000000-0002-0000-0100-000000000000}">
      <formula1>1</formula1>
      <formula2>31</formula2>
    </dataValidation>
    <dataValidation type="custom" allowBlank="1" showInputMessage="1" showErrorMessage="1" error="NÃO PREENCHER" sqref="F93:F107 W77:X107 F77:F80" xr:uid="{00000000-0002-0000-0100-000001000000}">
      <formula1>AND($H$24&lt;&gt;"",F77&lt;&gt;"")</formula1>
    </dataValidation>
    <dataValidation type="custom" allowBlank="1" showInputMessage="1" showErrorMessage="1" sqref="A28 A59 A77" xr:uid="{00000000-0002-0000-0100-000002000000}">
      <formula1>AND(A28="qua",Q28="")</formula1>
    </dataValidation>
    <dataValidation type="custom" allowBlank="1" showInputMessage="1" showErrorMessage="1" error="NÃO PREENCHER" sqref="AE77:AE107 AF82:AF107 O77:O107 K84:K85 S77:S107 AW98:AW107 AT77:AU107 AL77:AM107 BE77:BE107 AW77:AW96 BI77:BI107" xr:uid="{00000000-0002-0000-0100-000003000000}">
      <formula1>AND($Q$24&lt;&gt;"",K77&lt;&gt;"")</formula1>
    </dataValidation>
    <dataValidation type="custom" allowBlank="1" showInputMessage="1" showErrorMessage="1" error="NÃO PREENCHER" sqref="AC77:AC107 AJ77:AK107 AR77:AR107" xr:uid="{00000000-0002-0000-0100-000004000000}">
      <formula1>AND($P$24&lt;&gt;"",AC77&lt;&gt;"")</formula1>
    </dataValidation>
    <dataValidation type="custom" allowBlank="1" showInputMessage="1" showErrorMessage="1" error="NÃO PREENCHER" sqref="F81:F92" xr:uid="{00000000-0002-0000-0100-000005000000}">
      <formula1>AND($G$24&lt;&gt;"",F81&lt;&gt;"")</formula1>
    </dataValidation>
    <dataValidation type="custom" allowBlank="1" showInputMessage="1" showErrorMessage="1" error="NÃO PREENCHER" sqref="AG82:AG107 M77:M107 Q77:Q107 Y77:Z107 BA77:BA107 AQ77:AQ107 AN77:AN107 AI77:AI107" xr:uid="{00000000-0002-0000-0100-000006000000}">
      <formula1>AND($N$24&lt;&gt;"",M77&lt;&gt;"")</formula1>
    </dataValidation>
    <dataValidation type="custom" allowBlank="1" showInputMessage="1" showErrorMessage="1" error="NÃO PREENCHER" sqref="AH77:AH107 H77:H107 AA82:AB107 BD77:BD107 AP77:AP107 AS77:AS107" xr:uid="{00000000-0002-0000-0100-000007000000}">
      <formula1>AND($O$24&lt;&gt;"",H77&lt;&gt;"")</formula1>
    </dataValidation>
    <dataValidation type="whole" allowBlank="1" showInputMessage="1" showErrorMessage="1" errorTitle="VALOR INVÁLIDO" error="O CAMPO PERMITE SOMENTE NÚMEROS_x000a__x000a_OU_x000a__x000a_VOCÊ NÃO DIGITOU HORÁRIO DE LANCHE" sqref="BA19" xr:uid="{00000000-0002-0000-0100-000008000000}">
      <formula1>IF(#REF!="","",1)</formula1>
      <formula2>IF(#REF!="","",4000)</formula2>
    </dataValidation>
    <dataValidation type="time" allowBlank="1" showInputMessage="1" showErrorMessage="1" errorTitle="VALOR INVÁLIDO" error="O CAMPO PERMITE SOMENTE NÚMEROS_x000a__x000a_OU_x000a__x000a_VOCÊ NÃO DIGITOU HORÁRIO DE REFEIÇÃO" sqref="BU19:BV19 BU15:BV15" xr:uid="{00000000-0002-0000-0100-000009000000}">
      <formula1>IF(#REF!="","",1)</formula1>
      <formula2>IF(#REF!="","",4000)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BS19:BT19 BS15:BT15" xr:uid="{00000000-0002-0000-0100-00000A000000}">
      <formula1>IF(#REF!="",0,(#REF!)-($A$12))</formula1>
      <formula2>IF(#REF!="",0,(#REF!)+($A$12))</formula2>
    </dataValidation>
    <dataValidation type="whole" allowBlank="1" showInputMessage="1" showErrorMessage="1" sqref="BF18:BG18 L15:R19 BA18 BJ16:BJ20 V15:V19" xr:uid="{00000000-0002-0000-0100-00000B000000}">
      <formula1>0</formula1>
      <formula2>10000</formula2>
    </dataValidation>
    <dataValidation type="list" allowBlank="1" showInputMessage="1" showErrorMessage="1" sqref="B27:B58" xr:uid="{00000000-0002-0000-0100-00000C000000}">
      <formula1>"LPR,RPL"</formula1>
    </dataValidation>
    <dataValidation type="list" allowBlank="1" showInputMessage="1" showErrorMessage="1" sqref="J16 J18:J19" xr:uid="{00000000-0002-0000-0100-00000D000000}">
      <formula1>"até 4h, 4 a 6 horas"</formula1>
    </dataValidation>
    <dataValidation type="custom" allowBlank="1" showInputMessage="1" showErrorMessage="1" sqref="A29:A58 A78:A107" xr:uid="{00000000-0002-0000-0100-00000E000000}">
      <formula1>AND(A29="qua",Y29="")</formula1>
    </dataValidation>
    <dataValidation allowBlank="1" showInputMessage="1" showErrorMessage="1" error="O lanche deve respeitar o limite máximo do número de alunos frequentes" sqref="T75 P75 M60:O60 M63:O71 K86:K107 K75:K83 M129:O1048576" xr:uid="{00000000-0002-0000-0100-00000F000000}"/>
    <dataValidation allowBlank="1" showInputMessage="1" showErrorMessage="1" error="A soma da refeições e repetição de sobremesa deverá ser no máximo o númoer de matriculados" sqref="Q63:Q71 Q60 Q129:Q1048576" xr:uid="{00000000-0002-0000-0100-000010000000}"/>
    <dataValidation allowBlank="1" showInputMessage="1" showErrorMessage="1" error="A soma de sobremesa e repetição de sobremesa deverá ser no máximo o número de matriculados" sqref="S63:S71 S60 S129:S1048576" xr:uid="{00000000-0002-0000-0100-000011000000}"/>
    <dataValidation type="custom" allowBlank="1" showInputMessage="1" showErrorMessage="1" sqref="A71:A76" xr:uid="{00000000-0002-0000-0100-000012000000}">
      <formula1>AND(A71="qua",#REF!="")</formula1>
    </dataValidation>
    <dataValidation type="custom" allowBlank="1" showInputMessage="1" showErrorMessage="1" sqref="A70" xr:uid="{00000000-0002-0000-0100-000013000000}">
      <formula1>AND(A70="qua",O77="")</formula1>
    </dataValidation>
    <dataValidation type="whole" allowBlank="1" showInputMessage="1" showErrorMessage="1" errorTitle="VALOR INVÁLIDO" error="O CAMPO PERMITE SOMENTE NÚMEROS_x000a__x000a_OU_x000a__x000a_VOCÊ NÃO DIGITOU HORÁRIO DE LANCHE" sqref="BA17" xr:uid="{00000000-0002-0000-0100-000014000000}">
      <formula1>IF($AW18="","",1)</formula1>
      <formula2>IF($AW18="","",4000)</formula2>
    </dataValidation>
    <dataValidation allowBlank="1" showInputMessage="1" showErrorMessage="1" errorTitle="NÚMEROS" error="Digite somente números" sqref="AV111:AW111" xr:uid="{00000000-0002-0000-0100-000015000000}"/>
    <dataValidation type="custom" allowBlank="1" showInputMessage="1" showErrorMessage="1" sqref="AC75:AC76 AR75 AJ75:AK75" xr:uid="{00000000-0002-0000-0100-000016000000}">
      <formula1>IF(#REF!="integral",AA79+AC78&lt;=$L$15,"")</formula1>
    </dataValidation>
    <dataValidation type="list" allowBlank="1" showInputMessage="1" showErrorMessage="1" sqref="BK7" xr:uid="{00000000-0002-0000-0100-000017000000}">
      <formula1>"JANEIRO,FEVEREIRO,MARÇO,ABRIL,MAIO,JUNHO,JULHO,AGOSTO,SETEMBRO,OUTUBRO,NOVEMBRO,DEZEMBRO"</formula1>
    </dataValidation>
    <dataValidation type="time" showInputMessage="1" showErrorMessage="1" errorTitle="VALOR INVÁLIDO" error="O CAMPO PERMITE SOMENTE NÚMEROS_x000a__x000a_OU_x000a__x000a_VOCÊ NÃO DIGITOU HORÁRIO DE REFEIÇÃO" sqref="BU20:BV20" xr:uid="{00000000-0002-0000-0100-000018000000}">
      <formula1>IF(#REF!="","",1)</formula1>
      <formula2>IF(#REF!="","",4000)</formula2>
    </dataValidation>
    <dataValidation type="time" allowBlank="1" showInputMessage="1" showErrorMessage="1" errorTitle="VALOR INVÁLIDO" error="O CAMPO PERMITE SOMENTE NÚMEROS_x000a__x000a_OU_x000a__x000a_VOCÊ NÃO DIGITOU HORÁRIO DE REFEIÇÃO" sqref="BU16:BV18" xr:uid="{00000000-0002-0000-0100-000019000000}">
      <formula1>IF($BJ17="","",1)</formula1>
      <formula2>IF($BJ17="","",4000)</formula2>
    </dataValidation>
    <dataValidation type="custom" allowBlank="1" showInputMessage="1" showErrorMessage="1" error="NÃO PREENCHER" sqref="D77:D107 U77:U107 AO77:AO107" xr:uid="{00000000-0002-0000-0100-00001A000000}">
      <formula1>AND($E$24&lt;&gt;"",D77&lt;&gt;"")</formula1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BS16:BT16" xr:uid="{00000000-0002-0000-0100-00001B000000}">
      <formula1>IF($BJ$17="",0,(#REF!)-($A$12))</formula1>
      <formula2>IF($BJ$17="",0,(#REF!)+($A$12))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BS17:BT17" xr:uid="{00000000-0002-0000-0100-00001C000000}">
      <formula1>IF($BJ$18="",0,(#REF!)-($A$12))</formula1>
      <formula2>IF($BJ$18="",0,(#REF!)+($A$12))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BS18:BT18" xr:uid="{00000000-0002-0000-0100-00001D000000}">
      <formula1>IF($BJ$19="",0,(#REF!)-($A$12))</formula1>
      <formula2>IF($BJ$19="",0,(#REF!)+($A$12))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BS20:BT20" xr:uid="{00000000-0002-0000-0100-00001E000000}">
      <formula1>IF($BJ$20="",0,(#REF!)-($A$12))</formula1>
      <formula2>IF($BJ$20="",0,(#REF!)+($A$12))</formula2>
    </dataValidation>
    <dataValidation type="custom" allowBlank="1" showInputMessage="1" showErrorMessage="1" sqref="P25:P27" xr:uid="{00000000-0002-0000-0100-00001F000000}">
      <formula1>IF(E23="integral",N28+P28&lt;=$L$15,"")</formula1>
    </dataValidation>
    <dataValidation type="custom" allowBlank="1" showInputMessage="1" showErrorMessage="1" sqref="L25:L27" xr:uid="{00000000-0002-0000-0100-000020000000}">
      <formula1>IF(B23="integral",J28+L28&lt;=$L$15,"")</formula1>
    </dataValidation>
    <dataValidation type="list" allowBlank="1" showInputMessage="1" showErrorMessage="1" sqref="J17" xr:uid="{00000000-0002-0000-0100-000021000000}">
      <formula1>"até 4h"</formula1>
    </dataValidation>
    <dataValidation type="custom" allowBlank="1" showInputMessage="1" showErrorMessage="1" sqref="I75" xr:uid="{00000000-0002-0000-0100-000022000000}">
      <formula1>IF(#REF!="integral",G77+I77&lt;=$L$15,"")</formula1>
    </dataValidation>
    <dataValidation type="custom" allowBlank="1" showInputMessage="1" showErrorMessage="1" sqref="CI25:CI26" xr:uid="{9F43CD08-93D7-497A-9A1F-ABE782346BAB}">
      <formula1>IF(BY22="integral",CG28+CI28&lt;=$L$15,"")</formula1>
    </dataValidation>
    <dataValidation type="custom" allowBlank="1" showInputMessage="1" showErrorMessage="1" sqref="CE25:CE26" xr:uid="{8C3C0496-D731-4421-A80A-8E5D85B6967F}">
      <formula1>IF(BV23="integral",CC28+CE28&lt;=$L$15,"")</formula1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AZ19" xr:uid="{00000000-0002-0000-0100-000025000000}">
      <formula1>IF(#REF!="",0,($AO$80)-($A$12))</formula1>
      <formula2>IF(#REF!="",0,(#REF!)+($A$12))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AZ18" xr:uid="{00000000-0002-0000-0100-000026000000}">
      <formula1>IF($AW$19="",0,($AO$79)-($A$12))</formula1>
      <formula2>IF($AW$19="",0,(#REF!)+($A$12))</formula2>
    </dataValidation>
    <dataValidation type="time" allowBlank="1" showInputMessage="1" showErrorMessage="1" errorTitle="HORÁRIO INCOMPATÍVEL" error="HORÁRIO INFERIOR AO INÍCIO DO PERÍODO_x000a_OU_x000a_HORÁRIO SUPERIOR AO TÉRMINO DO PERÍODO_x000a____________________________________x000a_PARA DIGITAR HORÁRIO SEMPRE_x000a_UTILIZE OS ( : )  DOIS PONTOS_x000a__x000a_EXEMPLO:  07:00  -  07:15  -  10:30  -  11:45" sqref="AZ17" xr:uid="{00000000-0002-0000-0100-000027000000}">
      <formula1>IF($AW$18="",0,($AO$78)-($A$12))</formula1>
      <formula2>IF($AW$18="",0,(#REF!)+($A$12))</formula2>
    </dataValidation>
    <dataValidation type="list" allowBlank="1" showDropDown="1" showInputMessage="1" showErrorMessage="1" errorTitle="ERRO DE DIGITAÇÃO" error="As celulas com valores diários deverão estar vazias para digitar uma das opções válidas:_x000a__x000a_LPR (Substituir LANCHE POR REFEIÇÃO)_x000a_RPL (Substituir REFEIÇÃO por LANCHE)_x000a_" sqref="DO28:DO58" xr:uid="{E817706B-D2DD-43E1-B042-A4FB062FBF52}">
      <formula1>IF(#REF!=0,$DM$9:$DM$11,$DP$24)</formula1>
    </dataValidation>
    <dataValidation type="list" showInputMessage="1" showErrorMessage="1" sqref="AW11" xr:uid="{00000000-0002-0000-0100-000029000000}">
      <formula1>#REF!</formula1>
    </dataValidation>
  </dataValidations>
  <hyperlinks>
    <hyperlink ref="EE208" r:id="rId2" xr:uid="{6263819E-1737-4BCB-B5B8-B8BB99CB9C60}"/>
    <hyperlink ref="EE205" r:id="rId3" xr:uid="{C7E1CCDD-CA92-4D07-A7AF-7AECD22C42F4}"/>
    <hyperlink ref="EE194" r:id="rId4" xr:uid="{596A5125-E33F-4194-AC78-F01C472A0BFD}"/>
    <hyperlink ref="EE216" r:id="rId5" xr:uid="{23EE46B0-DAFD-4AE3-B97E-880C0F29FF3F}"/>
    <hyperlink ref="EE209" r:id="rId6" xr:uid="{B7214930-3D65-432D-B2A4-A80F1C3B0598}"/>
    <hyperlink ref="EE215" r:id="rId7" xr:uid="{D99429C8-4CA6-425A-B19C-7662C19AA313}"/>
    <hyperlink ref="EE219" r:id="rId8" xr:uid="{5C3E65B7-696C-403C-A609-66E82C419843}"/>
    <hyperlink ref="EE206" r:id="rId9" xr:uid="{8514DB2C-252C-4FBA-A3F2-3F1CFAC054A1}"/>
    <hyperlink ref="EE465" r:id="rId10" xr:uid="{92C9C674-911D-4F5D-BF68-6CBDAB2AC0B8}"/>
    <hyperlink ref="EE466" r:id="rId11" xr:uid="{9DF1D330-288E-428C-B913-2F3BCEFF18C6}"/>
    <hyperlink ref="EE196" r:id="rId12" xr:uid="{D2665BDE-B1B4-4D15-831D-E20F946E75F7}"/>
    <hyperlink ref="EE198" r:id="rId13" xr:uid="{DFCDE962-2B50-401B-B0D1-A992B2AECC70}"/>
    <hyperlink ref="EE197" r:id="rId14" xr:uid="{36E5D934-A28E-43E6-9639-C1494633A58A}"/>
    <hyperlink ref="EE203" r:id="rId15" xr:uid="{AB2086C0-A96B-4BFE-ABC1-5B53CCF07576}"/>
    <hyperlink ref="EE204" r:id="rId16" xr:uid="{6042084F-F6DF-4603-905B-3B98DF5F3512}"/>
    <hyperlink ref="EE193" r:id="rId17" xr:uid="{47DC5344-522F-4F14-A13D-97B893D0DFC4}"/>
    <hyperlink ref="EE226" r:id="rId18" display="emeijpiaget@prefeitura.sp.gov.br" xr:uid="{64DCBEE8-80A2-45E4-B2A4-960AF9AAECE7}"/>
    <hyperlink ref="EE351" r:id="rId19" xr:uid="{2B36AB26-3F41-4156-80AF-7B295F3DA6E7}"/>
    <hyperlink ref="EE221" r:id="rId20" xr:uid="{B2EEE7B1-08E1-48CE-9033-EFC027F9CD5C}"/>
    <hyperlink ref="EE222" r:id="rId21" xr:uid="{DB226FAE-541D-424C-9B07-0966A1AF120A}"/>
    <hyperlink ref="EE223" r:id="rId22" xr:uid="{5A68DBB6-CD88-4893-A8D9-D810E5EF5996}"/>
    <hyperlink ref="EE224" r:id="rId23" xr:uid="{A98F3B84-ACA4-4E69-BBBE-93BEAA8EC543}"/>
  </hyperlinks>
  <printOptions horizontalCentered="1"/>
  <pageMargins left="0.15748031496062992" right="0" top="0.11811023622047245" bottom="0" header="0" footer="0"/>
  <pageSetup paperSize="9" scale="51" fitToHeight="0" pageOrder="overThenDown" orientation="landscape" r:id="rId24"/>
  <rowBreaks count="1" manualBreakCount="1">
    <brk id="62" min="2" max="74" man="1"/>
  </rowBreaks>
  <ignoredErrors>
    <ignoredError sqref="AI59 AK59 AO59 AQ59 AS59:AW59 X108 AB59" formula="1"/>
  </ignoredErrors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7" name="Button 2">
              <controlPr defaultSize="0" print="0" autoFill="0" autoPict="0" macro="[0]!Plan1.btnVerifica">
                <anchor moveWithCells="1">
                  <from>
                    <xdr:col>1</xdr:col>
                    <xdr:colOff>596900</xdr:colOff>
                    <xdr:row>117</xdr:row>
                    <xdr:rowOff>114300</xdr:rowOff>
                  </from>
                  <to>
                    <xdr:col>176</xdr:col>
                    <xdr:colOff>152400</xdr:colOff>
                    <xdr:row>123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2A000000}">
          <x14:formula1>
            <xm:f>UNIDADES!$B$3:$B$502</xm:f>
          </x14:formula1>
          <xm:sqref>D6:G6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595E3-4A80-49F7-A537-CAA40894E975}">
  <sheetPr codeName="Planilha1"/>
  <dimension ref="B1:L467"/>
  <sheetViews>
    <sheetView topLeftCell="A433" workbookViewId="0">
      <selection activeCell="L226" sqref="L226"/>
    </sheetView>
  </sheetViews>
  <sheetFormatPr baseColWidth="10" defaultColWidth="9.1640625" defaultRowHeight="15"/>
  <cols>
    <col min="1" max="1" width="2" style="549" customWidth="1"/>
    <col min="2" max="2" width="9.1640625" style="549"/>
    <col min="3" max="3" width="11.33203125" style="549" bestFit="1" customWidth="1"/>
    <col min="4" max="4" width="75.5" style="549" bestFit="1" customWidth="1"/>
    <col min="5" max="5" width="26.1640625" style="549" bestFit="1" customWidth="1"/>
    <col min="6" max="6" width="5.5" style="549" bestFit="1" customWidth="1"/>
    <col min="7" max="7" width="56.5" style="549" customWidth="1"/>
    <col min="8" max="8" width="100.6640625" style="549" bestFit="1" customWidth="1"/>
    <col min="9" max="9" width="9.5" style="549" bestFit="1" customWidth="1"/>
    <col min="10" max="10" width="12.83203125" style="549" bestFit="1" customWidth="1"/>
    <col min="11" max="11" width="55.5" style="549" bestFit="1" customWidth="1"/>
    <col min="12" max="16384" width="9.1640625" style="549"/>
  </cols>
  <sheetData>
    <row r="1" spans="2:12">
      <c r="B1" s="549">
        <v>1</v>
      </c>
      <c r="C1" s="549">
        <v>2</v>
      </c>
      <c r="D1" s="549">
        <v>3</v>
      </c>
      <c r="E1" s="549">
        <v>4</v>
      </c>
      <c r="F1" s="549">
        <v>5</v>
      </c>
      <c r="G1" s="549">
        <v>6</v>
      </c>
      <c r="H1" s="549">
        <v>7</v>
      </c>
      <c r="I1" s="549">
        <v>8</v>
      </c>
      <c r="J1" s="549">
        <v>9</v>
      </c>
      <c r="K1" s="549">
        <v>10</v>
      </c>
      <c r="L1" s="549">
        <v>11</v>
      </c>
    </row>
    <row r="2" spans="2:12">
      <c r="B2" s="197" t="s">
        <v>3</v>
      </c>
      <c r="C2" s="197" t="s">
        <v>4</v>
      </c>
      <c r="D2" s="197" t="s">
        <v>5</v>
      </c>
      <c r="E2" s="197" t="s">
        <v>6</v>
      </c>
      <c r="F2" s="197" t="s">
        <v>7</v>
      </c>
      <c r="G2" s="197" t="s">
        <v>8</v>
      </c>
      <c r="H2" s="197" t="s">
        <v>12</v>
      </c>
      <c r="I2" s="197" t="s">
        <v>13</v>
      </c>
      <c r="J2" s="197" t="s">
        <v>14</v>
      </c>
      <c r="K2" s="197" t="s">
        <v>16</v>
      </c>
      <c r="L2" s="197" t="s">
        <v>17</v>
      </c>
    </row>
    <row r="3" spans="2:12">
      <c r="B3" s="550">
        <v>86</v>
      </c>
      <c r="C3" s="550" t="s">
        <v>1484</v>
      </c>
      <c r="D3" s="550" t="s">
        <v>14018</v>
      </c>
      <c r="E3" s="550" t="s">
        <v>1617</v>
      </c>
      <c r="F3" s="550" t="s">
        <v>1618</v>
      </c>
      <c r="G3" s="550" t="s">
        <v>14019</v>
      </c>
      <c r="H3" s="550" t="s">
        <v>1621</v>
      </c>
      <c r="I3" s="550" t="s">
        <v>1622</v>
      </c>
      <c r="J3" s="550" t="s">
        <v>14020</v>
      </c>
      <c r="K3" s="550" t="s">
        <v>1624</v>
      </c>
      <c r="L3" s="550">
        <v>6660</v>
      </c>
    </row>
    <row r="4" spans="2:12">
      <c r="B4" s="550">
        <v>94</v>
      </c>
      <c r="C4" s="550" t="s">
        <v>1484</v>
      </c>
      <c r="D4" s="550" t="s">
        <v>1625</v>
      </c>
      <c r="E4" s="550" t="s">
        <v>1626</v>
      </c>
      <c r="F4" s="551" t="s">
        <v>13763</v>
      </c>
      <c r="G4" s="550" t="s">
        <v>13966</v>
      </c>
      <c r="H4" s="550" t="s">
        <v>1630</v>
      </c>
      <c r="I4" s="550" t="s">
        <v>1631</v>
      </c>
      <c r="J4" s="550" t="s">
        <v>1632</v>
      </c>
      <c r="K4" s="550" t="s">
        <v>1633</v>
      </c>
      <c r="L4" s="550">
        <v>6739</v>
      </c>
    </row>
    <row r="5" spans="2:12">
      <c r="B5" s="550">
        <v>221</v>
      </c>
      <c r="C5" s="550" t="s">
        <v>1484</v>
      </c>
      <c r="D5" s="550" t="s">
        <v>1634</v>
      </c>
      <c r="E5" s="550" t="s">
        <v>1626</v>
      </c>
      <c r="F5" s="551" t="s">
        <v>13763</v>
      </c>
      <c r="G5" s="550" t="s">
        <v>13957</v>
      </c>
      <c r="H5" s="550" t="s">
        <v>1637</v>
      </c>
      <c r="I5" s="550" t="s">
        <v>1638</v>
      </c>
      <c r="J5" s="550">
        <v>39316339</v>
      </c>
      <c r="K5" s="550" t="s">
        <v>1633</v>
      </c>
      <c r="L5" s="550">
        <v>6722</v>
      </c>
    </row>
    <row r="6" spans="2:12">
      <c r="B6" s="550">
        <v>230</v>
      </c>
      <c r="C6" s="550" t="s">
        <v>1484</v>
      </c>
      <c r="D6" s="550" t="s">
        <v>14252</v>
      </c>
      <c r="E6" s="550" t="s">
        <v>1640</v>
      </c>
      <c r="F6" s="550" t="s">
        <v>1641</v>
      </c>
      <c r="G6" s="550" t="s">
        <v>14253</v>
      </c>
      <c r="H6" s="550" t="s">
        <v>1644</v>
      </c>
      <c r="I6" s="550" t="s">
        <v>1645</v>
      </c>
      <c r="J6" s="550" t="s">
        <v>14254</v>
      </c>
      <c r="K6" s="550" t="s">
        <v>1633</v>
      </c>
      <c r="L6" s="550">
        <v>6793</v>
      </c>
    </row>
    <row r="7" spans="2:12">
      <c r="B7" s="550">
        <v>248</v>
      </c>
      <c r="C7" s="550" t="s">
        <v>1484</v>
      </c>
      <c r="D7" s="550" t="s">
        <v>1647</v>
      </c>
      <c r="E7" s="550" t="s">
        <v>1640</v>
      </c>
      <c r="F7" s="550" t="s">
        <v>1641</v>
      </c>
      <c r="G7" s="550" t="s">
        <v>14267</v>
      </c>
      <c r="H7" s="550" t="s">
        <v>1650</v>
      </c>
      <c r="I7" s="550" t="s">
        <v>1651</v>
      </c>
      <c r="J7" s="550" t="s">
        <v>14268</v>
      </c>
      <c r="K7" s="550" t="s">
        <v>1633</v>
      </c>
      <c r="L7" s="550">
        <v>6779</v>
      </c>
    </row>
    <row r="8" spans="2:12">
      <c r="B8" s="483">
        <v>329</v>
      </c>
      <c r="C8" s="556" t="s">
        <v>14756</v>
      </c>
      <c r="D8" s="549" t="s">
        <v>14757</v>
      </c>
      <c r="E8" s="549" t="s">
        <v>1820</v>
      </c>
      <c r="F8" s="549" t="s">
        <v>13802</v>
      </c>
      <c r="G8" s="549" t="s">
        <v>14758</v>
      </c>
      <c r="H8" s="549" t="s">
        <v>14762</v>
      </c>
      <c r="I8" s="549" t="s">
        <v>14831</v>
      </c>
      <c r="J8" s="549" t="s">
        <v>14764</v>
      </c>
      <c r="K8" s="549" t="s">
        <v>14769</v>
      </c>
      <c r="L8" s="549">
        <v>6826</v>
      </c>
    </row>
    <row r="9" spans="2:12">
      <c r="B9" s="552">
        <v>426</v>
      </c>
      <c r="C9" s="553" t="s">
        <v>1484</v>
      </c>
      <c r="D9" s="550" t="s">
        <v>1653</v>
      </c>
      <c r="E9" s="554" t="s">
        <v>1654</v>
      </c>
      <c r="F9" s="550" t="s">
        <v>13774</v>
      </c>
      <c r="G9" s="554" t="s">
        <v>14660</v>
      </c>
      <c r="H9" s="553" t="s">
        <v>1658</v>
      </c>
      <c r="I9" s="555" t="s">
        <v>1659</v>
      </c>
      <c r="J9" s="554"/>
      <c r="K9" s="556" t="s">
        <v>7010</v>
      </c>
      <c r="L9" s="557">
        <v>11329</v>
      </c>
    </row>
    <row r="10" spans="2:12">
      <c r="B10" s="550">
        <v>434</v>
      </c>
      <c r="C10" s="551" t="s">
        <v>1484</v>
      </c>
      <c r="D10" s="550" t="s">
        <v>14449</v>
      </c>
      <c r="E10" s="550" t="s">
        <v>13777</v>
      </c>
      <c r="F10" s="553" t="s">
        <v>13778</v>
      </c>
      <c r="G10" s="551" t="s">
        <v>14450</v>
      </c>
      <c r="H10" s="553" t="s">
        <v>14793</v>
      </c>
      <c r="I10" s="558">
        <v>5157060</v>
      </c>
      <c r="J10" s="551" t="s">
        <v>14452</v>
      </c>
      <c r="K10" s="550" t="s">
        <v>1633</v>
      </c>
      <c r="L10" s="550">
        <v>6753</v>
      </c>
    </row>
    <row r="11" spans="2:12">
      <c r="B11" s="550">
        <v>442</v>
      </c>
      <c r="C11" s="550" t="s">
        <v>1484</v>
      </c>
      <c r="D11" s="550" t="s">
        <v>1660</v>
      </c>
      <c r="E11" s="550" t="s">
        <v>1661</v>
      </c>
      <c r="F11" s="551" t="s">
        <v>13771</v>
      </c>
      <c r="G11" s="550" t="s">
        <v>14051</v>
      </c>
      <c r="H11" s="550" t="s">
        <v>1665</v>
      </c>
      <c r="I11" s="550" t="s">
        <v>1666</v>
      </c>
      <c r="J11" s="550" t="s">
        <v>14052</v>
      </c>
      <c r="K11" s="550" t="s">
        <v>1669</v>
      </c>
      <c r="L11" s="550">
        <v>6853</v>
      </c>
    </row>
    <row r="12" spans="2:12">
      <c r="B12" s="550">
        <v>451</v>
      </c>
      <c r="C12" s="551" t="s">
        <v>1484</v>
      </c>
      <c r="D12" s="550" t="s">
        <v>14802</v>
      </c>
      <c r="E12" s="550" t="s">
        <v>13777</v>
      </c>
      <c r="F12" s="553" t="s">
        <v>13778</v>
      </c>
      <c r="G12" s="551" t="s">
        <v>14588</v>
      </c>
      <c r="H12" s="553" t="s">
        <v>14792</v>
      </c>
      <c r="I12" s="558">
        <v>5158000</v>
      </c>
      <c r="J12" s="551" t="s">
        <v>14591</v>
      </c>
      <c r="K12" s="550" t="s">
        <v>1633</v>
      </c>
      <c r="L12" s="550">
        <v>6754</v>
      </c>
    </row>
    <row r="13" spans="2:12">
      <c r="B13" s="550">
        <v>469</v>
      </c>
      <c r="C13" s="551" t="s">
        <v>1484</v>
      </c>
      <c r="D13" s="550" t="s">
        <v>14624</v>
      </c>
      <c r="E13" s="550" t="s">
        <v>13777</v>
      </c>
      <c r="F13" s="553" t="s">
        <v>13778</v>
      </c>
      <c r="G13" s="551" t="s">
        <v>14625</v>
      </c>
      <c r="H13" s="553" t="s">
        <v>14794</v>
      </c>
      <c r="I13" s="558">
        <v>5307040</v>
      </c>
      <c r="J13" s="551" t="s">
        <v>14628</v>
      </c>
      <c r="K13" s="550" t="s">
        <v>1633</v>
      </c>
      <c r="L13" s="550">
        <v>11226</v>
      </c>
    </row>
    <row r="14" spans="2:12">
      <c r="B14" s="550">
        <v>493</v>
      </c>
      <c r="C14" s="550" t="s">
        <v>1484</v>
      </c>
      <c r="D14" s="550" t="s">
        <v>1485</v>
      </c>
      <c r="E14" s="550" t="s">
        <v>1486</v>
      </c>
      <c r="F14" s="550" t="s">
        <v>161</v>
      </c>
      <c r="G14" s="550" t="s">
        <v>13863</v>
      </c>
      <c r="H14" s="550" t="s">
        <v>1489</v>
      </c>
      <c r="I14" s="550" t="s">
        <v>1668</v>
      </c>
      <c r="J14" s="550" t="s">
        <v>13864</v>
      </c>
      <c r="K14" s="550" t="s">
        <v>1669</v>
      </c>
      <c r="L14" s="550">
        <v>6593</v>
      </c>
    </row>
    <row r="15" spans="2:12">
      <c r="B15" s="550">
        <v>531</v>
      </c>
      <c r="C15" s="550" t="s">
        <v>1484</v>
      </c>
      <c r="D15" s="550" t="s">
        <v>1491</v>
      </c>
      <c r="E15" s="550" t="s">
        <v>1486</v>
      </c>
      <c r="F15" s="550" t="s">
        <v>161</v>
      </c>
      <c r="G15" s="550" t="s">
        <v>13894</v>
      </c>
      <c r="H15" s="550" t="s">
        <v>1494</v>
      </c>
      <c r="I15" s="550" t="s">
        <v>1670</v>
      </c>
      <c r="J15" s="550" t="s">
        <v>13895</v>
      </c>
      <c r="K15" s="550" t="s">
        <v>1669</v>
      </c>
      <c r="L15" s="550">
        <v>6592</v>
      </c>
    </row>
    <row r="16" spans="2:12">
      <c r="B16" s="550">
        <v>9130</v>
      </c>
      <c r="C16" s="550" t="s">
        <v>1484</v>
      </c>
      <c r="D16" s="550" t="s">
        <v>1674</v>
      </c>
      <c r="E16" s="550" t="s">
        <v>1617</v>
      </c>
      <c r="F16" s="550" t="s">
        <v>1618</v>
      </c>
      <c r="G16" s="550" t="s">
        <v>14016</v>
      </c>
      <c r="H16" s="550" t="s">
        <v>1677</v>
      </c>
      <c r="I16" s="550" t="s">
        <v>1678</v>
      </c>
      <c r="J16" s="550" t="s">
        <v>14017</v>
      </c>
      <c r="K16" s="550" t="s">
        <v>1624</v>
      </c>
      <c r="L16" s="550">
        <v>6661</v>
      </c>
    </row>
    <row r="17" spans="2:12">
      <c r="B17" s="550">
        <v>9270</v>
      </c>
      <c r="C17" s="550" t="s">
        <v>1484</v>
      </c>
      <c r="D17" s="550" t="s">
        <v>1680</v>
      </c>
      <c r="E17" s="550" t="s">
        <v>1640</v>
      </c>
      <c r="F17" s="550" t="s">
        <v>1641</v>
      </c>
      <c r="G17" s="550" t="s">
        <v>14211</v>
      </c>
      <c r="H17" s="550" t="s">
        <v>1683</v>
      </c>
      <c r="I17" s="550" t="s">
        <v>1684</v>
      </c>
      <c r="J17" s="550" t="s">
        <v>14212</v>
      </c>
      <c r="K17" s="550" t="s">
        <v>1633</v>
      </c>
      <c r="L17" s="550">
        <v>6781</v>
      </c>
    </row>
    <row r="18" spans="2:12">
      <c r="B18" s="550">
        <v>9911</v>
      </c>
      <c r="C18" s="550" t="s">
        <v>1484</v>
      </c>
      <c r="D18" s="550" t="s">
        <v>1686</v>
      </c>
      <c r="E18" s="550" t="s">
        <v>1640</v>
      </c>
      <c r="F18" s="550" t="s">
        <v>1641</v>
      </c>
      <c r="G18" s="550" t="s">
        <v>14260</v>
      </c>
      <c r="H18" s="550" t="s">
        <v>1689</v>
      </c>
      <c r="I18" s="550" t="s">
        <v>1690</v>
      </c>
      <c r="J18" s="550" t="s">
        <v>14261</v>
      </c>
      <c r="K18" s="550" t="s">
        <v>1633</v>
      </c>
      <c r="L18" s="550">
        <v>6780</v>
      </c>
    </row>
    <row r="19" spans="2:12">
      <c r="B19" s="550">
        <v>9989</v>
      </c>
      <c r="C19" s="550" t="s">
        <v>1484</v>
      </c>
      <c r="D19" s="550" t="s">
        <v>1692</v>
      </c>
      <c r="E19" s="550" t="s">
        <v>1661</v>
      </c>
      <c r="F19" s="551" t="s">
        <v>13771</v>
      </c>
      <c r="G19" s="550" t="s">
        <v>14108</v>
      </c>
      <c r="H19" s="550" t="s">
        <v>1696</v>
      </c>
      <c r="I19" s="550" t="s">
        <v>1697</v>
      </c>
      <c r="J19" s="550" t="s">
        <v>14109</v>
      </c>
      <c r="K19" s="550" t="s">
        <v>1669</v>
      </c>
      <c r="L19" s="550">
        <v>6806</v>
      </c>
    </row>
    <row r="20" spans="2:12">
      <c r="B20" s="550">
        <v>11045</v>
      </c>
      <c r="C20" s="559" t="s">
        <v>1484</v>
      </c>
      <c r="D20" s="550" t="s">
        <v>1699</v>
      </c>
      <c r="E20" s="559" t="s">
        <v>1654</v>
      </c>
      <c r="F20" s="550" t="s">
        <v>13774</v>
      </c>
      <c r="G20" s="550" t="s">
        <v>14669</v>
      </c>
      <c r="H20" s="553" t="s">
        <v>1703</v>
      </c>
      <c r="I20" s="559" t="s">
        <v>1704</v>
      </c>
      <c r="J20" s="559" t="s">
        <v>14670</v>
      </c>
      <c r="K20" s="556" t="s">
        <v>7010</v>
      </c>
      <c r="L20" s="560">
        <v>8470</v>
      </c>
    </row>
    <row r="21" spans="2:12">
      <c r="B21" s="550">
        <v>11380</v>
      </c>
      <c r="C21" s="550" t="s">
        <v>1484</v>
      </c>
      <c r="D21" s="550" t="s">
        <v>1706</v>
      </c>
      <c r="E21" s="550" t="s">
        <v>1707</v>
      </c>
      <c r="F21" s="551" t="s">
        <v>13799</v>
      </c>
      <c r="G21" s="550" t="s">
        <v>14280</v>
      </c>
      <c r="H21" s="550" t="s">
        <v>1711</v>
      </c>
      <c r="I21" s="550" t="s">
        <v>1712</v>
      </c>
      <c r="J21" s="550" t="s">
        <v>14281</v>
      </c>
      <c r="K21" s="550" t="s">
        <v>1633</v>
      </c>
      <c r="L21" s="550">
        <v>6702</v>
      </c>
    </row>
    <row r="22" spans="2:12">
      <c r="B22" s="550">
        <v>11541</v>
      </c>
      <c r="C22" s="550" t="s">
        <v>1484</v>
      </c>
      <c r="D22" s="550" t="s">
        <v>1713</v>
      </c>
      <c r="E22" s="550" t="s">
        <v>1707</v>
      </c>
      <c r="F22" s="551" t="s">
        <v>13799</v>
      </c>
      <c r="G22" s="550" t="s">
        <v>14344</v>
      </c>
      <c r="H22" s="550" t="s">
        <v>1716</v>
      </c>
      <c r="I22" s="550" t="s">
        <v>1717</v>
      </c>
      <c r="J22" s="550" t="s">
        <v>14345</v>
      </c>
      <c r="K22" s="550" t="s">
        <v>1633</v>
      </c>
      <c r="L22" s="550">
        <v>8553</v>
      </c>
    </row>
    <row r="23" spans="2:12">
      <c r="B23" s="550">
        <v>11568</v>
      </c>
      <c r="C23" s="550" t="s">
        <v>1484</v>
      </c>
      <c r="D23" s="550" t="s">
        <v>1495</v>
      </c>
      <c r="E23" s="550" t="s">
        <v>1486</v>
      </c>
      <c r="F23" s="550" t="s">
        <v>161</v>
      </c>
      <c r="G23" s="550" t="s">
        <v>13889</v>
      </c>
      <c r="H23" s="550" t="s">
        <v>1498</v>
      </c>
      <c r="I23" s="550" t="s">
        <v>1718</v>
      </c>
      <c r="J23" s="550" t="s">
        <v>1499</v>
      </c>
      <c r="K23" s="550" t="s">
        <v>1669</v>
      </c>
      <c r="L23" s="550">
        <v>6594</v>
      </c>
    </row>
    <row r="24" spans="2:12">
      <c r="B24" s="550">
        <v>11886</v>
      </c>
      <c r="C24" s="550" t="s">
        <v>1484</v>
      </c>
      <c r="D24" s="550" t="s">
        <v>1719</v>
      </c>
      <c r="E24" s="550" t="s">
        <v>1617</v>
      </c>
      <c r="F24" s="550" t="s">
        <v>1618</v>
      </c>
      <c r="G24" s="550" t="s">
        <v>14012</v>
      </c>
      <c r="H24" s="550" t="s">
        <v>1721</v>
      </c>
      <c r="I24" s="550" t="s">
        <v>1722</v>
      </c>
      <c r="J24" s="550" t="s">
        <v>14013</v>
      </c>
      <c r="K24" s="550" t="s">
        <v>1624</v>
      </c>
      <c r="L24" s="550">
        <v>8481</v>
      </c>
    </row>
    <row r="25" spans="2:12">
      <c r="B25" s="550">
        <v>12246</v>
      </c>
      <c r="C25" s="550" t="s">
        <v>1484</v>
      </c>
      <c r="D25" s="550" t="s">
        <v>1724</v>
      </c>
      <c r="E25" s="550" t="s">
        <v>1707</v>
      </c>
      <c r="F25" s="551" t="s">
        <v>13799</v>
      </c>
      <c r="G25" s="550" t="s">
        <v>14299</v>
      </c>
      <c r="H25" s="550" t="s">
        <v>1728</v>
      </c>
      <c r="I25" s="550" t="s">
        <v>1729</v>
      </c>
      <c r="J25" s="550" t="s">
        <v>14300</v>
      </c>
      <c r="K25" s="550" t="s">
        <v>1633</v>
      </c>
      <c r="L25" s="550">
        <v>6703</v>
      </c>
    </row>
    <row r="26" spans="2:12">
      <c r="B26" s="550">
        <v>13111</v>
      </c>
      <c r="C26" s="550" t="s">
        <v>1484</v>
      </c>
      <c r="D26" s="550" t="s">
        <v>1730</v>
      </c>
      <c r="E26" s="550" t="s">
        <v>1626</v>
      </c>
      <c r="F26" s="551" t="s">
        <v>13763</v>
      </c>
      <c r="G26" s="550" t="s">
        <v>13937</v>
      </c>
      <c r="H26" s="550" t="s">
        <v>1733</v>
      </c>
      <c r="I26" s="550" t="s">
        <v>1734</v>
      </c>
      <c r="J26" s="550" t="s">
        <v>13938</v>
      </c>
      <c r="K26" s="550" t="s">
        <v>1633</v>
      </c>
      <c r="L26" s="550">
        <v>8503</v>
      </c>
    </row>
    <row r="27" spans="2:12">
      <c r="B27" s="550">
        <v>13218</v>
      </c>
      <c r="C27" s="550" t="s">
        <v>1484</v>
      </c>
      <c r="D27" s="550" t="s">
        <v>1736</v>
      </c>
      <c r="E27" s="550" t="s">
        <v>1707</v>
      </c>
      <c r="F27" s="551" t="s">
        <v>13799</v>
      </c>
      <c r="G27" s="550" t="s">
        <v>14336</v>
      </c>
      <c r="H27" s="550" t="s">
        <v>1739</v>
      </c>
      <c r="I27" s="550" t="s">
        <v>1740</v>
      </c>
      <c r="J27" s="550" t="s">
        <v>14337</v>
      </c>
      <c r="K27" s="550" t="s">
        <v>1633</v>
      </c>
      <c r="L27" s="550">
        <v>8506</v>
      </c>
    </row>
    <row r="28" spans="2:12">
      <c r="B28" s="550">
        <v>13226</v>
      </c>
      <c r="C28" s="550" t="s">
        <v>3387</v>
      </c>
      <c r="D28" s="550" t="s">
        <v>3388</v>
      </c>
      <c r="E28" s="550" t="s">
        <v>1707</v>
      </c>
      <c r="F28" s="551" t="s">
        <v>13799</v>
      </c>
      <c r="G28" s="550" t="s">
        <v>13841</v>
      </c>
      <c r="H28" s="550" t="s">
        <v>3391</v>
      </c>
      <c r="I28" s="550" t="s">
        <v>3392</v>
      </c>
      <c r="J28" s="550" t="s">
        <v>13842</v>
      </c>
      <c r="K28" s="550" t="s">
        <v>1633</v>
      </c>
      <c r="L28" s="550">
        <v>7238</v>
      </c>
    </row>
    <row r="29" spans="2:12">
      <c r="B29" s="550">
        <v>13315</v>
      </c>
      <c r="C29" s="550" t="s">
        <v>1484</v>
      </c>
      <c r="D29" s="550" t="s">
        <v>1741</v>
      </c>
      <c r="E29" s="550" t="s">
        <v>1626</v>
      </c>
      <c r="F29" s="551" t="s">
        <v>13763</v>
      </c>
      <c r="G29" s="550" t="s">
        <v>13956</v>
      </c>
      <c r="H29" s="550" t="s">
        <v>1744</v>
      </c>
      <c r="I29" s="550" t="s">
        <v>1745</v>
      </c>
      <c r="J29" s="550" t="s">
        <v>1746</v>
      </c>
      <c r="K29" s="550" t="s">
        <v>1633</v>
      </c>
      <c r="L29" s="550">
        <v>8569</v>
      </c>
    </row>
    <row r="30" spans="2:12">
      <c r="B30" s="550">
        <v>13358</v>
      </c>
      <c r="C30" s="550" t="s">
        <v>1484</v>
      </c>
      <c r="D30" s="550" t="s">
        <v>1747</v>
      </c>
      <c r="E30" s="550" t="s">
        <v>1640</v>
      </c>
      <c r="F30" s="550" t="s">
        <v>1641</v>
      </c>
      <c r="G30" s="550" t="s">
        <v>14231</v>
      </c>
      <c r="H30" s="550" t="s">
        <v>1750</v>
      </c>
      <c r="I30" s="550" t="s">
        <v>1751</v>
      </c>
      <c r="J30" s="550" t="s">
        <v>14232</v>
      </c>
      <c r="K30" s="550" t="s">
        <v>1633</v>
      </c>
      <c r="L30" s="550">
        <v>8571</v>
      </c>
    </row>
    <row r="31" spans="2:12">
      <c r="B31" s="550">
        <v>13447</v>
      </c>
      <c r="C31" s="559" t="s">
        <v>1484</v>
      </c>
      <c r="D31" s="550" t="s">
        <v>1753</v>
      </c>
      <c r="E31" s="559" t="s">
        <v>1654</v>
      </c>
      <c r="F31" s="550" t="s">
        <v>13774</v>
      </c>
      <c r="G31" s="550" t="s">
        <v>14678</v>
      </c>
      <c r="H31" s="553" t="s">
        <v>1756</v>
      </c>
      <c r="I31" s="559" t="s">
        <v>1757</v>
      </c>
      <c r="J31" s="559" t="s">
        <v>14679</v>
      </c>
      <c r="K31" s="556" t="s">
        <v>7010</v>
      </c>
      <c r="L31" s="561">
        <v>11326</v>
      </c>
    </row>
    <row r="32" spans="2:12">
      <c r="B32" s="550">
        <v>13471</v>
      </c>
      <c r="C32" s="550" t="s">
        <v>1484</v>
      </c>
      <c r="D32" s="550" t="s">
        <v>1759</v>
      </c>
      <c r="E32" s="550" t="s">
        <v>1640</v>
      </c>
      <c r="F32" s="550" t="s">
        <v>1641</v>
      </c>
      <c r="G32" s="550" t="s">
        <v>14255</v>
      </c>
      <c r="H32" s="550" t="s">
        <v>1762</v>
      </c>
      <c r="I32" s="550" t="s">
        <v>1763</v>
      </c>
      <c r="J32" s="550" t="s">
        <v>1764</v>
      </c>
      <c r="K32" s="550" t="s">
        <v>1633</v>
      </c>
      <c r="L32" s="550">
        <v>8570</v>
      </c>
    </row>
    <row r="33" spans="2:12">
      <c r="B33" s="550">
        <v>13498</v>
      </c>
      <c r="C33" s="550" t="s">
        <v>1484</v>
      </c>
      <c r="D33" s="550" t="s">
        <v>1765</v>
      </c>
      <c r="E33" s="550" t="s">
        <v>1617</v>
      </c>
      <c r="F33" s="550" t="s">
        <v>1618</v>
      </c>
      <c r="G33" s="550" t="s">
        <v>14000</v>
      </c>
      <c r="H33" s="550" t="s">
        <v>1768</v>
      </c>
      <c r="I33" s="550" t="s">
        <v>1769</v>
      </c>
      <c r="J33" s="550" t="s">
        <v>14001</v>
      </c>
      <c r="K33" s="550" t="s">
        <v>1624</v>
      </c>
      <c r="L33" s="550">
        <v>8542</v>
      </c>
    </row>
    <row r="34" spans="2:12">
      <c r="B34" s="550">
        <v>13501</v>
      </c>
      <c r="C34" s="550" t="s">
        <v>1484</v>
      </c>
      <c r="D34" s="550" t="s">
        <v>1771</v>
      </c>
      <c r="E34" s="550" t="s">
        <v>1617</v>
      </c>
      <c r="F34" s="550" t="s">
        <v>1618</v>
      </c>
      <c r="G34" s="550" t="s">
        <v>13981</v>
      </c>
      <c r="H34" s="550" t="s">
        <v>1774</v>
      </c>
      <c r="I34" s="550" t="s">
        <v>1775</v>
      </c>
      <c r="J34" s="550" t="s">
        <v>13982</v>
      </c>
      <c r="K34" s="550" t="s">
        <v>1624</v>
      </c>
      <c r="L34" s="550">
        <v>8543</v>
      </c>
    </row>
    <row r="35" spans="2:12">
      <c r="B35" s="550">
        <v>13692</v>
      </c>
      <c r="C35" s="550" t="s">
        <v>1484</v>
      </c>
      <c r="D35" s="550" t="s">
        <v>1777</v>
      </c>
      <c r="E35" s="550" t="s">
        <v>1707</v>
      </c>
      <c r="F35" s="551" t="s">
        <v>13799</v>
      </c>
      <c r="G35" s="550" t="s">
        <v>14293</v>
      </c>
      <c r="H35" s="550" t="s">
        <v>1780</v>
      </c>
      <c r="I35" s="550" t="s">
        <v>1781</v>
      </c>
      <c r="J35" s="550" t="s">
        <v>14294</v>
      </c>
      <c r="K35" s="550" t="s">
        <v>1633</v>
      </c>
      <c r="L35" s="550">
        <v>8551</v>
      </c>
    </row>
    <row r="36" spans="2:12">
      <c r="B36" s="550">
        <v>14567</v>
      </c>
      <c r="C36" s="550" t="s">
        <v>1484</v>
      </c>
      <c r="D36" s="550" t="s">
        <v>1782</v>
      </c>
      <c r="E36" s="550" t="s">
        <v>1626</v>
      </c>
      <c r="F36" s="551" t="s">
        <v>13763</v>
      </c>
      <c r="G36" s="550" t="s">
        <v>13964</v>
      </c>
      <c r="H36" s="550" t="s">
        <v>1785</v>
      </c>
      <c r="I36" s="550" t="s">
        <v>1786</v>
      </c>
      <c r="J36" s="550" t="s">
        <v>13965</v>
      </c>
      <c r="K36" s="550" t="s">
        <v>1633</v>
      </c>
      <c r="L36" s="550">
        <v>8669</v>
      </c>
    </row>
    <row r="37" spans="2:12">
      <c r="B37" s="550">
        <v>14575</v>
      </c>
      <c r="C37" s="550" t="s">
        <v>1484</v>
      </c>
      <c r="D37" s="550" t="s">
        <v>1788</v>
      </c>
      <c r="E37" s="550" t="s">
        <v>1661</v>
      </c>
      <c r="F37" s="551" t="s">
        <v>13771</v>
      </c>
      <c r="G37" s="550" t="s">
        <v>14063</v>
      </c>
      <c r="H37" s="550" t="s">
        <v>1791</v>
      </c>
      <c r="I37" s="550" t="s">
        <v>1792</v>
      </c>
      <c r="J37" s="550" t="s">
        <v>14064</v>
      </c>
      <c r="K37" s="550" t="s">
        <v>1669</v>
      </c>
      <c r="L37" s="550">
        <v>7268</v>
      </c>
    </row>
    <row r="38" spans="2:12">
      <c r="B38" s="550">
        <v>14672</v>
      </c>
      <c r="C38" s="550" t="s">
        <v>1484</v>
      </c>
      <c r="D38" s="550" t="s">
        <v>1794</v>
      </c>
      <c r="E38" s="550" t="s">
        <v>1617</v>
      </c>
      <c r="F38" s="550" t="s">
        <v>1618</v>
      </c>
      <c r="G38" s="550" t="s">
        <v>13983</v>
      </c>
      <c r="H38" s="550" t="s">
        <v>1797</v>
      </c>
      <c r="I38" s="550" t="s">
        <v>1798</v>
      </c>
      <c r="J38" s="550" t="s">
        <v>13984</v>
      </c>
      <c r="K38" s="550" t="s">
        <v>1624</v>
      </c>
      <c r="L38" s="550">
        <v>8691</v>
      </c>
    </row>
    <row r="39" spans="2:12">
      <c r="B39" s="550">
        <v>14681</v>
      </c>
      <c r="C39" s="550" t="s">
        <v>1484</v>
      </c>
      <c r="D39" s="550" t="s">
        <v>1800</v>
      </c>
      <c r="E39" s="550" t="s">
        <v>1617</v>
      </c>
      <c r="F39" s="550" t="s">
        <v>1618</v>
      </c>
      <c r="G39" s="550" t="s">
        <v>13987</v>
      </c>
      <c r="H39" s="550" t="s">
        <v>1802</v>
      </c>
      <c r="I39" s="550" t="s">
        <v>1803</v>
      </c>
      <c r="J39" s="550" t="s">
        <v>13988</v>
      </c>
      <c r="K39" s="550" t="s">
        <v>1624</v>
      </c>
      <c r="L39" s="550">
        <v>8866</v>
      </c>
    </row>
    <row r="40" spans="2:12">
      <c r="B40" s="550">
        <v>14893</v>
      </c>
      <c r="C40" s="551" t="s">
        <v>1484</v>
      </c>
      <c r="D40" s="550" t="s">
        <v>14803</v>
      </c>
      <c r="E40" s="550" t="s">
        <v>13777</v>
      </c>
      <c r="F40" s="553" t="s">
        <v>13778</v>
      </c>
      <c r="G40" s="551" t="s">
        <v>14570</v>
      </c>
      <c r="H40" s="553" t="s">
        <v>14795</v>
      </c>
      <c r="I40" s="558">
        <v>5186150</v>
      </c>
      <c r="J40" s="551" t="s">
        <v>14572</v>
      </c>
      <c r="K40" s="550" t="s">
        <v>1633</v>
      </c>
      <c r="L40" s="550">
        <v>8749</v>
      </c>
    </row>
    <row r="41" spans="2:12">
      <c r="B41" s="550">
        <v>16721</v>
      </c>
      <c r="C41" s="550" t="s">
        <v>1484</v>
      </c>
      <c r="D41" s="550" t="s">
        <v>1805</v>
      </c>
      <c r="E41" s="550" t="s">
        <v>1640</v>
      </c>
      <c r="F41" s="550" t="s">
        <v>1641</v>
      </c>
      <c r="G41" s="550" t="s">
        <v>14205</v>
      </c>
      <c r="H41" s="550" t="s">
        <v>1808</v>
      </c>
      <c r="I41" s="550" t="s">
        <v>1809</v>
      </c>
      <c r="J41" s="550" t="s">
        <v>14206</v>
      </c>
      <c r="K41" s="550" t="s">
        <v>1633</v>
      </c>
      <c r="L41" s="550">
        <v>8846</v>
      </c>
    </row>
    <row r="42" spans="2:12">
      <c r="B42" s="550">
        <v>17329</v>
      </c>
      <c r="C42" s="550" t="s">
        <v>1484</v>
      </c>
      <c r="D42" s="550" t="s">
        <v>1811</v>
      </c>
      <c r="E42" s="550" t="s">
        <v>1812</v>
      </c>
      <c r="F42" s="550" t="s">
        <v>1813</v>
      </c>
      <c r="G42" s="550" t="s">
        <v>14193</v>
      </c>
      <c r="H42" s="550" t="s">
        <v>1816</v>
      </c>
      <c r="I42" s="550" t="s">
        <v>1817</v>
      </c>
      <c r="J42" s="550" t="s">
        <v>1818</v>
      </c>
      <c r="K42" s="550" t="s">
        <v>14767</v>
      </c>
      <c r="L42" s="550">
        <v>8935</v>
      </c>
    </row>
    <row r="43" spans="2:12">
      <c r="B43" s="550">
        <v>17337</v>
      </c>
      <c r="C43" s="550" t="s">
        <v>1484</v>
      </c>
      <c r="D43" s="550" t="s">
        <v>1819</v>
      </c>
      <c r="E43" s="550" t="s">
        <v>1820</v>
      </c>
      <c r="F43" s="551" t="s">
        <v>13802</v>
      </c>
      <c r="G43" s="550" t="s">
        <v>14363</v>
      </c>
      <c r="H43" s="550" t="s">
        <v>1824</v>
      </c>
      <c r="I43" s="550" t="s">
        <v>1825</v>
      </c>
      <c r="J43" s="550" t="s">
        <v>1826</v>
      </c>
      <c r="K43" s="549" t="s">
        <v>14769</v>
      </c>
      <c r="L43" s="550">
        <v>8955</v>
      </c>
    </row>
    <row r="44" spans="2:12">
      <c r="B44" s="550">
        <v>17451</v>
      </c>
      <c r="C44" s="550" t="s">
        <v>1484</v>
      </c>
      <c r="D44" s="550" t="s">
        <v>1827</v>
      </c>
      <c r="E44" s="550" t="s">
        <v>1820</v>
      </c>
      <c r="F44" s="551" t="s">
        <v>13802</v>
      </c>
      <c r="G44" s="550" t="s">
        <v>14424</v>
      </c>
      <c r="H44" s="550" t="s">
        <v>1831</v>
      </c>
      <c r="I44" s="550" t="s">
        <v>1832</v>
      </c>
      <c r="J44" s="550" t="s">
        <v>14425</v>
      </c>
      <c r="K44" s="549" t="s">
        <v>14769</v>
      </c>
      <c r="L44" s="550">
        <v>8947</v>
      </c>
    </row>
    <row r="45" spans="2:12">
      <c r="B45" s="550">
        <v>17515</v>
      </c>
      <c r="C45" s="550" t="s">
        <v>1484</v>
      </c>
      <c r="D45" s="550" t="s">
        <v>1833</v>
      </c>
      <c r="E45" s="550" t="s">
        <v>1661</v>
      </c>
      <c r="F45" s="551" t="s">
        <v>13771</v>
      </c>
      <c r="G45" s="550" t="s">
        <v>14094</v>
      </c>
      <c r="H45" s="550" t="s">
        <v>1836</v>
      </c>
      <c r="I45" s="550" t="s">
        <v>1837</v>
      </c>
      <c r="J45" s="550" t="s">
        <v>14095</v>
      </c>
      <c r="K45" s="550" t="s">
        <v>1669</v>
      </c>
      <c r="L45" s="550">
        <v>9025</v>
      </c>
    </row>
    <row r="46" spans="2:12">
      <c r="B46" s="550">
        <v>17531</v>
      </c>
      <c r="C46" s="550" t="s">
        <v>1484</v>
      </c>
      <c r="D46" s="550" t="s">
        <v>1839</v>
      </c>
      <c r="E46" s="550" t="s">
        <v>1707</v>
      </c>
      <c r="F46" s="551" t="s">
        <v>13799</v>
      </c>
      <c r="G46" s="550" t="s">
        <v>14342</v>
      </c>
      <c r="H46" s="550" t="s">
        <v>1842</v>
      </c>
      <c r="I46" s="550" t="s">
        <v>1843</v>
      </c>
      <c r="J46" s="550" t="s">
        <v>14343</v>
      </c>
      <c r="K46" s="550" t="s">
        <v>1633</v>
      </c>
      <c r="L46" s="550">
        <v>8970</v>
      </c>
    </row>
    <row r="47" spans="2:12">
      <c r="B47" s="550">
        <v>17655</v>
      </c>
      <c r="C47" s="550" t="s">
        <v>1484</v>
      </c>
      <c r="D47" s="550" t="s">
        <v>1844</v>
      </c>
      <c r="E47" s="550" t="s">
        <v>1707</v>
      </c>
      <c r="F47" s="551" t="s">
        <v>13799</v>
      </c>
      <c r="G47" s="550" t="s">
        <v>14334</v>
      </c>
      <c r="H47" s="550" t="s">
        <v>1847</v>
      </c>
      <c r="I47" s="550" t="s">
        <v>1848</v>
      </c>
      <c r="J47" s="550" t="s">
        <v>14335</v>
      </c>
      <c r="K47" s="550" t="s">
        <v>1633</v>
      </c>
      <c r="L47" s="550">
        <v>9098</v>
      </c>
    </row>
    <row r="48" spans="2:12">
      <c r="B48" s="556">
        <v>17710</v>
      </c>
      <c r="C48" s="556" t="s">
        <v>1484</v>
      </c>
      <c r="D48" s="556" t="s">
        <v>1849</v>
      </c>
      <c r="E48" s="556" t="s">
        <v>1617</v>
      </c>
      <c r="F48" s="556" t="s">
        <v>1618</v>
      </c>
      <c r="G48" s="556" t="s">
        <v>13998</v>
      </c>
      <c r="H48" s="556" t="s">
        <v>1851</v>
      </c>
      <c r="I48" s="556" t="s">
        <v>1852</v>
      </c>
      <c r="J48" s="556" t="s">
        <v>13999</v>
      </c>
      <c r="K48" s="556" t="s">
        <v>1624</v>
      </c>
      <c r="L48" s="556">
        <v>8999</v>
      </c>
    </row>
    <row r="49" spans="2:12">
      <c r="B49" s="556">
        <v>17728</v>
      </c>
      <c r="C49" s="556" t="s">
        <v>1484</v>
      </c>
      <c r="D49" s="556" t="s">
        <v>1854</v>
      </c>
      <c r="E49" s="556" t="s">
        <v>1640</v>
      </c>
      <c r="F49" s="556" t="s">
        <v>1641</v>
      </c>
      <c r="G49" s="556" t="s">
        <v>14239</v>
      </c>
      <c r="H49" s="556" t="s">
        <v>1857</v>
      </c>
      <c r="I49" s="556" t="s">
        <v>1858</v>
      </c>
      <c r="J49" s="556" t="s">
        <v>14240</v>
      </c>
      <c r="K49" s="556" t="s">
        <v>1633</v>
      </c>
      <c r="L49" s="556">
        <v>8995</v>
      </c>
    </row>
    <row r="50" spans="2:12">
      <c r="B50" s="556">
        <v>17736</v>
      </c>
      <c r="C50" s="556" t="s">
        <v>1484</v>
      </c>
      <c r="D50" s="550" t="s">
        <v>1860</v>
      </c>
      <c r="E50" s="556" t="s">
        <v>1661</v>
      </c>
      <c r="F50" s="551" t="s">
        <v>13771</v>
      </c>
      <c r="G50" s="556" t="s">
        <v>14047</v>
      </c>
      <c r="H50" s="556" t="s">
        <v>1863</v>
      </c>
      <c r="I50" s="556" t="s">
        <v>1864</v>
      </c>
      <c r="J50" s="556" t="s">
        <v>14048</v>
      </c>
      <c r="K50" s="556" t="s">
        <v>1669</v>
      </c>
      <c r="L50" s="556">
        <v>9023</v>
      </c>
    </row>
    <row r="51" spans="2:12">
      <c r="B51" s="550">
        <v>18201</v>
      </c>
      <c r="C51" s="550" t="s">
        <v>1484</v>
      </c>
      <c r="D51" s="550" t="s">
        <v>1866</v>
      </c>
      <c r="E51" s="550" t="s">
        <v>1617</v>
      </c>
      <c r="F51" s="550" t="s">
        <v>1618</v>
      </c>
      <c r="G51" s="550" t="s">
        <v>14004</v>
      </c>
      <c r="H51" s="550" t="s">
        <v>1869</v>
      </c>
      <c r="I51" s="550" t="s">
        <v>1870</v>
      </c>
      <c r="J51" s="550" t="s">
        <v>14005</v>
      </c>
      <c r="K51" s="550" t="s">
        <v>1624</v>
      </c>
      <c r="L51" s="550">
        <v>9042</v>
      </c>
    </row>
    <row r="52" spans="2:12">
      <c r="B52" s="550">
        <v>18228</v>
      </c>
      <c r="C52" s="559" t="s">
        <v>1484</v>
      </c>
      <c r="D52" s="550" t="s">
        <v>1872</v>
      </c>
      <c r="E52" s="559" t="s">
        <v>1654</v>
      </c>
      <c r="F52" s="550" t="s">
        <v>13774</v>
      </c>
      <c r="G52" s="550" t="s">
        <v>14702</v>
      </c>
      <c r="H52" s="553" t="s">
        <v>1875</v>
      </c>
      <c r="I52" s="559" t="s">
        <v>1876</v>
      </c>
      <c r="J52" s="559" t="s">
        <v>14703</v>
      </c>
      <c r="K52" s="556" t="s">
        <v>7010</v>
      </c>
      <c r="L52" s="560">
        <v>11316</v>
      </c>
    </row>
    <row r="53" spans="2:12">
      <c r="B53" s="550">
        <v>18261</v>
      </c>
      <c r="C53" s="551" t="s">
        <v>1484</v>
      </c>
      <c r="D53" s="550" t="s">
        <v>14804</v>
      </c>
      <c r="E53" s="550" t="s">
        <v>13777</v>
      </c>
      <c r="F53" s="553" t="s">
        <v>13778</v>
      </c>
      <c r="G53" s="551" t="s">
        <v>14459</v>
      </c>
      <c r="H53" s="553" t="s">
        <v>14796</v>
      </c>
      <c r="I53" s="558">
        <v>5223070</v>
      </c>
      <c r="J53" s="551" t="s">
        <v>14462</v>
      </c>
      <c r="K53" s="550" t="s">
        <v>1633</v>
      </c>
      <c r="L53" s="550">
        <v>9039</v>
      </c>
    </row>
    <row r="54" spans="2:12">
      <c r="B54" s="550">
        <v>18279</v>
      </c>
      <c r="C54" s="550" t="s">
        <v>1484</v>
      </c>
      <c r="D54" s="550" t="s">
        <v>1878</v>
      </c>
      <c r="E54" s="550" t="s">
        <v>1820</v>
      </c>
      <c r="F54" s="551" t="s">
        <v>13802</v>
      </c>
      <c r="G54" s="550" t="s">
        <v>14354</v>
      </c>
      <c r="H54" s="550" t="s">
        <v>1881</v>
      </c>
      <c r="I54" s="550" t="s">
        <v>1882</v>
      </c>
      <c r="J54" s="550" t="s">
        <v>14355</v>
      </c>
      <c r="K54" s="549" t="s">
        <v>14769</v>
      </c>
      <c r="L54" s="550">
        <v>9065</v>
      </c>
    </row>
    <row r="55" spans="2:12">
      <c r="B55" s="550">
        <v>18287</v>
      </c>
      <c r="C55" s="551" t="s">
        <v>1484</v>
      </c>
      <c r="D55" s="550" t="s">
        <v>14438</v>
      </c>
      <c r="E55" s="550" t="s">
        <v>13777</v>
      </c>
      <c r="F55" s="553" t="s">
        <v>13778</v>
      </c>
      <c r="G55" s="551" t="s">
        <v>14439</v>
      </c>
      <c r="H55" s="553" t="s">
        <v>14797</v>
      </c>
      <c r="I55" s="558">
        <v>2955080</v>
      </c>
      <c r="J55" s="551" t="s">
        <v>14441</v>
      </c>
      <c r="K55" s="550" t="s">
        <v>1633</v>
      </c>
      <c r="L55" s="550">
        <v>9038</v>
      </c>
    </row>
    <row r="56" spans="2:12">
      <c r="B56" s="550">
        <v>18295</v>
      </c>
      <c r="C56" s="550" t="s">
        <v>1484</v>
      </c>
      <c r="D56" s="550" t="s">
        <v>1884</v>
      </c>
      <c r="E56" s="550" t="s">
        <v>1626</v>
      </c>
      <c r="F56" s="551" t="s">
        <v>13763</v>
      </c>
      <c r="G56" s="550" t="s">
        <v>13927</v>
      </c>
      <c r="H56" s="550" t="s">
        <v>1887</v>
      </c>
      <c r="I56" s="550" t="s">
        <v>1888</v>
      </c>
      <c r="J56" s="550" t="s">
        <v>1889</v>
      </c>
      <c r="K56" s="550" t="s">
        <v>1633</v>
      </c>
      <c r="L56" s="550">
        <v>9168</v>
      </c>
    </row>
    <row r="57" spans="2:12">
      <c r="B57" s="550">
        <v>18309</v>
      </c>
      <c r="C57" s="550" t="s">
        <v>1484</v>
      </c>
      <c r="D57" s="550" t="s">
        <v>14264</v>
      </c>
      <c r="E57" s="550" t="s">
        <v>1640</v>
      </c>
      <c r="F57" s="550" t="s">
        <v>1641</v>
      </c>
      <c r="G57" s="550" t="s">
        <v>14265</v>
      </c>
      <c r="H57" s="550" t="s">
        <v>1892</v>
      </c>
      <c r="I57" s="550" t="s">
        <v>1893</v>
      </c>
      <c r="J57" s="550" t="s">
        <v>14266</v>
      </c>
      <c r="K57" s="550" t="s">
        <v>1633</v>
      </c>
      <c r="L57" s="550">
        <v>9041</v>
      </c>
    </row>
    <row r="58" spans="2:12">
      <c r="B58" s="552">
        <v>18350</v>
      </c>
      <c r="C58" s="553" t="s">
        <v>1484</v>
      </c>
      <c r="D58" s="550" t="s">
        <v>14646</v>
      </c>
      <c r="E58" s="554" t="s">
        <v>1654</v>
      </c>
      <c r="F58" s="550" t="s">
        <v>13774</v>
      </c>
      <c r="G58" s="550" t="s">
        <v>14647</v>
      </c>
      <c r="H58" s="553" t="s">
        <v>1897</v>
      </c>
      <c r="I58" s="555" t="s">
        <v>1898</v>
      </c>
      <c r="J58" s="554" t="s">
        <v>14648</v>
      </c>
      <c r="K58" s="556" t="s">
        <v>7010</v>
      </c>
      <c r="L58" s="557">
        <v>9037</v>
      </c>
    </row>
    <row r="59" spans="2:12">
      <c r="B59" s="550">
        <v>18503</v>
      </c>
      <c r="C59" s="550" t="s">
        <v>1484</v>
      </c>
      <c r="D59" s="550" t="s">
        <v>1900</v>
      </c>
      <c r="E59" s="550" t="s">
        <v>1661</v>
      </c>
      <c r="F59" s="551" t="s">
        <v>13771</v>
      </c>
      <c r="G59" s="550" t="s">
        <v>14088</v>
      </c>
      <c r="H59" s="550" t="s">
        <v>1903</v>
      </c>
      <c r="I59" s="550" t="s">
        <v>1904</v>
      </c>
      <c r="J59" s="550" t="s">
        <v>14089</v>
      </c>
      <c r="K59" s="550" t="s">
        <v>1669</v>
      </c>
      <c r="L59" s="550">
        <v>9130</v>
      </c>
    </row>
    <row r="60" spans="2:12">
      <c r="B60" s="550">
        <v>18520</v>
      </c>
      <c r="C60" s="550" t="s">
        <v>1484</v>
      </c>
      <c r="D60" s="550" t="s">
        <v>1906</v>
      </c>
      <c r="E60" s="550" t="s">
        <v>1820</v>
      </c>
      <c r="F60" s="551" t="s">
        <v>13802</v>
      </c>
      <c r="G60" s="550" t="s">
        <v>14382</v>
      </c>
      <c r="H60" s="550" t="s">
        <v>1909</v>
      </c>
      <c r="I60" s="550" t="s">
        <v>1910</v>
      </c>
      <c r="J60" s="550" t="s">
        <v>14383</v>
      </c>
      <c r="K60" s="549" t="s">
        <v>14769</v>
      </c>
      <c r="L60" s="550">
        <v>9895</v>
      </c>
    </row>
    <row r="61" spans="2:12">
      <c r="B61" s="550">
        <v>18538</v>
      </c>
      <c r="C61" s="550" t="s">
        <v>1484</v>
      </c>
      <c r="D61" s="550" t="s">
        <v>1912</v>
      </c>
      <c r="E61" s="550" t="s">
        <v>1617</v>
      </c>
      <c r="F61" s="550" t="s">
        <v>1618</v>
      </c>
      <c r="G61" s="550" t="s">
        <v>13994</v>
      </c>
      <c r="H61" s="550" t="s">
        <v>1915</v>
      </c>
      <c r="I61" s="550" t="s">
        <v>1916</v>
      </c>
      <c r="J61" s="550" t="s">
        <v>13995</v>
      </c>
      <c r="K61" s="550" t="s">
        <v>1624</v>
      </c>
      <c r="L61" s="550">
        <v>9112</v>
      </c>
    </row>
    <row r="62" spans="2:12">
      <c r="B62" s="550">
        <v>18554</v>
      </c>
      <c r="C62" s="550" t="s">
        <v>1484</v>
      </c>
      <c r="D62" s="550" t="s">
        <v>1918</v>
      </c>
      <c r="E62" s="550" t="s">
        <v>1626</v>
      </c>
      <c r="F62" s="551" t="s">
        <v>13763</v>
      </c>
      <c r="G62" s="550" t="s">
        <v>13931</v>
      </c>
      <c r="H62" s="550" t="s">
        <v>1921</v>
      </c>
      <c r="I62" s="550" t="s">
        <v>1922</v>
      </c>
      <c r="J62" s="550" t="s">
        <v>13932</v>
      </c>
      <c r="K62" s="550" t="s">
        <v>1633</v>
      </c>
      <c r="L62" s="550">
        <v>9095</v>
      </c>
    </row>
    <row r="63" spans="2:12">
      <c r="B63" s="550">
        <v>19054</v>
      </c>
      <c r="C63" s="550" t="s">
        <v>1484</v>
      </c>
      <c r="D63" s="550" t="s">
        <v>1924</v>
      </c>
      <c r="E63" s="550" t="s">
        <v>1654</v>
      </c>
      <c r="F63" s="550" t="s">
        <v>13774</v>
      </c>
      <c r="G63" s="550" t="s">
        <v>14638</v>
      </c>
      <c r="H63" s="550" t="s">
        <v>1927</v>
      </c>
      <c r="I63" s="550" t="s">
        <v>1928</v>
      </c>
      <c r="J63" s="550" t="s">
        <v>14639</v>
      </c>
      <c r="K63" s="556" t="s">
        <v>7010</v>
      </c>
      <c r="L63" s="550">
        <v>11317</v>
      </c>
    </row>
    <row r="64" spans="2:12">
      <c r="B64" s="550">
        <v>19062</v>
      </c>
      <c r="C64" s="550" t="s">
        <v>1484</v>
      </c>
      <c r="D64" s="550" t="s">
        <v>1930</v>
      </c>
      <c r="E64" s="550" t="s">
        <v>1812</v>
      </c>
      <c r="F64" s="550" t="s">
        <v>1813</v>
      </c>
      <c r="G64" s="550" t="s">
        <v>14191</v>
      </c>
      <c r="H64" s="550" t="s">
        <v>1933</v>
      </c>
      <c r="I64" s="550" t="s">
        <v>1934</v>
      </c>
      <c r="J64" s="550" t="s">
        <v>14192</v>
      </c>
      <c r="K64" s="550" t="s">
        <v>14767</v>
      </c>
      <c r="L64" s="550">
        <v>9177</v>
      </c>
    </row>
    <row r="65" spans="2:12">
      <c r="B65" s="550">
        <v>19071</v>
      </c>
      <c r="C65" s="559" t="s">
        <v>1484</v>
      </c>
      <c r="D65" s="550" t="s">
        <v>1936</v>
      </c>
      <c r="E65" s="559" t="s">
        <v>1654</v>
      </c>
      <c r="F65" s="550" t="s">
        <v>13774</v>
      </c>
      <c r="G65" s="550" t="s">
        <v>14700</v>
      </c>
      <c r="H65" s="553" t="s">
        <v>1939</v>
      </c>
      <c r="I65" s="559" t="s">
        <v>1940</v>
      </c>
      <c r="J65" s="559" t="s">
        <v>14701</v>
      </c>
      <c r="K65" s="556" t="s">
        <v>7010</v>
      </c>
      <c r="L65" s="560">
        <v>9172</v>
      </c>
    </row>
    <row r="66" spans="2:12">
      <c r="B66" s="550">
        <v>19089</v>
      </c>
      <c r="C66" s="550" t="s">
        <v>1484</v>
      </c>
      <c r="D66" s="550" t="s">
        <v>1942</v>
      </c>
      <c r="E66" s="550" t="s">
        <v>1812</v>
      </c>
      <c r="F66" s="550" t="s">
        <v>1813</v>
      </c>
      <c r="G66" s="550" t="s">
        <v>14163</v>
      </c>
      <c r="H66" s="550" t="s">
        <v>1945</v>
      </c>
      <c r="I66" s="550" t="s">
        <v>1946</v>
      </c>
      <c r="J66" s="550" t="s">
        <v>14164</v>
      </c>
      <c r="K66" s="550" t="s">
        <v>14767</v>
      </c>
      <c r="L66" s="550">
        <v>9188</v>
      </c>
    </row>
    <row r="67" spans="2:12">
      <c r="B67" s="550">
        <v>19101</v>
      </c>
      <c r="C67" s="550" t="s">
        <v>1484</v>
      </c>
      <c r="D67" s="550" t="s">
        <v>1948</v>
      </c>
      <c r="E67" s="550" t="s">
        <v>1820</v>
      </c>
      <c r="F67" s="551" t="s">
        <v>13802</v>
      </c>
      <c r="G67" s="550" t="s">
        <v>14358</v>
      </c>
      <c r="H67" s="550" t="s">
        <v>1951</v>
      </c>
      <c r="I67" s="550" t="s">
        <v>1952</v>
      </c>
      <c r="J67" s="550" t="s">
        <v>14359</v>
      </c>
      <c r="K67" s="549" t="s">
        <v>14769</v>
      </c>
      <c r="L67" s="550">
        <v>9179</v>
      </c>
    </row>
    <row r="68" spans="2:12">
      <c r="B68" s="550">
        <v>19119</v>
      </c>
      <c r="C68" s="550" t="s">
        <v>1484</v>
      </c>
      <c r="D68" s="550" t="s">
        <v>1954</v>
      </c>
      <c r="E68" s="550" t="s">
        <v>1820</v>
      </c>
      <c r="F68" s="551" t="s">
        <v>13802</v>
      </c>
      <c r="G68" s="550" t="s">
        <v>14414</v>
      </c>
      <c r="H68" s="550" t="s">
        <v>1957</v>
      </c>
      <c r="I68" s="550" t="s">
        <v>1958</v>
      </c>
      <c r="J68" s="550" t="s">
        <v>14415</v>
      </c>
      <c r="K68" s="549" t="s">
        <v>14769</v>
      </c>
      <c r="L68" s="550">
        <v>9178</v>
      </c>
    </row>
    <row r="69" spans="2:12">
      <c r="B69" s="550">
        <v>19127</v>
      </c>
      <c r="C69" s="550" t="s">
        <v>1484</v>
      </c>
      <c r="D69" s="550" t="s">
        <v>1960</v>
      </c>
      <c r="E69" s="550" t="s">
        <v>1640</v>
      </c>
      <c r="F69" s="550" t="s">
        <v>1641</v>
      </c>
      <c r="G69" s="550" t="s">
        <v>14209</v>
      </c>
      <c r="H69" s="550" t="s">
        <v>1963</v>
      </c>
      <c r="I69" s="550" t="s">
        <v>1964</v>
      </c>
      <c r="J69" s="550" t="s">
        <v>14210</v>
      </c>
      <c r="K69" s="550" t="s">
        <v>1633</v>
      </c>
      <c r="L69" s="550">
        <v>9174</v>
      </c>
    </row>
    <row r="70" spans="2:12">
      <c r="B70" s="550">
        <v>19135</v>
      </c>
      <c r="C70" s="550" t="s">
        <v>1484</v>
      </c>
      <c r="D70" s="550" t="s">
        <v>1966</v>
      </c>
      <c r="E70" s="550" t="s">
        <v>1707</v>
      </c>
      <c r="F70" s="551" t="s">
        <v>13799</v>
      </c>
      <c r="G70" s="550" t="s">
        <v>14289</v>
      </c>
      <c r="H70" s="550" t="s">
        <v>1969</v>
      </c>
      <c r="I70" s="550" t="s">
        <v>1970</v>
      </c>
      <c r="J70" s="550" t="s">
        <v>14290</v>
      </c>
      <c r="K70" s="550" t="s">
        <v>1633</v>
      </c>
      <c r="L70" s="550">
        <v>9194</v>
      </c>
    </row>
    <row r="71" spans="2:12">
      <c r="B71" s="550">
        <v>19151</v>
      </c>
      <c r="C71" s="550" t="s">
        <v>1484</v>
      </c>
      <c r="D71" s="550" t="s">
        <v>1500</v>
      </c>
      <c r="E71" s="550" t="s">
        <v>1486</v>
      </c>
      <c r="F71" s="550" t="s">
        <v>161</v>
      </c>
      <c r="G71" s="550" t="s">
        <v>13885</v>
      </c>
      <c r="H71" s="550" t="s">
        <v>1503</v>
      </c>
      <c r="I71" s="550" t="s">
        <v>1971</v>
      </c>
      <c r="J71" s="550" t="s">
        <v>13886</v>
      </c>
      <c r="K71" s="550" t="s">
        <v>1669</v>
      </c>
      <c r="L71" s="550">
        <v>9195</v>
      </c>
    </row>
    <row r="72" spans="2:12">
      <c r="B72" s="550">
        <v>19178</v>
      </c>
      <c r="C72" s="550" t="s">
        <v>1484</v>
      </c>
      <c r="D72" s="550" t="s">
        <v>1972</v>
      </c>
      <c r="E72" s="550" t="s">
        <v>1640</v>
      </c>
      <c r="F72" s="550" t="s">
        <v>1641</v>
      </c>
      <c r="G72" s="550" t="s">
        <v>14247</v>
      </c>
      <c r="H72" s="550" t="s">
        <v>1975</v>
      </c>
      <c r="I72" s="550" t="s">
        <v>1976</v>
      </c>
      <c r="J72" s="550" t="s">
        <v>14248</v>
      </c>
      <c r="K72" s="550" t="s">
        <v>1633</v>
      </c>
      <c r="L72" s="550">
        <v>9197</v>
      </c>
    </row>
    <row r="73" spans="2:12">
      <c r="B73" s="550">
        <v>19186</v>
      </c>
      <c r="C73" s="550" t="s">
        <v>1484</v>
      </c>
      <c r="D73" s="550" t="s">
        <v>1978</v>
      </c>
      <c r="E73" s="550" t="s">
        <v>1661</v>
      </c>
      <c r="F73" s="551" t="s">
        <v>13771</v>
      </c>
      <c r="G73" s="550" t="s">
        <v>1979</v>
      </c>
      <c r="H73" s="550" t="s">
        <v>1982</v>
      </c>
      <c r="I73" s="550" t="s">
        <v>1983</v>
      </c>
      <c r="J73" s="550" t="s">
        <v>14124</v>
      </c>
      <c r="K73" s="550" t="s">
        <v>1669</v>
      </c>
      <c r="L73" s="550">
        <v>9267</v>
      </c>
    </row>
    <row r="74" spans="2:12">
      <c r="B74" s="550">
        <v>19197</v>
      </c>
      <c r="C74" s="550" t="s">
        <v>1484</v>
      </c>
      <c r="D74" s="550" t="s">
        <v>1504</v>
      </c>
      <c r="E74" s="550" t="s">
        <v>1486</v>
      </c>
      <c r="F74" s="550" t="s">
        <v>161</v>
      </c>
      <c r="G74" s="550" t="s">
        <v>13859</v>
      </c>
      <c r="H74" s="550" t="s">
        <v>1507</v>
      </c>
      <c r="I74" s="550" t="s">
        <v>1985</v>
      </c>
      <c r="J74" s="550" t="s">
        <v>13860</v>
      </c>
      <c r="K74" s="550" t="s">
        <v>1669</v>
      </c>
      <c r="L74" s="550">
        <v>9478</v>
      </c>
    </row>
    <row r="75" spans="2:12">
      <c r="B75" s="550">
        <v>19198</v>
      </c>
      <c r="C75" s="550" t="s">
        <v>3387</v>
      </c>
      <c r="D75" s="550" t="s">
        <v>3393</v>
      </c>
      <c r="E75" s="550" t="s">
        <v>1486</v>
      </c>
      <c r="F75" s="550" t="s">
        <v>161</v>
      </c>
      <c r="G75" s="550" t="s">
        <v>13807</v>
      </c>
      <c r="H75" s="550" t="s">
        <v>3396</v>
      </c>
      <c r="I75" s="550" t="s">
        <v>3397</v>
      </c>
      <c r="J75" s="550" t="s">
        <v>13808</v>
      </c>
      <c r="K75" s="550" t="s">
        <v>1669</v>
      </c>
      <c r="L75" s="550">
        <v>9856</v>
      </c>
    </row>
    <row r="76" spans="2:12">
      <c r="B76" s="550">
        <v>19199</v>
      </c>
      <c r="C76" s="550" t="s">
        <v>1484</v>
      </c>
      <c r="D76" s="550" t="s">
        <v>1986</v>
      </c>
      <c r="E76" s="550" t="s">
        <v>1707</v>
      </c>
      <c r="F76" s="551" t="s">
        <v>13799</v>
      </c>
      <c r="G76" s="550" t="s">
        <v>14287</v>
      </c>
      <c r="H76" s="550" t="s">
        <v>1988</v>
      </c>
      <c r="I76" s="550" t="s">
        <v>1989</v>
      </c>
      <c r="J76" s="550" t="s">
        <v>14288</v>
      </c>
      <c r="K76" s="550" t="s">
        <v>1633</v>
      </c>
      <c r="L76" s="550">
        <v>9455</v>
      </c>
    </row>
    <row r="77" spans="2:12">
      <c r="B77" s="550">
        <v>19201</v>
      </c>
      <c r="C77" s="550" t="s">
        <v>1484</v>
      </c>
      <c r="D77" s="550" t="s">
        <v>1991</v>
      </c>
      <c r="E77" s="550" t="s">
        <v>1707</v>
      </c>
      <c r="F77" s="551" t="s">
        <v>13799</v>
      </c>
      <c r="G77" s="550" t="s">
        <v>14323</v>
      </c>
      <c r="H77" s="550" t="s">
        <v>1993</v>
      </c>
      <c r="I77" s="550" t="s">
        <v>1994</v>
      </c>
      <c r="J77" s="550" t="s">
        <v>14324</v>
      </c>
      <c r="K77" s="550" t="s">
        <v>1633</v>
      </c>
      <c r="L77" s="550">
        <v>9456</v>
      </c>
    </row>
    <row r="78" spans="2:12">
      <c r="B78" s="550">
        <v>19202</v>
      </c>
      <c r="C78" s="551" t="s">
        <v>1484</v>
      </c>
      <c r="D78" s="550" t="s">
        <v>14508</v>
      </c>
      <c r="E78" s="550" t="s">
        <v>13777</v>
      </c>
      <c r="F78" s="553" t="s">
        <v>13778</v>
      </c>
      <c r="G78" s="551" t="s">
        <v>14509</v>
      </c>
      <c r="H78" s="553" t="s">
        <v>14799</v>
      </c>
      <c r="I78" s="558">
        <v>5182210</v>
      </c>
      <c r="J78" s="551" t="s">
        <v>14511</v>
      </c>
      <c r="K78" s="550" t="s">
        <v>1633</v>
      </c>
      <c r="L78" s="550">
        <v>9465</v>
      </c>
    </row>
    <row r="79" spans="2:12">
      <c r="B79" s="550">
        <v>19203</v>
      </c>
      <c r="C79" s="551" t="s">
        <v>1484</v>
      </c>
      <c r="D79" s="550" t="s">
        <v>14491</v>
      </c>
      <c r="E79" s="550" t="s">
        <v>13777</v>
      </c>
      <c r="F79" s="553" t="s">
        <v>13778</v>
      </c>
      <c r="G79" s="551" t="s">
        <v>14492</v>
      </c>
      <c r="H79" s="553" t="s">
        <v>14798</v>
      </c>
      <c r="I79" s="558">
        <v>5142100</v>
      </c>
      <c r="J79" s="551" t="s">
        <v>14495</v>
      </c>
      <c r="K79" s="550" t="s">
        <v>1633</v>
      </c>
      <c r="L79" s="550">
        <v>9466</v>
      </c>
    </row>
    <row r="80" spans="2:12">
      <c r="B80" s="550">
        <v>19205</v>
      </c>
      <c r="C80" s="551" t="s">
        <v>1484</v>
      </c>
      <c r="D80" s="550" t="s">
        <v>14496</v>
      </c>
      <c r="E80" s="550" t="s">
        <v>13777</v>
      </c>
      <c r="F80" s="553" t="s">
        <v>13778</v>
      </c>
      <c r="G80" s="551" t="s">
        <v>14497</v>
      </c>
      <c r="H80" s="553" t="s">
        <v>14800</v>
      </c>
      <c r="I80" s="558">
        <v>5272005</v>
      </c>
      <c r="J80" s="551" t="s">
        <v>14499</v>
      </c>
      <c r="K80" s="550" t="s">
        <v>1633</v>
      </c>
      <c r="L80" s="550">
        <v>9467</v>
      </c>
    </row>
    <row r="81" spans="2:12">
      <c r="B81" s="550">
        <v>19206</v>
      </c>
      <c r="C81" s="559" t="s">
        <v>1484</v>
      </c>
      <c r="D81" s="550" t="s">
        <v>1995</v>
      </c>
      <c r="E81" s="559" t="s">
        <v>1654</v>
      </c>
      <c r="F81" s="550" t="s">
        <v>13774</v>
      </c>
      <c r="G81" s="550" t="s">
        <v>14676</v>
      </c>
      <c r="H81" s="553" t="s">
        <v>1998</v>
      </c>
      <c r="I81" s="559" t="s">
        <v>1999</v>
      </c>
      <c r="J81" s="559" t="s">
        <v>14677</v>
      </c>
      <c r="K81" s="556" t="s">
        <v>7010</v>
      </c>
      <c r="L81" s="560">
        <v>11319</v>
      </c>
    </row>
    <row r="82" spans="2:12">
      <c r="B82" s="550">
        <v>19207</v>
      </c>
      <c r="C82" s="550" t="s">
        <v>1484</v>
      </c>
      <c r="D82" s="550" t="s">
        <v>14282</v>
      </c>
      <c r="E82" s="550" t="s">
        <v>1707</v>
      </c>
      <c r="F82" s="551" t="s">
        <v>13799</v>
      </c>
      <c r="G82" s="550" t="s">
        <v>14283</v>
      </c>
      <c r="H82" s="550" t="s">
        <v>2003</v>
      </c>
      <c r="I82" s="550" t="s">
        <v>2004</v>
      </c>
      <c r="J82" s="550" t="s">
        <v>14284</v>
      </c>
      <c r="K82" s="550" t="s">
        <v>1633</v>
      </c>
      <c r="L82" s="550">
        <v>9457</v>
      </c>
    </row>
    <row r="83" spans="2:12">
      <c r="B83" s="550">
        <v>19209</v>
      </c>
      <c r="C83" s="550" t="s">
        <v>1484</v>
      </c>
      <c r="D83" s="550" t="s">
        <v>2006</v>
      </c>
      <c r="E83" s="550" t="s">
        <v>1812</v>
      </c>
      <c r="F83" s="550" t="s">
        <v>1813</v>
      </c>
      <c r="G83" s="550" t="s">
        <v>14169</v>
      </c>
      <c r="H83" s="550" t="s">
        <v>2009</v>
      </c>
      <c r="I83" s="550" t="s">
        <v>2010</v>
      </c>
      <c r="J83" s="550" t="s">
        <v>14170</v>
      </c>
      <c r="K83" s="550" t="s">
        <v>14767</v>
      </c>
      <c r="L83" s="550">
        <v>9482</v>
      </c>
    </row>
    <row r="84" spans="2:12">
      <c r="B84" s="550">
        <v>19210</v>
      </c>
      <c r="C84" s="550" t="s">
        <v>1484</v>
      </c>
      <c r="D84" s="550" t="s">
        <v>1508</v>
      </c>
      <c r="E84" s="550" t="s">
        <v>1486</v>
      </c>
      <c r="F84" s="550" t="s">
        <v>161</v>
      </c>
      <c r="G84" s="550" t="s">
        <v>13901</v>
      </c>
      <c r="H84" s="550" t="s">
        <v>1511</v>
      </c>
      <c r="I84" s="550" t="s">
        <v>2011</v>
      </c>
      <c r="J84" s="550" t="s">
        <v>13902</v>
      </c>
      <c r="K84" s="550" t="s">
        <v>1669</v>
      </c>
      <c r="L84" s="550">
        <v>9476</v>
      </c>
    </row>
    <row r="85" spans="2:12">
      <c r="B85" s="550">
        <v>19212</v>
      </c>
      <c r="C85" s="551" t="s">
        <v>1484</v>
      </c>
      <c r="D85" s="550" t="s">
        <v>14805</v>
      </c>
      <c r="E85" s="550" t="s">
        <v>13777</v>
      </c>
      <c r="F85" s="553" t="s">
        <v>13778</v>
      </c>
      <c r="G85" s="551" t="s">
        <v>14578</v>
      </c>
      <c r="H85" s="553" t="s">
        <v>14801</v>
      </c>
      <c r="I85" s="558">
        <v>2991000</v>
      </c>
      <c r="J85" s="551" t="s">
        <v>14581</v>
      </c>
      <c r="K85" s="550" t="s">
        <v>1633</v>
      </c>
      <c r="L85" s="550">
        <v>9468</v>
      </c>
    </row>
    <row r="86" spans="2:12">
      <c r="B86" s="550">
        <v>19213</v>
      </c>
      <c r="C86" s="550" t="s">
        <v>1484</v>
      </c>
      <c r="D86" s="550" t="s">
        <v>13906</v>
      </c>
      <c r="E86" s="550" t="s">
        <v>1486</v>
      </c>
      <c r="F86" s="550" t="s">
        <v>161</v>
      </c>
      <c r="G86" s="550" t="s">
        <v>13907</v>
      </c>
      <c r="H86" s="550" t="s">
        <v>1514</v>
      </c>
      <c r="I86" s="550" t="s">
        <v>2012</v>
      </c>
      <c r="J86" s="550" t="s">
        <v>13908</v>
      </c>
      <c r="K86" s="550" t="s">
        <v>1669</v>
      </c>
      <c r="L86" s="550">
        <v>9477</v>
      </c>
    </row>
    <row r="87" spans="2:12">
      <c r="B87" s="550">
        <v>19214</v>
      </c>
      <c r="C87" s="550" t="s">
        <v>1484</v>
      </c>
      <c r="D87" s="550" t="s">
        <v>2013</v>
      </c>
      <c r="E87" s="550" t="s">
        <v>1812</v>
      </c>
      <c r="F87" s="550" t="s">
        <v>1813</v>
      </c>
      <c r="G87" s="550" t="s">
        <v>14159</v>
      </c>
      <c r="H87" s="550" t="s">
        <v>2016</v>
      </c>
      <c r="I87" s="550" t="s">
        <v>2017</v>
      </c>
      <c r="J87" s="550" t="s">
        <v>14160</v>
      </c>
      <c r="K87" s="550" t="s">
        <v>14767</v>
      </c>
      <c r="L87" s="550">
        <v>9481</v>
      </c>
    </row>
    <row r="88" spans="2:12">
      <c r="B88" s="550">
        <v>19230</v>
      </c>
      <c r="C88" s="550" t="s">
        <v>1484</v>
      </c>
      <c r="D88" s="550" t="s">
        <v>2018</v>
      </c>
      <c r="E88" s="550" t="s">
        <v>1820</v>
      </c>
      <c r="F88" s="551" t="s">
        <v>13802</v>
      </c>
      <c r="G88" s="550" t="s">
        <v>14412</v>
      </c>
      <c r="H88" s="550" t="s">
        <v>2021</v>
      </c>
      <c r="I88" s="550" t="s">
        <v>2022</v>
      </c>
      <c r="J88" s="550" t="s">
        <v>14413</v>
      </c>
      <c r="K88" s="549" t="s">
        <v>14769</v>
      </c>
      <c r="L88" s="550">
        <v>9459</v>
      </c>
    </row>
    <row r="89" spans="2:12">
      <c r="B89" s="550">
        <v>19231</v>
      </c>
      <c r="C89" s="550" t="s">
        <v>1484</v>
      </c>
      <c r="D89" s="550" t="s">
        <v>2023</v>
      </c>
      <c r="E89" s="550" t="s">
        <v>1812</v>
      </c>
      <c r="F89" s="550" t="s">
        <v>1813</v>
      </c>
      <c r="G89" s="550" t="s">
        <v>14155</v>
      </c>
      <c r="H89" s="550" t="s">
        <v>2026</v>
      </c>
      <c r="I89" s="550" t="s">
        <v>2027</v>
      </c>
      <c r="J89" s="550" t="s">
        <v>14156</v>
      </c>
      <c r="K89" s="550" t="s">
        <v>14767</v>
      </c>
      <c r="L89" s="550">
        <v>9494</v>
      </c>
    </row>
    <row r="90" spans="2:12">
      <c r="B90" s="550">
        <v>19234</v>
      </c>
      <c r="C90" s="550" t="s">
        <v>3387</v>
      </c>
      <c r="D90" s="550" t="s">
        <v>3398</v>
      </c>
      <c r="E90" s="550" t="s">
        <v>1820</v>
      </c>
      <c r="F90" s="551" t="s">
        <v>13802</v>
      </c>
      <c r="G90" s="550" t="s">
        <v>13845</v>
      </c>
      <c r="H90" s="550" t="s">
        <v>3401</v>
      </c>
      <c r="I90" s="550" t="s">
        <v>3402</v>
      </c>
      <c r="J90" s="550" t="s">
        <v>13846</v>
      </c>
      <c r="K90" s="549" t="s">
        <v>14769</v>
      </c>
      <c r="L90" s="550">
        <v>9556</v>
      </c>
    </row>
    <row r="91" spans="2:12">
      <c r="B91" s="550">
        <v>19235</v>
      </c>
      <c r="C91" s="559" t="s">
        <v>1484</v>
      </c>
      <c r="D91" s="550" t="s">
        <v>2029</v>
      </c>
      <c r="E91" s="559" t="s">
        <v>1654</v>
      </c>
      <c r="F91" s="550" t="s">
        <v>13774</v>
      </c>
      <c r="G91" s="550" t="s">
        <v>14665</v>
      </c>
      <c r="H91" s="553" t="s">
        <v>2032</v>
      </c>
      <c r="I91" s="559" t="s">
        <v>2033</v>
      </c>
      <c r="J91" s="559" t="s">
        <v>14666</v>
      </c>
      <c r="K91" s="556" t="s">
        <v>7010</v>
      </c>
      <c r="L91" s="560">
        <v>11315</v>
      </c>
    </row>
    <row r="92" spans="2:12">
      <c r="B92" s="550">
        <v>19236</v>
      </c>
      <c r="C92" s="550" t="s">
        <v>1484</v>
      </c>
      <c r="D92" s="550" t="s">
        <v>2035</v>
      </c>
      <c r="E92" s="550" t="s">
        <v>1812</v>
      </c>
      <c r="F92" s="550" t="s">
        <v>1813</v>
      </c>
      <c r="G92" s="550" t="s">
        <v>14145</v>
      </c>
      <c r="H92" s="550" t="s">
        <v>2038</v>
      </c>
      <c r="I92" s="550" t="s">
        <v>2039</v>
      </c>
      <c r="J92" s="550" t="s">
        <v>14146</v>
      </c>
      <c r="K92" s="550" t="s">
        <v>14767</v>
      </c>
      <c r="L92" s="550">
        <v>9558</v>
      </c>
    </row>
    <row r="93" spans="2:12">
      <c r="B93" s="550">
        <v>19237</v>
      </c>
      <c r="C93" s="550" t="s">
        <v>1484</v>
      </c>
      <c r="D93" s="550" t="s">
        <v>2041</v>
      </c>
      <c r="E93" s="550" t="s">
        <v>1661</v>
      </c>
      <c r="F93" s="551" t="s">
        <v>13771</v>
      </c>
      <c r="G93" s="550" t="s">
        <v>14118</v>
      </c>
      <c r="H93" s="550" t="s">
        <v>2044</v>
      </c>
      <c r="I93" s="550" t="s">
        <v>2045</v>
      </c>
      <c r="J93" s="550" t="s">
        <v>14119</v>
      </c>
      <c r="K93" s="550" t="s">
        <v>1669</v>
      </c>
      <c r="L93" s="550">
        <v>9570</v>
      </c>
    </row>
    <row r="94" spans="2:12">
      <c r="B94" s="550">
        <v>19238</v>
      </c>
      <c r="C94" s="550" t="s">
        <v>1484</v>
      </c>
      <c r="D94" s="550" t="s">
        <v>2047</v>
      </c>
      <c r="E94" s="550" t="s">
        <v>1707</v>
      </c>
      <c r="F94" s="551" t="s">
        <v>13799</v>
      </c>
      <c r="G94" s="550" t="s">
        <v>2048</v>
      </c>
      <c r="H94" s="550" t="s">
        <v>2051</v>
      </c>
      <c r="I94" s="550" t="s">
        <v>2052</v>
      </c>
      <c r="J94" s="550" t="s">
        <v>14301</v>
      </c>
      <c r="K94" s="550" t="s">
        <v>1633</v>
      </c>
      <c r="L94" s="550">
        <v>9655</v>
      </c>
    </row>
    <row r="95" spans="2:12">
      <c r="B95" s="551">
        <v>19240</v>
      </c>
      <c r="C95" s="551" t="s">
        <v>1484</v>
      </c>
      <c r="D95" s="550" t="s">
        <v>2053</v>
      </c>
      <c r="E95" s="551" t="s">
        <v>1654</v>
      </c>
      <c r="F95" s="550" t="s">
        <v>13774</v>
      </c>
      <c r="G95" s="551" t="s">
        <v>14642</v>
      </c>
      <c r="H95" s="553" t="s">
        <v>2056</v>
      </c>
      <c r="I95" s="555" t="s">
        <v>2057</v>
      </c>
      <c r="J95" s="551" t="s">
        <v>14643</v>
      </c>
      <c r="K95" s="556" t="s">
        <v>7010</v>
      </c>
      <c r="L95" s="551">
        <v>9582</v>
      </c>
    </row>
    <row r="96" spans="2:12">
      <c r="B96" s="552">
        <v>19245</v>
      </c>
      <c r="C96" s="553" t="s">
        <v>1484</v>
      </c>
      <c r="D96" s="550" t="s">
        <v>2059</v>
      </c>
      <c r="E96" s="554" t="s">
        <v>1654</v>
      </c>
      <c r="F96" s="550" t="s">
        <v>13774</v>
      </c>
      <c r="G96" s="550" t="s">
        <v>14649</v>
      </c>
      <c r="H96" s="553" t="s">
        <v>2061</v>
      </c>
      <c r="I96" s="555" t="s">
        <v>2062</v>
      </c>
      <c r="J96" s="554" t="s">
        <v>14650</v>
      </c>
      <c r="K96" s="556" t="s">
        <v>7010</v>
      </c>
      <c r="L96" s="557">
        <v>9641</v>
      </c>
    </row>
    <row r="97" spans="2:12">
      <c r="B97" s="550">
        <v>19246</v>
      </c>
      <c r="C97" s="550" t="s">
        <v>1484</v>
      </c>
      <c r="D97" s="550" t="s">
        <v>2064</v>
      </c>
      <c r="E97" s="550" t="s">
        <v>1617</v>
      </c>
      <c r="F97" s="550" t="s">
        <v>1618</v>
      </c>
      <c r="G97" s="550" t="s">
        <v>14021</v>
      </c>
      <c r="H97" s="550" t="s">
        <v>2066</v>
      </c>
      <c r="I97" s="550" t="s">
        <v>2067</v>
      </c>
      <c r="J97" s="550" t="s">
        <v>14022</v>
      </c>
      <c r="K97" s="550" t="s">
        <v>1624</v>
      </c>
      <c r="L97" s="550">
        <v>9669</v>
      </c>
    </row>
    <row r="98" spans="2:12">
      <c r="B98" s="550">
        <v>19248</v>
      </c>
      <c r="C98" s="550" t="s">
        <v>1484</v>
      </c>
      <c r="D98" s="550" t="s">
        <v>2068</v>
      </c>
      <c r="E98" s="550" t="s">
        <v>1617</v>
      </c>
      <c r="F98" s="550" t="s">
        <v>1618</v>
      </c>
      <c r="G98" s="550" t="s">
        <v>14031</v>
      </c>
      <c r="H98" s="550" t="s">
        <v>2072</v>
      </c>
      <c r="I98" s="550" t="s">
        <v>2073</v>
      </c>
      <c r="J98" s="550" t="s">
        <v>14032</v>
      </c>
      <c r="K98" s="550" t="s">
        <v>1624</v>
      </c>
      <c r="L98" s="550">
        <v>9660</v>
      </c>
    </row>
    <row r="99" spans="2:12">
      <c r="B99" s="550">
        <v>19250</v>
      </c>
      <c r="C99" s="550" t="s">
        <v>1484</v>
      </c>
      <c r="D99" s="550" t="s">
        <v>14312</v>
      </c>
      <c r="E99" s="550" t="s">
        <v>1707</v>
      </c>
      <c r="F99" s="551" t="s">
        <v>13799</v>
      </c>
      <c r="G99" s="550" t="s">
        <v>14313</v>
      </c>
      <c r="H99" s="550" t="s">
        <v>2076</v>
      </c>
      <c r="I99" s="550" t="s">
        <v>2077</v>
      </c>
      <c r="J99" s="550" t="s">
        <v>14314</v>
      </c>
      <c r="K99" s="550" t="s">
        <v>1633</v>
      </c>
      <c r="L99" s="550">
        <v>9756</v>
      </c>
    </row>
    <row r="100" spans="2:12">
      <c r="B100" s="550">
        <v>19252</v>
      </c>
      <c r="C100" s="550" t="s">
        <v>1484</v>
      </c>
      <c r="D100" s="550" t="s">
        <v>2078</v>
      </c>
      <c r="E100" s="550" t="s">
        <v>1626</v>
      </c>
      <c r="F100" s="551" t="s">
        <v>13763</v>
      </c>
      <c r="G100" s="550" t="s">
        <v>13946</v>
      </c>
      <c r="H100" s="550" t="s">
        <v>2081</v>
      </c>
      <c r="I100" s="550" t="s">
        <v>2082</v>
      </c>
      <c r="J100" s="550" t="s">
        <v>13947</v>
      </c>
      <c r="K100" s="550" t="s">
        <v>1633</v>
      </c>
      <c r="L100" s="550">
        <v>9762</v>
      </c>
    </row>
    <row r="101" spans="2:12">
      <c r="B101" s="550">
        <v>19253</v>
      </c>
      <c r="C101" s="551" t="s">
        <v>1484</v>
      </c>
      <c r="D101" s="550" t="s">
        <v>14807</v>
      </c>
      <c r="E101" s="550" t="s">
        <v>13777</v>
      </c>
      <c r="F101" s="553" t="s">
        <v>13778</v>
      </c>
      <c r="G101" s="551" t="s">
        <v>14537</v>
      </c>
      <c r="H101" s="553"/>
      <c r="I101" s="558">
        <v>2998140</v>
      </c>
      <c r="J101" s="551" t="s">
        <v>14539</v>
      </c>
      <c r="K101" s="550" t="s">
        <v>1633</v>
      </c>
      <c r="L101" s="550">
        <v>9753</v>
      </c>
    </row>
    <row r="102" spans="2:12">
      <c r="B102" s="550">
        <v>19255</v>
      </c>
      <c r="C102" s="551" t="s">
        <v>1484</v>
      </c>
      <c r="D102" s="550" t="s">
        <v>14806</v>
      </c>
      <c r="E102" s="550" t="s">
        <v>13777</v>
      </c>
      <c r="F102" s="553" t="s">
        <v>13778</v>
      </c>
      <c r="G102" s="551" t="s">
        <v>14635</v>
      </c>
      <c r="H102" s="553"/>
      <c r="I102" s="558">
        <v>2998260</v>
      </c>
      <c r="J102" s="551" t="s">
        <v>14637</v>
      </c>
      <c r="K102" s="550" t="s">
        <v>1633</v>
      </c>
      <c r="L102" s="550">
        <v>9754</v>
      </c>
    </row>
    <row r="103" spans="2:12">
      <c r="B103" s="550">
        <v>19258</v>
      </c>
      <c r="C103" s="550" t="s">
        <v>1484</v>
      </c>
      <c r="D103" s="550" t="s">
        <v>1515</v>
      </c>
      <c r="E103" s="550" t="s">
        <v>1486</v>
      </c>
      <c r="F103" s="550" t="s">
        <v>161</v>
      </c>
      <c r="G103" s="550" t="s">
        <v>13874</v>
      </c>
      <c r="H103" s="550" t="s">
        <v>1518</v>
      </c>
      <c r="I103" s="550" t="s">
        <v>2084</v>
      </c>
      <c r="J103" s="550" t="s">
        <v>13875</v>
      </c>
      <c r="K103" s="550" t="s">
        <v>1669</v>
      </c>
      <c r="L103" s="550">
        <v>9914</v>
      </c>
    </row>
    <row r="104" spans="2:12">
      <c r="B104" s="550">
        <v>19259</v>
      </c>
      <c r="C104" s="550" t="s">
        <v>1484</v>
      </c>
      <c r="D104" s="550" t="s">
        <v>2085</v>
      </c>
      <c r="E104" s="550" t="s">
        <v>1661</v>
      </c>
      <c r="F104" s="551" t="s">
        <v>13771</v>
      </c>
      <c r="G104" s="550" t="s">
        <v>14059</v>
      </c>
      <c r="H104" s="550" t="s">
        <v>2088</v>
      </c>
      <c r="I104" s="550" t="s">
        <v>2089</v>
      </c>
      <c r="J104" s="550" t="s">
        <v>14060</v>
      </c>
      <c r="K104" s="550" t="s">
        <v>1669</v>
      </c>
      <c r="L104" s="550">
        <v>9300</v>
      </c>
    </row>
    <row r="105" spans="2:12">
      <c r="B105" s="550">
        <v>19280</v>
      </c>
      <c r="C105" s="550" t="s">
        <v>3387</v>
      </c>
      <c r="D105" s="550" t="s">
        <v>3403</v>
      </c>
      <c r="E105" s="550" t="s">
        <v>1812</v>
      </c>
      <c r="F105" s="550" t="s">
        <v>1813</v>
      </c>
      <c r="G105" s="550" t="s">
        <v>3404</v>
      </c>
      <c r="H105" s="550" t="s">
        <v>3407</v>
      </c>
      <c r="I105" s="550" t="s">
        <v>3408</v>
      </c>
      <c r="J105" s="550" t="s">
        <v>3409</v>
      </c>
      <c r="K105" s="550" t="s">
        <v>14767</v>
      </c>
      <c r="L105" s="550">
        <v>9946</v>
      </c>
    </row>
    <row r="106" spans="2:12">
      <c r="B106" s="550">
        <v>19284</v>
      </c>
      <c r="C106" s="550" t="s">
        <v>3387</v>
      </c>
      <c r="D106" s="550" t="s">
        <v>3410</v>
      </c>
      <c r="E106" s="550" t="s">
        <v>1617</v>
      </c>
      <c r="F106" s="550" t="s">
        <v>1618</v>
      </c>
      <c r="G106" s="550" t="s">
        <v>13824</v>
      </c>
      <c r="H106" s="550" t="s">
        <v>3412</v>
      </c>
      <c r="I106" s="550" t="s">
        <v>3413</v>
      </c>
      <c r="J106" s="550" t="s">
        <v>13825</v>
      </c>
      <c r="K106" s="550" t="s">
        <v>1624</v>
      </c>
      <c r="L106" s="550">
        <v>9905</v>
      </c>
    </row>
    <row r="107" spans="2:12">
      <c r="B107" s="550">
        <v>19285</v>
      </c>
      <c r="C107" s="550" t="s">
        <v>3387</v>
      </c>
      <c r="D107" s="550" t="s">
        <v>3415</v>
      </c>
      <c r="E107" s="550" t="s">
        <v>1617</v>
      </c>
      <c r="F107" s="550" t="s">
        <v>1618</v>
      </c>
      <c r="G107" s="550" t="s">
        <v>13827</v>
      </c>
      <c r="H107" s="550" t="s">
        <v>3417</v>
      </c>
      <c r="I107" s="550" t="s">
        <v>3418</v>
      </c>
      <c r="J107" s="550" t="s">
        <v>13828</v>
      </c>
      <c r="K107" s="550" t="s">
        <v>1624</v>
      </c>
      <c r="L107" s="550">
        <v>9854</v>
      </c>
    </row>
    <row r="108" spans="2:12">
      <c r="B108" s="550">
        <v>19287</v>
      </c>
      <c r="C108" s="550" t="s">
        <v>3387</v>
      </c>
      <c r="D108" s="550" t="s">
        <v>3420</v>
      </c>
      <c r="E108" s="550" t="s">
        <v>1486</v>
      </c>
      <c r="F108" s="550" t="s">
        <v>161</v>
      </c>
      <c r="G108" s="550" t="s">
        <v>13809</v>
      </c>
      <c r="H108" s="550" t="s">
        <v>3422</v>
      </c>
      <c r="I108" s="550" t="s">
        <v>3423</v>
      </c>
      <c r="J108" s="550" t="s">
        <v>13810</v>
      </c>
      <c r="K108" s="550" t="s">
        <v>1669</v>
      </c>
      <c r="L108" s="550">
        <v>9903</v>
      </c>
    </row>
    <row r="109" spans="2:12">
      <c r="B109" s="550">
        <v>19289</v>
      </c>
      <c r="C109" s="550" t="s">
        <v>3387</v>
      </c>
      <c r="D109" s="550" t="s">
        <v>3424</v>
      </c>
      <c r="E109" s="550" t="s">
        <v>1707</v>
      </c>
      <c r="F109" s="551" t="s">
        <v>13799</v>
      </c>
      <c r="G109" s="550" t="s">
        <v>13836</v>
      </c>
      <c r="H109" s="550" t="s">
        <v>3426</v>
      </c>
      <c r="I109" s="550" t="s">
        <v>3427</v>
      </c>
      <c r="J109" s="550" t="s">
        <v>13837</v>
      </c>
      <c r="K109" s="550" t="s">
        <v>1633</v>
      </c>
      <c r="L109" s="550">
        <v>9842</v>
      </c>
    </row>
    <row r="110" spans="2:12">
      <c r="B110" s="550">
        <v>19290</v>
      </c>
      <c r="C110" s="551" t="s">
        <v>3387</v>
      </c>
      <c r="D110" s="550" t="s">
        <v>14808</v>
      </c>
      <c r="E110" s="550" t="s">
        <v>13777</v>
      </c>
      <c r="F110" s="553" t="s">
        <v>13778</v>
      </c>
      <c r="G110" s="551" t="s">
        <v>14734</v>
      </c>
      <c r="H110" s="553"/>
      <c r="I110" s="558">
        <v>5185420</v>
      </c>
      <c r="J110" s="551" t="s">
        <v>14736</v>
      </c>
      <c r="K110" s="550" t="s">
        <v>1633</v>
      </c>
      <c r="L110" s="550">
        <v>9900</v>
      </c>
    </row>
    <row r="111" spans="2:12">
      <c r="B111" s="550">
        <v>19293</v>
      </c>
      <c r="C111" s="550" t="s">
        <v>3387</v>
      </c>
      <c r="D111" s="550" t="s">
        <v>3428</v>
      </c>
      <c r="E111" s="550" t="s">
        <v>1654</v>
      </c>
      <c r="F111" s="550" t="s">
        <v>13774</v>
      </c>
      <c r="G111" s="550" t="s">
        <v>13855</v>
      </c>
      <c r="H111" s="550" t="s">
        <v>3430</v>
      </c>
      <c r="I111" s="550" t="s">
        <v>3431</v>
      </c>
      <c r="J111" s="550" t="s">
        <v>13856</v>
      </c>
      <c r="K111" s="556" t="s">
        <v>7010</v>
      </c>
      <c r="L111" s="550">
        <v>11440</v>
      </c>
    </row>
    <row r="112" spans="2:12">
      <c r="B112" s="550">
        <v>19295</v>
      </c>
      <c r="C112" s="550" t="s">
        <v>3387</v>
      </c>
      <c r="D112" s="550" t="s">
        <v>3433</v>
      </c>
      <c r="E112" s="550" t="s">
        <v>1486</v>
      </c>
      <c r="F112" s="550" t="s">
        <v>161</v>
      </c>
      <c r="G112" s="550" t="s">
        <v>13813</v>
      </c>
      <c r="H112" s="550" t="s">
        <v>3435</v>
      </c>
      <c r="I112" s="550" t="s">
        <v>3436</v>
      </c>
      <c r="J112" s="550" t="s">
        <v>13814</v>
      </c>
      <c r="K112" s="550" t="s">
        <v>1669</v>
      </c>
      <c r="L112" s="550">
        <v>9910</v>
      </c>
    </row>
    <row r="113" spans="2:12">
      <c r="B113" s="550">
        <v>19296</v>
      </c>
      <c r="C113" s="551" t="s">
        <v>3387</v>
      </c>
      <c r="D113" s="550" t="s">
        <v>14809</v>
      </c>
      <c r="E113" s="550" t="s">
        <v>13777</v>
      </c>
      <c r="F113" s="553" t="s">
        <v>13778</v>
      </c>
      <c r="G113" s="551" t="s">
        <v>14743</v>
      </c>
      <c r="H113" s="553"/>
      <c r="I113" s="558">
        <v>5160030</v>
      </c>
      <c r="J113" s="551" t="s">
        <v>14746</v>
      </c>
      <c r="K113" s="550" t="s">
        <v>1633</v>
      </c>
      <c r="L113" s="550">
        <v>9886</v>
      </c>
    </row>
    <row r="114" spans="2:12">
      <c r="B114" s="550">
        <v>19297</v>
      </c>
      <c r="C114" s="550" t="s">
        <v>3387</v>
      </c>
      <c r="D114" s="550" t="s">
        <v>13838</v>
      </c>
      <c r="E114" s="550" t="s">
        <v>1707</v>
      </c>
      <c r="F114" s="551" t="s">
        <v>13799</v>
      </c>
      <c r="G114" s="550" t="s">
        <v>13839</v>
      </c>
      <c r="H114" s="550" t="s">
        <v>3439</v>
      </c>
      <c r="I114" s="550" t="s">
        <v>3440</v>
      </c>
      <c r="J114" s="550" t="s">
        <v>13840</v>
      </c>
      <c r="K114" s="550" t="s">
        <v>1633</v>
      </c>
      <c r="L114" s="550">
        <v>9921</v>
      </c>
    </row>
    <row r="115" spans="2:12">
      <c r="B115" s="550">
        <v>19299</v>
      </c>
      <c r="C115" s="550" t="s">
        <v>3387</v>
      </c>
      <c r="D115" s="550" t="s">
        <v>3441</v>
      </c>
      <c r="E115" s="550" t="s">
        <v>1654</v>
      </c>
      <c r="F115" s="550" t="s">
        <v>13774</v>
      </c>
      <c r="G115" s="550" t="s">
        <v>13853</v>
      </c>
      <c r="H115" s="550" t="s">
        <v>3444</v>
      </c>
      <c r="I115" s="550" t="s">
        <v>3445</v>
      </c>
      <c r="J115" s="550" t="s">
        <v>13854</v>
      </c>
      <c r="K115" s="556" t="s">
        <v>7010</v>
      </c>
      <c r="L115" s="550">
        <v>9843</v>
      </c>
    </row>
    <row r="116" spans="2:12">
      <c r="B116" s="550">
        <v>19300</v>
      </c>
      <c r="C116" s="550" t="s">
        <v>1484</v>
      </c>
      <c r="D116" s="550" t="s">
        <v>1520</v>
      </c>
      <c r="E116" s="550" t="s">
        <v>1486</v>
      </c>
      <c r="F116" s="550" t="s">
        <v>161</v>
      </c>
      <c r="G116" s="550" t="s">
        <v>13887</v>
      </c>
      <c r="H116" s="550" t="s">
        <v>1523</v>
      </c>
      <c r="I116" s="550" t="s">
        <v>2091</v>
      </c>
      <c r="J116" s="550" t="s">
        <v>13888</v>
      </c>
      <c r="K116" s="550" t="s">
        <v>1669</v>
      </c>
      <c r="L116" s="550">
        <v>9837</v>
      </c>
    </row>
    <row r="117" spans="2:12">
      <c r="B117" s="550">
        <v>19301</v>
      </c>
      <c r="C117" s="550" t="s">
        <v>1484</v>
      </c>
      <c r="D117" s="550" t="s">
        <v>2092</v>
      </c>
      <c r="E117" s="550" t="s">
        <v>1617</v>
      </c>
      <c r="F117" s="550" t="s">
        <v>1618</v>
      </c>
      <c r="G117" s="550" t="s">
        <v>14010</v>
      </c>
      <c r="H117" s="550" t="s">
        <v>2095</v>
      </c>
      <c r="I117" s="550" t="s">
        <v>2096</v>
      </c>
      <c r="J117" s="550" t="s">
        <v>14011</v>
      </c>
      <c r="K117" s="550" t="s">
        <v>1624</v>
      </c>
      <c r="L117" s="550">
        <v>9872</v>
      </c>
    </row>
    <row r="118" spans="2:12">
      <c r="B118" s="550">
        <v>19304</v>
      </c>
      <c r="C118" s="550" t="s">
        <v>3387</v>
      </c>
      <c r="D118" s="550" t="s">
        <v>3447</v>
      </c>
      <c r="E118" s="550" t="s">
        <v>1626</v>
      </c>
      <c r="F118" s="551" t="s">
        <v>13763</v>
      </c>
      <c r="G118" s="550" t="s">
        <v>13819</v>
      </c>
      <c r="H118" s="550" t="s">
        <v>3450</v>
      </c>
      <c r="I118" s="550" t="s">
        <v>3451</v>
      </c>
      <c r="J118" s="550" t="s">
        <v>13820</v>
      </c>
      <c r="K118" s="550" t="s">
        <v>1633</v>
      </c>
      <c r="L118" s="550">
        <v>10068</v>
      </c>
    </row>
    <row r="119" spans="2:12">
      <c r="B119" s="550">
        <v>19309</v>
      </c>
      <c r="C119" s="550" t="s">
        <v>1484</v>
      </c>
      <c r="D119" s="550" t="s">
        <v>2097</v>
      </c>
      <c r="E119" s="550" t="s">
        <v>1820</v>
      </c>
      <c r="F119" s="551" t="s">
        <v>13802</v>
      </c>
      <c r="G119" s="550" t="s">
        <v>14368</v>
      </c>
      <c r="H119" s="550" t="s">
        <v>2100</v>
      </c>
      <c r="I119" s="550" t="s">
        <v>2101</v>
      </c>
      <c r="J119" s="550" t="s">
        <v>14369</v>
      </c>
      <c r="K119" s="549" t="s">
        <v>14769</v>
      </c>
      <c r="L119" s="550">
        <v>10059</v>
      </c>
    </row>
    <row r="120" spans="2:12">
      <c r="B120" s="550">
        <v>19311</v>
      </c>
      <c r="C120" s="559" t="s">
        <v>1484</v>
      </c>
      <c r="D120" s="550" t="s">
        <v>2102</v>
      </c>
      <c r="E120" s="559" t="s">
        <v>1654</v>
      </c>
      <c r="F120" s="550" t="s">
        <v>13774</v>
      </c>
      <c r="G120" s="550" t="s">
        <v>14683</v>
      </c>
      <c r="H120" s="553" t="s">
        <v>2104</v>
      </c>
      <c r="I120" s="559" t="s">
        <v>2105</v>
      </c>
      <c r="J120" s="559" t="s">
        <v>14684</v>
      </c>
      <c r="K120" s="556" t="s">
        <v>7010</v>
      </c>
      <c r="L120" s="560">
        <v>11443</v>
      </c>
    </row>
    <row r="121" spans="2:12">
      <c r="B121" s="550">
        <v>19312</v>
      </c>
      <c r="C121" s="551" t="s">
        <v>1484</v>
      </c>
      <c r="D121" s="550" t="s">
        <v>14810</v>
      </c>
      <c r="E121" s="550" t="s">
        <v>13777</v>
      </c>
      <c r="F121" s="553" t="s">
        <v>13778</v>
      </c>
      <c r="G121" s="551" t="s">
        <v>14501</v>
      </c>
      <c r="H121" s="553"/>
      <c r="I121" s="558">
        <v>5209000</v>
      </c>
      <c r="J121" s="551" t="s">
        <v>14503</v>
      </c>
      <c r="K121" s="550" t="s">
        <v>1633</v>
      </c>
      <c r="L121" s="550">
        <v>10423</v>
      </c>
    </row>
    <row r="122" spans="2:12">
      <c r="B122" s="550">
        <v>19315</v>
      </c>
      <c r="C122" s="550" t="s">
        <v>3387</v>
      </c>
      <c r="D122" s="550" t="s">
        <v>13821</v>
      </c>
      <c r="E122" s="550" t="s">
        <v>1617</v>
      </c>
      <c r="F122" s="550" t="s">
        <v>1618</v>
      </c>
      <c r="G122" s="550" t="s">
        <v>13822</v>
      </c>
      <c r="H122" s="550" t="s">
        <v>3454</v>
      </c>
      <c r="I122" s="550" t="s">
        <v>3455</v>
      </c>
      <c r="J122" s="550" t="s">
        <v>13823</v>
      </c>
      <c r="K122" s="550" t="s">
        <v>1624</v>
      </c>
      <c r="L122" s="550">
        <v>10402</v>
      </c>
    </row>
    <row r="123" spans="2:12">
      <c r="B123" s="550">
        <v>19316</v>
      </c>
      <c r="C123" s="550" t="s">
        <v>1484</v>
      </c>
      <c r="D123" s="550" t="s">
        <v>2107</v>
      </c>
      <c r="E123" s="550" t="s">
        <v>1707</v>
      </c>
      <c r="F123" s="551" t="s">
        <v>13799</v>
      </c>
      <c r="G123" s="550" t="s">
        <v>14285</v>
      </c>
      <c r="H123" s="550" t="s">
        <v>2109</v>
      </c>
      <c r="I123" s="550" t="s">
        <v>2110</v>
      </c>
      <c r="J123" s="550" t="s">
        <v>14286</v>
      </c>
      <c r="K123" s="550" t="s">
        <v>1633</v>
      </c>
      <c r="L123" s="550">
        <v>10494</v>
      </c>
    </row>
    <row r="124" spans="2:12">
      <c r="B124" s="550">
        <v>19318</v>
      </c>
      <c r="C124" s="550" t="s">
        <v>1484</v>
      </c>
      <c r="D124" s="550" t="s">
        <v>2112</v>
      </c>
      <c r="E124" s="550" t="s">
        <v>1707</v>
      </c>
      <c r="F124" s="551" t="s">
        <v>13799</v>
      </c>
      <c r="G124" s="550" t="s">
        <v>14295</v>
      </c>
      <c r="H124" s="550" t="s">
        <v>2114</v>
      </c>
      <c r="I124" s="550" t="s">
        <v>2115</v>
      </c>
      <c r="J124" s="550" t="s">
        <v>14296</v>
      </c>
      <c r="K124" s="550" t="s">
        <v>1633</v>
      </c>
      <c r="L124" s="550">
        <v>10809</v>
      </c>
    </row>
    <row r="125" spans="2:12">
      <c r="B125" s="550">
        <v>19319</v>
      </c>
      <c r="C125" s="550" t="s">
        <v>1484</v>
      </c>
      <c r="D125" s="550" t="s">
        <v>14067</v>
      </c>
      <c r="E125" s="550" t="s">
        <v>1661</v>
      </c>
      <c r="F125" s="551" t="s">
        <v>13771</v>
      </c>
      <c r="G125" s="550" t="s">
        <v>14068</v>
      </c>
      <c r="H125" s="550" t="s">
        <v>2118</v>
      </c>
      <c r="I125" s="550" t="s">
        <v>2119</v>
      </c>
      <c r="J125" s="550" t="s">
        <v>14069</v>
      </c>
      <c r="K125" s="550" t="s">
        <v>1669</v>
      </c>
      <c r="L125" s="550">
        <v>10750</v>
      </c>
    </row>
    <row r="126" spans="2:12">
      <c r="B126" s="550">
        <v>19320</v>
      </c>
      <c r="C126" s="559" t="s">
        <v>1484</v>
      </c>
      <c r="D126" s="550" t="s">
        <v>2121</v>
      </c>
      <c r="E126" s="559" t="s">
        <v>1654</v>
      </c>
      <c r="F126" s="550" t="s">
        <v>13774</v>
      </c>
      <c r="G126" s="550" t="s">
        <v>14681</v>
      </c>
      <c r="H126" s="553" t="s">
        <v>2124</v>
      </c>
      <c r="I126" s="559" t="s">
        <v>2125</v>
      </c>
      <c r="J126" s="559" t="s">
        <v>14682</v>
      </c>
      <c r="K126" s="556" t="s">
        <v>7010</v>
      </c>
      <c r="L126" s="560">
        <v>11320</v>
      </c>
    </row>
    <row r="127" spans="2:12">
      <c r="B127" s="550">
        <v>19323</v>
      </c>
      <c r="C127" s="550" t="s">
        <v>1484</v>
      </c>
      <c r="D127" s="550" t="s">
        <v>13898</v>
      </c>
      <c r="E127" s="550" t="s">
        <v>1486</v>
      </c>
      <c r="F127" s="550" t="s">
        <v>161</v>
      </c>
      <c r="G127" s="550" t="s">
        <v>13899</v>
      </c>
      <c r="H127" s="550" t="s">
        <v>1526</v>
      </c>
      <c r="I127" s="550" t="s">
        <v>2127</v>
      </c>
      <c r="J127" s="550" t="s">
        <v>13900</v>
      </c>
      <c r="K127" s="550" t="s">
        <v>1669</v>
      </c>
      <c r="L127" s="550">
        <v>10769</v>
      </c>
    </row>
    <row r="128" spans="2:12">
      <c r="B128" s="550">
        <v>19325</v>
      </c>
      <c r="C128" s="559" t="s">
        <v>1484</v>
      </c>
      <c r="D128" s="550" t="s">
        <v>14695</v>
      </c>
      <c r="E128" s="559" t="s">
        <v>1654</v>
      </c>
      <c r="F128" s="550" t="s">
        <v>13774</v>
      </c>
      <c r="G128" s="550" t="s">
        <v>14696</v>
      </c>
      <c r="H128" s="553" t="s">
        <v>2130</v>
      </c>
      <c r="I128" s="559" t="s">
        <v>2131</v>
      </c>
      <c r="J128" s="559" t="s">
        <v>14697</v>
      </c>
      <c r="K128" s="556" t="s">
        <v>7010</v>
      </c>
      <c r="L128" s="560">
        <v>11442</v>
      </c>
    </row>
    <row r="129" spans="2:12">
      <c r="B129" s="550">
        <v>19326</v>
      </c>
      <c r="C129" s="551" t="s">
        <v>1484</v>
      </c>
      <c r="D129" s="550" t="s">
        <v>14481</v>
      </c>
      <c r="E129" s="550" t="s">
        <v>13777</v>
      </c>
      <c r="F129" s="553" t="s">
        <v>13778</v>
      </c>
      <c r="G129" s="551" t="s">
        <v>14482</v>
      </c>
      <c r="H129" s="553"/>
      <c r="I129" s="558">
        <v>5323000</v>
      </c>
      <c r="J129" s="551" t="s">
        <v>14485</v>
      </c>
      <c r="K129" s="550" t="s">
        <v>1633</v>
      </c>
      <c r="L129" s="550">
        <v>11460</v>
      </c>
    </row>
    <row r="130" spans="2:12">
      <c r="B130" s="550">
        <v>19328</v>
      </c>
      <c r="C130" s="550" t="s">
        <v>3387</v>
      </c>
      <c r="D130" s="550" t="s">
        <v>3456</v>
      </c>
      <c r="E130" s="550" t="s">
        <v>1617</v>
      </c>
      <c r="F130" s="550" t="s">
        <v>1618</v>
      </c>
      <c r="G130" s="550" t="s">
        <v>13826</v>
      </c>
      <c r="H130" s="550" t="s">
        <v>3458</v>
      </c>
      <c r="I130" s="550" t="s">
        <v>3459</v>
      </c>
      <c r="J130" s="550" t="s">
        <v>3460</v>
      </c>
      <c r="K130" s="550" t="s">
        <v>1624</v>
      </c>
      <c r="L130" s="550">
        <v>11088</v>
      </c>
    </row>
    <row r="131" spans="2:12">
      <c r="B131" s="550">
        <v>19330</v>
      </c>
      <c r="C131" s="551" t="s">
        <v>3387</v>
      </c>
      <c r="D131" s="550" t="s">
        <v>14811</v>
      </c>
      <c r="E131" s="550" t="s">
        <v>13777</v>
      </c>
      <c r="F131" s="553" t="s">
        <v>13778</v>
      </c>
      <c r="G131" s="551" t="s">
        <v>14729</v>
      </c>
      <c r="H131" s="553"/>
      <c r="I131" s="558">
        <v>5203200</v>
      </c>
      <c r="J131" s="551" t="s">
        <v>14732</v>
      </c>
      <c r="K131" s="550" t="s">
        <v>1633</v>
      </c>
      <c r="L131" s="550">
        <v>9348</v>
      </c>
    </row>
    <row r="132" spans="2:12">
      <c r="B132" s="550">
        <v>19331</v>
      </c>
      <c r="C132" s="550" t="s">
        <v>3387</v>
      </c>
      <c r="D132" s="550" t="s">
        <v>14812</v>
      </c>
      <c r="E132" s="550" t="s">
        <v>1486</v>
      </c>
      <c r="F132" s="550" t="s">
        <v>161</v>
      </c>
      <c r="G132" s="550" t="s">
        <v>13815</v>
      </c>
      <c r="H132" s="550" t="s">
        <v>3463</v>
      </c>
      <c r="I132" s="550" t="s">
        <v>3464</v>
      </c>
      <c r="J132" s="550" t="s">
        <v>13816</v>
      </c>
      <c r="K132" s="550" t="s">
        <v>1669</v>
      </c>
      <c r="L132" s="550">
        <v>11098</v>
      </c>
    </row>
    <row r="133" spans="2:12">
      <c r="B133" s="550">
        <v>19332</v>
      </c>
      <c r="C133" s="550" t="s">
        <v>3387</v>
      </c>
      <c r="D133" s="550" t="s">
        <v>3091</v>
      </c>
      <c r="E133" s="550" t="s">
        <v>1640</v>
      </c>
      <c r="F133" s="550" t="s">
        <v>1641</v>
      </c>
      <c r="G133" s="550" t="s">
        <v>13835</v>
      </c>
      <c r="H133" s="550" t="s">
        <v>3467</v>
      </c>
      <c r="I133" s="550" t="s">
        <v>3468</v>
      </c>
      <c r="J133" s="550" t="s">
        <v>3469</v>
      </c>
      <c r="K133" s="550" t="s">
        <v>1633</v>
      </c>
      <c r="L133" s="550">
        <v>11095</v>
      </c>
    </row>
    <row r="134" spans="2:12">
      <c r="B134" s="550">
        <v>19339</v>
      </c>
      <c r="C134" s="550" t="s">
        <v>1484</v>
      </c>
      <c r="D134" s="550" t="s">
        <v>2015</v>
      </c>
      <c r="E134" s="550" t="s">
        <v>1812</v>
      </c>
      <c r="F134" s="550" t="s">
        <v>1813</v>
      </c>
      <c r="G134" s="550" t="s">
        <v>14144</v>
      </c>
      <c r="H134" s="550" t="s">
        <v>2134</v>
      </c>
      <c r="I134" s="550" t="s">
        <v>2135</v>
      </c>
      <c r="J134" s="550" t="s">
        <v>2136</v>
      </c>
      <c r="K134" s="550" t="s">
        <v>14767</v>
      </c>
      <c r="L134" s="550">
        <v>11188</v>
      </c>
    </row>
    <row r="135" spans="2:12">
      <c r="B135" s="550">
        <v>19342</v>
      </c>
      <c r="C135" s="550" t="s">
        <v>1484</v>
      </c>
      <c r="D135" s="550" t="s">
        <v>14388</v>
      </c>
      <c r="E135" s="550" t="s">
        <v>1820</v>
      </c>
      <c r="F135" s="551" t="s">
        <v>13802</v>
      </c>
      <c r="G135" s="550" t="s">
        <v>14389</v>
      </c>
      <c r="H135" s="550" t="s">
        <v>2139</v>
      </c>
      <c r="I135" s="550" t="s">
        <v>2140</v>
      </c>
      <c r="J135" s="550" t="s">
        <v>14390</v>
      </c>
      <c r="K135" s="549" t="s">
        <v>14769</v>
      </c>
      <c r="L135" s="550">
        <v>11527</v>
      </c>
    </row>
    <row r="136" spans="2:12">
      <c r="B136" s="550">
        <v>19344</v>
      </c>
      <c r="C136" s="550" t="s">
        <v>1484</v>
      </c>
      <c r="D136" s="550" t="s">
        <v>2142</v>
      </c>
      <c r="E136" s="550" t="s">
        <v>1617</v>
      </c>
      <c r="F136" s="550" t="s">
        <v>1618</v>
      </c>
      <c r="G136" s="550" t="s">
        <v>13989</v>
      </c>
      <c r="H136" s="550" t="s">
        <v>2145</v>
      </c>
      <c r="I136" s="550" t="s">
        <v>2146</v>
      </c>
      <c r="J136" s="550" t="s">
        <v>13990</v>
      </c>
      <c r="K136" s="550" t="s">
        <v>1624</v>
      </c>
      <c r="L136" s="550">
        <v>11496</v>
      </c>
    </row>
    <row r="137" spans="2:12">
      <c r="B137" s="550">
        <v>19345</v>
      </c>
      <c r="C137" s="551" t="s">
        <v>1484</v>
      </c>
      <c r="D137" s="550" t="s">
        <v>14468</v>
      </c>
      <c r="E137" s="550" t="s">
        <v>13777</v>
      </c>
      <c r="F137" s="553" t="s">
        <v>13778</v>
      </c>
      <c r="G137" s="551" t="s">
        <v>14469</v>
      </c>
      <c r="H137" s="553"/>
      <c r="I137" s="558">
        <v>5164015</v>
      </c>
      <c r="J137" s="551" t="s">
        <v>14471</v>
      </c>
      <c r="K137" s="550" t="s">
        <v>1633</v>
      </c>
      <c r="L137" s="550">
        <v>11625</v>
      </c>
    </row>
    <row r="138" spans="2:12">
      <c r="B138" s="550">
        <v>19346</v>
      </c>
      <c r="C138" s="550" t="s">
        <v>1484</v>
      </c>
      <c r="D138" s="550" t="s">
        <v>2147</v>
      </c>
      <c r="E138" s="550" t="s">
        <v>1812</v>
      </c>
      <c r="F138" s="550" t="s">
        <v>1813</v>
      </c>
      <c r="G138" s="550" t="s">
        <v>14177</v>
      </c>
      <c r="H138" s="550" t="s">
        <v>2150</v>
      </c>
      <c r="I138" s="550" t="s">
        <v>2151</v>
      </c>
      <c r="J138" s="550" t="s">
        <v>2152</v>
      </c>
      <c r="K138" s="550" t="s">
        <v>14767</v>
      </c>
      <c r="L138" s="550">
        <v>11528</v>
      </c>
    </row>
    <row r="139" spans="2:12">
      <c r="B139" s="550">
        <v>19355</v>
      </c>
      <c r="C139" s="550" t="s">
        <v>3387</v>
      </c>
      <c r="D139" s="550" t="s">
        <v>3470</v>
      </c>
      <c r="E139" s="550" t="s">
        <v>1626</v>
      </c>
      <c r="F139" s="551" t="s">
        <v>13763</v>
      </c>
      <c r="G139" s="550" t="s">
        <v>13817</v>
      </c>
      <c r="H139" s="550" t="s">
        <v>3472</v>
      </c>
      <c r="I139" s="550" t="s">
        <v>3473</v>
      </c>
      <c r="J139" s="550" t="s">
        <v>13818</v>
      </c>
      <c r="K139" s="550" t="s">
        <v>1633</v>
      </c>
      <c r="L139" s="550">
        <v>11607</v>
      </c>
    </row>
    <row r="140" spans="2:12">
      <c r="B140" s="550">
        <v>19357</v>
      </c>
      <c r="C140" s="550" t="s">
        <v>3387</v>
      </c>
      <c r="D140" s="550" t="s">
        <v>3475</v>
      </c>
      <c r="E140" s="550" t="s">
        <v>1820</v>
      </c>
      <c r="F140" s="551" t="s">
        <v>13802</v>
      </c>
      <c r="G140" s="550" t="s">
        <v>3476</v>
      </c>
      <c r="H140" s="550" t="s">
        <v>3478</v>
      </c>
      <c r="I140" s="550" t="s">
        <v>3479</v>
      </c>
      <c r="J140" s="550" t="s">
        <v>3480</v>
      </c>
      <c r="K140" s="549" t="s">
        <v>14769</v>
      </c>
      <c r="L140" s="550">
        <v>11623</v>
      </c>
    </row>
    <row r="141" spans="2:12">
      <c r="B141" s="550">
        <v>19358</v>
      </c>
      <c r="C141" s="550" t="s">
        <v>3387</v>
      </c>
      <c r="D141" s="550" t="s">
        <v>13849</v>
      </c>
      <c r="E141" s="550" t="s">
        <v>1654</v>
      </c>
      <c r="F141" s="550" t="s">
        <v>13774</v>
      </c>
      <c r="G141" s="550" t="s">
        <v>13850</v>
      </c>
      <c r="H141" s="550" t="s">
        <v>3483</v>
      </c>
      <c r="I141" s="550" t="s">
        <v>3484</v>
      </c>
      <c r="J141" s="550"/>
      <c r="K141" s="556" t="s">
        <v>7010</v>
      </c>
      <c r="L141" s="550">
        <v>11599</v>
      </c>
    </row>
    <row r="142" spans="2:12">
      <c r="B142" s="550">
        <v>19359</v>
      </c>
      <c r="C142" s="550" t="s">
        <v>3387</v>
      </c>
      <c r="D142" s="550" t="s">
        <v>3486</v>
      </c>
      <c r="E142" s="550" t="s">
        <v>1707</v>
      </c>
      <c r="F142" s="551" t="s">
        <v>13799</v>
      </c>
      <c r="G142" s="550" t="s">
        <v>13843</v>
      </c>
      <c r="H142" s="550" t="s">
        <v>3489</v>
      </c>
      <c r="I142" s="550" t="s">
        <v>3490</v>
      </c>
      <c r="J142" s="550" t="s">
        <v>13844</v>
      </c>
      <c r="K142" s="550" t="s">
        <v>1633</v>
      </c>
      <c r="L142" s="550">
        <v>11692</v>
      </c>
    </row>
    <row r="143" spans="2:12">
      <c r="B143" s="550">
        <v>19364</v>
      </c>
      <c r="C143" s="550" t="s">
        <v>3387</v>
      </c>
      <c r="D143" s="550" t="s">
        <v>3491</v>
      </c>
      <c r="E143" s="550" t="s">
        <v>1654</v>
      </c>
      <c r="F143" s="550" t="s">
        <v>13774</v>
      </c>
      <c r="G143" s="550" t="s">
        <v>13851</v>
      </c>
      <c r="H143" s="550" t="s">
        <v>3493</v>
      </c>
      <c r="I143" s="550" t="s">
        <v>3234</v>
      </c>
      <c r="J143" s="550" t="s">
        <v>13852</v>
      </c>
      <c r="K143" s="556" t="s">
        <v>7010</v>
      </c>
      <c r="L143" s="550">
        <v>11444</v>
      </c>
    </row>
    <row r="144" spans="2:12">
      <c r="B144" s="550">
        <v>19376</v>
      </c>
      <c r="C144" s="550" t="s">
        <v>3387</v>
      </c>
      <c r="D144" s="550" t="s">
        <v>13830</v>
      </c>
      <c r="E144" s="550" t="s">
        <v>1661</v>
      </c>
      <c r="F144" s="551" t="s">
        <v>13771</v>
      </c>
      <c r="G144" s="550" t="s">
        <v>13831</v>
      </c>
      <c r="H144" s="550" t="s">
        <v>3497</v>
      </c>
      <c r="I144" s="550" t="s">
        <v>3498</v>
      </c>
      <c r="J144" s="550" t="s">
        <v>3499</v>
      </c>
      <c r="K144" s="550" t="s">
        <v>1669</v>
      </c>
      <c r="L144" s="550">
        <v>12147</v>
      </c>
    </row>
    <row r="145" spans="2:12">
      <c r="B145" s="550">
        <v>19377</v>
      </c>
      <c r="C145" s="550" t="s">
        <v>3387</v>
      </c>
      <c r="D145" s="550" t="s">
        <v>3500</v>
      </c>
      <c r="E145" s="550" t="s">
        <v>1812</v>
      </c>
      <c r="F145" s="550" t="s">
        <v>1813</v>
      </c>
      <c r="G145" s="550" t="s">
        <v>13832</v>
      </c>
      <c r="H145" s="550" t="s">
        <v>3503</v>
      </c>
      <c r="I145" s="550" t="s">
        <v>3504</v>
      </c>
      <c r="J145" s="550"/>
      <c r="K145" s="550" t="s">
        <v>14767</v>
      </c>
      <c r="L145" s="550">
        <v>12103</v>
      </c>
    </row>
    <row r="146" spans="2:12">
      <c r="B146" s="550">
        <v>19380</v>
      </c>
      <c r="C146" s="551" t="s">
        <v>3387</v>
      </c>
      <c r="D146" s="550" t="s">
        <v>14813</v>
      </c>
      <c r="E146" s="550" t="s">
        <v>13777</v>
      </c>
      <c r="F146" s="553" t="s">
        <v>13778</v>
      </c>
      <c r="G146" s="551" t="s">
        <v>14738</v>
      </c>
      <c r="H146" s="553"/>
      <c r="I146" s="558">
        <v>5267174</v>
      </c>
      <c r="J146" s="551" t="s">
        <v>14741</v>
      </c>
      <c r="K146" s="550" t="s">
        <v>1633</v>
      </c>
      <c r="L146" s="550">
        <v>12115</v>
      </c>
    </row>
    <row r="147" spans="2:12">
      <c r="B147" s="550">
        <v>19381</v>
      </c>
      <c r="C147" s="550" t="s">
        <v>1484</v>
      </c>
      <c r="D147" s="550" t="s">
        <v>2153</v>
      </c>
      <c r="E147" s="550" t="s">
        <v>1640</v>
      </c>
      <c r="F147" s="550" t="s">
        <v>1641</v>
      </c>
      <c r="G147" s="550" t="s">
        <v>14213</v>
      </c>
      <c r="H147" s="550" t="s">
        <v>2156</v>
      </c>
      <c r="I147" s="550" t="s">
        <v>2157</v>
      </c>
      <c r="J147" s="550" t="s">
        <v>14214</v>
      </c>
      <c r="K147" s="550" t="s">
        <v>1633</v>
      </c>
      <c r="L147" s="550">
        <v>9345</v>
      </c>
    </row>
    <row r="148" spans="2:12">
      <c r="B148" s="550">
        <v>19382</v>
      </c>
      <c r="C148" s="550" t="s">
        <v>3387</v>
      </c>
      <c r="D148" s="550" t="s">
        <v>3505</v>
      </c>
      <c r="E148" s="550" t="s">
        <v>1654</v>
      </c>
      <c r="F148" s="550" t="s">
        <v>13774</v>
      </c>
      <c r="G148" s="550" t="s">
        <v>13847</v>
      </c>
      <c r="H148" s="550" t="s">
        <v>3507</v>
      </c>
      <c r="I148" s="550" t="s">
        <v>3508</v>
      </c>
      <c r="J148" s="550" t="s">
        <v>13848</v>
      </c>
      <c r="K148" s="556" t="s">
        <v>7010</v>
      </c>
      <c r="L148" s="550">
        <v>11851</v>
      </c>
    </row>
    <row r="149" spans="2:12">
      <c r="B149" s="550">
        <v>19392</v>
      </c>
      <c r="C149" s="551" t="s">
        <v>3387</v>
      </c>
      <c r="D149" s="550" t="s">
        <v>14481</v>
      </c>
      <c r="E149" s="550" t="s">
        <v>13777</v>
      </c>
      <c r="F149" s="553" t="s">
        <v>13778</v>
      </c>
      <c r="G149" s="551" t="s">
        <v>14725</v>
      </c>
      <c r="H149" s="553"/>
      <c r="I149" s="558">
        <v>5347010</v>
      </c>
      <c r="J149" s="551" t="s">
        <v>14727</v>
      </c>
      <c r="K149" s="550" t="s">
        <v>1633</v>
      </c>
      <c r="L149" s="550">
        <v>12254</v>
      </c>
    </row>
    <row r="150" spans="2:12">
      <c r="B150" s="550">
        <v>19393</v>
      </c>
      <c r="C150" s="550" t="s">
        <v>1484</v>
      </c>
      <c r="D150" s="550" t="s">
        <v>2159</v>
      </c>
      <c r="E150" s="550" t="s">
        <v>1626</v>
      </c>
      <c r="F150" s="551" t="s">
        <v>13763</v>
      </c>
      <c r="G150" s="550" t="s">
        <v>13935</v>
      </c>
      <c r="H150" s="550" t="s">
        <v>2162</v>
      </c>
      <c r="I150" s="550" t="s">
        <v>2163</v>
      </c>
      <c r="J150" s="550" t="s">
        <v>2164</v>
      </c>
      <c r="K150" s="550" t="s">
        <v>1633</v>
      </c>
      <c r="L150" s="550">
        <v>11829</v>
      </c>
    </row>
    <row r="151" spans="2:12">
      <c r="B151" s="550">
        <v>19403</v>
      </c>
      <c r="C151" s="550" t="s">
        <v>1484</v>
      </c>
      <c r="D151" s="550" t="s">
        <v>2165</v>
      </c>
      <c r="E151" s="550" t="s">
        <v>1812</v>
      </c>
      <c r="F151" s="550" t="s">
        <v>1813</v>
      </c>
      <c r="G151" s="550" t="s">
        <v>14194</v>
      </c>
      <c r="H151" s="550" t="s">
        <v>2167</v>
      </c>
      <c r="I151" s="550" t="s">
        <v>2168</v>
      </c>
      <c r="J151" s="550" t="s">
        <v>2169</v>
      </c>
      <c r="K151" s="550" t="s">
        <v>14767</v>
      </c>
      <c r="L151" s="550">
        <v>12094</v>
      </c>
    </row>
    <row r="152" spans="2:12">
      <c r="B152" s="550">
        <v>19429</v>
      </c>
      <c r="C152" s="550" t="s">
        <v>1484</v>
      </c>
      <c r="D152" s="550" t="s">
        <v>2170</v>
      </c>
      <c r="E152" s="550" t="s">
        <v>1707</v>
      </c>
      <c r="F152" s="551" t="s">
        <v>13799</v>
      </c>
      <c r="G152" s="550" t="s">
        <v>14275</v>
      </c>
      <c r="H152" s="550" t="s">
        <v>2172</v>
      </c>
      <c r="I152" s="550" t="s">
        <v>2173</v>
      </c>
      <c r="J152" s="550" t="s">
        <v>14276</v>
      </c>
      <c r="K152" s="550" t="s">
        <v>1633</v>
      </c>
      <c r="L152" s="550">
        <v>9353</v>
      </c>
    </row>
    <row r="153" spans="2:12">
      <c r="B153" s="550">
        <v>19441</v>
      </c>
      <c r="C153" s="550" t="s">
        <v>3387</v>
      </c>
      <c r="D153" s="550" t="s">
        <v>14814</v>
      </c>
      <c r="E153" s="550" t="s">
        <v>1486</v>
      </c>
      <c r="F153" s="550" t="s">
        <v>161</v>
      </c>
      <c r="G153" s="550" t="s">
        <v>13811</v>
      </c>
      <c r="H153" s="550" t="s">
        <v>3510</v>
      </c>
      <c r="I153" s="550" t="s">
        <v>3511</v>
      </c>
      <c r="J153" s="550" t="s">
        <v>13812</v>
      </c>
      <c r="K153" s="550" t="s">
        <v>1669</v>
      </c>
      <c r="L153" s="550">
        <v>12069</v>
      </c>
    </row>
    <row r="154" spans="2:12">
      <c r="B154" s="550">
        <v>19444</v>
      </c>
      <c r="C154" s="550" t="s">
        <v>1484</v>
      </c>
      <c r="D154" s="550" t="s">
        <v>2174</v>
      </c>
      <c r="E154" s="550" t="s">
        <v>1661</v>
      </c>
      <c r="F154" s="551" t="s">
        <v>13771</v>
      </c>
      <c r="G154" s="550" t="s">
        <v>14127</v>
      </c>
      <c r="H154" s="550" t="s">
        <v>2176</v>
      </c>
      <c r="I154" s="550" t="s">
        <v>2177</v>
      </c>
      <c r="J154" s="550" t="s">
        <v>14128</v>
      </c>
      <c r="K154" s="550" t="s">
        <v>1669</v>
      </c>
      <c r="L154" s="550">
        <v>12173</v>
      </c>
    </row>
    <row r="155" spans="2:12">
      <c r="B155" s="550">
        <v>19446</v>
      </c>
      <c r="C155" s="551" t="s">
        <v>1484</v>
      </c>
      <c r="D155" s="550" t="s">
        <v>14615</v>
      </c>
      <c r="E155" s="550" t="s">
        <v>13777</v>
      </c>
      <c r="F155" s="553" t="s">
        <v>13778</v>
      </c>
      <c r="G155" s="551" t="s">
        <v>14616</v>
      </c>
      <c r="H155" s="553"/>
      <c r="I155" s="558">
        <v>5209000</v>
      </c>
      <c r="J155" s="551" t="s">
        <v>14618</v>
      </c>
      <c r="K155" s="550" t="s">
        <v>1633</v>
      </c>
      <c r="L155" s="550">
        <v>12215</v>
      </c>
    </row>
    <row r="156" spans="2:12">
      <c r="B156" s="550">
        <v>19448</v>
      </c>
      <c r="C156" s="550" t="s">
        <v>1484</v>
      </c>
      <c r="D156" s="550" t="s">
        <v>1529</v>
      </c>
      <c r="E156" s="550" t="s">
        <v>1486</v>
      </c>
      <c r="F156" s="550" t="s">
        <v>161</v>
      </c>
      <c r="G156" s="550" t="s">
        <v>13880</v>
      </c>
      <c r="H156" s="550" t="s">
        <v>1530</v>
      </c>
      <c r="I156" s="550" t="s">
        <v>1718</v>
      </c>
      <c r="J156" s="550" t="s">
        <v>13881</v>
      </c>
      <c r="K156" s="550" t="s">
        <v>1669</v>
      </c>
      <c r="L156" s="550">
        <v>12068</v>
      </c>
    </row>
    <row r="157" spans="2:12">
      <c r="B157" s="550">
        <v>19450</v>
      </c>
      <c r="C157" s="559" t="s">
        <v>1484</v>
      </c>
      <c r="D157" s="550" t="s">
        <v>2178</v>
      </c>
      <c r="E157" s="559" t="s">
        <v>1654</v>
      </c>
      <c r="F157" s="550" t="s">
        <v>13774</v>
      </c>
      <c r="G157" s="550" t="s">
        <v>14685</v>
      </c>
      <c r="H157" s="553" t="s">
        <v>2181</v>
      </c>
      <c r="I157" s="559" t="s">
        <v>2182</v>
      </c>
      <c r="J157" s="559" t="s">
        <v>14686</v>
      </c>
      <c r="K157" s="556" t="s">
        <v>7010</v>
      </c>
      <c r="L157" s="560">
        <v>12441</v>
      </c>
    </row>
    <row r="158" spans="2:12">
      <c r="B158" s="550">
        <v>19451</v>
      </c>
      <c r="C158" s="550" t="s">
        <v>1484</v>
      </c>
      <c r="D158" s="550" t="s">
        <v>1531</v>
      </c>
      <c r="E158" s="550" t="s">
        <v>1486</v>
      </c>
      <c r="F158" s="550" t="s">
        <v>161</v>
      </c>
      <c r="G158" s="550" t="s">
        <v>13905</v>
      </c>
      <c r="H158" s="550" t="s">
        <v>1534</v>
      </c>
      <c r="I158" s="550" t="s">
        <v>2183</v>
      </c>
      <c r="J158" s="550"/>
      <c r="K158" s="550" t="s">
        <v>1669</v>
      </c>
      <c r="L158" s="550">
        <v>12265</v>
      </c>
    </row>
    <row r="159" spans="2:12">
      <c r="B159" s="550">
        <v>19452</v>
      </c>
      <c r="C159" s="551" t="s">
        <v>1484</v>
      </c>
      <c r="D159" s="550" t="s">
        <v>14815</v>
      </c>
      <c r="E159" s="550" t="s">
        <v>13777</v>
      </c>
      <c r="F159" s="553" t="s">
        <v>13778</v>
      </c>
      <c r="G159" s="551" t="s">
        <v>14593</v>
      </c>
      <c r="H159" s="553"/>
      <c r="I159" s="558">
        <v>2820040</v>
      </c>
      <c r="J159" s="551" t="s">
        <v>14596</v>
      </c>
      <c r="K159" s="550" t="s">
        <v>1633</v>
      </c>
      <c r="L159" s="550">
        <v>12250</v>
      </c>
    </row>
    <row r="160" spans="2:12">
      <c r="B160" s="550">
        <v>19459</v>
      </c>
      <c r="C160" s="550" t="s">
        <v>1484</v>
      </c>
      <c r="D160" s="550" t="s">
        <v>14340</v>
      </c>
      <c r="E160" s="550" t="s">
        <v>1707</v>
      </c>
      <c r="F160" s="551" t="s">
        <v>13799</v>
      </c>
      <c r="G160" s="550" t="s">
        <v>14341</v>
      </c>
      <c r="H160" s="550" t="s">
        <v>2186</v>
      </c>
      <c r="I160" s="550" t="s">
        <v>2187</v>
      </c>
      <c r="J160" s="550">
        <v>20314363</v>
      </c>
      <c r="K160" s="550" t="s">
        <v>1633</v>
      </c>
      <c r="L160" s="550">
        <v>12383</v>
      </c>
    </row>
    <row r="161" spans="2:12">
      <c r="B161" s="550">
        <v>19461</v>
      </c>
      <c r="C161" s="551" t="s">
        <v>1484</v>
      </c>
      <c r="D161" s="550" t="s">
        <v>14517</v>
      </c>
      <c r="E161" s="550" t="s">
        <v>13777</v>
      </c>
      <c r="F161" s="553" t="s">
        <v>13778</v>
      </c>
      <c r="G161" s="551" t="s">
        <v>14518</v>
      </c>
      <c r="H161" s="553"/>
      <c r="I161" s="558">
        <v>5269060</v>
      </c>
      <c r="J161" s="551" t="s">
        <v>14521</v>
      </c>
      <c r="K161" s="550" t="s">
        <v>1633</v>
      </c>
      <c r="L161" s="550">
        <v>9387</v>
      </c>
    </row>
    <row r="162" spans="2:12">
      <c r="B162" s="550">
        <v>19467</v>
      </c>
      <c r="C162" s="553" t="s">
        <v>1484</v>
      </c>
      <c r="D162" s="550" t="s">
        <v>14816</v>
      </c>
      <c r="E162" s="550" t="s">
        <v>13777</v>
      </c>
      <c r="F162" s="553" t="s">
        <v>13778</v>
      </c>
      <c r="G162" s="553" t="s">
        <v>14612</v>
      </c>
      <c r="H162" s="553"/>
      <c r="I162" s="555">
        <v>2815060</v>
      </c>
      <c r="J162" s="553"/>
      <c r="K162" s="550" t="s">
        <v>1633</v>
      </c>
      <c r="L162" s="550">
        <v>12559</v>
      </c>
    </row>
    <row r="163" spans="2:12">
      <c r="B163" s="550">
        <v>19468</v>
      </c>
      <c r="C163" s="550" t="s">
        <v>1484</v>
      </c>
      <c r="D163" s="550" t="s">
        <v>2188</v>
      </c>
      <c r="E163" s="550" t="s">
        <v>1707</v>
      </c>
      <c r="F163" s="551" t="s">
        <v>13799</v>
      </c>
      <c r="G163" s="550" t="s">
        <v>14317</v>
      </c>
      <c r="H163" s="550" t="s">
        <v>2191</v>
      </c>
      <c r="I163" s="550" t="s">
        <v>2192</v>
      </c>
      <c r="J163" s="550" t="s">
        <v>14318</v>
      </c>
      <c r="K163" s="550" t="s">
        <v>1633</v>
      </c>
      <c r="L163" s="550">
        <v>12522</v>
      </c>
    </row>
    <row r="164" spans="2:12">
      <c r="B164" s="550">
        <v>19469</v>
      </c>
      <c r="C164" s="550" t="s">
        <v>1484</v>
      </c>
      <c r="D164" s="550" t="s">
        <v>2193</v>
      </c>
      <c r="E164" s="550" t="s">
        <v>1626</v>
      </c>
      <c r="F164" s="551" t="s">
        <v>13763</v>
      </c>
      <c r="G164" s="550" t="s">
        <v>13943</v>
      </c>
      <c r="H164" s="550" t="s">
        <v>2197</v>
      </c>
      <c r="I164" s="550"/>
      <c r="J164" s="550"/>
      <c r="K164" s="550" t="s">
        <v>1633</v>
      </c>
      <c r="L164" s="550">
        <v>12689</v>
      </c>
    </row>
    <row r="165" spans="2:12">
      <c r="B165" s="550">
        <v>19470</v>
      </c>
      <c r="C165" s="550" t="s">
        <v>1484</v>
      </c>
      <c r="D165" s="550" t="s">
        <v>2199</v>
      </c>
      <c r="E165" s="550" t="s">
        <v>1640</v>
      </c>
      <c r="F165" s="550" t="s">
        <v>1641</v>
      </c>
      <c r="G165" s="550" t="s">
        <v>14258</v>
      </c>
      <c r="H165" s="550" t="s">
        <v>2202</v>
      </c>
      <c r="I165" s="550" t="s">
        <v>2203</v>
      </c>
      <c r="J165" s="550" t="s">
        <v>14259</v>
      </c>
      <c r="K165" s="550" t="s">
        <v>1633</v>
      </c>
      <c r="L165" s="550">
        <v>9385</v>
      </c>
    </row>
    <row r="166" spans="2:12">
      <c r="B166" s="550">
        <v>19473</v>
      </c>
      <c r="C166" s="550" t="s">
        <v>1484</v>
      </c>
      <c r="D166" s="550" t="s">
        <v>1535</v>
      </c>
      <c r="E166" s="550" t="s">
        <v>1486</v>
      </c>
      <c r="F166" s="550" t="s">
        <v>161</v>
      </c>
      <c r="G166" s="550" t="s">
        <v>13913</v>
      </c>
      <c r="H166" s="550" t="s">
        <v>1537</v>
      </c>
      <c r="I166" s="550" t="s">
        <v>2205</v>
      </c>
      <c r="J166" s="550" t="s">
        <v>13914</v>
      </c>
      <c r="K166" s="550" t="s">
        <v>1669</v>
      </c>
      <c r="L166" s="550">
        <v>12606</v>
      </c>
    </row>
    <row r="167" spans="2:12">
      <c r="B167" s="550">
        <v>19477</v>
      </c>
      <c r="C167" s="550" t="s">
        <v>1484</v>
      </c>
      <c r="D167" s="550" t="s">
        <v>2206</v>
      </c>
      <c r="E167" s="550" t="s">
        <v>1661</v>
      </c>
      <c r="F167" s="551" t="s">
        <v>13771</v>
      </c>
      <c r="G167" s="550" t="s">
        <v>14080</v>
      </c>
      <c r="H167" s="550" t="s">
        <v>2209</v>
      </c>
      <c r="I167" s="550" t="s">
        <v>2210</v>
      </c>
      <c r="J167" s="550" t="s">
        <v>14081</v>
      </c>
      <c r="K167" s="550" t="s">
        <v>1669</v>
      </c>
      <c r="L167" s="550">
        <v>12719</v>
      </c>
    </row>
    <row r="168" spans="2:12">
      <c r="B168" s="550">
        <v>19478</v>
      </c>
      <c r="C168" s="550" t="s">
        <v>1484</v>
      </c>
      <c r="D168" s="550" t="s">
        <v>2211</v>
      </c>
      <c r="E168" s="550" t="s">
        <v>1661</v>
      </c>
      <c r="F168" s="551" t="s">
        <v>13771</v>
      </c>
      <c r="G168" s="550" t="s">
        <v>14098</v>
      </c>
      <c r="H168" s="550" t="s">
        <v>2214</v>
      </c>
      <c r="I168" s="550" t="s">
        <v>2215</v>
      </c>
      <c r="J168" s="550" t="s">
        <v>14099</v>
      </c>
      <c r="K168" s="550" t="s">
        <v>1669</v>
      </c>
      <c r="L168" s="550">
        <v>12718</v>
      </c>
    </row>
    <row r="169" spans="2:12">
      <c r="B169" s="550">
        <v>19479</v>
      </c>
      <c r="C169" s="550" t="s">
        <v>1484</v>
      </c>
      <c r="D169" s="550" t="s">
        <v>1538</v>
      </c>
      <c r="E169" s="550" t="s">
        <v>1486</v>
      </c>
      <c r="F169" s="550" t="s">
        <v>161</v>
      </c>
      <c r="G169" s="550" t="s">
        <v>13915</v>
      </c>
      <c r="H169" s="550" t="s">
        <v>1540</v>
      </c>
      <c r="I169" s="550" t="s">
        <v>2217</v>
      </c>
      <c r="J169" s="550" t="s">
        <v>13916</v>
      </c>
      <c r="K169" s="550" t="s">
        <v>1669</v>
      </c>
      <c r="L169" s="550">
        <v>12755</v>
      </c>
    </row>
    <row r="170" spans="2:12">
      <c r="B170" s="550">
        <v>19481</v>
      </c>
      <c r="C170" s="550" t="s">
        <v>1484</v>
      </c>
      <c r="D170" s="550" t="s">
        <v>14395</v>
      </c>
      <c r="E170" s="550" t="s">
        <v>1820</v>
      </c>
      <c r="F170" s="551" t="s">
        <v>13802</v>
      </c>
      <c r="G170" s="550" t="s">
        <v>14396</v>
      </c>
      <c r="H170" s="550" t="s">
        <v>2220</v>
      </c>
      <c r="I170" s="550" t="s">
        <v>2221</v>
      </c>
      <c r="J170" s="550" t="s">
        <v>14397</v>
      </c>
      <c r="K170" s="549" t="s">
        <v>14769</v>
      </c>
      <c r="L170" s="550">
        <v>12757</v>
      </c>
    </row>
    <row r="171" spans="2:12">
      <c r="B171" s="550">
        <v>19482</v>
      </c>
      <c r="C171" s="550" t="s">
        <v>1484</v>
      </c>
      <c r="D171" s="550" t="s">
        <v>2222</v>
      </c>
      <c r="E171" s="550" t="s">
        <v>1626</v>
      </c>
      <c r="F171" s="551" t="s">
        <v>13763</v>
      </c>
      <c r="G171" s="550" t="s">
        <v>13961</v>
      </c>
      <c r="H171" s="550" t="s">
        <v>2225</v>
      </c>
      <c r="I171" s="550" t="s">
        <v>2226</v>
      </c>
      <c r="J171" s="550" t="s">
        <v>13962</v>
      </c>
      <c r="K171" s="550" t="s">
        <v>1633</v>
      </c>
      <c r="L171" s="550">
        <v>12773</v>
      </c>
    </row>
    <row r="172" spans="2:12">
      <c r="B172" s="550">
        <v>19484</v>
      </c>
      <c r="C172" s="553" t="s">
        <v>1484</v>
      </c>
      <c r="D172" s="550" t="s">
        <v>14472</v>
      </c>
      <c r="E172" s="550" t="s">
        <v>13777</v>
      </c>
      <c r="F172" s="553" t="s">
        <v>13778</v>
      </c>
      <c r="G172" s="553" t="s">
        <v>14473</v>
      </c>
      <c r="H172" s="553"/>
      <c r="I172" s="555">
        <v>2992210</v>
      </c>
      <c r="J172" s="553"/>
      <c r="K172" s="550" t="s">
        <v>1633</v>
      </c>
      <c r="L172" s="550">
        <v>12752</v>
      </c>
    </row>
    <row r="173" spans="2:12">
      <c r="B173" s="550">
        <v>19485</v>
      </c>
      <c r="C173" s="550" t="s">
        <v>1484</v>
      </c>
      <c r="D173" s="550" t="s">
        <v>13991</v>
      </c>
      <c r="E173" s="550" t="s">
        <v>1617</v>
      </c>
      <c r="F173" s="550" t="s">
        <v>1618</v>
      </c>
      <c r="G173" s="550" t="s">
        <v>13992</v>
      </c>
      <c r="H173" s="550" t="s">
        <v>2230</v>
      </c>
      <c r="I173" s="550" t="s">
        <v>2231</v>
      </c>
      <c r="J173" s="550" t="s">
        <v>13993</v>
      </c>
      <c r="K173" s="550" t="s">
        <v>1624</v>
      </c>
      <c r="L173" s="550">
        <v>12777</v>
      </c>
    </row>
    <row r="174" spans="2:12">
      <c r="B174" s="550">
        <v>19486</v>
      </c>
      <c r="C174" s="553" t="s">
        <v>1484</v>
      </c>
      <c r="D174" s="550" t="s">
        <v>14486</v>
      </c>
      <c r="E174" s="550" t="s">
        <v>13777</v>
      </c>
      <c r="F174" s="553" t="s">
        <v>13778</v>
      </c>
      <c r="G174" s="553" t="s">
        <v>14487</v>
      </c>
      <c r="H174" s="553"/>
      <c r="I174" s="555" t="s">
        <v>14490</v>
      </c>
      <c r="J174" s="553"/>
      <c r="K174" s="550" t="s">
        <v>1633</v>
      </c>
      <c r="L174" s="550">
        <v>12753</v>
      </c>
    </row>
    <row r="175" spans="2:12">
      <c r="B175" s="550">
        <v>19489</v>
      </c>
      <c r="C175" s="550" t="s">
        <v>1484</v>
      </c>
      <c r="D175" s="550" t="s">
        <v>2232</v>
      </c>
      <c r="E175" s="550" t="s">
        <v>1707</v>
      </c>
      <c r="F175" s="551" t="s">
        <v>13799</v>
      </c>
      <c r="G175" s="550" t="s">
        <v>14330</v>
      </c>
      <c r="H175" s="550" t="s">
        <v>2235</v>
      </c>
      <c r="I175" s="550" t="s">
        <v>2236</v>
      </c>
      <c r="J175" s="550" t="s">
        <v>14331</v>
      </c>
      <c r="K175" s="550" t="s">
        <v>1633</v>
      </c>
      <c r="L175" s="550">
        <v>12799</v>
      </c>
    </row>
    <row r="176" spans="2:12">
      <c r="B176" s="550">
        <v>19502</v>
      </c>
      <c r="C176" s="550" t="s">
        <v>1484</v>
      </c>
      <c r="D176" s="550" t="s">
        <v>13697</v>
      </c>
      <c r="E176" s="550" t="s">
        <v>1707</v>
      </c>
      <c r="F176" s="551" t="s">
        <v>13799</v>
      </c>
      <c r="G176" s="550" t="s">
        <v>14327</v>
      </c>
      <c r="H176" s="550" t="s">
        <v>2238</v>
      </c>
      <c r="I176" s="550" t="s">
        <v>2239</v>
      </c>
      <c r="J176" s="550"/>
      <c r="K176" s="550" t="s">
        <v>1633</v>
      </c>
      <c r="L176" s="550">
        <v>12839</v>
      </c>
    </row>
    <row r="177" spans="2:12">
      <c r="B177" s="550">
        <v>19504</v>
      </c>
      <c r="C177" s="550" t="s">
        <v>1484</v>
      </c>
      <c r="D177" s="550" t="s">
        <v>2240</v>
      </c>
      <c r="E177" s="550" t="s">
        <v>1812</v>
      </c>
      <c r="F177" s="550" t="s">
        <v>1813</v>
      </c>
      <c r="G177" s="550" t="s">
        <v>14137</v>
      </c>
      <c r="H177" s="550" t="s">
        <v>2243</v>
      </c>
      <c r="I177" s="550" t="s">
        <v>2244</v>
      </c>
      <c r="J177" s="550" t="s">
        <v>14138</v>
      </c>
      <c r="K177" s="550" t="s">
        <v>14767</v>
      </c>
      <c r="L177" s="550">
        <v>12890</v>
      </c>
    </row>
    <row r="178" spans="2:12">
      <c r="B178" s="550">
        <v>19504</v>
      </c>
      <c r="C178" s="550" t="s">
        <v>1484</v>
      </c>
      <c r="D178" s="550" t="s">
        <v>2240</v>
      </c>
      <c r="E178" s="550" t="s">
        <v>1812</v>
      </c>
      <c r="F178" s="550" t="s">
        <v>1813</v>
      </c>
      <c r="G178" s="550" t="s">
        <v>14137</v>
      </c>
      <c r="H178" s="550" t="s">
        <v>2243</v>
      </c>
      <c r="I178" s="550" t="s">
        <v>2244</v>
      </c>
      <c r="J178" s="550" t="s">
        <v>14138</v>
      </c>
      <c r="K178" s="550" t="s">
        <v>14767</v>
      </c>
      <c r="L178" s="550">
        <v>12890</v>
      </c>
    </row>
    <row r="179" spans="2:12">
      <c r="B179" s="550">
        <v>19508</v>
      </c>
      <c r="C179" s="559" t="s">
        <v>1484</v>
      </c>
      <c r="D179" s="550" t="s">
        <v>14710</v>
      </c>
      <c r="E179" s="559" t="s">
        <v>1654</v>
      </c>
      <c r="F179" s="550" t="s">
        <v>13774</v>
      </c>
      <c r="G179" s="550" t="s">
        <v>14711</v>
      </c>
      <c r="H179" s="553" t="s">
        <v>2248</v>
      </c>
      <c r="I179" s="559" t="s">
        <v>2249</v>
      </c>
      <c r="J179" s="559"/>
      <c r="K179" s="556" t="s">
        <v>7010</v>
      </c>
      <c r="L179" s="562">
        <v>12885</v>
      </c>
    </row>
    <row r="180" spans="2:12">
      <c r="B180" s="550">
        <v>19511</v>
      </c>
      <c r="C180" s="550" t="s">
        <v>1484</v>
      </c>
      <c r="D180" s="550" t="s">
        <v>13978</v>
      </c>
      <c r="E180" s="550" t="s">
        <v>1617</v>
      </c>
      <c r="F180" s="550" t="s">
        <v>1618</v>
      </c>
      <c r="G180" s="550" t="s">
        <v>13979</v>
      </c>
      <c r="H180" s="550" t="s">
        <v>2250</v>
      </c>
      <c r="I180" s="550"/>
      <c r="J180" s="550" t="s">
        <v>13980</v>
      </c>
      <c r="K180" s="550" t="s">
        <v>1624</v>
      </c>
      <c r="L180" s="550">
        <v>13028</v>
      </c>
    </row>
    <row r="181" spans="2:12">
      <c r="B181" s="550">
        <v>19518</v>
      </c>
      <c r="C181" s="550" t="s">
        <v>1484</v>
      </c>
      <c r="D181" s="550" t="s">
        <v>2253</v>
      </c>
      <c r="E181" s="550" t="s">
        <v>1812</v>
      </c>
      <c r="F181" s="550" t="s">
        <v>1813</v>
      </c>
      <c r="G181" s="550" t="s">
        <v>14143</v>
      </c>
      <c r="H181" s="550" t="s">
        <v>2255</v>
      </c>
      <c r="I181" s="550" t="s">
        <v>2256</v>
      </c>
      <c r="J181" s="550" t="s">
        <v>2257</v>
      </c>
      <c r="K181" s="550" t="s">
        <v>14767</v>
      </c>
      <c r="L181" s="550">
        <v>9388</v>
      </c>
    </row>
    <row r="182" spans="2:12">
      <c r="B182" s="550">
        <v>19521</v>
      </c>
      <c r="C182" s="550" t="s">
        <v>1484</v>
      </c>
      <c r="D182" s="550" t="s">
        <v>1541</v>
      </c>
      <c r="E182" s="550" t="s">
        <v>1486</v>
      </c>
      <c r="F182" s="550" t="s">
        <v>161</v>
      </c>
      <c r="G182" s="550" t="s">
        <v>1542</v>
      </c>
      <c r="H182" s="550" t="s">
        <v>1544</v>
      </c>
      <c r="I182" s="550" t="s">
        <v>1545</v>
      </c>
      <c r="J182" s="550"/>
      <c r="K182" s="550" t="s">
        <v>1669</v>
      </c>
      <c r="L182" s="550">
        <v>13372</v>
      </c>
    </row>
    <row r="183" spans="2:12">
      <c r="B183" s="550">
        <v>19522</v>
      </c>
      <c r="C183" s="550" t="s">
        <v>1484</v>
      </c>
      <c r="D183" s="550" t="s">
        <v>1546</v>
      </c>
      <c r="E183" s="550" t="s">
        <v>1486</v>
      </c>
      <c r="F183" s="550" t="s">
        <v>161</v>
      </c>
      <c r="G183" s="550" t="s">
        <v>13878</v>
      </c>
      <c r="H183" s="550" t="s">
        <v>1548</v>
      </c>
      <c r="I183" s="550" t="s">
        <v>1549</v>
      </c>
      <c r="J183" s="550" t="s">
        <v>13879</v>
      </c>
      <c r="K183" s="550" t="s">
        <v>1669</v>
      </c>
      <c r="L183" s="550">
        <v>13378</v>
      </c>
    </row>
    <row r="184" spans="2:12">
      <c r="B184" s="550">
        <v>19524</v>
      </c>
      <c r="C184" s="550" t="s">
        <v>1484</v>
      </c>
      <c r="D184" s="550" t="s">
        <v>13971</v>
      </c>
      <c r="E184" s="550" t="s">
        <v>1617</v>
      </c>
      <c r="F184" s="550" t="s">
        <v>1618</v>
      </c>
      <c r="G184" s="550" t="s">
        <v>13972</v>
      </c>
      <c r="H184" s="550" t="s">
        <v>2260</v>
      </c>
      <c r="I184" s="550" t="s">
        <v>2261</v>
      </c>
      <c r="J184" s="550" t="s">
        <v>13973</v>
      </c>
      <c r="K184" s="550" t="s">
        <v>1624</v>
      </c>
      <c r="L184" s="550">
        <v>13297</v>
      </c>
    </row>
    <row r="185" spans="2:12">
      <c r="B185" s="550">
        <v>19533</v>
      </c>
      <c r="C185" s="550" t="s">
        <v>1484</v>
      </c>
      <c r="D185" s="550" t="s">
        <v>1550</v>
      </c>
      <c r="E185" s="550" t="s">
        <v>1486</v>
      </c>
      <c r="F185" s="550" t="s">
        <v>161</v>
      </c>
      <c r="G185" s="550" t="s">
        <v>13865</v>
      </c>
      <c r="H185" s="550" t="s">
        <v>1553</v>
      </c>
      <c r="I185" s="550" t="s">
        <v>1554</v>
      </c>
      <c r="J185" s="550" t="s">
        <v>13866</v>
      </c>
      <c r="K185" s="550" t="s">
        <v>1669</v>
      </c>
      <c r="L185" s="550">
        <v>13517</v>
      </c>
    </row>
    <row r="186" spans="2:12">
      <c r="B186" s="550">
        <v>19534</v>
      </c>
      <c r="C186" s="550" t="s">
        <v>1484</v>
      </c>
      <c r="D186" s="550" t="s">
        <v>2262</v>
      </c>
      <c r="E186" s="550" t="s">
        <v>1661</v>
      </c>
      <c r="F186" s="551" t="s">
        <v>13771</v>
      </c>
      <c r="G186" s="550" t="s">
        <v>14084</v>
      </c>
      <c r="H186" s="550" t="s">
        <v>2264</v>
      </c>
      <c r="I186" s="550" t="s">
        <v>2265</v>
      </c>
      <c r="J186" s="550" t="s">
        <v>14085</v>
      </c>
      <c r="K186" s="550" t="s">
        <v>1669</v>
      </c>
      <c r="L186" s="550">
        <v>9403</v>
      </c>
    </row>
    <row r="187" spans="2:12">
      <c r="B187" s="550">
        <v>19535</v>
      </c>
      <c r="C187" s="550" t="s">
        <v>1484</v>
      </c>
      <c r="D187" s="550" t="s">
        <v>13882</v>
      </c>
      <c r="E187" s="550" t="s">
        <v>1486</v>
      </c>
      <c r="F187" s="550" t="s">
        <v>161</v>
      </c>
      <c r="G187" s="550" t="s">
        <v>13883</v>
      </c>
      <c r="H187" s="550" t="s">
        <v>1556</v>
      </c>
      <c r="I187" s="550" t="s">
        <v>1557</v>
      </c>
      <c r="J187" s="550" t="s">
        <v>13884</v>
      </c>
      <c r="K187" s="550" t="s">
        <v>1669</v>
      </c>
      <c r="L187" s="550">
        <v>13496</v>
      </c>
    </row>
    <row r="188" spans="2:12">
      <c r="B188" s="550">
        <v>19536</v>
      </c>
      <c r="C188" s="550" t="s">
        <v>1484</v>
      </c>
      <c r="D188" s="550" t="s">
        <v>1558</v>
      </c>
      <c r="E188" s="550" t="s">
        <v>1486</v>
      </c>
      <c r="F188" s="550" t="s">
        <v>161</v>
      </c>
      <c r="G188" s="550" t="s">
        <v>1559</v>
      </c>
      <c r="H188" s="550" t="s">
        <v>1560</v>
      </c>
      <c r="I188" s="550" t="s">
        <v>1545</v>
      </c>
      <c r="J188" s="550" t="s">
        <v>13867</v>
      </c>
      <c r="K188" s="550" t="s">
        <v>1669</v>
      </c>
      <c r="L188" s="550">
        <v>13497</v>
      </c>
    </row>
    <row r="189" spans="2:12">
      <c r="B189" s="550">
        <v>19542</v>
      </c>
      <c r="C189" s="550" t="s">
        <v>1484</v>
      </c>
      <c r="D189" s="550" t="s">
        <v>2267</v>
      </c>
      <c r="E189" s="550" t="s">
        <v>1820</v>
      </c>
      <c r="F189" s="551" t="s">
        <v>13802</v>
      </c>
      <c r="G189" s="550" t="s">
        <v>2268</v>
      </c>
      <c r="H189" s="550" t="s">
        <v>2271</v>
      </c>
      <c r="I189" s="550" t="s">
        <v>2272</v>
      </c>
      <c r="J189" s="550" t="s">
        <v>2273</v>
      </c>
      <c r="K189" s="549" t="s">
        <v>14769</v>
      </c>
      <c r="L189" s="550">
        <v>9382</v>
      </c>
    </row>
    <row r="190" spans="2:12">
      <c r="B190" s="550">
        <v>19577</v>
      </c>
      <c r="C190" s="551" t="s">
        <v>1484</v>
      </c>
      <c r="D190" s="550" t="s">
        <v>14456</v>
      </c>
      <c r="E190" s="550" t="s">
        <v>13777</v>
      </c>
      <c r="F190" s="553" t="s">
        <v>13778</v>
      </c>
      <c r="G190" s="551" t="s">
        <v>14540</v>
      </c>
      <c r="H190" s="553"/>
      <c r="I190" s="558">
        <v>2987020</v>
      </c>
      <c r="J190" s="551" t="s">
        <v>14543</v>
      </c>
      <c r="K190" s="550" t="s">
        <v>1633</v>
      </c>
      <c r="L190" s="550">
        <v>9400</v>
      </c>
    </row>
    <row r="191" spans="2:12">
      <c r="B191" s="550">
        <v>19593</v>
      </c>
      <c r="C191" s="559" t="s">
        <v>1484</v>
      </c>
      <c r="D191" s="550" t="s">
        <v>2274</v>
      </c>
      <c r="E191" s="559" t="s">
        <v>1654</v>
      </c>
      <c r="F191" s="550" t="s">
        <v>13774</v>
      </c>
      <c r="G191" s="550" t="s">
        <v>14680</v>
      </c>
      <c r="H191" s="553" t="s">
        <v>2276</v>
      </c>
      <c r="I191" s="559" t="s">
        <v>2277</v>
      </c>
      <c r="J191" s="559"/>
      <c r="K191" s="556" t="s">
        <v>7010</v>
      </c>
      <c r="L191" s="562">
        <v>11311</v>
      </c>
    </row>
    <row r="192" spans="2:12">
      <c r="B192" s="551">
        <v>19611</v>
      </c>
      <c r="C192" s="551" t="s">
        <v>1484</v>
      </c>
      <c r="D192" s="551" t="s">
        <v>13727</v>
      </c>
      <c r="E192" s="551" t="s">
        <v>1486</v>
      </c>
      <c r="F192" s="551" t="s">
        <v>161</v>
      </c>
      <c r="G192" s="563" t="s">
        <v>13728</v>
      </c>
      <c r="H192" s="553" t="s">
        <v>13877</v>
      </c>
      <c r="I192" s="555">
        <v>4852040</v>
      </c>
      <c r="J192" s="551"/>
      <c r="K192" s="551" t="s">
        <v>1669</v>
      </c>
      <c r="L192" s="553">
        <v>14131</v>
      </c>
    </row>
    <row r="193" spans="2:12">
      <c r="B193" s="551">
        <v>19612</v>
      </c>
      <c r="C193" s="551" t="s">
        <v>7662</v>
      </c>
      <c r="D193" s="551" t="s">
        <v>13733</v>
      </c>
      <c r="E193" s="551" t="s">
        <v>1626</v>
      </c>
      <c r="F193" s="551" t="s">
        <v>13763</v>
      </c>
      <c r="G193" s="563" t="s">
        <v>13734</v>
      </c>
      <c r="H193" s="553" t="s">
        <v>13736</v>
      </c>
      <c r="I193" s="555">
        <v>2881070</v>
      </c>
      <c r="J193" s="551"/>
      <c r="K193" s="551" t="s">
        <v>1633</v>
      </c>
      <c r="L193" s="553">
        <v>14180</v>
      </c>
    </row>
    <row r="194" spans="2:12">
      <c r="B194" s="550">
        <v>19623</v>
      </c>
      <c r="C194" s="559" t="s">
        <v>1484</v>
      </c>
      <c r="D194" s="550" t="s">
        <v>14716</v>
      </c>
      <c r="E194" s="559" t="s">
        <v>1654</v>
      </c>
      <c r="F194" s="550" t="s">
        <v>13774</v>
      </c>
      <c r="G194" s="550" t="s">
        <v>14717</v>
      </c>
      <c r="H194" s="553" t="s">
        <v>2279</v>
      </c>
      <c r="I194" s="559" t="s">
        <v>2280</v>
      </c>
      <c r="J194" s="559" t="s">
        <v>14718</v>
      </c>
      <c r="K194" s="556" t="s">
        <v>7010</v>
      </c>
      <c r="L194" s="560">
        <v>11330</v>
      </c>
    </row>
    <row r="195" spans="2:12">
      <c r="B195" s="551">
        <v>19641</v>
      </c>
      <c r="C195" s="551" t="s">
        <v>7662</v>
      </c>
      <c r="D195" s="551" t="s">
        <v>7663</v>
      </c>
      <c r="E195" s="551" t="s">
        <v>1486</v>
      </c>
      <c r="F195" s="551" t="s">
        <v>161</v>
      </c>
      <c r="G195" s="564" t="s">
        <v>13766</v>
      </c>
      <c r="H195" s="551"/>
      <c r="I195" s="551"/>
      <c r="J195" s="551"/>
      <c r="K195" s="550" t="s">
        <v>1669</v>
      </c>
      <c r="L195" s="551">
        <v>13546</v>
      </c>
    </row>
    <row r="196" spans="2:12">
      <c r="B196" s="551">
        <v>19642</v>
      </c>
      <c r="C196" s="551" t="s">
        <v>1484</v>
      </c>
      <c r="D196" s="551" t="s">
        <v>1815</v>
      </c>
      <c r="E196" s="551" t="s">
        <v>1812</v>
      </c>
      <c r="F196" s="551" t="s">
        <v>1813</v>
      </c>
      <c r="G196" s="563" t="s">
        <v>7658</v>
      </c>
      <c r="H196" s="551" t="s">
        <v>7661</v>
      </c>
      <c r="I196" s="551"/>
      <c r="J196" s="551"/>
      <c r="K196" s="550" t="s">
        <v>14767</v>
      </c>
      <c r="L196" s="551"/>
    </row>
    <row r="197" spans="2:12">
      <c r="B197" s="551">
        <v>19644</v>
      </c>
      <c r="C197" s="551" t="s">
        <v>7662</v>
      </c>
      <c r="D197" s="551" t="s">
        <v>13767</v>
      </c>
      <c r="E197" s="551" t="s">
        <v>1486</v>
      </c>
      <c r="F197" s="551" t="s">
        <v>161</v>
      </c>
      <c r="G197" s="564" t="s">
        <v>13768</v>
      </c>
      <c r="H197" s="551"/>
      <c r="I197" s="551"/>
      <c r="J197" s="551"/>
      <c r="K197" s="550" t="s">
        <v>1669</v>
      </c>
      <c r="L197" s="551">
        <v>13718</v>
      </c>
    </row>
    <row r="198" spans="2:12">
      <c r="B198" s="550">
        <v>19646</v>
      </c>
      <c r="C198" s="550" t="s">
        <v>1484</v>
      </c>
      <c r="D198" s="550" t="s">
        <v>8139</v>
      </c>
      <c r="E198" s="550" t="s">
        <v>1486</v>
      </c>
      <c r="F198" s="550" t="s">
        <v>161</v>
      </c>
      <c r="G198" s="550"/>
      <c r="H198" s="550"/>
      <c r="I198" s="550" t="s">
        <v>2300</v>
      </c>
      <c r="J198" s="550" t="s">
        <v>13869</v>
      </c>
      <c r="K198" s="550" t="s">
        <v>1669</v>
      </c>
      <c r="L198" s="550"/>
    </row>
    <row r="199" spans="2:12">
      <c r="B199" s="551">
        <v>19647</v>
      </c>
      <c r="C199" s="551" t="s">
        <v>1484</v>
      </c>
      <c r="D199" s="551" t="s">
        <v>14817</v>
      </c>
      <c r="E199" s="551" t="s">
        <v>1486</v>
      </c>
      <c r="F199" s="551" t="s">
        <v>161</v>
      </c>
      <c r="G199" s="551"/>
      <c r="H199" s="551"/>
      <c r="I199" s="551"/>
      <c r="J199" s="551"/>
      <c r="K199" s="550" t="s">
        <v>1669</v>
      </c>
      <c r="L199" s="551">
        <v>13713</v>
      </c>
    </row>
    <row r="200" spans="2:12">
      <c r="B200" s="551">
        <v>19650</v>
      </c>
      <c r="C200" s="551" t="s">
        <v>1484</v>
      </c>
      <c r="D200" s="550" t="s">
        <v>14818</v>
      </c>
      <c r="E200" s="550" t="s">
        <v>1707</v>
      </c>
      <c r="F200" s="551" t="s">
        <v>13799</v>
      </c>
      <c r="G200" s="551"/>
      <c r="H200" s="551"/>
      <c r="I200" s="551"/>
      <c r="J200" s="551"/>
      <c r="K200" s="550" t="s">
        <v>1633</v>
      </c>
      <c r="L200" s="551">
        <v>19650</v>
      </c>
    </row>
    <row r="201" spans="2:12">
      <c r="B201" s="551">
        <v>19651</v>
      </c>
      <c r="C201" s="551" t="s">
        <v>1484</v>
      </c>
      <c r="D201" s="551" t="s">
        <v>13699</v>
      </c>
      <c r="E201" s="551" t="s">
        <v>1486</v>
      </c>
      <c r="F201" s="551" t="s">
        <v>161</v>
      </c>
      <c r="G201" s="551"/>
      <c r="H201" s="551"/>
      <c r="I201" s="551"/>
      <c r="J201" s="551"/>
      <c r="K201" s="551" t="s">
        <v>1669</v>
      </c>
      <c r="L201" s="551">
        <v>19651</v>
      </c>
    </row>
    <row r="202" spans="2:12">
      <c r="B202" s="556">
        <v>19654</v>
      </c>
      <c r="C202" s="556" t="s">
        <v>1484</v>
      </c>
      <c r="D202" s="556" t="s">
        <v>2487</v>
      </c>
      <c r="E202" s="556" t="s">
        <v>1617</v>
      </c>
      <c r="F202" s="556" t="s">
        <v>1618</v>
      </c>
      <c r="G202" s="565" t="s">
        <v>13701</v>
      </c>
      <c r="H202" s="556" t="s">
        <v>13704</v>
      </c>
      <c r="I202" s="556" t="s">
        <v>13705</v>
      </c>
      <c r="J202" s="556" t="s">
        <v>13706</v>
      </c>
      <c r="K202" s="556" t="s">
        <v>1624</v>
      </c>
      <c r="L202" s="556">
        <v>14100</v>
      </c>
    </row>
    <row r="203" spans="2:12">
      <c r="B203" s="556">
        <v>19655</v>
      </c>
      <c r="C203" s="556" t="s">
        <v>1484</v>
      </c>
      <c r="D203" s="556" t="s">
        <v>13707</v>
      </c>
      <c r="E203" s="556" t="s">
        <v>1617</v>
      </c>
      <c r="F203" s="556" t="s">
        <v>1618</v>
      </c>
      <c r="G203" s="565" t="s">
        <v>13708</v>
      </c>
      <c r="H203" s="556" t="s">
        <v>13710</v>
      </c>
      <c r="I203" s="556" t="s">
        <v>13711</v>
      </c>
      <c r="J203" s="556"/>
      <c r="K203" s="556" t="s">
        <v>1624</v>
      </c>
      <c r="L203" s="556">
        <v>14101</v>
      </c>
    </row>
    <row r="204" spans="2:12">
      <c r="B204" s="556">
        <v>19656</v>
      </c>
      <c r="C204" s="556" t="s">
        <v>7662</v>
      </c>
      <c r="D204" s="556" t="s">
        <v>13712</v>
      </c>
      <c r="E204" s="556" t="s">
        <v>13713</v>
      </c>
      <c r="F204" s="550" t="s">
        <v>13774</v>
      </c>
      <c r="G204" s="565" t="s">
        <v>13714</v>
      </c>
      <c r="H204" s="556" t="s">
        <v>13717</v>
      </c>
      <c r="I204" s="556" t="s">
        <v>13718</v>
      </c>
      <c r="J204" s="556"/>
      <c r="K204" s="556" t="s">
        <v>7010</v>
      </c>
      <c r="L204" s="556">
        <v>14094</v>
      </c>
    </row>
    <row r="205" spans="2:12">
      <c r="B205" s="551">
        <v>19657</v>
      </c>
      <c r="C205" s="551" t="s">
        <v>13788</v>
      </c>
      <c r="D205" s="551" t="s">
        <v>13793</v>
      </c>
      <c r="E205" s="551" t="s">
        <v>1812</v>
      </c>
      <c r="F205" s="551" t="s">
        <v>1813</v>
      </c>
      <c r="G205" s="563" t="s">
        <v>13794</v>
      </c>
      <c r="H205" s="553" t="s">
        <v>13796</v>
      </c>
      <c r="I205" s="555">
        <v>8275250</v>
      </c>
      <c r="J205" s="551"/>
      <c r="K205" s="550" t="s">
        <v>14767</v>
      </c>
      <c r="L205" s="553">
        <v>14132</v>
      </c>
    </row>
    <row r="206" spans="2:12">
      <c r="B206" s="550">
        <v>19658</v>
      </c>
      <c r="C206" s="550" t="s">
        <v>1484</v>
      </c>
      <c r="D206" s="550" t="s">
        <v>2282</v>
      </c>
      <c r="E206" s="550" t="s">
        <v>1640</v>
      </c>
      <c r="F206" s="550" t="s">
        <v>1641</v>
      </c>
      <c r="G206" s="550" t="s">
        <v>14223</v>
      </c>
      <c r="H206" s="550" t="s">
        <v>2284</v>
      </c>
      <c r="I206" s="550" t="s">
        <v>2285</v>
      </c>
      <c r="J206" s="550" t="s">
        <v>14224</v>
      </c>
      <c r="K206" s="550" t="s">
        <v>1633</v>
      </c>
      <c r="L206" s="550">
        <v>9463</v>
      </c>
    </row>
    <row r="207" spans="2:12">
      <c r="B207" s="556">
        <v>19659</v>
      </c>
      <c r="C207" s="556" t="s">
        <v>13725</v>
      </c>
      <c r="D207" s="556" t="s">
        <v>3167</v>
      </c>
      <c r="E207" s="556" t="s">
        <v>13719</v>
      </c>
      <c r="F207" s="551" t="s">
        <v>13771</v>
      </c>
      <c r="G207" s="565" t="s">
        <v>13724</v>
      </c>
      <c r="H207" s="556" t="s">
        <v>13722</v>
      </c>
      <c r="I207" s="556" t="s">
        <v>13723</v>
      </c>
      <c r="J207" s="556"/>
      <c r="K207" s="550" t="s">
        <v>1669</v>
      </c>
      <c r="L207" s="556">
        <v>14127</v>
      </c>
    </row>
    <row r="208" spans="2:12">
      <c r="B208" s="551">
        <v>19661</v>
      </c>
      <c r="C208" s="551" t="s">
        <v>13788</v>
      </c>
      <c r="D208" s="551" t="s">
        <v>2196</v>
      </c>
      <c r="E208" s="551" t="s">
        <v>1626</v>
      </c>
      <c r="F208" s="551" t="s">
        <v>13763</v>
      </c>
      <c r="G208" s="563" t="s">
        <v>13742</v>
      </c>
      <c r="H208" s="553" t="s">
        <v>13745</v>
      </c>
      <c r="I208" s="555"/>
      <c r="J208" s="551"/>
      <c r="K208" s="551" t="s">
        <v>1633</v>
      </c>
      <c r="L208" s="553">
        <v>14183</v>
      </c>
    </row>
    <row r="209" spans="2:12">
      <c r="B209" s="551">
        <v>19662</v>
      </c>
      <c r="C209" s="551" t="s">
        <v>13788</v>
      </c>
      <c r="D209" s="551" t="s">
        <v>1707</v>
      </c>
      <c r="E209" s="551" t="s">
        <v>1707</v>
      </c>
      <c r="F209" s="551" t="s">
        <v>13799</v>
      </c>
      <c r="G209" s="551"/>
      <c r="H209" s="553" t="s">
        <v>13800</v>
      </c>
      <c r="I209" s="555">
        <v>8021580</v>
      </c>
      <c r="J209" s="551"/>
      <c r="K209" s="550" t="s">
        <v>1633</v>
      </c>
      <c r="L209" s="553">
        <v>14179</v>
      </c>
    </row>
    <row r="210" spans="2:12">
      <c r="B210" s="550">
        <v>19663</v>
      </c>
      <c r="C210" s="550" t="s">
        <v>13725</v>
      </c>
      <c r="D210" s="550" t="s">
        <v>13783</v>
      </c>
      <c r="E210" s="550" t="s">
        <v>13777</v>
      </c>
      <c r="F210" s="550" t="s">
        <v>13778</v>
      </c>
      <c r="G210" s="550"/>
      <c r="H210" s="550" t="s">
        <v>13786</v>
      </c>
      <c r="I210" s="550" t="s">
        <v>13787</v>
      </c>
      <c r="J210" s="550"/>
      <c r="K210" s="550" t="s">
        <v>1633</v>
      </c>
      <c r="L210" s="550">
        <v>14191</v>
      </c>
    </row>
    <row r="211" spans="2:12">
      <c r="B211" s="550">
        <v>19664</v>
      </c>
      <c r="C211" s="550" t="s">
        <v>13725</v>
      </c>
      <c r="D211" s="550" t="s">
        <v>13776</v>
      </c>
      <c r="E211" s="550" t="s">
        <v>13777</v>
      </c>
      <c r="F211" s="550" t="s">
        <v>13778</v>
      </c>
      <c r="G211" s="550"/>
      <c r="H211" s="550" t="s">
        <v>13781</v>
      </c>
      <c r="I211" s="550" t="s">
        <v>13782</v>
      </c>
      <c r="J211" s="550"/>
      <c r="K211" s="550" t="s">
        <v>1633</v>
      </c>
      <c r="L211" s="550">
        <v>14192</v>
      </c>
    </row>
    <row r="212" spans="2:12">
      <c r="B212" s="566">
        <v>19665</v>
      </c>
      <c r="C212" s="550" t="s">
        <v>13725</v>
      </c>
      <c r="D212" s="566" t="s">
        <v>13775</v>
      </c>
      <c r="E212" s="566" t="s">
        <v>1640</v>
      </c>
      <c r="F212" s="566" t="s">
        <v>1641</v>
      </c>
      <c r="G212" s="566"/>
      <c r="H212" s="566" t="s">
        <v>13756</v>
      </c>
      <c r="I212" s="566" t="s">
        <v>13757</v>
      </c>
      <c r="J212" s="566"/>
      <c r="K212" s="566" t="s">
        <v>1633</v>
      </c>
      <c r="L212" s="566">
        <v>14200</v>
      </c>
    </row>
    <row r="213" spans="2:12">
      <c r="B213" s="550">
        <v>19666</v>
      </c>
      <c r="C213" s="550" t="s">
        <v>1484</v>
      </c>
      <c r="D213" s="550" t="s">
        <v>14360</v>
      </c>
      <c r="E213" s="550" t="s">
        <v>1820</v>
      </c>
      <c r="F213" s="551" t="s">
        <v>13802</v>
      </c>
      <c r="G213" s="550" t="s">
        <v>14361</v>
      </c>
      <c r="H213" s="550" t="s">
        <v>2289</v>
      </c>
      <c r="I213" s="550" t="s">
        <v>2290</v>
      </c>
      <c r="J213" s="550" t="s">
        <v>14362</v>
      </c>
      <c r="K213" s="549" t="s">
        <v>14769</v>
      </c>
      <c r="L213" s="550">
        <v>9432</v>
      </c>
    </row>
    <row r="214" spans="2:12">
      <c r="B214" s="551">
        <v>19667</v>
      </c>
      <c r="C214" s="551" t="s">
        <v>13788</v>
      </c>
      <c r="D214" s="551" t="s">
        <v>13789</v>
      </c>
      <c r="E214" s="551" t="s">
        <v>1617</v>
      </c>
      <c r="F214" s="551" t="s">
        <v>1618</v>
      </c>
      <c r="G214" s="563" t="s">
        <v>13748</v>
      </c>
      <c r="H214" s="553" t="s">
        <v>13790</v>
      </c>
      <c r="I214" s="555"/>
      <c r="J214" s="551"/>
      <c r="K214" s="551" t="s">
        <v>1624</v>
      </c>
      <c r="L214" s="553">
        <v>14182</v>
      </c>
    </row>
    <row r="215" spans="2:12">
      <c r="B215" s="551">
        <v>19668</v>
      </c>
      <c r="C215" s="551" t="s">
        <v>13788</v>
      </c>
      <c r="D215" s="551" t="s">
        <v>13791</v>
      </c>
      <c r="E215" s="551" t="s">
        <v>1812</v>
      </c>
      <c r="F215" s="551" t="s">
        <v>1813</v>
      </c>
      <c r="G215" s="563" t="s">
        <v>13739</v>
      </c>
      <c r="H215" s="553" t="s">
        <v>13792</v>
      </c>
      <c r="I215" s="555">
        <v>6420690</v>
      </c>
      <c r="J215" s="551"/>
      <c r="K215" s="550" t="s">
        <v>14767</v>
      </c>
      <c r="L215" s="553">
        <v>14187</v>
      </c>
    </row>
    <row r="216" spans="2:12">
      <c r="B216" s="551">
        <v>19669</v>
      </c>
      <c r="C216" s="551" t="s">
        <v>13788</v>
      </c>
      <c r="D216" s="551" t="s">
        <v>13801</v>
      </c>
      <c r="E216" s="551" t="s">
        <v>1820</v>
      </c>
      <c r="F216" s="551" t="s">
        <v>13802</v>
      </c>
      <c r="G216" s="551"/>
      <c r="H216" s="553" t="s">
        <v>13803</v>
      </c>
      <c r="I216" s="555"/>
      <c r="J216" s="551"/>
      <c r="K216" s="549" t="s">
        <v>14769</v>
      </c>
      <c r="L216" s="553">
        <v>14185</v>
      </c>
    </row>
    <row r="217" spans="2:12">
      <c r="B217" s="551">
        <v>19670</v>
      </c>
      <c r="C217" s="551" t="s">
        <v>13788</v>
      </c>
      <c r="D217" s="551" t="s">
        <v>13804</v>
      </c>
      <c r="E217" s="551" t="s">
        <v>1820</v>
      </c>
      <c r="F217" s="551" t="s">
        <v>13802</v>
      </c>
      <c r="G217" s="551"/>
      <c r="H217" s="553" t="s">
        <v>13806</v>
      </c>
      <c r="I217" s="555"/>
      <c r="J217" s="551"/>
      <c r="K217" s="549" t="s">
        <v>14769</v>
      </c>
      <c r="L217" s="553">
        <v>14186</v>
      </c>
    </row>
    <row r="218" spans="2:12">
      <c r="B218" s="552">
        <v>19671</v>
      </c>
      <c r="C218" s="553" t="s">
        <v>13788</v>
      </c>
      <c r="D218" s="567" t="s">
        <v>13797</v>
      </c>
      <c r="E218" s="554" t="s">
        <v>1640</v>
      </c>
      <c r="F218" s="554" t="s">
        <v>1641</v>
      </c>
      <c r="G218" s="568" t="s">
        <v>13730</v>
      </c>
      <c r="H218" s="553" t="s">
        <v>13798</v>
      </c>
      <c r="I218" s="555">
        <v>2169030</v>
      </c>
      <c r="J218" s="554"/>
      <c r="K218" s="553" t="s">
        <v>1633</v>
      </c>
      <c r="L218" s="553">
        <v>14190</v>
      </c>
    </row>
    <row r="219" spans="2:12">
      <c r="B219" s="551">
        <v>19675</v>
      </c>
      <c r="C219" s="551" t="s">
        <v>1484</v>
      </c>
      <c r="D219" s="551" t="s">
        <v>13758</v>
      </c>
      <c r="E219" s="551" t="s">
        <v>1661</v>
      </c>
      <c r="F219" s="551" t="s">
        <v>13771</v>
      </c>
      <c r="G219" s="551"/>
      <c r="H219" s="553"/>
      <c r="I219" s="555" t="s">
        <v>13761</v>
      </c>
      <c r="J219" s="551"/>
      <c r="K219" s="550" t="s">
        <v>1669</v>
      </c>
      <c r="L219" s="553">
        <v>14211</v>
      </c>
    </row>
    <row r="220" spans="2:12">
      <c r="B220" s="61">
        <v>19676</v>
      </c>
      <c r="C220" s="61" t="s">
        <v>1484</v>
      </c>
      <c r="D220" s="61" t="s">
        <v>14750</v>
      </c>
      <c r="E220" s="61" t="s">
        <v>1661</v>
      </c>
      <c r="F220" s="61" t="s">
        <v>13771</v>
      </c>
      <c r="G220" s="569" t="s">
        <v>14751</v>
      </c>
      <c r="H220" s="61" t="s">
        <v>14754</v>
      </c>
      <c r="I220" s="61" t="s">
        <v>14755</v>
      </c>
      <c r="J220" s="61"/>
      <c r="K220" s="61" t="s">
        <v>1669</v>
      </c>
      <c r="L220" s="61">
        <v>14514</v>
      </c>
    </row>
    <row r="221" spans="2:12">
      <c r="B221" s="61">
        <v>19678</v>
      </c>
      <c r="C221" s="61" t="s">
        <v>1484</v>
      </c>
      <c r="D221" s="61" t="s">
        <v>14773</v>
      </c>
      <c r="E221" s="61" t="s">
        <v>1617</v>
      </c>
      <c r="F221" s="61" t="s">
        <v>1618</v>
      </c>
      <c r="G221" s="569" t="s">
        <v>14772</v>
      </c>
      <c r="H221" s="61" t="s">
        <v>14783</v>
      </c>
      <c r="I221" s="61" t="s">
        <v>14776</v>
      </c>
      <c r="J221" s="61"/>
      <c r="K221" s="61" t="s">
        <v>1624</v>
      </c>
      <c r="L221" s="61">
        <v>14533</v>
      </c>
    </row>
    <row r="222" spans="2:12">
      <c r="B222" s="61">
        <v>19679</v>
      </c>
      <c r="C222" s="61" t="s">
        <v>1484</v>
      </c>
      <c r="D222" s="61" t="s">
        <v>14778</v>
      </c>
      <c r="E222" s="61" t="s">
        <v>1486</v>
      </c>
      <c r="F222" s="61" t="s">
        <v>161</v>
      </c>
      <c r="G222" s="569" t="s">
        <v>14779</v>
      </c>
      <c r="H222" s="61" t="s">
        <v>14782</v>
      </c>
      <c r="I222" s="61" t="s">
        <v>14784</v>
      </c>
      <c r="J222" s="61"/>
      <c r="K222" s="61" t="s">
        <v>1669</v>
      </c>
      <c r="L222" s="61">
        <v>14532</v>
      </c>
    </row>
    <row r="223" spans="2:12">
      <c r="B223" s="61">
        <v>19680</v>
      </c>
      <c r="C223" s="61" t="s">
        <v>1484</v>
      </c>
      <c r="D223" s="61" t="s">
        <v>14785</v>
      </c>
      <c r="E223" s="61" t="s">
        <v>1617</v>
      </c>
      <c r="F223" s="61" t="s">
        <v>1618</v>
      </c>
      <c r="G223" s="569" t="s">
        <v>14786</v>
      </c>
      <c r="H223" s="61" t="s">
        <v>14787</v>
      </c>
      <c r="I223" s="61" t="s">
        <v>14788</v>
      </c>
      <c r="J223" s="61" t="s">
        <v>14789</v>
      </c>
      <c r="K223" s="61" t="s">
        <v>1624</v>
      </c>
      <c r="L223" s="61">
        <v>14534</v>
      </c>
    </row>
    <row r="224" spans="2:12">
      <c r="B224" s="550">
        <v>19682</v>
      </c>
      <c r="C224" s="550" t="s">
        <v>1484</v>
      </c>
      <c r="D224" s="550" t="s">
        <v>1561</v>
      </c>
      <c r="E224" s="550" t="s">
        <v>1486</v>
      </c>
      <c r="F224" s="550" t="s">
        <v>161</v>
      </c>
      <c r="G224" s="550" t="s">
        <v>13892</v>
      </c>
      <c r="H224" s="550" t="s">
        <v>1563</v>
      </c>
      <c r="I224" s="550" t="s">
        <v>2292</v>
      </c>
      <c r="J224" s="550" t="s">
        <v>13893</v>
      </c>
      <c r="K224" s="550" t="s">
        <v>1669</v>
      </c>
      <c r="L224" s="550">
        <v>9427</v>
      </c>
    </row>
    <row r="225" spans="2:12">
      <c r="B225" s="550">
        <v>19770</v>
      </c>
      <c r="C225" s="550" t="s">
        <v>1484</v>
      </c>
      <c r="D225" s="550" t="s">
        <v>14828</v>
      </c>
      <c r="E225" s="550" t="s">
        <v>1707</v>
      </c>
      <c r="F225" s="550" t="s">
        <v>13799</v>
      </c>
      <c r="G225" s="550"/>
      <c r="H225" s="550" t="s">
        <v>14829</v>
      </c>
      <c r="I225" s="550" t="s">
        <v>14830</v>
      </c>
      <c r="J225" s="550"/>
      <c r="K225" s="550" t="s">
        <v>1633</v>
      </c>
      <c r="L225" s="550"/>
    </row>
    <row r="226" spans="2:12">
      <c r="B226" s="550">
        <v>19771</v>
      </c>
      <c r="C226" s="550" t="s">
        <v>1484</v>
      </c>
      <c r="D226" s="550" t="s">
        <v>14832</v>
      </c>
      <c r="E226" s="550" t="s">
        <v>1707</v>
      </c>
      <c r="F226" s="550" t="s">
        <v>13799</v>
      </c>
      <c r="G226" s="550"/>
      <c r="H226" s="550" t="s">
        <v>14833</v>
      </c>
      <c r="I226" s="550" t="s">
        <v>14834</v>
      </c>
      <c r="J226" s="550"/>
      <c r="K226" s="550" t="s">
        <v>1633</v>
      </c>
      <c r="L226" s="550"/>
    </row>
    <row r="227" spans="2:12">
      <c r="B227" s="550">
        <v>90344</v>
      </c>
      <c r="C227" s="551" t="s">
        <v>1484</v>
      </c>
      <c r="D227" s="550" t="s">
        <v>14504</v>
      </c>
      <c r="E227" s="550" t="s">
        <v>13777</v>
      </c>
      <c r="F227" s="553" t="s">
        <v>13778</v>
      </c>
      <c r="G227" s="563" t="s">
        <v>14505</v>
      </c>
      <c r="H227" s="553"/>
      <c r="I227" s="558">
        <v>5081000</v>
      </c>
      <c r="J227" s="551" t="s">
        <v>14507</v>
      </c>
      <c r="K227" s="550" t="s">
        <v>1633</v>
      </c>
      <c r="L227" s="550">
        <v>11299</v>
      </c>
    </row>
    <row r="228" spans="2:12">
      <c r="B228" s="550">
        <v>90352</v>
      </c>
      <c r="C228" s="551" t="s">
        <v>1484</v>
      </c>
      <c r="D228" s="550" t="s">
        <v>14819</v>
      </c>
      <c r="E228" s="550" t="s">
        <v>13777</v>
      </c>
      <c r="F228" s="553" t="s">
        <v>13778</v>
      </c>
      <c r="G228" s="551" t="s">
        <v>14464</v>
      </c>
      <c r="H228" s="553"/>
      <c r="I228" s="558">
        <v>5084000</v>
      </c>
      <c r="J228" s="551" t="s">
        <v>14467</v>
      </c>
      <c r="K228" s="550" t="s">
        <v>1633</v>
      </c>
      <c r="L228" s="550">
        <v>11223</v>
      </c>
    </row>
    <row r="229" spans="2:12">
      <c r="B229" s="550">
        <v>90361</v>
      </c>
      <c r="C229" s="551" t="s">
        <v>1484</v>
      </c>
      <c r="D229" s="550" t="s">
        <v>14820</v>
      </c>
      <c r="E229" s="550" t="s">
        <v>13777</v>
      </c>
      <c r="F229" s="553" t="s">
        <v>13778</v>
      </c>
      <c r="G229" s="551" t="s">
        <v>14607</v>
      </c>
      <c r="H229" s="553"/>
      <c r="I229" s="558">
        <v>5094000</v>
      </c>
      <c r="J229" s="551" t="s">
        <v>14610</v>
      </c>
      <c r="K229" s="550" t="s">
        <v>1633</v>
      </c>
      <c r="L229" s="550">
        <v>11303</v>
      </c>
    </row>
    <row r="230" spans="2:12">
      <c r="B230" s="550">
        <v>90379</v>
      </c>
      <c r="C230" s="551" t="s">
        <v>1484</v>
      </c>
      <c r="D230" s="550" t="s">
        <v>14821</v>
      </c>
      <c r="E230" s="550" t="s">
        <v>13777</v>
      </c>
      <c r="F230" s="553" t="s">
        <v>13778</v>
      </c>
      <c r="G230" s="551" t="s">
        <v>14598</v>
      </c>
      <c r="H230" s="553"/>
      <c r="I230" s="558">
        <v>5069030</v>
      </c>
      <c r="J230" s="551" t="s">
        <v>14601</v>
      </c>
      <c r="K230" s="550" t="s">
        <v>1633</v>
      </c>
      <c r="L230" s="550">
        <v>11302</v>
      </c>
    </row>
    <row r="231" spans="2:12">
      <c r="B231" s="550">
        <v>90387</v>
      </c>
      <c r="C231" s="551" t="s">
        <v>1484</v>
      </c>
      <c r="D231" s="550" t="s">
        <v>14619</v>
      </c>
      <c r="E231" s="550" t="s">
        <v>13777</v>
      </c>
      <c r="F231" s="553" t="s">
        <v>13778</v>
      </c>
      <c r="G231" s="551" t="s">
        <v>14620</v>
      </c>
      <c r="H231" s="553"/>
      <c r="I231" s="558">
        <v>5057080</v>
      </c>
      <c r="J231" s="551" t="s">
        <v>14623</v>
      </c>
      <c r="K231" s="550" t="s">
        <v>1633</v>
      </c>
      <c r="L231" s="550">
        <v>11225</v>
      </c>
    </row>
    <row r="232" spans="2:12">
      <c r="B232" s="550">
        <v>90395</v>
      </c>
      <c r="C232" s="551" t="s">
        <v>1484</v>
      </c>
      <c r="D232" s="550" t="s">
        <v>14822</v>
      </c>
      <c r="E232" s="550" t="s">
        <v>13777</v>
      </c>
      <c r="F232" s="553" t="s">
        <v>13778</v>
      </c>
      <c r="G232" s="551" t="s">
        <v>14574</v>
      </c>
      <c r="H232" s="553"/>
      <c r="I232" s="558">
        <v>5053070</v>
      </c>
      <c r="J232" s="551" t="s">
        <v>14576</v>
      </c>
      <c r="K232" s="550" t="s">
        <v>1633</v>
      </c>
      <c r="L232" s="550">
        <v>11301</v>
      </c>
    </row>
    <row r="233" spans="2:12">
      <c r="B233" s="550">
        <v>90409</v>
      </c>
      <c r="C233" s="551" t="s">
        <v>1484</v>
      </c>
      <c r="D233" s="550" t="s">
        <v>14522</v>
      </c>
      <c r="E233" s="550" t="s">
        <v>13777</v>
      </c>
      <c r="F233" s="553" t="s">
        <v>13778</v>
      </c>
      <c r="G233" s="551" t="s">
        <v>14523</v>
      </c>
      <c r="H233" s="553"/>
      <c r="I233" s="558">
        <v>5045050</v>
      </c>
      <c r="J233" s="551" t="s">
        <v>14526</v>
      </c>
      <c r="K233" s="550" t="s">
        <v>1633</v>
      </c>
      <c r="L233" s="550">
        <v>11300</v>
      </c>
    </row>
    <row r="234" spans="2:12">
      <c r="B234" s="550">
        <v>90417</v>
      </c>
      <c r="C234" s="551" t="s">
        <v>1484</v>
      </c>
      <c r="D234" s="550" t="s">
        <v>14629</v>
      </c>
      <c r="E234" s="550" t="s">
        <v>13777</v>
      </c>
      <c r="F234" s="553" t="s">
        <v>13778</v>
      </c>
      <c r="G234" s="551" t="s">
        <v>14630</v>
      </c>
      <c r="H234" s="553"/>
      <c r="I234" s="558">
        <v>5019000</v>
      </c>
      <c r="J234" s="551" t="s">
        <v>14633</v>
      </c>
      <c r="K234" s="550" t="s">
        <v>1633</v>
      </c>
      <c r="L234" s="550">
        <v>11304</v>
      </c>
    </row>
    <row r="235" spans="2:12">
      <c r="B235" s="550">
        <v>90425</v>
      </c>
      <c r="C235" s="550" t="s">
        <v>1484</v>
      </c>
      <c r="D235" s="550" t="s">
        <v>2293</v>
      </c>
      <c r="E235" s="550" t="s">
        <v>1661</v>
      </c>
      <c r="F235" s="551" t="s">
        <v>13771</v>
      </c>
      <c r="G235" s="550" t="s">
        <v>14102</v>
      </c>
      <c r="H235" s="550" t="s">
        <v>2296</v>
      </c>
      <c r="I235" s="550" t="s">
        <v>2297</v>
      </c>
      <c r="J235" s="550" t="s">
        <v>14103</v>
      </c>
      <c r="K235" s="550" t="s">
        <v>1669</v>
      </c>
      <c r="L235" s="550">
        <v>6610</v>
      </c>
    </row>
    <row r="236" spans="2:12">
      <c r="B236" s="550">
        <v>90549</v>
      </c>
      <c r="C236" s="550" t="s">
        <v>1484</v>
      </c>
      <c r="D236" s="550" t="s">
        <v>1564</v>
      </c>
      <c r="E236" s="550" t="s">
        <v>1486</v>
      </c>
      <c r="F236" s="550" t="s">
        <v>161</v>
      </c>
      <c r="G236" s="550" t="s">
        <v>13917</v>
      </c>
      <c r="H236" s="550" t="s">
        <v>1567</v>
      </c>
      <c r="I236" s="550" t="s">
        <v>2299</v>
      </c>
      <c r="J236" s="550" t="s">
        <v>13918</v>
      </c>
      <c r="K236" s="550" t="s">
        <v>1669</v>
      </c>
      <c r="L236" s="550">
        <v>6580</v>
      </c>
    </row>
    <row r="237" spans="2:12">
      <c r="B237" s="550">
        <v>90557</v>
      </c>
      <c r="C237" s="550" t="s">
        <v>1484</v>
      </c>
      <c r="D237" s="550" t="s">
        <v>1568</v>
      </c>
      <c r="E237" s="550" t="s">
        <v>1486</v>
      </c>
      <c r="F237" s="550" t="s">
        <v>161</v>
      </c>
      <c r="G237" s="550" t="s">
        <v>13868</v>
      </c>
      <c r="H237" s="550" t="s">
        <v>1571</v>
      </c>
      <c r="I237" s="550" t="s">
        <v>2300</v>
      </c>
      <c r="J237" s="550" t="s">
        <v>13869</v>
      </c>
      <c r="K237" s="550" t="s">
        <v>1669</v>
      </c>
      <c r="L237" s="550">
        <v>6581</v>
      </c>
    </row>
    <row r="238" spans="2:12">
      <c r="B238" s="550">
        <v>90565</v>
      </c>
      <c r="C238" s="550" t="s">
        <v>1484</v>
      </c>
      <c r="D238" s="550" t="s">
        <v>1572</v>
      </c>
      <c r="E238" s="550" t="s">
        <v>1486</v>
      </c>
      <c r="F238" s="550" t="s">
        <v>161</v>
      </c>
      <c r="G238" s="550" t="s">
        <v>13870</v>
      </c>
      <c r="H238" s="550" t="s">
        <v>1575</v>
      </c>
      <c r="I238" s="550" t="s">
        <v>2301</v>
      </c>
      <c r="J238" s="550" t="s">
        <v>13871</v>
      </c>
      <c r="K238" s="550" t="s">
        <v>1669</v>
      </c>
      <c r="L238" s="550">
        <v>6582</v>
      </c>
    </row>
    <row r="239" spans="2:12">
      <c r="B239" s="550">
        <v>90573</v>
      </c>
      <c r="C239" s="550" t="s">
        <v>1484</v>
      </c>
      <c r="D239" s="550" t="s">
        <v>1576</v>
      </c>
      <c r="E239" s="550" t="s">
        <v>1486</v>
      </c>
      <c r="F239" s="550" t="s">
        <v>161</v>
      </c>
      <c r="G239" s="550" t="s">
        <v>13909</v>
      </c>
      <c r="H239" s="550" t="s">
        <v>1578</v>
      </c>
      <c r="I239" s="550" t="s">
        <v>2302</v>
      </c>
      <c r="J239" s="550" t="s">
        <v>13910</v>
      </c>
      <c r="K239" s="550" t="s">
        <v>1669</v>
      </c>
      <c r="L239" s="550">
        <v>6583</v>
      </c>
    </row>
    <row r="240" spans="2:12">
      <c r="B240" s="550">
        <v>90581</v>
      </c>
      <c r="C240" s="550" t="s">
        <v>1484</v>
      </c>
      <c r="D240" s="550" t="s">
        <v>1579</v>
      </c>
      <c r="E240" s="550" t="s">
        <v>1486</v>
      </c>
      <c r="F240" s="550" t="s">
        <v>161</v>
      </c>
      <c r="G240" s="550" t="s">
        <v>13890</v>
      </c>
      <c r="H240" s="550" t="s">
        <v>1582</v>
      </c>
      <c r="I240" s="550" t="s">
        <v>2303</v>
      </c>
      <c r="J240" s="550" t="s">
        <v>13891</v>
      </c>
      <c r="K240" s="550" t="s">
        <v>1669</v>
      </c>
      <c r="L240" s="550">
        <v>6584</v>
      </c>
    </row>
    <row r="241" spans="2:12">
      <c r="B241" s="550">
        <v>90590</v>
      </c>
      <c r="C241" s="550" t="s">
        <v>1484</v>
      </c>
      <c r="D241" s="550" t="s">
        <v>1583</v>
      </c>
      <c r="E241" s="550" t="s">
        <v>1486</v>
      </c>
      <c r="F241" s="550" t="s">
        <v>161</v>
      </c>
      <c r="G241" s="550" t="s">
        <v>13861</v>
      </c>
      <c r="H241" s="550" t="s">
        <v>1585</v>
      </c>
      <c r="I241" s="550" t="s">
        <v>2304</v>
      </c>
      <c r="J241" s="550" t="s">
        <v>13862</v>
      </c>
      <c r="K241" s="550" t="s">
        <v>1669</v>
      </c>
      <c r="L241" s="550">
        <v>6585</v>
      </c>
    </row>
    <row r="242" spans="2:12">
      <c r="B242" s="550">
        <v>90603</v>
      </c>
      <c r="C242" s="550" t="s">
        <v>1484</v>
      </c>
      <c r="D242" s="550" t="s">
        <v>1586</v>
      </c>
      <c r="E242" s="550" t="s">
        <v>1486</v>
      </c>
      <c r="F242" s="550" t="s">
        <v>161</v>
      </c>
      <c r="G242" s="550" t="s">
        <v>13919</v>
      </c>
      <c r="H242" s="550" t="s">
        <v>1589</v>
      </c>
      <c r="I242" s="550" t="s">
        <v>2305</v>
      </c>
      <c r="J242" s="550" t="s">
        <v>13920</v>
      </c>
      <c r="K242" s="550" t="s">
        <v>1669</v>
      </c>
      <c r="L242" s="550">
        <v>6586</v>
      </c>
    </row>
    <row r="243" spans="2:12">
      <c r="B243" s="550">
        <v>90620</v>
      </c>
      <c r="C243" s="550" t="s">
        <v>1484</v>
      </c>
      <c r="D243" s="550" t="s">
        <v>1590</v>
      </c>
      <c r="E243" s="550" t="s">
        <v>1486</v>
      </c>
      <c r="F243" s="550" t="s">
        <v>161</v>
      </c>
      <c r="G243" s="550" t="s">
        <v>13896</v>
      </c>
      <c r="H243" s="550" t="s">
        <v>1593</v>
      </c>
      <c r="I243" s="550" t="s">
        <v>2306</v>
      </c>
      <c r="J243" s="550" t="s">
        <v>13897</v>
      </c>
      <c r="K243" s="550" t="s">
        <v>1669</v>
      </c>
      <c r="L243" s="550">
        <v>6587</v>
      </c>
    </row>
    <row r="244" spans="2:12">
      <c r="B244" s="550">
        <v>90638</v>
      </c>
      <c r="C244" s="550" t="s">
        <v>1484</v>
      </c>
      <c r="D244" s="550" t="s">
        <v>1594</v>
      </c>
      <c r="E244" s="550" t="s">
        <v>1486</v>
      </c>
      <c r="F244" s="550" t="s">
        <v>161</v>
      </c>
      <c r="G244" s="550" t="s">
        <v>13911</v>
      </c>
      <c r="H244" s="550" t="s">
        <v>1597</v>
      </c>
      <c r="I244" s="550" t="s">
        <v>2307</v>
      </c>
      <c r="J244" s="550" t="s">
        <v>13912</v>
      </c>
      <c r="K244" s="550" t="s">
        <v>1669</v>
      </c>
      <c r="L244" s="550">
        <v>6588</v>
      </c>
    </row>
    <row r="245" spans="2:12">
      <c r="B245" s="550">
        <v>90646</v>
      </c>
      <c r="C245" s="550" t="s">
        <v>1484</v>
      </c>
      <c r="D245" s="550" t="s">
        <v>1598</v>
      </c>
      <c r="E245" s="550" t="s">
        <v>1486</v>
      </c>
      <c r="F245" s="550" t="s">
        <v>161</v>
      </c>
      <c r="G245" s="550" t="s">
        <v>13872</v>
      </c>
      <c r="H245" s="550" t="s">
        <v>1601</v>
      </c>
      <c r="I245" s="550" t="s">
        <v>2084</v>
      </c>
      <c r="J245" s="550" t="s">
        <v>13873</v>
      </c>
      <c r="K245" s="550" t="s">
        <v>1669</v>
      </c>
      <c r="L245" s="550">
        <v>6589</v>
      </c>
    </row>
    <row r="246" spans="2:12">
      <c r="B246" s="550">
        <v>90654</v>
      </c>
      <c r="C246" s="550" t="s">
        <v>1484</v>
      </c>
      <c r="D246" s="550" t="s">
        <v>2308</v>
      </c>
      <c r="E246" s="550" t="s">
        <v>1812</v>
      </c>
      <c r="F246" s="550" t="s">
        <v>1813</v>
      </c>
      <c r="G246" s="550" t="s">
        <v>14184</v>
      </c>
      <c r="H246" s="550" t="s">
        <v>2311</v>
      </c>
      <c r="I246" s="550" t="s">
        <v>2312</v>
      </c>
      <c r="J246" s="550" t="s">
        <v>2313</v>
      </c>
      <c r="K246" s="550" t="s">
        <v>14767</v>
      </c>
      <c r="L246" s="550">
        <v>6663</v>
      </c>
    </row>
    <row r="247" spans="2:12">
      <c r="B247" s="550">
        <v>90662</v>
      </c>
      <c r="C247" s="550" t="s">
        <v>1484</v>
      </c>
      <c r="D247" s="550" t="s">
        <v>2314</v>
      </c>
      <c r="E247" s="550" t="s">
        <v>1812</v>
      </c>
      <c r="F247" s="550" t="s">
        <v>1813</v>
      </c>
      <c r="G247" s="550" t="s">
        <v>14175</v>
      </c>
      <c r="H247" s="550" t="s">
        <v>2317</v>
      </c>
      <c r="I247" s="550" t="s">
        <v>2318</v>
      </c>
      <c r="J247" s="550" t="s">
        <v>2319</v>
      </c>
      <c r="K247" s="550" t="s">
        <v>14767</v>
      </c>
      <c r="L247" s="550">
        <v>6630</v>
      </c>
    </row>
    <row r="248" spans="2:12">
      <c r="B248" s="550">
        <v>90671</v>
      </c>
      <c r="C248" s="550" t="s">
        <v>1484</v>
      </c>
      <c r="D248" s="550" t="s">
        <v>2320</v>
      </c>
      <c r="E248" s="550" t="s">
        <v>1820</v>
      </c>
      <c r="F248" s="551" t="s">
        <v>13802</v>
      </c>
      <c r="G248" s="550" t="s">
        <v>2321</v>
      </c>
      <c r="H248" s="550" t="s">
        <v>2324</v>
      </c>
      <c r="I248" s="550" t="s">
        <v>2325</v>
      </c>
      <c r="J248" s="550" t="s">
        <v>14391</v>
      </c>
      <c r="K248" s="549" t="s">
        <v>14769</v>
      </c>
      <c r="L248" s="550">
        <v>6666</v>
      </c>
    </row>
    <row r="249" spans="2:12">
      <c r="B249" s="550">
        <v>90689</v>
      </c>
      <c r="C249" s="550" t="s">
        <v>1484</v>
      </c>
      <c r="D249" s="550" t="s">
        <v>2327</v>
      </c>
      <c r="E249" s="550" t="s">
        <v>1820</v>
      </c>
      <c r="F249" s="551" t="s">
        <v>13802</v>
      </c>
      <c r="G249" s="550" t="s">
        <v>14401</v>
      </c>
      <c r="H249" s="550" t="s">
        <v>2329</v>
      </c>
      <c r="I249" s="550" t="s">
        <v>2330</v>
      </c>
      <c r="J249" s="550" t="s">
        <v>14402</v>
      </c>
      <c r="K249" s="549" t="s">
        <v>14769</v>
      </c>
      <c r="L249" s="550">
        <v>6668</v>
      </c>
    </row>
    <row r="250" spans="2:12">
      <c r="B250" s="550">
        <v>90697</v>
      </c>
      <c r="C250" s="550" t="s">
        <v>1484</v>
      </c>
      <c r="D250" s="550" t="s">
        <v>2331</v>
      </c>
      <c r="E250" s="550" t="s">
        <v>1820</v>
      </c>
      <c r="F250" s="551" t="s">
        <v>13802</v>
      </c>
      <c r="G250" s="550" t="s">
        <v>14416</v>
      </c>
      <c r="H250" s="550" t="s">
        <v>2333</v>
      </c>
      <c r="I250" s="550" t="s">
        <v>2334</v>
      </c>
      <c r="J250" s="550" t="s">
        <v>2335</v>
      </c>
      <c r="K250" s="549" t="s">
        <v>14769</v>
      </c>
      <c r="L250" s="550">
        <v>6670</v>
      </c>
    </row>
    <row r="251" spans="2:12">
      <c r="B251" s="550">
        <v>90701</v>
      </c>
      <c r="C251" s="550" t="s">
        <v>1484</v>
      </c>
      <c r="D251" s="550" t="s">
        <v>2336</v>
      </c>
      <c r="E251" s="550" t="s">
        <v>1820</v>
      </c>
      <c r="F251" s="551" t="s">
        <v>13802</v>
      </c>
      <c r="G251" s="550" t="s">
        <v>14376</v>
      </c>
      <c r="H251" s="550" t="s">
        <v>2339</v>
      </c>
      <c r="I251" s="550" t="s">
        <v>2340</v>
      </c>
      <c r="J251" s="550" t="s">
        <v>14377</v>
      </c>
      <c r="K251" s="549" t="s">
        <v>14769</v>
      </c>
      <c r="L251" s="550">
        <v>6665</v>
      </c>
    </row>
    <row r="252" spans="2:12">
      <c r="B252" s="550">
        <v>90719</v>
      </c>
      <c r="C252" s="550" t="s">
        <v>1484</v>
      </c>
      <c r="D252" s="550" t="s">
        <v>2342</v>
      </c>
      <c r="E252" s="550" t="s">
        <v>1820</v>
      </c>
      <c r="F252" s="551" t="s">
        <v>13802</v>
      </c>
      <c r="G252" s="550" t="s">
        <v>14392</v>
      </c>
      <c r="H252" s="550" t="s">
        <v>2344</v>
      </c>
      <c r="I252" s="550" t="s">
        <v>2345</v>
      </c>
      <c r="J252" s="550" t="s">
        <v>14393</v>
      </c>
      <c r="K252" s="549" t="s">
        <v>14769</v>
      </c>
      <c r="L252" s="550">
        <v>6667</v>
      </c>
    </row>
    <row r="253" spans="2:12">
      <c r="B253" s="550">
        <v>90727</v>
      </c>
      <c r="C253" s="550" t="s">
        <v>1484</v>
      </c>
      <c r="D253" s="550" t="s">
        <v>2347</v>
      </c>
      <c r="E253" s="550" t="s">
        <v>1820</v>
      </c>
      <c r="F253" s="551" t="s">
        <v>13802</v>
      </c>
      <c r="G253" s="550" t="s">
        <v>14420</v>
      </c>
      <c r="H253" s="550" t="s">
        <v>2350</v>
      </c>
      <c r="I253" s="550" t="s">
        <v>2351</v>
      </c>
      <c r="J253" s="550" t="s">
        <v>14421</v>
      </c>
      <c r="K253" s="549" t="s">
        <v>14769</v>
      </c>
      <c r="L253" s="550">
        <v>6676</v>
      </c>
    </row>
    <row r="254" spans="2:12">
      <c r="B254" s="550">
        <v>90735</v>
      </c>
      <c r="C254" s="550" t="s">
        <v>1484</v>
      </c>
      <c r="D254" s="550" t="s">
        <v>2353</v>
      </c>
      <c r="E254" s="550" t="s">
        <v>1812</v>
      </c>
      <c r="F254" s="550" t="s">
        <v>1813</v>
      </c>
      <c r="G254" s="550" t="s">
        <v>14165</v>
      </c>
      <c r="H254" s="550" t="s">
        <v>2356</v>
      </c>
      <c r="I254" s="550" t="s">
        <v>2357</v>
      </c>
      <c r="J254" s="550" t="s">
        <v>14166</v>
      </c>
      <c r="K254" s="550" t="s">
        <v>14767</v>
      </c>
      <c r="L254" s="550">
        <v>6625</v>
      </c>
    </row>
    <row r="255" spans="2:12">
      <c r="B255" s="550">
        <v>90743</v>
      </c>
      <c r="C255" s="550" t="s">
        <v>1484</v>
      </c>
      <c r="D255" s="550" t="s">
        <v>2359</v>
      </c>
      <c r="E255" s="550" t="s">
        <v>1812</v>
      </c>
      <c r="F255" s="550" t="s">
        <v>1813</v>
      </c>
      <c r="G255" s="550" t="s">
        <v>14147</v>
      </c>
      <c r="H255" s="550" t="s">
        <v>2361</v>
      </c>
      <c r="I255" s="550" t="s">
        <v>2362</v>
      </c>
      <c r="J255" s="550" t="s">
        <v>2363</v>
      </c>
      <c r="K255" s="550" t="s">
        <v>14767</v>
      </c>
      <c r="L255" s="550">
        <v>6631</v>
      </c>
    </row>
    <row r="256" spans="2:12">
      <c r="B256" s="550">
        <v>90751</v>
      </c>
      <c r="C256" s="550" t="s">
        <v>1484</v>
      </c>
      <c r="D256" s="550" t="s">
        <v>2364</v>
      </c>
      <c r="E256" s="550" t="s">
        <v>1812</v>
      </c>
      <c r="F256" s="550" t="s">
        <v>1813</v>
      </c>
      <c r="G256" s="550" t="s">
        <v>14139</v>
      </c>
      <c r="H256" s="550" t="s">
        <v>2366</v>
      </c>
      <c r="I256" s="550" t="s">
        <v>2367</v>
      </c>
      <c r="J256" s="550" t="s">
        <v>14140</v>
      </c>
      <c r="K256" s="550" t="s">
        <v>14767</v>
      </c>
      <c r="L256" s="550">
        <v>6632</v>
      </c>
    </row>
    <row r="257" spans="2:12">
      <c r="B257" s="550">
        <v>90760</v>
      </c>
      <c r="C257" s="550" t="s">
        <v>1484</v>
      </c>
      <c r="D257" s="550" t="s">
        <v>2369</v>
      </c>
      <c r="E257" s="550" t="s">
        <v>1812</v>
      </c>
      <c r="F257" s="550" t="s">
        <v>1813</v>
      </c>
      <c r="G257" s="550" t="s">
        <v>14189</v>
      </c>
      <c r="H257" s="550" t="s">
        <v>2371</v>
      </c>
      <c r="I257" s="550" t="s">
        <v>2372</v>
      </c>
      <c r="J257" s="550" t="s">
        <v>14190</v>
      </c>
      <c r="K257" s="550" t="s">
        <v>14767</v>
      </c>
      <c r="L257" s="550">
        <v>6633</v>
      </c>
    </row>
    <row r="258" spans="2:12">
      <c r="B258" s="550">
        <v>90778</v>
      </c>
      <c r="C258" s="550" t="s">
        <v>1484</v>
      </c>
      <c r="D258" s="550" t="s">
        <v>2374</v>
      </c>
      <c r="E258" s="550" t="s">
        <v>1812</v>
      </c>
      <c r="F258" s="550" t="s">
        <v>1813</v>
      </c>
      <c r="G258" s="550" t="s">
        <v>14167</v>
      </c>
      <c r="H258" s="550" t="s">
        <v>2376</v>
      </c>
      <c r="I258" s="550" t="s">
        <v>2377</v>
      </c>
      <c r="J258" s="550" t="s">
        <v>14168</v>
      </c>
      <c r="K258" s="550" t="s">
        <v>14767</v>
      </c>
      <c r="L258" s="550">
        <v>6634</v>
      </c>
    </row>
    <row r="259" spans="2:12">
      <c r="B259" s="550">
        <v>90786</v>
      </c>
      <c r="C259" s="550" t="s">
        <v>1484</v>
      </c>
      <c r="D259" s="550" t="s">
        <v>2379</v>
      </c>
      <c r="E259" s="550" t="s">
        <v>1812</v>
      </c>
      <c r="F259" s="550" t="s">
        <v>1813</v>
      </c>
      <c r="G259" s="550" t="s">
        <v>14149</v>
      </c>
      <c r="H259" s="550" t="s">
        <v>2381</v>
      </c>
      <c r="I259" s="550" t="s">
        <v>2382</v>
      </c>
      <c r="J259" s="550" t="s">
        <v>2383</v>
      </c>
      <c r="K259" s="550" t="s">
        <v>14767</v>
      </c>
      <c r="L259" s="550">
        <v>6635</v>
      </c>
    </row>
    <row r="260" spans="2:12">
      <c r="B260" s="550">
        <v>90794</v>
      </c>
      <c r="C260" s="550" t="s">
        <v>1484</v>
      </c>
      <c r="D260" s="550" t="s">
        <v>2384</v>
      </c>
      <c r="E260" s="550" t="s">
        <v>1812</v>
      </c>
      <c r="F260" s="550" t="s">
        <v>1813</v>
      </c>
      <c r="G260" s="550" t="s">
        <v>14133</v>
      </c>
      <c r="H260" s="550" t="s">
        <v>2387</v>
      </c>
      <c r="I260" s="550" t="s">
        <v>2388</v>
      </c>
      <c r="J260" s="550" t="s">
        <v>14134</v>
      </c>
      <c r="K260" s="550" t="s">
        <v>14767</v>
      </c>
      <c r="L260" s="550">
        <v>6636</v>
      </c>
    </row>
    <row r="261" spans="2:12">
      <c r="B261" s="550">
        <v>90808</v>
      </c>
      <c r="C261" s="550" t="s">
        <v>1484</v>
      </c>
      <c r="D261" s="550" t="s">
        <v>2390</v>
      </c>
      <c r="E261" s="550" t="s">
        <v>1812</v>
      </c>
      <c r="F261" s="550" t="s">
        <v>1813</v>
      </c>
      <c r="G261" s="550" t="s">
        <v>14172</v>
      </c>
      <c r="H261" s="550" t="s">
        <v>2392</v>
      </c>
      <c r="I261" s="550" t="s">
        <v>2393</v>
      </c>
      <c r="J261" s="550" t="s">
        <v>2394</v>
      </c>
      <c r="K261" s="550" t="s">
        <v>14767</v>
      </c>
      <c r="L261" s="550">
        <v>6637</v>
      </c>
    </row>
    <row r="262" spans="2:12">
      <c r="B262" s="550">
        <v>90816</v>
      </c>
      <c r="C262" s="550" t="s">
        <v>1484</v>
      </c>
      <c r="D262" s="550" t="s">
        <v>2395</v>
      </c>
      <c r="E262" s="550" t="s">
        <v>1812</v>
      </c>
      <c r="F262" s="550" t="s">
        <v>1813</v>
      </c>
      <c r="G262" s="550" t="s">
        <v>14173</v>
      </c>
      <c r="H262" s="550" t="s">
        <v>2398</v>
      </c>
      <c r="I262" s="550" t="s">
        <v>2399</v>
      </c>
      <c r="J262" s="550" t="s">
        <v>2400</v>
      </c>
      <c r="K262" s="550" t="s">
        <v>14767</v>
      </c>
      <c r="L262" s="550">
        <v>6638</v>
      </c>
    </row>
    <row r="263" spans="2:12">
      <c r="B263" s="550">
        <v>90824</v>
      </c>
      <c r="C263" s="550" t="s">
        <v>1484</v>
      </c>
      <c r="D263" s="550" t="s">
        <v>2401</v>
      </c>
      <c r="E263" s="550" t="s">
        <v>1812</v>
      </c>
      <c r="F263" s="550" t="s">
        <v>1813</v>
      </c>
      <c r="G263" s="550" t="s">
        <v>14185</v>
      </c>
      <c r="H263" s="550" t="s">
        <v>2404</v>
      </c>
      <c r="I263" s="550" t="s">
        <v>2405</v>
      </c>
      <c r="J263" s="550" t="s">
        <v>14186</v>
      </c>
      <c r="K263" s="550" t="s">
        <v>14767</v>
      </c>
      <c r="L263" s="550">
        <v>6639</v>
      </c>
    </row>
    <row r="264" spans="2:12">
      <c r="B264" s="550">
        <v>90832</v>
      </c>
      <c r="C264" s="550" t="s">
        <v>1484</v>
      </c>
      <c r="D264" s="550" t="s">
        <v>2407</v>
      </c>
      <c r="E264" s="550" t="s">
        <v>1617</v>
      </c>
      <c r="F264" s="550" t="s">
        <v>1618</v>
      </c>
      <c r="G264" s="550" t="s">
        <v>14023</v>
      </c>
      <c r="H264" s="550" t="s">
        <v>2409</v>
      </c>
      <c r="I264" s="550" t="s">
        <v>2410</v>
      </c>
      <c r="J264" s="550" t="s">
        <v>14024</v>
      </c>
      <c r="K264" s="550" t="s">
        <v>1624</v>
      </c>
      <c r="L264" s="550">
        <v>6640</v>
      </c>
    </row>
    <row r="265" spans="2:12">
      <c r="B265" s="550">
        <v>90841</v>
      </c>
      <c r="C265" s="550" t="s">
        <v>1484</v>
      </c>
      <c r="D265" s="550" t="s">
        <v>2412</v>
      </c>
      <c r="E265" s="550" t="s">
        <v>1617</v>
      </c>
      <c r="F265" s="550" t="s">
        <v>1618</v>
      </c>
      <c r="G265" s="550" t="s">
        <v>13996</v>
      </c>
      <c r="H265" s="550" t="s">
        <v>2415</v>
      </c>
      <c r="I265" s="550" t="s">
        <v>2416</v>
      </c>
      <c r="J265" s="550" t="s">
        <v>13997</v>
      </c>
      <c r="K265" s="550" t="s">
        <v>1624</v>
      </c>
      <c r="L265" s="550">
        <v>6641</v>
      </c>
    </row>
    <row r="266" spans="2:12">
      <c r="B266" s="550">
        <v>90859</v>
      </c>
      <c r="C266" s="550" t="s">
        <v>1484</v>
      </c>
      <c r="D266" s="550" t="s">
        <v>2417</v>
      </c>
      <c r="E266" s="550" t="s">
        <v>1617</v>
      </c>
      <c r="F266" s="550" t="s">
        <v>1618</v>
      </c>
      <c r="G266" s="550" t="s">
        <v>14027</v>
      </c>
      <c r="H266" s="550" t="s">
        <v>2420</v>
      </c>
      <c r="I266" s="550" t="s">
        <v>2421</v>
      </c>
      <c r="J266" s="550" t="s">
        <v>14028</v>
      </c>
      <c r="K266" s="550" t="s">
        <v>1624</v>
      </c>
      <c r="L266" s="550">
        <v>6642</v>
      </c>
    </row>
    <row r="267" spans="2:12">
      <c r="B267" s="550">
        <v>90867</v>
      </c>
      <c r="C267" s="559" t="s">
        <v>1484</v>
      </c>
      <c r="D267" s="550" t="s">
        <v>2423</v>
      </c>
      <c r="E267" s="559" t="s">
        <v>1654</v>
      </c>
      <c r="F267" s="550" t="s">
        <v>13774</v>
      </c>
      <c r="G267" s="550" t="s">
        <v>14712</v>
      </c>
      <c r="H267" s="553" t="s">
        <v>2426</v>
      </c>
      <c r="I267" s="559" t="s">
        <v>2427</v>
      </c>
      <c r="J267" s="559" t="s">
        <v>14713</v>
      </c>
      <c r="K267" s="556" t="s">
        <v>7010</v>
      </c>
      <c r="L267" s="562">
        <v>11325</v>
      </c>
    </row>
    <row r="268" spans="2:12">
      <c r="B268" s="550">
        <v>90875</v>
      </c>
      <c r="C268" s="559" t="s">
        <v>1484</v>
      </c>
      <c r="D268" s="550" t="s">
        <v>14673</v>
      </c>
      <c r="E268" s="559" t="s">
        <v>1654</v>
      </c>
      <c r="F268" s="550" t="s">
        <v>13774</v>
      </c>
      <c r="G268" s="550" t="s">
        <v>14674</v>
      </c>
      <c r="H268" s="553" t="s">
        <v>2431</v>
      </c>
      <c r="I268" s="559" t="s">
        <v>2432</v>
      </c>
      <c r="J268" s="559" t="s">
        <v>14675</v>
      </c>
      <c r="K268" s="556" t="s">
        <v>7010</v>
      </c>
      <c r="L268" s="560">
        <v>11318</v>
      </c>
    </row>
    <row r="269" spans="2:12">
      <c r="B269" s="550">
        <v>90883</v>
      </c>
      <c r="C269" s="559" t="s">
        <v>1484</v>
      </c>
      <c r="D269" s="550" t="s">
        <v>2434</v>
      </c>
      <c r="E269" s="559" t="s">
        <v>1654</v>
      </c>
      <c r="F269" s="550" t="s">
        <v>13774</v>
      </c>
      <c r="G269" s="550" t="s">
        <v>14687</v>
      </c>
      <c r="H269" s="553" t="s">
        <v>2436</v>
      </c>
      <c r="I269" s="559" t="s">
        <v>2437</v>
      </c>
      <c r="J269" s="559" t="s">
        <v>14688</v>
      </c>
      <c r="K269" s="556" t="s">
        <v>7010</v>
      </c>
      <c r="L269" s="562">
        <v>11321</v>
      </c>
    </row>
    <row r="270" spans="2:12">
      <c r="B270" s="552">
        <v>90891</v>
      </c>
      <c r="C270" s="553" t="s">
        <v>1484</v>
      </c>
      <c r="D270" s="550" t="s">
        <v>2439</v>
      </c>
      <c r="E270" s="554" t="s">
        <v>1654</v>
      </c>
      <c r="F270" s="550" t="s">
        <v>13774</v>
      </c>
      <c r="G270" s="554" t="s">
        <v>14658</v>
      </c>
      <c r="H270" s="553" t="s">
        <v>2442</v>
      </c>
      <c r="I270" s="555" t="s">
        <v>2443</v>
      </c>
      <c r="J270" s="554" t="s">
        <v>14659</v>
      </c>
      <c r="K270" s="556" t="s">
        <v>7010</v>
      </c>
      <c r="L270" s="557">
        <v>11314</v>
      </c>
    </row>
    <row r="271" spans="2:12">
      <c r="B271" s="550">
        <v>90905</v>
      </c>
      <c r="C271" s="550" t="s">
        <v>3387</v>
      </c>
      <c r="D271" s="550" t="s">
        <v>3512</v>
      </c>
      <c r="E271" s="550" t="s">
        <v>1812</v>
      </c>
      <c r="F271" s="550" t="s">
        <v>1813</v>
      </c>
      <c r="G271" s="550" t="s">
        <v>13833</v>
      </c>
      <c r="H271" s="550" t="s">
        <v>3407</v>
      </c>
      <c r="I271" s="550" t="s">
        <v>3408</v>
      </c>
      <c r="J271" s="550" t="s">
        <v>3513</v>
      </c>
      <c r="K271" s="550" t="s">
        <v>14767</v>
      </c>
      <c r="L271" s="550">
        <v>6628</v>
      </c>
    </row>
    <row r="272" spans="2:12">
      <c r="B272" s="550">
        <v>90913</v>
      </c>
      <c r="C272" s="550" t="s">
        <v>1484</v>
      </c>
      <c r="D272" s="550" t="s">
        <v>2445</v>
      </c>
      <c r="E272" s="550" t="s">
        <v>1812</v>
      </c>
      <c r="F272" s="550" t="s">
        <v>1813</v>
      </c>
      <c r="G272" s="550" t="s">
        <v>14150</v>
      </c>
      <c r="H272" s="550" t="s">
        <v>2446</v>
      </c>
      <c r="I272" s="550" t="s">
        <v>2405</v>
      </c>
      <c r="J272" s="550" t="s">
        <v>14151</v>
      </c>
      <c r="K272" s="550" t="s">
        <v>14767</v>
      </c>
      <c r="L272" s="550">
        <v>6643</v>
      </c>
    </row>
    <row r="273" spans="2:12">
      <c r="B273" s="550">
        <v>90921</v>
      </c>
      <c r="C273" s="550" t="s">
        <v>1484</v>
      </c>
      <c r="D273" s="550" t="s">
        <v>2448</v>
      </c>
      <c r="E273" s="550" t="s">
        <v>1812</v>
      </c>
      <c r="F273" s="550" t="s">
        <v>1813</v>
      </c>
      <c r="G273" s="550" t="s">
        <v>14182</v>
      </c>
      <c r="H273" s="550" t="s">
        <v>2450</v>
      </c>
      <c r="I273" s="550" t="s">
        <v>2451</v>
      </c>
      <c r="J273" s="550" t="s">
        <v>14183</v>
      </c>
      <c r="K273" s="550" t="s">
        <v>14767</v>
      </c>
      <c r="L273" s="550">
        <v>6644</v>
      </c>
    </row>
    <row r="274" spans="2:12">
      <c r="B274" s="550">
        <v>90921</v>
      </c>
      <c r="C274" s="550" t="s">
        <v>1484</v>
      </c>
      <c r="D274" s="550" t="s">
        <v>2448</v>
      </c>
      <c r="E274" s="550" t="s">
        <v>1812</v>
      </c>
      <c r="F274" s="550" t="s">
        <v>1813</v>
      </c>
      <c r="G274" s="550" t="s">
        <v>14182</v>
      </c>
      <c r="H274" s="550" t="s">
        <v>2450</v>
      </c>
      <c r="I274" s="550" t="s">
        <v>2451</v>
      </c>
      <c r="J274" s="550" t="s">
        <v>14183</v>
      </c>
      <c r="K274" s="550" t="s">
        <v>14767</v>
      </c>
      <c r="L274" s="550">
        <v>6644</v>
      </c>
    </row>
    <row r="275" spans="2:12">
      <c r="B275" s="550">
        <v>90930</v>
      </c>
      <c r="C275" s="550" t="s">
        <v>1484</v>
      </c>
      <c r="D275" s="550" t="s">
        <v>2453</v>
      </c>
      <c r="E275" s="550" t="s">
        <v>1812</v>
      </c>
      <c r="F275" s="550" t="s">
        <v>1813</v>
      </c>
      <c r="G275" s="550" t="s">
        <v>14148</v>
      </c>
      <c r="H275" s="550" t="s">
        <v>2455</v>
      </c>
      <c r="I275" s="550" t="s">
        <v>2456</v>
      </c>
      <c r="J275" s="550" t="s">
        <v>2457</v>
      </c>
      <c r="K275" s="550" t="s">
        <v>14767</v>
      </c>
      <c r="L275" s="550">
        <v>6645</v>
      </c>
    </row>
    <row r="276" spans="2:12">
      <c r="B276" s="550">
        <v>90948</v>
      </c>
      <c r="C276" s="550" t="s">
        <v>1484</v>
      </c>
      <c r="D276" s="550" t="s">
        <v>2458</v>
      </c>
      <c r="E276" s="550" t="s">
        <v>1812</v>
      </c>
      <c r="F276" s="550" t="s">
        <v>1813</v>
      </c>
      <c r="G276" s="550" t="s">
        <v>14176</v>
      </c>
      <c r="H276" s="550" t="s">
        <v>2460</v>
      </c>
      <c r="I276" s="550" t="s">
        <v>2461</v>
      </c>
      <c r="J276" s="550" t="s">
        <v>2462</v>
      </c>
      <c r="K276" s="550" t="s">
        <v>14767</v>
      </c>
      <c r="L276" s="550">
        <v>6646</v>
      </c>
    </row>
    <row r="277" spans="2:12">
      <c r="B277" s="550">
        <v>90956</v>
      </c>
      <c r="C277" s="550" t="s">
        <v>1484</v>
      </c>
      <c r="D277" s="550" t="s">
        <v>2463</v>
      </c>
      <c r="E277" s="550" t="s">
        <v>1812</v>
      </c>
      <c r="F277" s="550" t="s">
        <v>1813</v>
      </c>
      <c r="G277" s="550" t="s">
        <v>14141</v>
      </c>
      <c r="H277" s="550" t="s">
        <v>2465</v>
      </c>
      <c r="I277" s="550" t="s">
        <v>2466</v>
      </c>
      <c r="J277" s="550" t="s">
        <v>14142</v>
      </c>
      <c r="K277" s="550" t="s">
        <v>14767</v>
      </c>
      <c r="L277" s="550">
        <v>6647</v>
      </c>
    </row>
    <row r="278" spans="2:12">
      <c r="B278" s="550">
        <v>90964</v>
      </c>
      <c r="C278" s="550" t="s">
        <v>1484</v>
      </c>
      <c r="D278" s="550" t="s">
        <v>2468</v>
      </c>
      <c r="E278" s="550" t="s">
        <v>1812</v>
      </c>
      <c r="F278" s="550" t="s">
        <v>1813</v>
      </c>
      <c r="G278" s="550" t="s">
        <v>14135</v>
      </c>
      <c r="H278" s="550" t="s">
        <v>2470</v>
      </c>
      <c r="I278" s="550" t="s">
        <v>2471</v>
      </c>
      <c r="J278" s="550" t="s">
        <v>14136</v>
      </c>
      <c r="K278" s="550" t="s">
        <v>14767</v>
      </c>
      <c r="L278" s="550">
        <v>6648</v>
      </c>
    </row>
    <row r="279" spans="2:12">
      <c r="B279" s="550">
        <v>90972</v>
      </c>
      <c r="C279" s="550" t="s">
        <v>1484</v>
      </c>
      <c r="D279" s="550" t="s">
        <v>2473</v>
      </c>
      <c r="E279" s="550" t="s">
        <v>1617</v>
      </c>
      <c r="F279" s="550" t="s">
        <v>1618</v>
      </c>
      <c r="G279" s="550" t="s">
        <v>14008</v>
      </c>
      <c r="H279" s="550" t="s">
        <v>2476</v>
      </c>
      <c r="I279" s="550" t="s">
        <v>2477</v>
      </c>
      <c r="J279" s="550" t="s">
        <v>14009</v>
      </c>
      <c r="K279" s="550" t="s">
        <v>1624</v>
      </c>
      <c r="L279" s="550">
        <v>6649</v>
      </c>
    </row>
    <row r="280" spans="2:12">
      <c r="B280" s="550">
        <v>90981</v>
      </c>
      <c r="C280" s="550" t="s">
        <v>1484</v>
      </c>
      <c r="D280" s="550" t="s">
        <v>2479</v>
      </c>
      <c r="E280" s="550" t="s">
        <v>1617</v>
      </c>
      <c r="F280" s="550" t="s">
        <v>1618</v>
      </c>
      <c r="G280" s="550" t="s">
        <v>13976</v>
      </c>
      <c r="H280" s="550" t="s">
        <v>2482</v>
      </c>
      <c r="I280" s="550" t="s">
        <v>2483</v>
      </c>
      <c r="J280" s="550" t="s">
        <v>13977</v>
      </c>
      <c r="K280" s="550" t="s">
        <v>1624</v>
      </c>
      <c r="L280" s="550">
        <v>6650</v>
      </c>
    </row>
    <row r="281" spans="2:12">
      <c r="B281" s="550">
        <v>90999</v>
      </c>
      <c r="C281" s="550" t="s">
        <v>1484</v>
      </c>
      <c r="D281" s="550" t="s">
        <v>2485</v>
      </c>
      <c r="E281" s="550" t="s">
        <v>1617</v>
      </c>
      <c r="F281" s="550" t="s">
        <v>1618</v>
      </c>
      <c r="G281" s="550" t="s">
        <v>13967</v>
      </c>
      <c r="H281" s="550" t="s">
        <v>2488</v>
      </c>
      <c r="I281" s="550" t="s">
        <v>2489</v>
      </c>
      <c r="J281" s="550" t="s">
        <v>13968</v>
      </c>
      <c r="K281" s="550" t="s">
        <v>1624</v>
      </c>
      <c r="L281" s="550">
        <v>6651</v>
      </c>
    </row>
    <row r="282" spans="2:12">
      <c r="B282" s="550">
        <v>91006</v>
      </c>
      <c r="C282" s="550" t="s">
        <v>1484</v>
      </c>
      <c r="D282" s="550" t="s">
        <v>2491</v>
      </c>
      <c r="E282" s="550" t="s">
        <v>1812</v>
      </c>
      <c r="F282" s="550" t="s">
        <v>1813</v>
      </c>
      <c r="G282" s="550" t="s">
        <v>14180</v>
      </c>
      <c r="H282" s="550" t="s">
        <v>2495</v>
      </c>
      <c r="I282" s="550" t="s">
        <v>2496</v>
      </c>
      <c r="J282" s="550" t="s">
        <v>2497</v>
      </c>
      <c r="K282" s="550" t="s">
        <v>14767</v>
      </c>
      <c r="L282" s="550">
        <v>6652</v>
      </c>
    </row>
    <row r="283" spans="2:12">
      <c r="B283" s="550">
        <v>91014</v>
      </c>
      <c r="C283" s="550" t="s">
        <v>1484</v>
      </c>
      <c r="D283" s="550" t="s">
        <v>2498</v>
      </c>
      <c r="E283" s="550" t="s">
        <v>1617</v>
      </c>
      <c r="F283" s="550" t="s">
        <v>1618</v>
      </c>
      <c r="G283" s="550" t="s">
        <v>13969</v>
      </c>
      <c r="H283" s="550" t="s">
        <v>2501</v>
      </c>
      <c r="I283" s="550" t="s">
        <v>2502</v>
      </c>
      <c r="J283" s="550" t="s">
        <v>13970</v>
      </c>
      <c r="K283" s="550" t="s">
        <v>1624</v>
      </c>
      <c r="L283" s="550">
        <v>6653</v>
      </c>
    </row>
    <row r="284" spans="2:12">
      <c r="B284" s="550">
        <v>91022</v>
      </c>
      <c r="C284" s="550" t="s">
        <v>1484</v>
      </c>
      <c r="D284" s="550" t="s">
        <v>2504</v>
      </c>
      <c r="E284" s="550" t="s">
        <v>1617</v>
      </c>
      <c r="F284" s="550" t="s">
        <v>1618</v>
      </c>
      <c r="G284" s="550" t="s">
        <v>14014</v>
      </c>
      <c r="H284" s="550" t="s">
        <v>2506</v>
      </c>
      <c r="I284" s="550" t="s">
        <v>2507</v>
      </c>
      <c r="J284" s="550" t="s">
        <v>14015</v>
      </c>
      <c r="K284" s="550" t="s">
        <v>1624</v>
      </c>
      <c r="L284" s="550">
        <v>6654</v>
      </c>
    </row>
    <row r="285" spans="2:12">
      <c r="B285" s="550">
        <v>91031</v>
      </c>
      <c r="C285" s="550" t="s">
        <v>1484</v>
      </c>
      <c r="D285" s="550" t="s">
        <v>2509</v>
      </c>
      <c r="E285" s="550" t="s">
        <v>1617</v>
      </c>
      <c r="F285" s="550" t="s">
        <v>1618</v>
      </c>
      <c r="G285" s="550" t="s">
        <v>14025</v>
      </c>
      <c r="H285" s="550" t="s">
        <v>2511</v>
      </c>
      <c r="I285" s="550" t="s">
        <v>2512</v>
      </c>
      <c r="J285" s="550" t="s">
        <v>14026</v>
      </c>
      <c r="K285" s="550" t="s">
        <v>1624</v>
      </c>
      <c r="L285" s="550">
        <v>6655</v>
      </c>
    </row>
    <row r="286" spans="2:12">
      <c r="B286" s="550">
        <v>91057</v>
      </c>
      <c r="C286" s="550" t="s">
        <v>1484</v>
      </c>
      <c r="D286" s="550" t="s">
        <v>2514</v>
      </c>
      <c r="E286" s="550" t="s">
        <v>1812</v>
      </c>
      <c r="F286" s="550" t="s">
        <v>1813</v>
      </c>
      <c r="G286" s="550" t="s">
        <v>14171</v>
      </c>
      <c r="H286" s="550" t="s">
        <v>2517</v>
      </c>
      <c r="I286" s="550" t="s">
        <v>2518</v>
      </c>
      <c r="J286" s="550" t="s">
        <v>2519</v>
      </c>
      <c r="K286" s="550" t="s">
        <v>14767</v>
      </c>
      <c r="L286" s="550">
        <v>6629</v>
      </c>
    </row>
    <row r="287" spans="2:12">
      <c r="B287" s="550">
        <v>91065</v>
      </c>
      <c r="C287" s="559" t="s">
        <v>1484</v>
      </c>
      <c r="D287" s="550" t="s">
        <v>2520</v>
      </c>
      <c r="E287" s="559" t="s">
        <v>1654</v>
      </c>
      <c r="F287" s="550" t="s">
        <v>13774</v>
      </c>
      <c r="G287" s="550" t="s">
        <v>14671</v>
      </c>
      <c r="H287" s="553" t="s">
        <v>2522</v>
      </c>
      <c r="I287" s="559" t="s">
        <v>2523</v>
      </c>
      <c r="J287" s="559" t="s">
        <v>14672</v>
      </c>
      <c r="K287" s="556" t="s">
        <v>7010</v>
      </c>
      <c r="L287" s="560">
        <v>11441</v>
      </c>
    </row>
    <row r="288" spans="2:12">
      <c r="B288" s="550">
        <v>91073</v>
      </c>
      <c r="C288" s="550" t="s">
        <v>1484</v>
      </c>
      <c r="D288" s="550" t="s">
        <v>2525</v>
      </c>
      <c r="E288" s="550" t="s">
        <v>1820</v>
      </c>
      <c r="F288" s="551" t="s">
        <v>13802</v>
      </c>
      <c r="G288" s="550" t="s">
        <v>14350</v>
      </c>
      <c r="H288" s="550" t="s">
        <v>2528</v>
      </c>
      <c r="I288" s="550" t="s">
        <v>2529</v>
      </c>
      <c r="J288" s="550" t="s">
        <v>14351</v>
      </c>
      <c r="K288" s="549" t="s">
        <v>14769</v>
      </c>
      <c r="L288" s="550">
        <v>6681</v>
      </c>
    </row>
    <row r="289" spans="2:12">
      <c r="B289" s="550">
        <v>91081</v>
      </c>
      <c r="C289" s="550" t="s">
        <v>1484</v>
      </c>
      <c r="D289" s="550" t="s">
        <v>2531</v>
      </c>
      <c r="E289" s="550" t="s">
        <v>1820</v>
      </c>
      <c r="F289" s="551" t="s">
        <v>13802</v>
      </c>
      <c r="G289" s="550" t="s">
        <v>14409</v>
      </c>
      <c r="H289" s="550" t="s">
        <v>2533</v>
      </c>
      <c r="I289" s="550" t="s">
        <v>2534</v>
      </c>
      <c r="J289" s="550" t="s">
        <v>14410</v>
      </c>
      <c r="K289" s="549" t="s">
        <v>14769</v>
      </c>
      <c r="L289" s="550">
        <v>6682</v>
      </c>
    </row>
    <row r="290" spans="2:12">
      <c r="B290" s="550">
        <v>91090</v>
      </c>
      <c r="C290" s="550" t="s">
        <v>1484</v>
      </c>
      <c r="D290" s="550" t="s">
        <v>2536</v>
      </c>
      <c r="E290" s="550" t="s">
        <v>1820</v>
      </c>
      <c r="F290" s="551" t="s">
        <v>13802</v>
      </c>
      <c r="G290" s="550" t="s">
        <v>14411</v>
      </c>
      <c r="H290" s="550" t="s">
        <v>2539</v>
      </c>
      <c r="I290" s="550" t="s">
        <v>2540</v>
      </c>
      <c r="J290" s="550" t="s">
        <v>2541</v>
      </c>
      <c r="K290" s="549" t="s">
        <v>14769</v>
      </c>
      <c r="L290" s="550">
        <v>6669</v>
      </c>
    </row>
    <row r="291" spans="2:12">
      <c r="B291" s="550">
        <v>91103</v>
      </c>
      <c r="C291" s="550" t="s">
        <v>1484</v>
      </c>
      <c r="D291" s="570" t="s">
        <v>14823</v>
      </c>
      <c r="E291" s="550" t="s">
        <v>1707</v>
      </c>
      <c r="F291" s="551" t="s">
        <v>13799</v>
      </c>
      <c r="G291" s="550" t="s">
        <v>14308</v>
      </c>
      <c r="H291" s="550" t="s">
        <v>2543</v>
      </c>
      <c r="I291" s="550" t="s">
        <v>2544</v>
      </c>
      <c r="J291" s="550" t="s">
        <v>14309</v>
      </c>
      <c r="K291" s="550" t="s">
        <v>1633</v>
      </c>
      <c r="L291" s="550">
        <v>6684</v>
      </c>
    </row>
    <row r="292" spans="2:12">
      <c r="B292" s="550">
        <v>91111</v>
      </c>
      <c r="C292" s="550" t="s">
        <v>1484</v>
      </c>
      <c r="D292" s="550" t="s">
        <v>2545</v>
      </c>
      <c r="E292" s="550" t="s">
        <v>1707</v>
      </c>
      <c r="F292" s="551" t="s">
        <v>13799</v>
      </c>
      <c r="G292" s="550" t="s">
        <v>14297</v>
      </c>
      <c r="H292" s="550" t="s">
        <v>2548</v>
      </c>
      <c r="I292" s="550" t="s">
        <v>2549</v>
      </c>
      <c r="J292" s="550" t="s">
        <v>14298</v>
      </c>
      <c r="K292" s="550" t="s">
        <v>1633</v>
      </c>
      <c r="L292" s="550">
        <v>6685</v>
      </c>
    </row>
    <row r="293" spans="2:12">
      <c r="B293" s="550">
        <v>91120</v>
      </c>
      <c r="C293" s="550" t="s">
        <v>1484</v>
      </c>
      <c r="D293" s="550" t="s">
        <v>2550</v>
      </c>
      <c r="E293" s="550" t="s">
        <v>1707</v>
      </c>
      <c r="F293" s="551" t="s">
        <v>13799</v>
      </c>
      <c r="G293" s="550" t="s">
        <v>14271</v>
      </c>
      <c r="H293" s="550" t="s">
        <v>2553</v>
      </c>
      <c r="I293" s="550" t="s">
        <v>2554</v>
      </c>
      <c r="J293" s="550" t="s">
        <v>14272</v>
      </c>
      <c r="K293" s="550" t="s">
        <v>1633</v>
      </c>
      <c r="L293" s="550">
        <v>6686</v>
      </c>
    </row>
    <row r="294" spans="2:12">
      <c r="B294" s="550">
        <v>91138</v>
      </c>
      <c r="C294" s="550" t="s">
        <v>1484</v>
      </c>
      <c r="D294" s="550" t="s">
        <v>2555</v>
      </c>
      <c r="E294" s="550" t="s">
        <v>1707</v>
      </c>
      <c r="F294" s="551" t="s">
        <v>13799</v>
      </c>
      <c r="G294" s="550" t="s">
        <v>14278</v>
      </c>
      <c r="H294" s="550" t="s">
        <v>2557</v>
      </c>
      <c r="I294" s="550" t="s">
        <v>2558</v>
      </c>
      <c r="J294" s="550" t="s">
        <v>14279</v>
      </c>
      <c r="K294" s="550" t="s">
        <v>1633</v>
      </c>
      <c r="L294" s="550">
        <v>6687</v>
      </c>
    </row>
    <row r="295" spans="2:12">
      <c r="B295" s="550">
        <v>91146</v>
      </c>
      <c r="C295" s="550" t="s">
        <v>1484</v>
      </c>
      <c r="D295" s="550" t="s">
        <v>2559</v>
      </c>
      <c r="E295" s="550" t="s">
        <v>1707</v>
      </c>
      <c r="F295" s="551" t="s">
        <v>13799</v>
      </c>
      <c r="G295" s="550" t="s">
        <v>14302</v>
      </c>
      <c r="H295" s="550" t="s">
        <v>2562</v>
      </c>
      <c r="I295" s="550" t="s">
        <v>2563</v>
      </c>
      <c r="J295" s="550" t="s">
        <v>14303</v>
      </c>
      <c r="K295" s="550" t="s">
        <v>1633</v>
      </c>
      <c r="L295" s="550">
        <v>6688</v>
      </c>
    </row>
    <row r="296" spans="2:12">
      <c r="B296" s="550">
        <v>91154</v>
      </c>
      <c r="C296" s="550" t="s">
        <v>1484</v>
      </c>
      <c r="D296" s="550" t="s">
        <v>2565</v>
      </c>
      <c r="E296" s="550" t="s">
        <v>1617</v>
      </c>
      <c r="F296" s="550" t="s">
        <v>1618</v>
      </c>
      <c r="G296" s="550" t="s">
        <v>13974</v>
      </c>
      <c r="H296" s="550" t="s">
        <v>2567</v>
      </c>
      <c r="I296" s="550" t="s">
        <v>2568</v>
      </c>
      <c r="J296" s="550" t="s">
        <v>13975</v>
      </c>
      <c r="K296" s="550" t="s">
        <v>1624</v>
      </c>
      <c r="L296" s="550">
        <v>6624</v>
      </c>
    </row>
    <row r="297" spans="2:12">
      <c r="B297" s="550">
        <v>91162</v>
      </c>
      <c r="C297" s="550" t="s">
        <v>1484</v>
      </c>
      <c r="D297" s="550" t="s">
        <v>2570</v>
      </c>
      <c r="E297" s="550" t="s">
        <v>1617</v>
      </c>
      <c r="F297" s="550" t="s">
        <v>1618</v>
      </c>
      <c r="G297" s="550" t="s">
        <v>14006</v>
      </c>
      <c r="H297" s="550" t="s">
        <v>2573</v>
      </c>
      <c r="I297" s="550" t="s">
        <v>2574</v>
      </c>
      <c r="J297" s="550" t="s">
        <v>14007</v>
      </c>
      <c r="K297" s="550" t="s">
        <v>1624</v>
      </c>
      <c r="L297" s="550">
        <v>6656</v>
      </c>
    </row>
    <row r="298" spans="2:12">
      <c r="B298" s="550">
        <v>91171</v>
      </c>
      <c r="C298" s="550" t="s">
        <v>1484</v>
      </c>
      <c r="D298" s="550" t="s">
        <v>2575</v>
      </c>
      <c r="E298" s="550" t="s">
        <v>1707</v>
      </c>
      <c r="F298" s="551" t="s">
        <v>13799</v>
      </c>
      <c r="G298" s="550" t="s">
        <v>14319</v>
      </c>
      <c r="H298" s="550" t="s">
        <v>2577</v>
      </c>
      <c r="I298" s="550" t="s">
        <v>2578</v>
      </c>
      <c r="J298" s="550" t="s">
        <v>14320</v>
      </c>
      <c r="K298" s="550" t="s">
        <v>1633</v>
      </c>
      <c r="L298" s="550">
        <v>6689</v>
      </c>
    </row>
    <row r="299" spans="2:12">
      <c r="B299" s="550">
        <v>91189</v>
      </c>
      <c r="C299" s="550" t="s">
        <v>1484</v>
      </c>
      <c r="D299" s="550" t="s">
        <v>2579</v>
      </c>
      <c r="E299" s="550" t="s">
        <v>1707</v>
      </c>
      <c r="F299" s="551" t="s">
        <v>13799</v>
      </c>
      <c r="G299" s="550" t="s">
        <v>14310</v>
      </c>
      <c r="H299" s="550" t="s">
        <v>2581</v>
      </c>
      <c r="I299" s="550" t="s">
        <v>2582</v>
      </c>
      <c r="J299" s="550" t="s">
        <v>14311</v>
      </c>
      <c r="K299" s="550" t="s">
        <v>1633</v>
      </c>
      <c r="L299" s="550">
        <v>6690</v>
      </c>
    </row>
    <row r="300" spans="2:12">
      <c r="B300" s="550">
        <v>91197</v>
      </c>
      <c r="C300" s="550" t="s">
        <v>1484</v>
      </c>
      <c r="D300" s="550" t="s">
        <v>2583</v>
      </c>
      <c r="E300" s="550" t="s">
        <v>1707</v>
      </c>
      <c r="F300" s="551" t="s">
        <v>13799</v>
      </c>
      <c r="G300" s="550" t="s">
        <v>14332</v>
      </c>
      <c r="H300" s="550" t="s">
        <v>2586</v>
      </c>
      <c r="I300" s="550" t="s">
        <v>2587</v>
      </c>
      <c r="J300" s="550" t="s">
        <v>14333</v>
      </c>
      <c r="K300" s="550" t="s">
        <v>1633</v>
      </c>
      <c r="L300" s="550">
        <v>6691</v>
      </c>
    </row>
    <row r="301" spans="2:12">
      <c r="B301" s="550">
        <v>91201</v>
      </c>
      <c r="C301" s="550" t="s">
        <v>1484</v>
      </c>
      <c r="D301" s="550" t="s">
        <v>2588</v>
      </c>
      <c r="E301" s="550" t="s">
        <v>1707</v>
      </c>
      <c r="F301" s="551" t="s">
        <v>13799</v>
      </c>
      <c r="G301" s="550" t="s">
        <v>14325</v>
      </c>
      <c r="H301" s="550" t="s">
        <v>2590</v>
      </c>
      <c r="I301" s="550" t="s">
        <v>2591</v>
      </c>
      <c r="J301" s="550" t="s">
        <v>14326</v>
      </c>
      <c r="K301" s="550" t="s">
        <v>1633</v>
      </c>
      <c r="L301" s="550">
        <v>6692</v>
      </c>
    </row>
    <row r="302" spans="2:12">
      <c r="B302" s="550">
        <v>91219</v>
      </c>
      <c r="C302" s="550" t="s">
        <v>1484</v>
      </c>
      <c r="D302" s="550" t="s">
        <v>2592</v>
      </c>
      <c r="E302" s="550" t="s">
        <v>1707</v>
      </c>
      <c r="F302" s="551" t="s">
        <v>13799</v>
      </c>
      <c r="G302" s="550" t="s">
        <v>14273</v>
      </c>
      <c r="H302" s="550" t="s">
        <v>2595</v>
      </c>
      <c r="I302" s="550" t="s">
        <v>2596</v>
      </c>
      <c r="J302" s="550" t="s">
        <v>14274</v>
      </c>
      <c r="K302" s="550" t="s">
        <v>1633</v>
      </c>
      <c r="L302" s="550">
        <v>6693</v>
      </c>
    </row>
    <row r="303" spans="2:12">
      <c r="B303" s="550">
        <v>91227</v>
      </c>
      <c r="C303" s="550" t="s">
        <v>1484</v>
      </c>
      <c r="D303" s="550" t="s">
        <v>2597</v>
      </c>
      <c r="E303" s="550" t="s">
        <v>1707</v>
      </c>
      <c r="F303" s="551" t="s">
        <v>13799</v>
      </c>
      <c r="G303" s="550" t="s">
        <v>14328</v>
      </c>
      <c r="H303" s="550" t="s">
        <v>2599</v>
      </c>
      <c r="I303" s="550" t="s">
        <v>2600</v>
      </c>
      <c r="J303" s="550" t="s">
        <v>14329</v>
      </c>
      <c r="K303" s="550" t="s">
        <v>1633</v>
      </c>
      <c r="L303" s="550">
        <v>6694</v>
      </c>
    </row>
    <row r="304" spans="2:12">
      <c r="B304" s="550">
        <v>91235</v>
      </c>
      <c r="C304" s="550" t="s">
        <v>1484</v>
      </c>
      <c r="D304" s="550" t="s">
        <v>2601</v>
      </c>
      <c r="E304" s="550" t="s">
        <v>1707</v>
      </c>
      <c r="F304" s="551" t="s">
        <v>13799</v>
      </c>
      <c r="G304" s="550" t="s">
        <v>14304</v>
      </c>
      <c r="H304" s="550" t="s">
        <v>2603</v>
      </c>
      <c r="I304" s="550" t="s">
        <v>2604</v>
      </c>
      <c r="J304" s="550" t="s">
        <v>14305</v>
      </c>
      <c r="K304" s="550" t="s">
        <v>1633</v>
      </c>
      <c r="L304" s="550">
        <v>6695</v>
      </c>
    </row>
    <row r="305" spans="2:12">
      <c r="B305" s="550">
        <v>91243</v>
      </c>
      <c r="C305" s="550" t="s">
        <v>1484</v>
      </c>
      <c r="D305" s="550" t="s">
        <v>2605</v>
      </c>
      <c r="E305" s="550" t="s">
        <v>1707</v>
      </c>
      <c r="F305" s="551" t="s">
        <v>13799</v>
      </c>
      <c r="G305" s="550" t="s">
        <v>14315</v>
      </c>
      <c r="H305" s="550" t="s">
        <v>2608</v>
      </c>
      <c r="I305" s="550" t="s">
        <v>2609</v>
      </c>
      <c r="J305" s="550" t="s">
        <v>14316</v>
      </c>
      <c r="K305" s="550" t="s">
        <v>1633</v>
      </c>
      <c r="L305" s="550">
        <v>6696</v>
      </c>
    </row>
    <row r="306" spans="2:12">
      <c r="B306" s="550">
        <v>91251</v>
      </c>
      <c r="C306" s="550" t="s">
        <v>1484</v>
      </c>
      <c r="D306" s="550" t="s">
        <v>2610</v>
      </c>
      <c r="E306" s="550" t="s">
        <v>1812</v>
      </c>
      <c r="F306" s="550" t="s">
        <v>1813</v>
      </c>
      <c r="G306" s="550" t="s">
        <v>14154</v>
      </c>
      <c r="H306" s="550" t="s">
        <v>2613</v>
      </c>
      <c r="I306" s="550" t="s">
        <v>2614</v>
      </c>
      <c r="J306" s="550" t="s">
        <v>2615</v>
      </c>
      <c r="K306" s="550" t="s">
        <v>14767</v>
      </c>
      <c r="L306" s="550">
        <v>6657</v>
      </c>
    </row>
    <row r="307" spans="2:12">
      <c r="B307" s="550">
        <v>91260</v>
      </c>
      <c r="C307" s="550" t="s">
        <v>1484</v>
      </c>
      <c r="D307" s="550" t="s">
        <v>2616</v>
      </c>
      <c r="E307" s="550" t="s">
        <v>1820</v>
      </c>
      <c r="F307" s="551" t="s">
        <v>13802</v>
      </c>
      <c r="G307" s="550" t="s">
        <v>14378</v>
      </c>
      <c r="H307" s="550" t="s">
        <v>2618</v>
      </c>
      <c r="I307" s="550" t="s">
        <v>2619</v>
      </c>
      <c r="J307" s="550" t="s">
        <v>14379</v>
      </c>
      <c r="K307" s="549" t="s">
        <v>14769</v>
      </c>
      <c r="L307" s="550">
        <v>6807</v>
      </c>
    </row>
    <row r="308" spans="2:12">
      <c r="B308" s="550">
        <v>91278</v>
      </c>
      <c r="C308" s="550" t="s">
        <v>1484</v>
      </c>
      <c r="D308" s="550" t="s">
        <v>2621</v>
      </c>
      <c r="E308" s="550" t="s">
        <v>1820</v>
      </c>
      <c r="F308" s="551" t="s">
        <v>13802</v>
      </c>
      <c r="G308" s="550" t="s">
        <v>14370</v>
      </c>
      <c r="H308" s="550" t="s">
        <v>2624</v>
      </c>
      <c r="I308" s="550" t="s">
        <v>2625</v>
      </c>
      <c r="J308" s="550" t="s">
        <v>14371</v>
      </c>
      <c r="K308" s="549" t="s">
        <v>14769</v>
      </c>
      <c r="L308" s="550">
        <v>6808</v>
      </c>
    </row>
    <row r="309" spans="2:12">
      <c r="B309" s="550">
        <v>91286</v>
      </c>
      <c r="C309" s="550" t="s">
        <v>1484</v>
      </c>
      <c r="D309" s="550" t="s">
        <v>2627</v>
      </c>
      <c r="E309" s="550" t="s">
        <v>1812</v>
      </c>
      <c r="F309" s="550" t="s">
        <v>1813</v>
      </c>
      <c r="G309" s="550" t="s">
        <v>14174</v>
      </c>
      <c r="H309" s="550" t="s">
        <v>2630</v>
      </c>
      <c r="I309" s="550" t="s">
        <v>2631</v>
      </c>
      <c r="J309" s="550" t="s">
        <v>2632</v>
      </c>
      <c r="K309" s="550" t="s">
        <v>14767</v>
      </c>
      <c r="L309" s="550">
        <v>6809</v>
      </c>
    </row>
    <row r="310" spans="2:12">
      <c r="B310" s="550">
        <v>91294</v>
      </c>
      <c r="C310" s="550" t="s">
        <v>1484</v>
      </c>
      <c r="D310" s="550" t="s">
        <v>2633</v>
      </c>
      <c r="E310" s="550" t="s">
        <v>1820</v>
      </c>
      <c r="F310" s="551" t="s">
        <v>13802</v>
      </c>
      <c r="G310" s="550" t="s">
        <v>14417</v>
      </c>
      <c r="H310" s="550" t="s">
        <v>2635</v>
      </c>
      <c r="I310" s="550" t="s">
        <v>2636</v>
      </c>
      <c r="J310" s="550" t="s">
        <v>14418</v>
      </c>
      <c r="K310" s="549" t="s">
        <v>14769</v>
      </c>
      <c r="L310" s="550">
        <v>6810</v>
      </c>
    </row>
    <row r="311" spans="2:12">
      <c r="B311" s="550">
        <v>91308</v>
      </c>
      <c r="C311" s="550" t="s">
        <v>1484</v>
      </c>
      <c r="D311" s="550" t="s">
        <v>2638</v>
      </c>
      <c r="E311" s="550" t="s">
        <v>1820</v>
      </c>
      <c r="F311" s="551" t="s">
        <v>13802</v>
      </c>
      <c r="G311" s="550" t="s">
        <v>2639</v>
      </c>
      <c r="H311" s="550" t="s">
        <v>2642</v>
      </c>
      <c r="I311" s="550" t="s">
        <v>2643</v>
      </c>
      <c r="J311" s="550" t="s">
        <v>14419</v>
      </c>
      <c r="K311" s="549" t="s">
        <v>14769</v>
      </c>
      <c r="L311" s="550">
        <v>6680</v>
      </c>
    </row>
    <row r="312" spans="2:12">
      <c r="B312" s="550">
        <v>91316</v>
      </c>
      <c r="C312" s="550" t="s">
        <v>1484</v>
      </c>
      <c r="D312" s="550" t="s">
        <v>2645</v>
      </c>
      <c r="E312" s="550" t="s">
        <v>1820</v>
      </c>
      <c r="F312" s="551" t="s">
        <v>13802</v>
      </c>
      <c r="G312" s="550" t="s">
        <v>14394</v>
      </c>
      <c r="H312" s="550" t="s">
        <v>2648</v>
      </c>
      <c r="I312" s="550" t="s">
        <v>2649</v>
      </c>
      <c r="J312" s="550" t="s">
        <v>2650</v>
      </c>
      <c r="K312" s="549" t="s">
        <v>14769</v>
      </c>
      <c r="L312" s="550">
        <v>6678</v>
      </c>
    </row>
    <row r="313" spans="2:12">
      <c r="B313" s="550">
        <v>91324</v>
      </c>
      <c r="C313" s="550" t="s">
        <v>1484</v>
      </c>
      <c r="D313" s="550" t="s">
        <v>2651</v>
      </c>
      <c r="E313" s="550" t="s">
        <v>1820</v>
      </c>
      <c r="F313" s="551" t="s">
        <v>13802</v>
      </c>
      <c r="G313" s="550" t="s">
        <v>14366</v>
      </c>
      <c r="H313" s="550" t="s">
        <v>2654</v>
      </c>
      <c r="I313" s="550" t="s">
        <v>2655</v>
      </c>
      <c r="J313" s="550" t="s">
        <v>14367</v>
      </c>
      <c r="K313" s="549" t="s">
        <v>14769</v>
      </c>
      <c r="L313" s="550">
        <v>6679</v>
      </c>
    </row>
    <row r="314" spans="2:12">
      <c r="B314" s="550">
        <v>91332</v>
      </c>
      <c r="C314" s="550" t="s">
        <v>1484</v>
      </c>
      <c r="D314" s="550" t="s">
        <v>2657</v>
      </c>
      <c r="E314" s="550" t="s">
        <v>1820</v>
      </c>
      <c r="F314" s="551" t="s">
        <v>13802</v>
      </c>
      <c r="G314" s="550" t="s">
        <v>14431</v>
      </c>
      <c r="H314" s="550" t="s">
        <v>2660</v>
      </c>
      <c r="I314" s="550" t="s">
        <v>2661</v>
      </c>
      <c r="J314" s="550" t="s">
        <v>14432</v>
      </c>
      <c r="K314" s="549" t="s">
        <v>14769</v>
      </c>
      <c r="L314" s="550">
        <v>6671</v>
      </c>
    </row>
    <row r="315" spans="2:12">
      <c r="B315" s="550">
        <v>91341</v>
      </c>
      <c r="C315" s="550" t="s">
        <v>1484</v>
      </c>
      <c r="D315" s="550" t="s">
        <v>2663</v>
      </c>
      <c r="E315" s="550" t="s">
        <v>1820</v>
      </c>
      <c r="F315" s="551" t="s">
        <v>13802</v>
      </c>
      <c r="G315" s="550" t="s">
        <v>14386</v>
      </c>
      <c r="H315" s="550" t="s">
        <v>2666</v>
      </c>
      <c r="I315" s="550" t="s">
        <v>2667</v>
      </c>
      <c r="J315" s="550" t="s">
        <v>14387</v>
      </c>
      <c r="K315" s="549" t="s">
        <v>14769</v>
      </c>
      <c r="L315" s="550">
        <v>6672</v>
      </c>
    </row>
    <row r="316" spans="2:12">
      <c r="B316" s="550">
        <v>91359</v>
      </c>
      <c r="C316" s="550" t="s">
        <v>1484</v>
      </c>
      <c r="D316" s="550" t="s">
        <v>2669</v>
      </c>
      <c r="E316" s="550" t="s">
        <v>1820</v>
      </c>
      <c r="F316" s="551" t="s">
        <v>13802</v>
      </c>
      <c r="G316" s="550" t="s">
        <v>14405</v>
      </c>
      <c r="H316" s="550" t="s">
        <v>2672</v>
      </c>
      <c r="I316" s="550" t="s">
        <v>2673</v>
      </c>
      <c r="J316" s="550" t="s">
        <v>14406</v>
      </c>
      <c r="K316" s="549" t="s">
        <v>14769</v>
      </c>
      <c r="L316" s="550">
        <v>6673</v>
      </c>
    </row>
    <row r="317" spans="2:12">
      <c r="B317" s="550">
        <v>91367</v>
      </c>
      <c r="C317" s="550" t="s">
        <v>1484</v>
      </c>
      <c r="D317" s="550" t="s">
        <v>2675</v>
      </c>
      <c r="E317" s="550" t="s">
        <v>1820</v>
      </c>
      <c r="F317" s="551" t="s">
        <v>13802</v>
      </c>
      <c r="G317" s="550" t="s">
        <v>14372</v>
      </c>
      <c r="H317" s="550" t="s">
        <v>2678</v>
      </c>
      <c r="I317" s="550" t="s">
        <v>2679</v>
      </c>
      <c r="J317" s="550" t="s">
        <v>14373</v>
      </c>
      <c r="K317" s="549" t="s">
        <v>14769</v>
      </c>
      <c r="L317" s="550">
        <v>6674</v>
      </c>
    </row>
    <row r="318" spans="2:12">
      <c r="B318" s="550">
        <v>91375</v>
      </c>
      <c r="C318" s="550" t="s">
        <v>1484</v>
      </c>
      <c r="D318" s="550" t="s">
        <v>2681</v>
      </c>
      <c r="E318" s="550" t="s">
        <v>1820</v>
      </c>
      <c r="F318" s="551" t="s">
        <v>13802</v>
      </c>
      <c r="G318" s="550" t="s">
        <v>14426</v>
      </c>
      <c r="H318" s="550" t="s">
        <v>2683</v>
      </c>
      <c r="I318" s="550" t="s">
        <v>2684</v>
      </c>
      <c r="J318" s="550" t="s">
        <v>14427</v>
      </c>
      <c r="K318" s="549" t="s">
        <v>14769</v>
      </c>
      <c r="L318" s="550">
        <v>6811</v>
      </c>
    </row>
    <row r="319" spans="2:12">
      <c r="B319" s="550">
        <v>91383</v>
      </c>
      <c r="C319" s="550" t="s">
        <v>1484</v>
      </c>
      <c r="D319" s="550" t="s">
        <v>2686</v>
      </c>
      <c r="E319" s="550" t="s">
        <v>1820</v>
      </c>
      <c r="F319" s="551" t="s">
        <v>13802</v>
      </c>
      <c r="G319" s="550" t="s">
        <v>14364</v>
      </c>
      <c r="H319" s="550" t="s">
        <v>2688</v>
      </c>
      <c r="I319" s="550" t="s">
        <v>2689</v>
      </c>
      <c r="J319" s="550" t="s">
        <v>2690</v>
      </c>
      <c r="K319" s="549" t="s">
        <v>14769</v>
      </c>
      <c r="L319" s="550">
        <v>6812</v>
      </c>
    </row>
    <row r="320" spans="2:12">
      <c r="B320" s="550">
        <v>91391</v>
      </c>
      <c r="C320" s="550" t="s">
        <v>1484</v>
      </c>
      <c r="D320" s="550" t="s">
        <v>2691</v>
      </c>
      <c r="E320" s="550" t="s">
        <v>1820</v>
      </c>
      <c r="F320" s="551" t="s">
        <v>13802</v>
      </c>
      <c r="G320" s="550" t="s">
        <v>14407</v>
      </c>
      <c r="H320" s="550" t="s">
        <v>2693</v>
      </c>
      <c r="I320" s="550" t="s">
        <v>2694</v>
      </c>
      <c r="J320" s="550" t="s">
        <v>14408</v>
      </c>
      <c r="K320" s="549" t="s">
        <v>14769</v>
      </c>
      <c r="L320" s="550">
        <v>6813</v>
      </c>
    </row>
    <row r="321" spans="2:12">
      <c r="B321" s="550">
        <v>91405</v>
      </c>
      <c r="C321" s="550" t="s">
        <v>1484</v>
      </c>
      <c r="D321" s="550" t="s">
        <v>2696</v>
      </c>
      <c r="E321" s="550" t="s">
        <v>1820</v>
      </c>
      <c r="F321" s="551" t="s">
        <v>13802</v>
      </c>
      <c r="G321" s="550" t="s">
        <v>14400</v>
      </c>
      <c r="H321" s="550" t="s">
        <v>2699</v>
      </c>
      <c r="I321" s="550" t="s">
        <v>2700</v>
      </c>
      <c r="J321" s="550" t="s">
        <v>2701</v>
      </c>
      <c r="K321" s="549" t="s">
        <v>14769</v>
      </c>
      <c r="L321" s="550">
        <v>6675</v>
      </c>
    </row>
    <row r="322" spans="2:12">
      <c r="B322" s="550">
        <v>91413</v>
      </c>
      <c r="C322" s="550" t="s">
        <v>1484</v>
      </c>
      <c r="D322" s="550" t="s">
        <v>2702</v>
      </c>
      <c r="E322" s="550" t="s">
        <v>1820</v>
      </c>
      <c r="F322" s="551" t="s">
        <v>13802</v>
      </c>
      <c r="G322" s="550" t="s">
        <v>14422</v>
      </c>
      <c r="H322" s="550" t="s">
        <v>2705</v>
      </c>
      <c r="I322" s="550" t="s">
        <v>2706</v>
      </c>
      <c r="J322" s="550" t="s">
        <v>14423</v>
      </c>
      <c r="K322" s="549" t="s">
        <v>14769</v>
      </c>
      <c r="L322" s="550">
        <v>6683</v>
      </c>
    </row>
    <row r="323" spans="2:12">
      <c r="B323" s="550">
        <v>91421</v>
      </c>
      <c r="C323" s="550" t="s">
        <v>1484</v>
      </c>
      <c r="D323" s="550" t="s">
        <v>2707</v>
      </c>
      <c r="E323" s="550" t="s">
        <v>1820</v>
      </c>
      <c r="F323" s="551" t="s">
        <v>13802</v>
      </c>
      <c r="G323" s="550" t="s">
        <v>14346</v>
      </c>
      <c r="H323" s="550" t="s">
        <v>2710</v>
      </c>
      <c r="I323" s="550" t="s">
        <v>2711</v>
      </c>
      <c r="J323" s="550" t="s">
        <v>14347</v>
      </c>
      <c r="K323" s="549" t="s">
        <v>14769</v>
      </c>
      <c r="L323" s="550">
        <v>6677</v>
      </c>
    </row>
    <row r="324" spans="2:12">
      <c r="B324" s="550">
        <v>91430</v>
      </c>
      <c r="C324" s="550" t="s">
        <v>1484</v>
      </c>
      <c r="D324" s="550" t="s">
        <v>14791</v>
      </c>
      <c r="E324" s="550" t="s">
        <v>1626</v>
      </c>
      <c r="F324" s="551" t="s">
        <v>13763</v>
      </c>
      <c r="G324" s="550" t="s">
        <v>13952</v>
      </c>
      <c r="H324" s="550" t="s">
        <v>2714</v>
      </c>
      <c r="I324" s="550" t="s">
        <v>2715</v>
      </c>
      <c r="J324" s="550" t="s">
        <v>13953</v>
      </c>
      <c r="K324" s="550" t="s">
        <v>1633</v>
      </c>
      <c r="L324" s="550">
        <v>6725</v>
      </c>
    </row>
    <row r="325" spans="2:12">
      <c r="B325" s="550">
        <v>91448</v>
      </c>
      <c r="C325" s="550" t="s">
        <v>1484</v>
      </c>
      <c r="D325" s="550" t="s">
        <v>2717</v>
      </c>
      <c r="E325" s="550" t="s">
        <v>1626</v>
      </c>
      <c r="F325" s="551" t="s">
        <v>13763</v>
      </c>
      <c r="G325" s="550" t="s">
        <v>13960</v>
      </c>
      <c r="H325" s="550" t="s">
        <v>2719</v>
      </c>
      <c r="I325" s="550" t="s">
        <v>2720</v>
      </c>
      <c r="J325" s="550" t="s">
        <v>2721</v>
      </c>
      <c r="K325" s="550" t="s">
        <v>1633</v>
      </c>
      <c r="L325" s="550">
        <v>6726</v>
      </c>
    </row>
    <row r="326" spans="2:12">
      <c r="B326" s="550">
        <v>91456</v>
      </c>
      <c r="C326" s="550" t="s">
        <v>1484</v>
      </c>
      <c r="D326" s="550" t="s">
        <v>2722</v>
      </c>
      <c r="E326" s="550" t="s">
        <v>1626</v>
      </c>
      <c r="F326" s="551" t="s">
        <v>13763</v>
      </c>
      <c r="G326" s="550" t="s">
        <v>13942</v>
      </c>
      <c r="H326" s="550" t="s">
        <v>2724</v>
      </c>
      <c r="I326" s="550" t="s">
        <v>2725</v>
      </c>
      <c r="J326" s="550" t="s">
        <v>2726</v>
      </c>
      <c r="K326" s="550" t="s">
        <v>1633</v>
      </c>
      <c r="L326" s="550">
        <v>6727</v>
      </c>
    </row>
    <row r="327" spans="2:12">
      <c r="B327" s="550">
        <v>91464</v>
      </c>
      <c r="C327" s="550" t="s">
        <v>1484</v>
      </c>
      <c r="D327" s="550" t="s">
        <v>2727</v>
      </c>
      <c r="E327" s="550" t="s">
        <v>1626</v>
      </c>
      <c r="F327" s="551" t="s">
        <v>13763</v>
      </c>
      <c r="G327" s="550" t="s">
        <v>13921</v>
      </c>
      <c r="H327" s="550" t="s">
        <v>2729</v>
      </c>
      <c r="I327" s="550" t="s">
        <v>2730</v>
      </c>
      <c r="J327" s="550" t="s">
        <v>13922</v>
      </c>
      <c r="K327" s="550" t="s">
        <v>1633</v>
      </c>
      <c r="L327" s="550">
        <v>6728</v>
      </c>
    </row>
    <row r="328" spans="2:12">
      <c r="B328" s="550">
        <v>91472</v>
      </c>
      <c r="C328" s="550" t="s">
        <v>1484</v>
      </c>
      <c r="D328" s="550" t="s">
        <v>2732</v>
      </c>
      <c r="E328" s="550" t="s">
        <v>1626</v>
      </c>
      <c r="F328" s="551" t="s">
        <v>13763</v>
      </c>
      <c r="G328" s="550" t="s">
        <v>13944</v>
      </c>
      <c r="H328" s="550" t="s">
        <v>2735</v>
      </c>
      <c r="I328" s="550" t="s">
        <v>2736</v>
      </c>
      <c r="J328" s="550" t="s">
        <v>13945</v>
      </c>
      <c r="K328" s="550" t="s">
        <v>1633</v>
      </c>
      <c r="L328" s="550">
        <v>6729</v>
      </c>
    </row>
    <row r="329" spans="2:12">
      <c r="B329" s="550">
        <v>91481</v>
      </c>
      <c r="C329" s="550" t="s">
        <v>1484</v>
      </c>
      <c r="D329" s="550" t="s">
        <v>2738</v>
      </c>
      <c r="E329" s="550" t="s">
        <v>1626</v>
      </c>
      <c r="F329" s="551" t="s">
        <v>13763</v>
      </c>
      <c r="G329" s="550" t="s">
        <v>13928</v>
      </c>
      <c r="H329" s="550" t="s">
        <v>2741</v>
      </c>
      <c r="I329" s="550" t="s">
        <v>2742</v>
      </c>
      <c r="J329" s="550" t="s">
        <v>13929</v>
      </c>
      <c r="K329" s="550" t="s">
        <v>1633</v>
      </c>
      <c r="L329" s="550">
        <v>6730</v>
      </c>
    </row>
    <row r="330" spans="2:12">
      <c r="B330" s="550">
        <v>91499</v>
      </c>
      <c r="C330" s="550" t="s">
        <v>1484</v>
      </c>
      <c r="D330" s="550" t="s">
        <v>2744</v>
      </c>
      <c r="E330" s="550" t="s">
        <v>1626</v>
      </c>
      <c r="F330" s="551" t="s">
        <v>13763</v>
      </c>
      <c r="G330" s="550" t="s">
        <v>2745</v>
      </c>
      <c r="H330" s="550" t="s">
        <v>2748</v>
      </c>
      <c r="I330" s="550" t="s">
        <v>2749</v>
      </c>
      <c r="J330" s="550" t="s">
        <v>13930</v>
      </c>
      <c r="K330" s="550" t="s">
        <v>1633</v>
      </c>
      <c r="L330" s="550">
        <v>6731</v>
      </c>
    </row>
    <row r="331" spans="2:12">
      <c r="B331" s="550">
        <v>91502</v>
      </c>
      <c r="C331" s="550" t="s">
        <v>1484</v>
      </c>
      <c r="D331" s="550" t="s">
        <v>2751</v>
      </c>
      <c r="E331" s="550" t="s">
        <v>1626</v>
      </c>
      <c r="F331" s="551" t="s">
        <v>13763</v>
      </c>
      <c r="G331" s="550" t="s">
        <v>2752</v>
      </c>
      <c r="H331" s="550" t="s">
        <v>2755</v>
      </c>
      <c r="I331" s="550" t="s">
        <v>2756</v>
      </c>
      <c r="J331" s="550" t="s">
        <v>2757</v>
      </c>
      <c r="K331" s="550" t="s">
        <v>1633</v>
      </c>
      <c r="L331" s="550">
        <v>6718</v>
      </c>
    </row>
    <row r="332" spans="2:12">
      <c r="B332" s="550">
        <v>91511</v>
      </c>
      <c r="C332" s="550" t="s">
        <v>1484</v>
      </c>
      <c r="D332" s="550" t="s">
        <v>2758</v>
      </c>
      <c r="E332" s="550" t="s">
        <v>1626</v>
      </c>
      <c r="F332" s="551" t="s">
        <v>13763</v>
      </c>
      <c r="G332" s="550" t="s">
        <v>13950</v>
      </c>
      <c r="H332" s="550" t="s">
        <v>2761</v>
      </c>
      <c r="I332" s="550" t="s">
        <v>2762</v>
      </c>
      <c r="J332" s="550" t="s">
        <v>13951</v>
      </c>
      <c r="K332" s="550" t="s">
        <v>1633</v>
      </c>
      <c r="L332" s="550">
        <v>6719</v>
      </c>
    </row>
    <row r="333" spans="2:12">
      <c r="B333" s="550">
        <v>91529</v>
      </c>
      <c r="C333" s="550" t="s">
        <v>1484</v>
      </c>
      <c r="D333" s="550" t="s">
        <v>2764</v>
      </c>
      <c r="E333" s="550" t="s">
        <v>1626</v>
      </c>
      <c r="F333" s="551" t="s">
        <v>13763</v>
      </c>
      <c r="G333" s="550" t="s">
        <v>13936</v>
      </c>
      <c r="H333" s="550" t="s">
        <v>2767</v>
      </c>
      <c r="I333" s="550" t="s">
        <v>2768</v>
      </c>
      <c r="J333" s="550" t="s">
        <v>1735</v>
      </c>
      <c r="K333" s="550" t="s">
        <v>1633</v>
      </c>
      <c r="L333" s="550">
        <v>6720</v>
      </c>
    </row>
    <row r="334" spans="2:12">
      <c r="B334" s="550">
        <v>91537</v>
      </c>
      <c r="C334" s="550" t="s">
        <v>1484</v>
      </c>
      <c r="D334" s="550" t="s">
        <v>2769</v>
      </c>
      <c r="E334" s="550" t="s">
        <v>1626</v>
      </c>
      <c r="F334" s="551" t="s">
        <v>13763</v>
      </c>
      <c r="G334" s="550" t="s">
        <v>13963</v>
      </c>
      <c r="H334" s="550" t="s">
        <v>2772</v>
      </c>
      <c r="I334" s="550" t="s">
        <v>2773</v>
      </c>
      <c r="J334" s="550" t="s">
        <v>2774</v>
      </c>
      <c r="K334" s="550" t="s">
        <v>1633</v>
      </c>
      <c r="L334" s="550">
        <v>6721</v>
      </c>
    </row>
    <row r="335" spans="2:12">
      <c r="B335" s="550">
        <v>91545</v>
      </c>
      <c r="C335" s="550" t="s">
        <v>1484</v>
      </c>
      <c r="D335" s="550" t="s">
        <v>2775</v>
      </c>
      <c r="E335" s="550" t="s">
        <v>1626</v>
      </c>
      <c r="F335" s="551" t="s">
        <v>13763</v>
      </c>
      <c r="G335" s="550" t="s">
        <v>13948</v>
      </c>
      <c r="H335" s="550" t="s">
        <v>2778</v>
      </c>
      <c r="I335" s="550" t="s">
        <v>2779</v>
      </c>
      <c r="J335" s="550" t="s">
        <v>13949</v>
      </c>
      <c r="K335" s="550" t="s">
        <v>1633</v>
      </c>
      <c r="L335" s="550">
        <v>6740</v>
      </c>
    </row>
    <row r="336" spans="2:12">
      <c r="B336" s="550">
        <v>91553</v>
      </c>
      <c r="C336" s="550" t="s">
        <v>1484</v>
      </c>
      <c r="D336" s="550" t="s">
        <v>14824</v>
      </c>
      <c r="E336" s="550" t="s">
        <v>1626</v>
      </c>
      <c r="F336" s="551" t="s">
        <v>13763</v>
      </c>
      <c r="G336" s="550" t="s">
        <v>13958</v>
      </c>
      <c r="H336" s="550" t="s">
        <v>2783</v>
      </c>
      <c r="I336" s="550" t="s">
        <v>2786</v>
      </c>
      <c r="J336" s="550" t="s">
        <v>2784</v>
      </c>
      <c r="K336" s="550" t="s">
        <v>1633</v>
      </c>
      <c r="L336" s="550">
        <v>6723</v>
      </c>
    </row>
    <row r="337" spans="2:12">
      <c r="B337" s="550">
        <v>91561</v>
      </c>
      <c r="C337" s="550" t="s">
        <v>1484</v>
      </c>
      <c r="D337" s="550" t="s">
        <v>2787</v>
      </c>
      <c r="E337" s="550" t="s">
        <v>1626</v>
      </c>
      <c r="F337" s="551" t="s">
        <v>13763</v>
      </c>
      <c r="G337" s="550" t="s">
        <v>13925</v>
      </c>
      <c r="H337" s="550" t="s">
        <v>2790</v>
      </c>
      <c r="I337" s="550" t="s">
        <v>2791</v>
      </c>
      <c r="J337" s="550" t="s">
        <v>13926</v>
      </c>
      <c r="K337" s="550" t="s">
        <v>1633</v>
      </c>
      <c r="L337" s="550">
        <v>6724</v>
      </c>
    </row>
    <row r="338" spans="2:12">
      <c r="B338" s="550">
        <v>91570</v>
      </c>
      <c r="C338" s="550" t="s">
        <v>1484</v>
      </c>
      <c r="D338" s="550" t="s">
        <v>2793</v>
      </c>
      <c r="E338" s="550" t="s">
        <v>1626</v>
      </c>
      <c r="F338" s="551" t="s">
        <v>13763</v>
      </c>
      <c r="G338" s="550" t="s">
        <v>13940</v>
      </c>
      <c r="H338" s="550" t="s">
        <v>2796</v>
      </c>
      <c r="I338" s="550" t="s">
        <v>2797</v>
      </c>
      <c r="J338" s="550" t="s">
        <v>13941</v>
      </c>
      <c r="K338" s="550" t="s">
        <v>1633</v>
      </c>
      <c r="L338" s="550">
        <v>6732</v>
      </c>
    </row>
    <row r="339" spans="2:12">
      <c r="B339" s="550">
        <v>91588</v>
      </c>
      <c r="C339" s="550" t="s">
        <v>1484</v>
      </c>
      <c r="D339" s="550" t="s">
        <v>2799</v>
      </c>
      <c r="E339" s="550" t="s">
        <v>1626</v>
      </c>
      <c r="F339" s="551" t="s">
        <v>13763</v>
      </c>
      <c r="G339" s="550" t="s">
        <v>2800</v>
      </c>
      <c r="H339" s="550" t="s">
        <v>2803</v>
      </c>
      <c r="I339" s="550" t="s">
        <v>2804</v>
      </c>
      <c r="J339" s="550" t="s">
        <v>2805</v>
      </c>
      <c r="K339" s="550" t="s">
        <v>1633</v>
      </c>
      <c r="L339" s="550">
        <v>6733</v>
      </c>
    </row>
    <row r="340" spans="2:12">
      <c r="B340" s="550">
        <v>91596</v>
      </c>
      <c r="C340" s="550" t="s">
        <v>1484</v>
      </c>
      <c r="D340" s="550" t="s">
        <v>2806</v>
      </c>
      <c r="E340" s="550" t="s">
        <v>1626</v>
      </c>
      <c r="F340" s="551" t="s">
        <v>13763</v>
      </c>
      <c r="G340" s="550" t="s">
        <v>2807</v>
      </c>
      <c r="H340" s="550" t="s">
        <v>2810</v>
      </c>
      <c r="I340" s="550" t="s">
        <v>2811</v>
      </c>
      <c r="J340" s="550" t="s">
        <v>2812</v>
      </c>
      <c r="K340" s="550" t="s">
        <v>1633</v>
      </c>
      <c r="L340" s="550">
        <v>6734</v>
      </c>
    </row>
    <row r="341" spans="2:12">
      <c r="B341" s="550">
        <v>91600</v>
      </c>
      <c r="C341" s="551" t="s">
        <v>1484</v>
      </c>
      <c r="D341" s="550" t="s">
        <v>14527</v>
      </c>
      <c r="E341" s="550" t="s">
        <v>13777</v>
      </c>
      <c r="F341" s="553" t="s">
        <v>13778</v>
      </c>
      <c r="G341" s="551" t="s">
        <v>14528</v>
      </c>
      <c r="H341" s="553"/>
      <c r="I341" s="558">
        <v>2933140</v>
      </c>
      <c r="J341" s="551" t="s">
        <v>14531</v>
      </c>
      <c r="K341" s="550" t="s">
        <v>1633</v>
      </c>
      <c r="L341" s="550">
        <v>6742</v>
      </c>
    </row>
    <row r="342" spans="2:12">
      <c r="B342" s="550">
        <v>91618</v>
      </c>
      <c r="C342" s="551" t="s">
        <v>1484</v>
      </c>
      <c r="D342" s="550" t="s">
        <v>14825</v>
      </c>
      <c r="E342" s="550" t="s">
        <v>13777</v>
      </c>
      <c r="F342" s="553" t="s">
        <v>13778</v>
      </c>
      <c r="G342" s="551" t="s">
        <v>14603</v>
      </c>
      <c r="H342" s="553"/>
      <c r="I342" s="558">
        <v>2935110</v>
      </c>
      <c r="J342" s="551" t="s">
        <v>14605</v>
      </c>
      <c r="K342" s="550" t="s">
        <v>1633</v>
      </c>
      <c r="L342" s="550">
        <v>6743</v>
      </c>
    </row>
    <row r="343" spans="2:12">
      <c r="B343" s="550">
        <v>91626</v>
      </c>
      <c r="C343" s="551" t="s">
        <v>1484</v>
      </c>
      <c r="D343" s="550" t="s">
        <v>14826</v>
      </c>
      <c r="E343" s="550" t="s">
        <v>13777</v>
      </c>
      <c r="F343" s="553" t="s">
        <v>13778</v>
      </c>
      <c r="G343" s="551" t="s">
        <v>14583</v>
      </c>
      <c r="H343" s="553"/>
      <c r="I343" s="558">
        <v>2942030</v>
      </c>
      <c r="J343" s="551" t="s">
        <v>14586</v>
      </c>
      <c r="K343" s="550" t="s">
        <v>1633</v>
      </c>
      <c r="L343" s="550">
        <v>6744</v>
      </c>
    </row>
    <row r="344" spans="2:12">
      <c r="B344" s="550">
        <v>91634</v>
      </c>
      <c r="C344" s="551" t="s">
        <v>1484</v>
      </c>
      <c r="D344" s="550" t="s">
        <v>14453</v>
      </c>
      <c r="E344" s="550" t="s">
        <v>13777</v>
      </c>
      <c r="F344" s="553" t="s">
        <v>13778</v>
      </c>
      <c r="G344" s="551" t="s">
        <v>14454</v>
      </c>
      <c r="H344" s="553"/>
      <c r="I344" s="558">
        <v>2815040</v>
      </c>
      <c r="J344" s="551" t="s">
        <v>14457</v>
      </c>
      <c r="K344" s="550" t="s">
        <v>1633</v>
      </c>
      <c r="L344" s="550">
        <v>6745</v>
      </c>
    </row>
    <row r="345" spans="2:12">
      <c r="B345" s="550">
        <v>91642</v>
      </c>
      <c r="C345" s="551" t="s">
        <v>1484</v>
      </c>
      <c r="D345" s="550" t="s">
        <v>14476</v>
      </c>
      <c r="E345" s="550" t="s">
        <v>13777</v>
      </c>
      <c r="F345" s="553" t="s">
        <v>13778</v>
      </c>
      <c r="G345" s="551" t="s">
        <v>14477</v>
      </c>
      <c r="H345" s="553"/>
      <c r="I345" s="558">
        <v>2993000</v>
      </c>
      <c r="J345" s="551" t="s">
        <v>14480</v>
      </c>
      <c r="K345" s="550" t="s">
        <v>1633</v>
      </c>
      <c r="L345" s="550">
        <v>6746</v>
      </c>
    </row>
    <row r="346" spans="2:12">
      <c r="B346" s="550">
        <v>91651</v>
      </c>
      <c r="C346" s="551" t="s">
        <v>1484</v>
      </c>
      <c r="D346" s="550" t="s">
        <v>14532</v>
      </c>
      <c r="E346" s="550" t="s">
        <v>13777</v>
      </c>
      <c r="F346" s="553" t="s">
        <v>13778</v>
      </c>
      <c r="G346" s="551" t="s">
        <v>14533</v>
      </c>
      <c r="H346" s="553"/>
      <c r="I346" s="558">
        <v>5204110</v>
      </c>
      <c r="J346" s="551" t="s">
        <v>14535</v>
      </c>
      <c r="K346" s="550" t="s">
        <v>1633</v>
      </c>
      <c r="L346" s="550">
        <v>6755</v>
      </c>
    </row>
    <row r="347" spans="2:12">
      <c r="B347" s="550">
        <v>91669</v>
      </c>
      <c r="C347" s="551" t="s">
        <v>1484</v>
      </c>
      <c r="D347" s="550" t="s">
        <v>14559</v>
      </c>
      <c r="E347" s="550" t="s">
        <v>13777</v>
      </c>
      <c r="F347" s="553" t="s">
        <v>13778</v>
      </c>
      <c r="G347" s="551" t="s">
        <v>14560</v>
      </c>
      <c r="H347" s="553"/>
      <c r="I347" s="558">
        <v>5177030</v>
      </c>
      <c r="J347" s="551" t="s">
        <v>14563</v>
      </c>
      <c r="K347" s="550" t="s">
        <v>1633</v>
      </c>
      <c r="L347" s="550">
        <v>6747</v>
      </c>
    </row>
    <row r="348" spans="2:12">
      <c r="B348" s="550">
        <v>91677</v>
      </c>
      <c r="C348" s="551" t="s">
        <v>1484</v>
      </c>
      <c r="D348" s="550" t="s">
        <v>14433</v>
      </c>
      <c r="E348" s="550" t="s">
        <v>13777</v>
      </c>
      <c r="F348" s="553" t="s">
        <v>13778</v>
      </c>
      <c r="G348" s="551" t="s">
        <v>14434</v>
      </c>
      <c r="H348" s="553"/>
      <c r="I348" s="558">
        <v>5110000</v>
      </c>
      <c r="J348" s="551" t="s">
        <v>14437</v>
      </c>
      <c r="K348" s="550" t="s">
        <v>1633</v>
      </c>
      <c r="L348" s="550">
        <v>6748</v>
      </c>
    </row>
    <row r="349" spans="2:12">
      <c r="B349" s="550">
        <v>91685</v>
      </c>
      <c r="C349" s="551" t="s">
        <v>1484</v>
      </c>
      <c r="D349" s="550" t="s">
        <v>14544</v>
      </c>
      <c r="E349" s="550" t="s">
        <v>13777</v>
      </c>
      <c r="F349" s="553" t="s">
        <v>13778</v>
      </c>
      <c r="G349" s="551" t="s">
        <v>14545</v>
      </c>
      <c r="H349" s="553"/>
      <c r="I349" s="558">
        <v>5132210</v>
      </c>
      <c r="J349" s="551" t="s">
        <v>14548</v>
      </c>
      <c r="K349" s="550" t="s">
        <v>1633</v>
      </c>
      <c r="L349" s="550">
        <v>6749</v>
      </c>
    </row>
    <row r="350" spans="2:12">
      <c r="B350" s="550">
        <v>91693</v>
      </c>
      <c r="C350" s="551" t="s">
        <v>1484</v>
      </c>
      <c r="D350" s="550" t="s">
        <v>14442</v>
      </c>
      <c r="E350" s="550" t="s">
        <v>13777</v>
      </c>
      <c r="F350" s="553" t="s">
        <v>13778</v>
      </c>
      <c r="G350" s="551" t="s">
        <v>14443</v>
      </c>
      <c r="H350" s="553"/>
      <c r="I350" s="558">
        <v>510000</v>
      </c>
      <c r="J350" s="551" t="s">
        <v>14445</v>
      </c>
      <c r="K350" s="550" t="s">
        <v>1633</v>
      </c>
      <c r="L350" s="550">
        <v>11298</v>
      </c>
    </row>
    <row r="351" spans="2:12">
      <c r="B351" s="550">
        <v>91707</v>
      </c>
      <c r="C351" s="551" t="s">
        <v>1484</v>
      </c>
      <c r="D351" s="550" t="s">
        <v>14554</v>
      </c>
      <c r="E351" s="550" t="s">
        <v>13777</v>
      </c>
      <c r="F351" s="553" t="s">
        <v>13778</v>
      </c>
      <c r="G351" s="551" t="s">
        <v>14555</v>
      </c>
      <c r="H351" s="553"/>
      <c r="I351" s="558">
        <v>5116001</v>
      </c>
      <c r="J351" s="551" t="s">
        <v>14558</v>
      </c>
      <c r="K351" s="550" t="s">
        <v>1633</v>
      </c>
      <c r="L351" s="550">
        <v>11224</v>
      </c>
    </row>
    <row r="352" spans="2:12">
      <c r="B352" s="550">
        <v>91715</v>
      </c>
      <c r="C352" s="551" t="s">
        <v>1484</v>
      </c>
      <c r="D352" s="550" t="s">
        <v>14748</v>
      </c>
      <c r="E352" s="550" t="s">
        <v>13777</v>
      </c>
      <c r="F352" s="553" t="s">
        <v>13778</v>
      </c>
      <c r="G352" s="569" t="s">
        <v>14749</v>
      </c>
      <c r="H352" s="553"/>
      <c r="I352" s="558">
        <v>5201070</v>
      </c>
      <c r="J352" s="551" t="s">
        <v>14448</v>
      </c>
      <c r="K352" s="550" t="s">
        <v>1633</v>
      </c>
      <c r="L352" s="550">
        <v>6756</v>
      </c>
    </row>
    <row r="353" spans="2:12">
      <c r="B353" s="550">
        <v>91723</v>
      </c>
      <c r="C353" s="550" t="s">
        <v>1484</v>
      </c>
      <c r="D353" s="550" t="s">
        <v>2813</v>
      </c>
      <c r="E353" s="550" t="s">
        <v>1626</v>
      </c>
      <c r="F353" s="551" t="s">
        <v>13763</v>
      </c>
      <c r="G353" s="550" t="s">
        <v>13954</v>
      </c>
      <c r="H353" s="550" t="s">
        <v>2816</v>
      </c>
      <c r="I353" s="550" t="s">
        <v>2817</v>
      </c>
      <c r="J353" s="550" t="s">
        <v>13955</v>
      </c>
      <c r="K353" s="550" t="s">
        <v>1633</v>
      </c>
      <c r="L353" s="550">
        <v>6735</v>
      </c>
    </row>
    <row r="354" spans="2:12">
      <c r="B354" s="550">
        <v>91731</v>
      </c>
      <c r="C354" s="550" t="s">
        <v>1484</v>
      </c>
      <c r="D354" s="550" t="s">
        <v>2819</v>
      </c>
      <c r="E354" s="550" t="s">
        <v>1626</v>
      </c>
      <c r="F354" s="551" t="s">
        <v>13763</v>
      </c>
      <c r="G354" s="550" t="s">
        <v>13923</v>
      </c>
      <c r="H354" s="550" t="s">
        <v>2822</v>
      </c>
      <c r="I354" s="550" t="s">
        <v>2823</v>
      </c>
      <c r="J354" s="550" t="s">
        <v>13924</v>
      </c>
      <c r="K354" s="550" t="s">
        <v>1633</v>
      </c>
      <c r="L354" s="550">
        <v>11087</v>
      </c>
    </row>
    <row r="355" spans="2:12">
      <c r="B355" s="550">
        <v>91740</v>
      </c>
      <c r="C355" s="550" t="s">
        <v>1484</v>
      </c>
      <c r="D355" s="550" t="s">
        <v>2825</v>
      </c>
      <c r="E355" s="550" t="s">
        <v>1640</v>
      </c>
      <c r="F355" s="550" t="s">
        <v>1641</v>
      </c>
      <c r="G355" s="550" t="s">
        <v>14237</v>
      </c>
      <c r="H355" s="550" t="s">
        <v>2828</v>
      </c>
      <c r="I355" s="550" t="s">
        <v>2829</v>
      </c>
      <c r="J355" s="550" t="s">
        <v>14238</v>
      </c>
      <c r="K355" s="550" t="s">
        <v>1633</v>
      </c>
      <c r="L355" s="550">
        <v>6767</v>
      </c>
    </row>
    <row r="356" spans="2:12">
      <c r="B356" s="550">
        <v>91758</v>
      </c>
      <c r="C356" s="550" t="s">
        <v>1484</v>
      </c>
      <c r="D356" s="550" t="s">
        <v>2831</v>
      </c>
      <c r="E356" s="550" t="s">
        <v>1640</v>
      </c>
      <c r="F356" s="550" t="s">
        <v>1641</v>
      </c>
      <c r="G356" s="550" t="s">
        <v>14235</v>
      </c>
      <c r="H356" s="550" t="s">
        <v>2833</v>
      </c>
      <c r="I356" s="550" t="s">
        <v>2834</v>
      </c>
      <c r="J356" s="550" t="s">
        <v>14236</v>
      </c>
      <c r="K356" s="550" t="s">
        <v>1633</v>
      </c>
      <c r="L356" s="550">
        <v>6768</v>
      </c>
    </row>
    <row r="357" spans="2:12">
      <c r="B357" s="550">
        <v>91766</v>
      </c>
      <c r="C357" s="550" t="s">
        <v>1484</v>
      </c>
      <c r="D357" s="550" t="s">
        <v>2836</v>
      </c>
      <c r="E357" s="550" t="s">
        <v>1640</v>
      </c>
      <c r="F357" s="550" t="s">
        <v>1641</v>
      </c>
      <c r="G357" s="550" t="s">
        <v>14227</v>
      </c>
      <c r="H357" s="550" t="s">
        <v>2839</v>
      </c>
      <c r="I357" s="550" t="s">
        <v>2840</v>
      </c>
      <c r="J357" s="550" t="s">
        <v>14228</v>
      </c>
      <c r="K357" s="550" t="s">
        <v>1633</v>
      </c>
      <c r="L357" s="550">
        <v>6769</v>
      </c>
    </row>
    <row r="358" spans="2:12">
      <c r="B358" s="550">
        <v>91774</v>
      </c>
      <c r="C358" s="550" t="s">
        <v>1484</v>
      </c>
      <c r="D358" s="550" t="s">
        <v>2841</v>
      </c>
      <c r="E358" s="550" t="s">
        <v>1640</v>
      </c>
      <c r="F358" s="550" t="s">
        <v>1641</v>
      </c>
      <c r="G358" s="550" t="s">
        <v>14219</v>
      </c>
      <c r="H358" s="550" t="s">
        <v>2843</v>
      </c>
      <c r="I358" s="550" t="s">
        <v>2844</v>
      </c>
      <c r="J358" s="550" t="s">
        <v>14220</v>
      </c>
      <c r="K358" s="550" t="s">
        <v>1633</v>
      </c>
      <c r="L358" s="550">
        <v>6770</v>
      </c>
    </row>
    <row r="359" spans="2:12">
      <c r="B359" s="550">
        <v>91782</v>
      </c>
      <c r="C359" s="550" t="s">
        <v>1484</v>
      </c>
      <c r="D359" s="550" t="s">
        <v>2846</v>
      </c>
      <c r="E359" s="550" t="s">
        <v>1640</v>
      </c>
      <c r="F359" s="550" t="s">
        <v>1641</v>
      </c>
      <c r="G359" s="550" t="s">
        <v>14221</v>
      </c>
      <c r="H359" s="550" t="s">
        <v>2849</v>
      </c>
      <c r="I359" s="550" t="s">
        <v>2850</v>
      </c>
      <c r="J359" s="550" t="s">
        <v>14222</v>
      </c>
      <c r="K359" s="550" t="s">
        <v>1633</v>
      </c>
      <c r="L359" s="550">
        <v>6771</v>
      </c>
    </row>
    <row r="360" spans="2:12">
      <c r="B360" s="550">
        <v>91791</v>
      </c>
      <c r="C360" s="550" t="s">
        <v>1484</v>
      </c>
      <c r="D360" s="550" t="s">
        <v>2852</v>
      </c>
      <c r="E360" s="550" t="s">
        <v>1640</v>
      </c>
      <c r="F360" s="550" t="s">
        <v>1641</v>
      </c>
      <c r="G360" s="550" t="s">
        <v>14201</v>
      </c>
      <c r="H360" s="550" t="s">
        <v>2854</v>
      </c>
      <c r="I360" s="550" t="s">
        <v>2855</v>
      </c>
      <c r="J360" s="550" t="s">
        <v>14202</v>
      </c>
      <c r="K360" s="550" t="s">
        <v>1633</v>
      </c>
      <c r="L360" s="550">
        <v>6772</v>
      </c>
    </row>
    <row r="361" spans="2:12">
      <c r="B361" s="550">
        <v>91821</v>
      </c>
      <c r="C361" s="550" t="s">
        <v>1484</v>
      </c>
      <c r="D361" s="550" t="s">
        <v>2857</v>
      </c>
      <c r="E361" s="550" t="s">
        <v>1661</v>
      </c>
      <c r="F361" s="551" t="s">
        <v>13771</v>
      </c>
      <c r="G361" s="550" t="s">
        <v>14070</v>
      </c>
      <c r="H361" s="550" t="s">
        <v>2860</v>
      </c>
      <c r="I361" s="550" t="s">
        <v>2861</v>
      </c>
      <c r="J361" s="550" t="s">
        <v>14071</v>
      </c>
      <c r="K361" s="550" t="s">
        <v>1669</v>
      </c>
      <c r="L361" s="550">
        <v>6758</v>
      </c>
    </row>
    <row r="362" spans="2:12">
      <c r="B362" s="550">
        <v>91839</v>
      </c>
      <c r="C362" s="550" t="s">
        <v>1484</v>
      </c>
      <c r="D362" s="550" t="s">
        <v>2863</v>
      </c>
      <c r="E362" s="550" t="s">
        <v>1661</v>
      </c>
      <c r="F362" s="551" t="s">
        <v>13771</v>
      </c>
      <c r="G362" s="550" t="s">
        <v>14035</v>
      </c>
      <c r="H362" s="550" t="s">
        <v>2865</v>
      </c>
      <c r="I362" s="550" t="s">
        <v>2866</v>
      </c>
      <c r="J362" s="550" t="s">
        <v>14036</v>
      </c>
      <c r="K362" s="550" t="s">
        <v>1669</v>
      </c>
      <c r="L362" s="550">
        <v>6759</v>
      </c>
    </row>
    <row r="363" spans="2:12">
      <c r="B363" s="550">
        <v>91847</v>
      </c>
      <c r="C363" s="550" t="s">
        <v>1484</v>
      </c>
      <c r="D363" s="550" t="s">
        <v>2868</v>
      </c>
      <c r="E363" s="550" t="s">
        <v>1661</v>
      </c>
      <c r="F363" s="551" t="s">
        <v>13771</v>
      </c>
      <c r="G363" s="550" t="s">
        <v>14042</v>
      </c>
      <c r="H363" s="550" t="s">
        <v>2871</v>
      </c>
      <c r="I363" s="550" t="s">
        <v>2872</v>
      </c>
      <c r="J363" s="550" t="s">
        <v>14043</v>
      </c>
      <c r="K363" s="550" t="s">
        <v>1669</v>
      </c>
      <c r="L363" s="550">
        <v>6760</v>
      </c>
    </row>
    <row r="364" spans="2:12">
      <c r="B364" s="550">
        <v>91855</v>
      </c>
      <c r="C364" s="550" t="s">
        <v>1484</v>
      </c>
      <c r="D364" s="550" t="s">
        <v>2873</v>
      </c>
      <c r="E364" s="550" t="s">
        <v>1661</v>
      </c>
      <c r="F364" s="551" t="s">
        <v>13771</v>
      </c>
      <c r="G364" s="550" t="s">
        <v>14110</v>
      </c>
      <c r="H364" s="550" t="s">
        <v>2876</v>
      </c>
      <c r="I364" s="550" t="s">
        <v>2877</v>
      </c>
      <c r="J364" s="550" t="s">
        <v>14111</v>
      </c>
      <c r="K364" s="550" t="s">
        <v>1669</v>
      </c>
      <c r="L364" s="550">
        <v>6761</v>
      </c>
    </row>
    <row r="365" spans="2:12">
      <c r="B365" s="550">
        <v>91863</v>
      </c>
      <c r="C365" s="550" t="s">
        <v>1484</v>
      </c>
      <c r="D365" s="550" t="s">
        <v>2879</v>
      </c>
      <c r="E365" s="550" t="s">
        <v>1661</v>
      </c>
      <c r="F365" s="551" t="s">
        <v>13771</v>
      </c>
      <c r="G365" s="550" t="s">
        <v>14072</v>
      </c>
      <c r="H365" s="550" t="s">
        <v>2882</v>
      </c>
      <c r="I365" s="550" t="s">
        <v>2883</v>
      </c>
      <c r="J365" s="550" t="s">
        <v>14073</v>
      </c>
      <c r="K365" s="550" t="s">
        <v>1669</v>
      </c>
      <c r="L365" s="550">
        <v>6762</v>
      </c>
    </row>
    <row r="366" spans="2:12">
      <c r="B366" s="550">
        <v>91871</v>
      </c>
      <c r="C366" s="550" t="s">
        <v>1484</v>
      </c>
      <c r="D366" s="550" t="s">
        <v>2885</v>
      </c>
      <c r="E366" s="550" t="s">
        <v>1661</v>
      </c>
      <c r="F366" s="551" t="s">
        <v>13771</v>
      </c>
      <c r="G366" s="550" t="s">
        <v>2886</v>
      </c>
      <c r="H366" s="550" t="s">
        <v>2889</v>
      </c>
      <c r="I366" s="550" t="s">
        <v>2890</v>
      </c>
      <c r="J366" s="550" t="s">
        <v>14053</v>
      </c>
      <c r="K366" s="550" t="s">
        <v>1669</v>
      </c>
      <c r="L366" s="550">
        <v>6763</v>
      </c>
    </row>
    <row r="367" spans="2:12">
      <c r="B367" s="550">
        <v>91880</v>
      </c>
      <c r="C367" s="550" t="s">
        <v>1484</v>
      </c>
      <c r="D367" s="550" t="s">
        <v>2892</v>
      </c>
      <c r="E367" s="550" t="s">
        <v>1661</v>
      </c>
      <c r="F367" s="551" t="s">
        <v>13771</v>
      </c>
      <c r="G367" s="550" t="s">
        <v>14082</v>
      </c>
      <c r="H367" s="550" t="s">
        <v>2895</v>
      </c>
      <c r="I367" s="550" t="s">
        <v>2896</v>
      </c>
      <c r="J367" s="550" t="s">
        <v>14083</v>
      </c>
      <c r="K367" s="550" t="s">
        <v>1669</v>
      </c>
      <c r="L367" s="550">
        <v>6764</v>
      </c>
    </row>
    <row r="368" spans="2:12">
      <c r="B368" s="550">
        <v>91898</v>
      </c>
      <c r="C368" s="550" t="s">
        <v>1484</v>
      </c>
      <c r="D368" s="550" t="s">
        <v>2898</v>
      </c>
      <c r="E368" s="550" t="s">
        <v>1661</v>
      </c>
      <c r="F368" s="551" t="s">
        <v>13771</v>
      </c>
      <c r="G368" s="550" t="s">
        <v>14037</v>
      </c>
      <c r="H368" s="550" t="s">
        <v>2901</v>
      </c>
      <c r="I368" s="550" t="s">
        <v>2902</v>
      </c>
      <c r="J368" s="550" t="s">
        <v>14038</v>
      </c>
      <c r="K368" s="550" t="s">
        <v>1669</v>
      </c>
      <c r="L368" s="550">
        <v>6765</v>
      </c>
    </row>
    <row r="369" spans="2:12">
      <c r="B369" s="550">
        <v>91901</v>
      </c>
      <c r="C369" s="550" t="s">
        <v>1484</v>
      </c>
      <c r="D369" s="550" t="s">
        <v>2904</v>
      </c>
      <c r="E369" s="550" t="s">
        <v>1820</v>
      </c>
      <c r="F369" s="551" t="s">
        <v>13802</v>
      </c>
      <c r="G369" s="550" t="s">
        <v>14352</v>
      </c>
      <c r="H369" s="550" t="s">
        <v>2907</v>
      </c>
      <c r="I369" s="550" t="s">
        <v>2908</v>
      </c>
      <c r="J369" s="550" t="s">
        <v>14353</v>
      </c>
      <c r="K369" s="549" t="s">
        <v>14769</v>
      </c>
      <c r="L369" s="550">
        <v>9889</v>
      </c>
    </row>
    <row r="370" spans="2:12">
      <c r="B370" s="550">
        <v>91910</v>
      </c>
      <c r="C370" s="550" t="s">
        <v>1484</v>
      </c>
      <c r="D370" s="550" t="s">
        <v>2910</v>
      </c>
      <c r="E370" s="550" t="s">
        <v>1661</v>
      </c>
      <c r="F370" s="551" t="s">
        <v>13771</v>
      </c>
      <c r="G370" s="550" t="s">
        <v>14065</v>
      </c>
      <c r="H370" s="550" t="s">
        <v>2912</v>
      </c>
      <c r="I370" s="550" t="s">
        <v>2913</v>
      </c>
      <c r="J370" s="550" t="s">
        <v>14066</v>
      </c>
      <c r="K370" s="550" t="s">
        <v>1669</v>
      </c>
      <c r="L370" s="550">
        <v>6795</v>
      </c>
    </row>
    <row r="371" spans="2:12">
      <c r="B371" s="550">
        <v>91928</v>
      </c>
      <c r="C371" s="550" t="s">
        <v>1484</v>
      </c>
      <c r="D371" s="550" t="s">
        <v>2915</v>
      </c>
      <c r="E371" s="550" t="s">
        <v>1661</v>
      </c>
      <c r="F371" s="551" t="s">
        <v>13771</v>
      </c>
      <c r="G371" s="550" t="s">
        <v>14100</v>
      </c>
      <c r="H371" s="550" t="s">
        <v>2917</v>
      </c>
      <c r="I371" s="550" t="s">
        <v>2918</v>
      </c>
      <c r="J371" s="550" t="s">
        <v>14101</v>
      </c>
      <c r="K371" s="550" t="s">
        <v>1669</v>
      </c>
      <c r="L371" s="550">
        <v>6796</v>
      </c>
    </row>
    <row r="372" spans="2:12">
      <c r="B372" s="550">
        <v>91936</v>
      </c>
      <c r="C372" s="550" t="s">
        <v>1484</v>
      </c>
      <c r="D372" s="550" t="s">
        <v>2920</v>
      </c>
      <c r="E372" s="550" t="s">
        <v>1661</v>
      </c>
      <c r="F372" s="551" t="s">
        <v>13771</v>
      </c>
      <c r="G372" s="550" t="s">
        <v>14092</v>
      </c>
      <c r="H372" s="550" t="s">
        <v>2922</v>
      </c>
      <c r="I372" s="550" t="s">
        <v>2923</v>
      </c>
      <c r="J372" s="550" t="s">
        <v>14093</v>
      </c>
      <c r="K372" s="550" t="s">
        <v>1669</v>
      </c>
      <c r="L372" s="550">
        <v>6797</v>
      </c>
    </row>
    <row r="373" spans="2:12">
      <c r="B373" s="550">
        <v>91944</v>
      </c>
      <c r="C373" s="550" t="s">
        <v>1484</v>
      </c>
      <c r="D373" s="550" t="s">
        <v>2925</v>
      </c>
      <c r="E373" s="550" t="s">
        <v>1661</v>
      </c>
      <c r="F373" s="551" t="s">
        <v>13771</v>
      </c>
      <c r="G373" s="550" t="s">
        <v>14125</v>
      </c>
      <c r="H373" s="550" t="s">
        <v>2928</v>
      </c>
      <c r="I373" s="550" t="s">
        <v>2929</v>
      </c>
      <c r="J373" s="550" t="s">
        <v>14126</v>
      </c>
      <c r="K373" s="550" t="s">
        <v>1669</v>
      </c>
      <c r="L373" s="550">
        <v>6798</v>
      </c>
    </row>
    <row r="374" spans="2:12">
      <c r="B374" s="550">
        <v>91952</v>
      </c>
      <c r="C374" s="550" t="s">
        <v>1484</v>
      </c>
      <c r="D374" s="550" t="s">
        <v>2931</v>
      </c>
      <c r="E374" s="550" t="s">
        <v>1661</v>
      </c>
      <c r="F374" s="551" t="s">
        <v>13771</v>
      </c>
      <c r="G374" s="550" t="s">
        <v>14104</v>
      </c>
      <c r="H374" s="550" t="s">
        <v>2933</v>
      </c>
      <c r="I374" s="550" t="s">
        <v>2934</v>
      </c>
      <c r="J374" s="550" t="s">
        <v>14105</v>
      </c>
      <c r="K374" s="550" t="s">
        <v>1669</v>
      </c>
      <c r="L374" s="550">
        <v>6799</v>
      </c>
    </row>
    <row r="375" spans="2:12">
      <c r="B375" s="550">
        <v>91961</v>
      </c>
      <c r="C375" s="550" t="s">
        <v>1484</v>
      </c>
      <c r="D375" s="550" t="s">
        <v>2936</v>
      </c>
      <c r="E375" s="550" t="s">
        <v>1661</v>
      </c>
      <c r="F375" s="551" t="s">
        <v>13771</v>
      </c>
      <c r="G375" s="550" t="s">
        <v>14096</v>
      </c>
      <c r="H375" s="550" t="s">
        <v>2939</v>
      </c>
      <c r="I375" s="550" t="s">
        <v>2940</v>
      </c>
      <c r="J375" s="550" t="s">
        <v>14097</v>
      </c>
      <c r="K375" s="550" t="s">
        <v>1669</v>
      </c>
      <c r="L375" s="550">
        <v>6800</v>
      </c>
    </row>
    <row r="376" spans="2:12">
      <c r="B376" s="550">
        <v>91979</v>
      </c>
      <c r="C376" s="550" t="s">
        <v>1484</v>
      </c>
      <c r="D376" s="550" t="s">
        <v>2942</v>
      </c>
      <c r="E376" s="550" t="s">
        <v>1661</v>
      </c>
      <c r="F376" s="551" t="s">
        <v>13771</v>
      </c>
      <c r="G376" s="550" t="s">
        <v>14049</v>
      </c>
      <c r="H376" s="550" t="s">
        <v>2945</v>
      </c>
      <c r="I376" s="550" t="s">
        <v>2946</v>
      </c>
      <c r="J376" s="550" t="s">
        <v>14050</v>
      </c>
      <c r="K376" s="550" t="s">
        <v>1669</v>
      </c>
      <c r="L376" s="550">
        <v>6801</v>
      </c>
    </row>
    <row r="377" spans="2:12">
      <c r="B377" s="550">
        <v>91987</v>
      </c>
      <c r="C377" s="550" t="s">
        <v>3387</v>
      </c>
      <c r="D377" s="550" t="s">
        <v>3514</v>
      </c>
      <c r="E377" s="550" t="s">
        <v>1661</v>
      </c>
      <c r="F377" s="551" t="s">
        <v>13771</v>
      </c>
      <c r="G377" s="550" t="s">
        <v>3515</v>
      </c>
      <c r="H377" s="550" t="s">
        <v>3517</v>
      </c>
      <c r="I377" s="550" t="s">
        <v>3518</v>
      </c>
      <c r="J377" s="550" t="s">
        <v>13829</v>
      </c>
      <c r="K377" s="550" t="s">
        <v>1669</v>
      </c>
      <c r="L377" s="550">
        <v>6802</v>
      </c>
    </row>
    <row r="378" spans="2:12">
      <c r="B378" s="550">
        <v>91995</v>
      </c>
      <c r="C378" s="550" t="s">
        <v>1484</v>
      </c>
      <c r="D378" s="550" t="s">
        <v>2948</v>
      </c>
      <c r="E378" s="550" t="s">
        <v>1661</v>
      </c>
      <c r="F378" s="551" t="s">
        <v>13771</v>
      </c>
      <c r="G378" s="550" t="s">
        <v>14054</v>
      </c>
      <c r="H378" s="550" t="s">
        <v>2950</v>
      </c>
      <c r="I378" s="550" t="s">
        <v>2951</v>
      </c>
      <c r="J378" s="550" t="s">
        <v>14055</v>
      </c>
      <c r="K378" s="550" t="s">
        <v>1669</v>
      </c>
      <c r="L378" s="550">
        <v>6803</v>
      </c>
    </row>
    <row r="379" spans="2:12">
      <c r="B379" s="550">
        <v>92002</v>
      </c>
      <c r="C379" s="550" t="s">
        <v>1484</v>
      </c>
      <c r="D379" s="550" t="s">
        <v>2953</v>
      </c>
      <c r="E379" s="550" t="s">
        <v>1661</v>
      </c>
      <c r="F379" s="551" t="s">
        <v>13771</v>
      </c>
      <c r="G379" s="550" t="s">
        <v>14078</v>
      </c>
      <c r="H379" s="550" t="s">
        <v>2956</v>
      </c>
      <c r="I379" s="550" t="s">
        <v>2957</v>
      </c>
      <c r="J379" s="550" t="s">
        <v>14079</v>
      </c>
      <c r="K379" s="550" t="s">
        <v>1669</v>
      </c>
      <c r="L379" s="550">
        <v>6804</v>
      </c>
    </row>
    <row r="380" spans="2:12">
      <c r="B380" s="550">
        <v>92011</v>
      </c>
      <c r="C380" s="550" t="s">
        <v>1484</v>
      </c>
      <c r="D380" s="550" t="s">
        <v>2959</v>
      </c>
      <c r="E380" s="550" t="s">
        <v>1661</v>
      </c>
      <c r="F380" s="551" t="s">
        <v>13771</v>
      </c>
      <c r="G380" s="550" t="s">
        <v>14114</v>
      </c>
      <c r="H380" s="550" t="s">
        <v>2961</v>
      </c>
      <c r="I380" s="550" t="s">
        <v>2962</v>
      </c>
      <c r="J380" s="550" t="s">
        <v>14115</v>
      </c>
      <c r="K380" s="550" t="s">
        <v>1669</v>
      </c>
      <c r="L380" s="550">
        <v>6805</v>
      </c>
    </row>
    <row r="381" spans="2:12">
      <c r="B381" s="550">
        <v>92029</v>
      </c>
      <c r="C381" s="550" t="s">
        <v>1484</v>
      </c>
      <c r="D381" s="550" t="s">
        <v>14428</v>
      </c>
      <c r="E381" s="550" t="s">
        <v>1820</v>
      </c>
      <c r="F381" s="551" t="s">
        <v>13802</v>
      </c>
      <c r="G381" s="550" t="s">
        <v>14429</v>
      </c>
      <c r="H381" s="550" t="s">
        <v>2966</v>
      </c>
      <c r="I381" s="550" t="s">
        <v>2967</v>
      </c>
      <c r="J381" s="550" t="s">
        <v>14430</v>
      </c>
      <c r="K381" s="549" t="s">
        <v>14769</v>
      </c>
      <c r="L381" s="550">
        <v>6814</v>
      </c>
    </row>
    <row r="382" spans="2:12">
      <c r="B382" s="550">
        <v>92037</v>
      </c>
      <c r="C382" s="550" t="s">
        <v>1484</v>
      </c>
      <c r="D382" s="550" t="s">
        <v>2969</v>
      </c>
      <c r="E382" s="550" t="s">
        <v>1820</v>
      </c>
      <c r="F382" s="551" t="s">
        <v>13802</v>
      </c>
      <c r="G382" s="550" t="s">
        <v>14398</v>
      </c>
      <c r="H382" s="550" t="s">
        <v>2971</v>
      </c>
      <c r="I382" s="550" t="s">
        <v>2972</v>
      </c>
      <c r="J382" s="550" t="s">
        <v>14399</v>
      </c>
      <c r="K382" s="549" t="s">
        <v>14769</v>
      </c>
      <c r="L382" s="550">
        <v>6815</v>
      </c>
    </row>
    <row r="383" spans="2:12">
      <c r="B383" s="550">
        <v>92045</v>
      </c>
      <c r="C383" s="550" t="s">
        <v>1484</v>
      </c>
      <c r="D383" s="550" t="s">
        <v>2974</v>
      </c>
      <c r="E383" s="550" t="s">
        <v>1820</v>
      </c>
      <c r="F383" s="551" t="s">
        <v>13802</v>
      </c>
      <c r="G383" s="550" t="s">
        <v>14374</v>
      </c>
      <c r="H383" s="550" t="s">
        <v>2977</v>
      </c>
      <c r="I383" s="550" t="s">
        <v>2978</v>
      </c>
      <c r="J383" s="550" t="s">
        <v>14375</v>
      </c>
      <c r="K383" s="549" t="s">
        <v>14769</v>
      </c>
      <c r="L383" s="550">
        <v>6816</v>
      </c>
    </row>
    <row r="384" spans="2:12">
      <c r="B384" s="550">
        <v>92053</v>
      </c>
      <c r="C384" s="550" t="s">
        <v>1484</v>
      </c>
      <c r="D384" s="550" t="s">
        <v>2980</v>
      </c>
      <c r="E384" s="550" t="s">
        <v>1820</v>
      </c>
      <c r="F384" s="551" t="s">
        <v>13802</v>
      </c>
      <c r="G384" s="550" t="s">
        <v>14348</v>
      </c>
      <c r="H384" s="550" t="s">
        <v>2983</v>
      </c>
      <c r="I384" s="550" t="s">
        <v>2984</v>
      </c>
      <c r="J384" s="550" t="s">
        <v>14349</v>
      </c>
      <c r="K384" s="549" t="s">
        <v>14769</v>
      </c>
      <c r="L384" s="550">
        <v>6817</v>
      </c>
    </row>
    <row r="385" spans="2:12">
      <c r="B385" s="550">
        <v>92061</v>
      </c>
      <c r="C385" s="550" t="s">
        <v>1484</v>
      </c>
      <c r="D385" s="550" t="s">
        <v>2986</v>
      </c>
      <c r="E385" s="550" t="s">
        <v>1820</v>
      </c>
      <c r="F385" s="551" t="s">
        <v>13802</v>
      </c>
      <c r="G385" s="550" t="s">
        <v>14356</v>
      </c>
      <c r="H385" s="550" t="s">
        <v>2989</v>
      </c>
      <c r="I385" s="550" t="s">
        <v>2990</v>
      </c>
      <c r="J385" s="550" t="s">
        <v>14357</v>
      </c>
      <c r="K385" s="549" t="s">
        <v>14769</v>
      </c>
      <c r="L385" s="550">
        <v>6818</v>
      </c>
    </row>
    <row r="386" spans="2:12">
      <c r="B386" s="550">
        <v>92070</v>
      </c>
      <c r="C386" s="550" t="s">
        <v>1484</v>
      </c>
      <c r="D386" s="550" t="s">
        <v>2992</v>
      </c>
      <c r="E386" s="550" t="s">
        <v>1820</v>
      </c>
      <c r="F386" s="551" t="s">
        <v>13802</v>
      </c>
      <c r="G386" s="550" t="s">
        <v>14403</v>
      </c>
      <c r="H386" s="550" t="s">
        <v>2994</v>
      </c>
      <c r="I386" s="550" t="s">
        <v>2995</v>
      </c>
      <c r="J386" s="550" t="s">
        <v>14404</v>
      </c>
      <c r="K386" s="549" t="s">
        <v>14769</v>
      </c>
      <c r="L386" s="550">
        <v>6819</v>
      </c>
    </row>
    <row r="387" spans="2:12">
      <c r="B387" s="550">
        <v>92088</v>
      </c>
      <c r="C387" s="550" t="s">
        <v>1484</v>
      </c>
      <c r="D387" s="550" t="s">
        <v>2997</v>
      </c>
      <c r="E387" s="550" t="s">
        <v>1812</v>
      </c>
      <c r="F387" s="550" t="s">
        <v>1813</v>
      </c>
      <c r="G387" s="550" t="s">
        <v>14152</v>
      </c>
      <c r="H387" s="550" t="s">
        <v>2999</v>
      </c>
      <c r="I387" s="550" t="s">
        <v>3000</v>
      </c>
      <c r="J387" s="550" t="s">
        <v>14153</v>
      </c>
      <c r="K387" s="550" t="s">
        <v>14767</v>
      </c>
      <c r="L387" s="550">
        <v>6820</v>
      </c>
    </row>
    <row r="388" spans="2:12">
      <c r="B388" s="550">
        <v>92096</v>
      </c>
      <c r="C388" s="550" t="s">
        <v>1484</v>
      </c>
      <c r="D388" s="550" t="s">
        <v>3002</v>
      </c>
      <c r="E388" s="550" t="s">
        <v>1812</v>
      </c>
      <c r="F388" s="550" t="s">
        <v>1813</v>
      </c>
      <c r="G388" s="550" t="s">
        <v>14161</v>
      </c>
      <c r="H388" s="550" t="s">
        <v>3004</v>
      </c>
      <c r="I388" s="550" t="s">
        <v>3005</v>
      </c>
      <c r="J388" s="550" t="s">
        <v>14162</v>
      </c>
      <c r="K388" s="550" t="s">
        <v>14767</v>
      </c>
      <c r="L388" s="550">
        <v>6821</v>
      </c>
    </row>
    <row r="389" spans="2:12">
      <c r="B389" s="550">
        <v>92096</v>
      </c>
      <c r="C389" s="550" t="s">
        <v>1484</v>
      </c>
      <c r="D389" s="550" t="s">
        <v>3002</v>
      </c>
      <c r="E389" s="550" t="s">
        <v>1812</v>
      </c>
      <c r="F389" s="550" t="s">
        <v>1813</v>
      </c>
      <c r="G389" s="550" t="s">
        <v>14161</v>
      </c>
      <c r="H389" s="550" t="s">
        <v>3004</v>
      </c>
      <c r="I389" s="550" t="s">
        <v>3005</v>
      </c>
      <c r="J389" s="550" t="s">
        <v>14162</v>
      </c>
      <c r="K389" s="550" t="s">
        <v>14767</v>
      </c>
      <c r="L389" s="550">
        <v>6821</v>
      </c>
    </row>
    <row r="390" spans="2:12">
      <c r="B390" s="550">
        <v>92100</v>
      </c>
      <c r="C390" s="550" t="s">
        <v>1484</v>
      </c>
      <c r="D390" s="550" t="s">
        <v>3007</v>
      </c>
      <c r="E390" s="550" t="s">
        <v>1812</v>
      </c>
      <c r="F390" s="550" t="s">
        <v>1813</v>
      </c>
      <c r="G390" s="550" t="s">
        <v>14131</v>
      </c>
      <c r="H390" s="550" t="s">
        <v>3010</v>
      </c>
      <c r="I390" s="550" t="s">
        <v>3011</v>
      </c>
      <c r="J390" s="550" t="s">
        <v>14132</v>
      </c>
      <c r="K390" s="550" t="s">
        <v>14767</v>
      </c>
      <c r="L390" s="550">
        <v>6822</v>
      </c>
    </row>
    <row r="391" spans="2:12">
      <c r="B391" s="550">
        <v>92118</v>
      </c>
      <c r="C391" s="550" t="s">
        <v>1484</v>
      </c>
      <c r="D391" s="550" t="s">
        <v>3013</v>
      </c>
      <c r="E391" s="550" t="s">
        <v>1812</v>
      </c>
      <c r="F391" s="550" t="s">
        <v>1813</v>
      </c>
      <c r="G391" s="550" t="s">
        <v>14178</v>
      </c>
      <c r="H391" s="550" t="s">
        <v>3016</v>
      </c>
      <c r="I391" s="550" t="s">
        <v>3017</v>
      </c>
      <c r="J391" s="550" t="s">
        <v>14179</v>
      </c>
      <c r="K391" s="550" t="s">
        <v>14767</v>
      </c>
      <c r="L391" s="550">
        <v>10036</v>
      </c>
    </row>
    <row r="392" spans="2:12">
      <c r="B392" s="550">
        <v>92126</v>
      </c>
      <c r="C392" s="559" t="s">
        <v>1484</v>
      </c>
      <c r="D392" s="550" t="s">
        <v>3019</v>
      </c>
      <c r="E392" s="559" t="s">
        <v>1654</v>
      </c>
      <c r="F392" s="550" t="s">
        <v>13774</v>
      </c>
      <c r="G392" s="550" t="s">
        <v>14693</v>
      </c>
      <c r="H392" s="553" t="s">
        <v>3021</v>
      </c>
      <c r="I392" s="559" t="s">
        <v>3022</v>
      </c>
      <c r="J392" s="559" t="s">
        <v>14694</v>
      </c>
      <c r="K392" s="556" t="s">
        <v>7010</v>
      </c>
      <c r="L392" s="560">
        <v>11327</v>
      </c>
    </row>
    <row r="393" spans="2:12">
      <c r="B393" s="550">
        <v>92134</v>
      </c>
      <c r="C393" s="550" t="s">
        <v>1484</v>
      </c>
      <c r="D393" s="550" t="s">
        <v>3024</v>
      </c>
      <c r="E393" s="550" t="s">
        <v>1812</v>
      </c>
      <c r="F393" s="550" t="s">
        <v>1813</v>
      </c>
      <c r="G393" s="550" t="s">
        <v>14181</v>
      </c>
      <c r="H393" s="550" t="s">
        <v>3027</v>
      </c>
      <c r="I393" s="550" t="s">
        <v>3028</v>
      </c>
      <c r="J393" s="550" t="s">
        <v>3029</v>
      </c>
      <c r="K393" s="550" t="s">
        <v>14767</v>
      </c>
      <c r="L393" s="550">
        <v>10045</v>
      </c>
    </row>
    <row r="394" spans="2:12">
      <c r="B394" s="550">
        <v>92142</v>
      </c>
      <c r="C394" s="550" t="s">
        <v>1484</v>
      </c>
      <c r="D394" s="550" t="s">
        <v>3030</v>
      </c>
      <c r="E394" s="550" t="s">
        <v>1812</v>
      </c>
      <c r="F394" s="550" t="s">
        <v>1813</v>
      </c>
      <c r="G394" s="550" t="s">
        <v>14187</v>
      </c>
      <c r="H394" s="550" t="s">
        <v>3033</v>
      </c>
      <c r="I394" s="550" t="s">
        <v>3034</v>
      </c>
      <c r="J394" s="550" t="s">
        <v>14188</v>
      </c>
      <c r="K394" s="550" t="s">
        <v>14767</v>
      </c>
      <c r="L394" s="550">
        <v>6823</v>
      </c>
    </row>
    <row r="395" spans="2:12">
      <c r="B395" s="550">
        <v>92151</v>
      </c>
      <c r="C395" s="550" t="s">
        <v>1484</v>
      </c>
      <c r="D395" s="550" t="s">
        <v>3036</v>
      </c>
      <c r="E395" s="550" t="s">
        <v>1820</v>
      </c>
      <c r="F395" s="551" t="s">
        <v>13802</v>
      </c>
      <c r="G395" s="550" t="s">
        <v>14365</v>
      </c>
      <c r="H395" s="550" t="s">
        <v>3038</v>
      </c>
      <c r="I395" s="550" t="s">
        <v>3039</v>
      </c>
      <c r="J395" s="550" t="s">
        <v>3040</v>
      </c>
      <c r="K395" s="549" t="s">
        <v>14769</v>
      </c>
      <c r="L395" s="550">
        <v>6824</v>
      </c>
    </row>
    <row r="396" spans="2:12">
      <c r="B396" s="550">
        <v>92169</v>
      </c>
      <c r="C396" s="550" t="s">
        <v>1484</v>
      </c>
      <c r="D396" s="550" t="s">
        <v>3041</v>
      </c>
      <c r="E396" s="550" t="s">
        <v>1640</v>
      </c>
      <c r="F396" s="550" t="s">
        <v>1641</v>
      </c>
      <c r="G396" s="550" t="s">
        <v>14199</v>
      </c>
      <c r="H396" s="550" t="s">
        <v>3043</v>
      </c>
      <c r="I396" s="550" t="s">
        <v>3044</v>
      </c>
      <c r="J396" s="550" t="s">
        <v>14200</v>
      </c>
      <c r="K396" s="550" t="s">
        <v>1633</v>
      </c>
      <c r="L396" s="550">
        <v>6783</v>
      </c>
    </row>
    <row r="397" spans="2:12">
      <c r="B397" s="550">
        <v>92177</v>
      </c>
      <c r="C397" s="550" t="s">
        <v>1484</v>
      </c>
      <c r="D397" s="550" t="s">
        <v>3046</v>
      </c>
      <c r="E397" s="550" t="s">
        <v>1640</v>
      </c>
      <c r="F397" s="550" t="s">
        <v>1641</v>
      </c>
      <c r="G397" s="550" t="s">
        <v>14243</v>
      </c>
      <c r="H397" s="550" t="s">
        <v>3049</v>
      </c>
      <c r="I397" s="550" t="s">
        <v>3050</v>
      </c>
      <c r="J397" s="550" t="s">
        <v>14244</v>
      </c>
      <c r="K397" s="550" t="s">
        <v>1633</v>
      </c>
      <c r="L397" s="550">
        <v>6784</v>
      </c>
    </row>
    <row r="398" spans="2:12">
      <c r="B398" s="550">
        <v>92185</v>
      </c>
      <c r="C398" s="550" t="s">
        <v>1484</v>
      </c>
      <c r="D398" s="550" t="s">
        <v>3052</v>
      </c>
      <c r="E398" s="550" t="s">
        <v>1640</v>
      </c>
      <c r="F398" s="550" t="s">
        <v>1641</v>
      </c>
      <c r="G398" s="550" t="s">
        <v>14197</v>
      </c>
      <c r="H398" s="550" t="s">
        <v>3054</v>
      </c>
      <c r="I398" s="550" t="s">
        <v>3055</v>
      </c>
      <c r="J398" s="550" t="s">
        <v>14198</v>
      </c>
      <c r="K398" s="550" t="s">
        <v>1633</v>
      </c>
      <c r="L398" s="550">
        <v>6785</v>
      </c>
    </row>
    <row r="399" spans="2:12">
      <c r="B399" s="550">
        <v>92193</v>
      </c>
      <c r="C399" s="550" t="s">
        <v>1484</v>
      </c>
      <c r="D399" s="550" t="s">
        <v>3057</v>
      </c>
      <c r="E399" s="550" t="s">
        <v>1640</v>
      </c>
      <c r="F399" s="550" t="s">
        <v>1641</v>
      </c>
      <c r="G399" s="550" t="s">
        <v>14269</v>
      </c>
      <c r="H399" s="550" t="s">
        <v>3060</v>
      </c>
      <c r="I399" s="550" t="s">
        <v>3061</v>
      </c>
      <c r="J399" s="550" t="s">
        <v>14270</v>
      </c>
      <c r="K399" s="550" t="s">
        <v>1633</v>
      </c>
      <c r="L399" s="550">
        <v>6786</v>
      </c>
    </row>
    <row r="400" spans="2:12">
      <c r="B400" s="550">
        <v>92207</v>
      </c>
      <c r="C400" s="550" t="s">
        <v>1484</v>
      </c>
      <c r="D400" s="550" t="s">
        <v>3063</v>
      </c>
      <c r="E400" s="550" t="s">
        <v>1640</v>
      </c>
      <c r="F400" s="550" t="s">
        <v>1641</v>
      </c>
      <c r="G400" s="550" t="s">
        <v>14203</v>
      </c>
      <c r="H400" s="550" t="s">
        <v>3065</v>
      </c>
      <c r="I400" s="550" t="s">
        <v>3066</v>
      </c>
      <c r="J400" s="550" t="s">
        <v>14204</v>
      </c>
      <c r="K400" s="550" t="s">
        <v>1633</v>
      </c>
      <c r="L400" s="550">
        <v>6787</v>
      </c>
    </row>
    <row r="401" spans="2:12">
      <c r="B401" s="550">
        <v>92215</v>
      </c>
      <c r="C401" s="550" t="s">
        <v>1484</v>
      </c>
      <c r="D401" s="550" t="s">
        <v>3068</v>
      </c>
      <c r="E401" s="550" t="s">
        <v>1640</v>
      </c>
      <c r="F401" s="550" t="s">
        <v>1641</v>
      </c>
      <c r="G401" s="550" t="s">
        <v>14217</v>
      </c>
      <c r="H401" s="550" t="s">
        <v>3070</v>
      </c>
      <c r="I401" s="550" t="s">
        <v>3071</v>
      </c>
      <c r="J401" s="550" t="s">
        <v>14218</v>
      </c>
      <c r="K401" s="550" t="s">
        <v>1633</v>
      </c>
      <c r="L401" s="550">
        <v>6788</v>
      </c>
    </row>
    <row r="402" spans="2:12">
      <c r="B402" s="550">
        <v>92223</v>
      </c>
      <c r="C402" s="550" t="s">
        <v>1484</v>
      </c>
      <c r="D402" s="550" t="s">
        <v>14249</v>
      </c>
      <c r="E402" s="550" t="s">
        <v>1640</v>
      </c>
      <c r="F402" s="550" t="s">
        <v>1641</v>
      </c>
      <c r="G402" s="550" t="s">
        <v>14250</v>
      </c>
      <c r="H402" s="550" t="s">
        <v>3075</v>
      </c>
      <c r="I402" s="550" t="s">
        <v>3076</v>
      </c>
      <c r="J402" s="550" t="s">
        <v>14251</v>
      </c>
      <c r="K402" s="550" t="s">
        <v>1633</v>
      </c>
      <c r="L402" s="550">
        <v>6789</v>
      </c>
    </row>
    <row r="403" spans="2:12">
      <c r="B403" s="550">
        <v>92231</v>
      </c>
      <c r="C403" s="550" t="s">
        <v>1484</v>
      </c>
      <c r="D403" s="550" t="s">
        <v>3078</v>
      </c>
      <c r="E403" s="550" t="s">
        <v>1640</v>
      </c>
      <c r="F403" s="550" t="s">
        <v>1641</v>
      </c>
      <c r="G403" s="550" t="s">
        <v>14207</v>
      </c>
      <c r="H403" s="550" t="s">
        <v>3080</v>
      </c>
      <c r="I403" s="550" t="s">
        <v>3081</v>
      </c>
      <c r="J403" s="550" t="s">
        <v>14208</v>
      </c>
      <c r="K403" s="550" t="s">
        <v>1633</v>
      </c>
      <c r="L403" s="550">
        <v>6792</v>
      </c>
    </row>
    <row r="404" spans="2:12">
      <c r="B404" s="550">
        <v>92240</v>
      </c>
      <c r="C404" s="550" t="s">
        <v>1484</v>
      </c>
      <c r="D404" s="550" t="s">
        <v>3083</v>
      </c>
      <c r="E404" s="550" t="s">
        <v>1640</v>
      </c>
      <c r="F404" s="550" t="s">
        <v>1641</v>
      </c>
      <c r="G404" s="550" t="s">
        <v>14215</v>
      </c>
      <c r="H404" s="550" t="s">
        <v>3086</v>
      </c>
      <c r="I404" s="550" t="s">
        <v>3087</v>
      </c>
      <c r="J404" s="550" t="s">
        <v>14216</v>
      </c>
      <c r="K404" s="550" t="s">
        <v>1633</v>
      </c>
      <c r="L404" s="550">
        <v>6775</v>
      </c>
    </row>
    <row r="405" spans="2:12">
      <c r="B405" s="550">
        <v>92258</v>
      </c>
      <c r="C405" s="550" t="s">
        <v>1484</v>
      </c>
      <c r="D405" s="550" t="s">
        <v>3089</v>
      </c>
      <c r="E405" s="550" t="s">
        <v>1640</v>
      </c>
      <c r="F405" s="550" t="s">
        <v>1641</v>
      </c>
      <c r="G405" s="550" t="s">
        <v>14256</v>
      </c>
      <c r="H405" s="550" t="s">
        <v>3092</v>
      </c>
      <c r="I405" s="550" t="s">
        <v>3093</v>
      </c>
      <c r="J405" s="550" t="s">
        <v>14257</v>
      </c>
      <c r="K405" s="550" t="s">
        <v>1633</v>
      </c>
      <c r="L405" s="550">
        <v>6773</v>
      </c>
    </row>
    <row r="406" spans="2:12">
      <c r="B406" s="550">
        <v>92266</v>
      </c>
      <c r="C406" s="550" t="s">
        <v>1484</v>
      </c>
      <c r="D406" s="550" t="s">
        <v>3095</v>
      </c>
      <c r="E406" s="550" t="s">
        <v>1640</v>
      </c>
      <c r="F406" s="550" t="s">
        <v>1641</v>
      </c>
      <c r="G406" s="550" t="s">
        <v>14262</v>
      </c>
      <c r="H406" s="550" t="s">
        <v>3098</v>
      </c>
      <c r="I406" s="550" t="s">
        <v>3099</v>
      </c>
      <c r="J406" s="550" t="s">
        <v>14263</v>
      </c>
      <c r="K406" s="550" t="s">
        <v>1633</v>
      </c>
      <c r="L406" s="550">
        <v>6774</v>
      </c>
    </row>
    <row r="407" spans="2:12">
      <c r="B407" s="550">
        <v>92274</v>
      </c>
      <c r="C407" s="550" t="s">
        <v>1484</v>
      </c>
      <c r="D407" s="550" t="s">
        <v>3101</v>
      </c>
      <c r="E407" s="550" t="s">
        <v>1640</v>
      </c>
      <c r="F407" s="550" t="s">
        <v>1641</v>
      </c>
      <c r="G407" s="550" t="s">
        <v>14229</v>
      </c>
      <c r="H407" s="550" t="s">
        <v>3104</v>
      </c>
      <c r="I407" s="550" t="s">
        <v>3105</v>
      </c>
      <c r="J407" s="550" t="s">
        <v>14230</v>
      </c>
      <c r="K407" s="550" t="s">
        <v>1633</v>
      </c>
      <c r="L407" s="550">
        <v>6794</v>
      </c>
    </row>
    <row r="408" spans="2:12">
      <c r="B408" s="550">
        <v>92282</v>
      </c>
      <c r="C408" s="550" t="s">
        <v>1484</v>
      </c>
      <c r="D408" s="550" t="s">
        <v>3107</v>
      </c>
      <c r="E408" s="550" t="s">
        <v>1640</v>
      </c>
      <c r="F408" s="550" t="s">
        <v>1641</v>
      </c>
      <c r="G408" s="550" t="s">
        <v>14241</v>
      </c>
      <c r="H408" s="550" t="s">
        <v>3109</v>
      </c>
      <c r="I408" s="550" t="s">
        <v>3105</v>
      </c>
      <c r="J408" s="550" t="s">
        <v>14242</v>
      </c>
      <c r="K408" s="550" t="s">
        <v>1633</v>
      </c>
      <c r="L408" s="550">
        <v>6791</v>
      </c>
    </row>
    <row r="409" spans="2:12">
      <c r="B409" s="550">
        <v>92291</v>
      </c>
      <c r="C409" s="550" t="s">
        <v>1484</v>
      </c>
      <c r="D409" s="550" t="s">
        <v>3111</v>
      </c>
      <c r="E409" s="550" t="s">
        <v>1640</v>
      </c>
      <c r="F409" s="550" t="s">
        <v>1641</v>
      </c>
      <c r="G409" s="550" t="s">
        <v>14225</v>
      </c>
      <c r="H409" s="550" t="s">
        <v>3114</v>
      </c>
      <c r="I409" s="550" t="s">
        <v>3115</v>
      </c>
      <c r="J409" s="550" t="s">
        <v>14226</v>
      </c>
      <c r="K409" s="550" t="s">
        <v>1633</v>
      </c>
      <c r="L409" s="550">
        <v>6778</v>
      </c>
    </row>
    <row r="410" spans="2:12">
      <c r="B410" s="550">
        <v>92363</v>
      </c>
      <c r="C410" s="550" t="s">
        <v>1484</v>
      </c>
      <c r="D410" s="550" t="s">
        <v>3117</v>
      </c>
      <c r="E410" s="550" t="s">
        <v>1661</v>
      </c>
      <c r="F410" s="551" t="s">
        <v>13771</v>
      </c>
      <c r="G410" s="550" t="s">
        <v>14090</v>
      </c>
      <c r="H410" s="550" t="s">
        <v>3120</v>
      </c>
      <c r="I410" s="550" t="s">
        <v>3121</v>
      </c>
      <c r="J410" s="550" t="s">
        <v>14091</v>
      </c>
      <c r="K410" s="550" t="s">
        <v>1669</v>
      </c>
      <c r="L410" s="550">
        <v>6837</v>
      </c>
    </row>
    <row r="411" spans="2:12">
      <c r="B411" s="550">
        <v>92371</v>
      </c>
      <c r="C411" s="550" t="s">
        <v>1484</v>
      </c>
      <c r="D411" s="550" t="s">
        <v>3123</v>
      </c>
      <c r="E411" s="550" t="s">
        <v>1661</v>
      </c>
      <c r="F411" s="551" t="s">
        <v>13771</v>
      </c>
      <c r="G411" s="550" t="s">
        <v>14076</v>
      </c>
      <c r="H411" s="550" t="s">
        <v>3126</v>
      </c>
      <c r="I411" s="550" t="s">
        <v>3127</v>
      </c>
      <c r="J411" s="550" t="s">
        <v>14077</v>
      </c>
      <c r="K411" s="550" t="s">
        <v>1669</v>
      </c>
      <c r="L411" s="550">
        <v>8433</v>
      </c>
    </row>
    <row r="412" spans="2:12">
      <c r="B412" s="550">
        <v>92380</v>
      </c>
      <c r="C412" s="550" t="s">
        <v>1484</v>
      </c>
      <c r="D412" s="550" t="s">
        <v>3129</v>
      </c>
      <c r="E412" s="550" t="s">
        <v>1661</v>
      </c>
      <c r="F412" s="551" t="s">
        <v>13771</v>
      </c>
      <c r="G412" s="550" t="s">
        <v>14045</v>
      </c>
      <c r="H412" s="550" t="s">
        <v>3131</v>
      </c>
      <c r="I412" s="550" t="s">
        <v>3132</v>
      </c>
      <c r="J412" s="550" t="s">
        <v>14046</v>
      </c>
      <c r="K412" s="550" t="s">
        <v>1669</v>
      </c>
      <c r="L412" s="550">
        <v>8434</v>
      </c>
    </row>
    <row r="413" spans="2:12">
      <c r="B413" s="550">
        <v>92398</v>
      </c>
      <c r="C413" s="550" t="s">
        <v>1484</v>
      </c>
      <c r="D413" s="550" t="s">
        <v>3134</v>
      </c>
      <c r="E413" s="550" t="s">
        <v>1661</v>
      </c>
      <c r="F413" s="551" t="s">
        <v>13771</v>
      </c>
      <c r="G413" s="550" t="s">
        <v>3135</v>
      </c>
      <c r="H413" s="550" t="s">
        <v>3137</v>
      </c>
      <c r="I413" s="550" t="s">
        <v>3138</v>
      </c>
      <c r="J413" s="550" t="s">
        <v>14120</v>
      </c>
      <c r="K413" s="550" t="s">
        <v>1669</v>
      </c>
      <c r="L413" s="550">
        <v>8435</v>
      </c>
    </row>
    <row r="414" spans="2:12">
      <c r="B414" s="550">
        <v>92401</v>
      </c>
      <c r="C414" s="550" t="s">
        <v>1484</v>
      </c>
      <c r="D414" s="550" t="s">
        <v>3140</v>
      </c>
      <c r="E414" s="550" t="s">
        <v>1661</v>
      </c>
      <c r="F414" s="551" t="s">
        <v>13771</v>
      </c>
      <c r="G414" s="550" t="s">
        <v>14074</v>
      </c>
      <c r="H414" s="550" t="s">
        <v>3143</v>
      </c>
      <c r="I414" s="550" t="s">
        <v>3144</v>
      </c>
      <c r="J414" s="550" t="s">
        <v>14075</v>
      </c>
      <c r="K414" s="550" t="s">
        <v>1669</v>
      </c>
      <c r="L414" s="550">
        <v>8436</v>
      </c>
    </row>
    <row r="415" spans="2:12">
      <c r="B415" s="550">
        <v>92410</v>
      </c>
      <c r="C415" s="550" t="s">
        <v>1484</v>
      </c>
      <c r="D415" s="550" t="s">
        <v>14039</v>
      </c>
      <c r="E415" s="550" t="s">
        <v>1661</v>
      </c>
      <c r="F415" s="551" t="s">
        <v>13771</v>
      </c>
      <c r="G415" s="550" t="s">
        <v>14040</v>
      </c>
      <c r="H415" s="550" t="s">
        <v>3147</v>
      </c>
      <c r="I415" s="550" t="s">
        <v>3148</v>
      </c>
      <c r="J415" s="550" t="s">
        <v>14041</v>
      </c>
      <c r="K415" s="550" t="s">
        <v>1669</v>
      </c>
      <c r="L415" s="550">
        <v>8437</v>
      </c>
    </row>
    <row r="416" spans="2:12">
      <c r="B416" s="550">
        <v>92428</v>
      </c>
      <c r="C416" s="550" t="s">
        <v>1484</v>
      </c>
      <c r="D416" s="550" t="s">
        <v>3150</v>
      </c>
      <c r="E416" s="550" t="s">
        <v>1661</v>
      </c>
      <c r="F416" s="551" t="s">
        <v>13771</v>
      </c>
      <c r="G416" s="550" t="s">
        <v>14106</v>
      </c>
      <c r="H416" s="550" t="s">
        <v>3152</v>
      </c>
      <c r="I416" s="550" t="s">
        <v>3153</v>
      </c>
      <c r="J416" s="550" t="s">
        <v>14107</v>
      </c>
      <c r="K416" s="550" t="s">
        <v>1669</v>
      </c>
      <c r="L416" s="550">
        <v>8438</v>
      </c>
    </row>
    <row r="417" spans="2:12">
      <c r="B417" s="550">
        <v>92436</v>
      </c>
      <c r="C417" s="550" t="s">
        <v>1484</v>
      </c>
      <c r="D417" s="550" t="s">
        <v>3155</v>
      </c>
      <c r="E417" s="550" t="s">
        <v>1661</v>
      </c>
      <c r="F417" s="551" t="s">
        <v>13771</v>
      </c>
      <c r="G417" s="550" t="s">
        <v>14112</v>
      </c>
      <c r="H417" s="550" t="s">
        <v>3157</v>
      </c>
      <c r="I417" s="550" t="s">
        <v>3158</v>
      </c>
      <c r="J417" s="550" t="s">
        <v>14113</v>
      </c>
      <c r="K417" s="550" t="s">
        <v>1669</v>
      </c>
      <c r="L417" s="550">
        <v>8439</v>
      </c>
    </row>
    <row r="418" spans="2:12">
      <c r="B418" s="550">
        <v>92452</v>
      </c>
      <c r="C418" s="550" t="s">
        <v>1484</v>
      </c>
      <c r="D418" s="550" t="s">
        <v>3160</v>
      </c>
      <c r="E418" s="550" t="s">
        <v>1661</v>
      </c>
      <c r="F418" s="551" t="s">
        <v>13771</v>
      </c>
      <c r="G418" s="550" t="s">
        <v>14116</v>
      </c>
      <c r="H418" s="550" t="s">
        <v>3162</v>
      </c>
      <c r="I418" s="550" t="s">
        <v>3163</v>
      </c>
      <c r="J418" s="550" t="s">
        <v>14117</v>
      </c>
      <c r="K418" s="550" t="s">
        <v>1669</v>
      </c>
      <c r="L418" s="550">
        <v>6854</v>
      </c>
    </row>
    <row r="419" spans="2:12">
      <c r="B419" s="550">
        <v>92461</v>
      </c>
      <c r="C419" s="550" t="s">
        <v>1484</v>
      </c>
      <c r="D419" s="550" t="s">
        <v>3165</v>
      </c>
      <c r="E419" s="550" t="s">
        <v>1661</v>
      </c>
      <c r="F419" s="551" t="s">
        <v>13771</v>
      </c>
      <c r="G419" s="550" t="s">
        <v>14033</v>
      </c>
      <c r="H419" s="550" t="s">
        <v>3168</v>
      </c>
      <c r="I419" s="550" t="s">
        <v>3169</v>
      </c>
      <c r="J419" s="550" t="s">
        <v>14034</v>
      </c>
      <c r="K419" s="550" t="s">
        <v>1669</v>
      </c>
      <c r="L419" s="550">
        <v>6855</v>
      </c>
    </row>
    <row r="420" spans="2:12">
      <c r="B420" s="550">
        <v>92479</v>
      </c>
      <c r="C420" s="550" t="s">
        <v>1484</v>
      </c>
      <c r="D420" s="550" t="s">
        <v>3170</v>
      </c>
      <c r="E420" s="550" t="s">
        <v>1661</v>
      </c>
      <c r="F420" s="551" t="s">
        <v>13771</v>
      </c>
      <c r="G420" s="550" t="s">
        <v>14129</v>
      </c>
      <c r="H420" s="550" t="s">
        <v>3173</v>
      </c>
      <c r="I420" s="550" t="s">
        <v>3174</v>
      </c>
      <c r="J420" s="550" t="s">
        <v>14130</v>
      </c>
      <c r="K420" s="550" t="s">
        <v>1669</v>
      </c>
      <c r="L420" s="550">
        <v>6856</v>
      </c>
    </row>
    <row r="421" spans="2:12">
      <c r="B421" s="550">
        <v>92487</v>
      </c>
      <c r="C421" s="550" t="s">
        <v>1484</v>
      </c>
      <c r="D421" s="550" t="s">
        <v>14121</v>
      </c>
      <c r="E421" s="550" t="s">
        <v>1661</v>
      </c>
      <c r="F421" s="551" t="s">
        <v>13771</v>
      </c>
      <c r="G421" s="550" t="s">
        <v>14122</v>
      </c>
      <c r="H421" s="550" t="s">
        <v>3177</v>
      </c>
      <c r="I421" s="550" t="s">
        <v>3178</v>
      </c>
      <c r="J421" s="550" t="s">
        <v>14123</v>
      </c>
      <c r="K421" s="550" t="s">
        <v>1669</v>
      </c>
      <c r="L421" s="550">
        <v>6857</v>
      </c>
    </row>
    <row r="422" spans="2:12">
      <c r="B422" s="550">
        <v>92495</v>
      </c>
      <c r="C422" s="550" t="s">
        <v>1484</v>
      </c>
      <c r="D422" s="550" t="s">
        <v>3180</v>
      </c>
      <c r="E422" s="550" t="s">
        <v>1661</v>
      </c>
      <c r="F422" s="551" t="s">
        <v>13771</v>
      </c>
      <c r="G422" s="550" t="s">
        <v>14086</v>
      </c>
      <c r="H422" s="550" t="s">
        <v>3183</v>
      </c>
      <c r="I422" s="550" t="s">
        <v>3184</v>
      </c>
      <c r="J422" s="550" t="s">
        <v>14087</v>
      </c>
      <c r="K422" s="550" t="s">
        <v>1669</v>
      </c>
      <c r="L422" s="550">
        <v>6858</v>
      </c>
    </row>
    <row r="423" spans="2:12">
      <c r="B423" s="550">
        <v>92509</v>
      </c>
      <c r="C423" s="550" t="s">
        <v>1484</v>
      </c>
      <c r="D423" s="550" t="s">
        <v>3186</v>
      </c>
      <c r="E423" s="550" t="s">
        <v>1661</v>
      </c>
      <c r="F423" s="551" t="s">
        <v>13771</v>
      </c>
      <c r="G423" s="550" t="s">
        <v>14056</v>
      </c>
      <c r="H423" s="550" t="s">
        <v>3188</v>
      </c>
      <c r="I423" s="550" t="s">
        <v>3189</v>
      </c>
      <c r="J423" s="550" t="s">
        <v>14057</v>
      </c>
      <c r="K423" s="550" t="s">
        <v>1669</v>
      </c>
      <c r="L423" s="550">
        <v>6859</v>
      </c>
    </row>
    <row r="424" spans="2:12">
      <c r="B424" s="550">
        <v>92517</v>
      </c>
      <c r="C424" s="559" t="s">
        <v>1484</v>
      </c>
      <c r="D424" s="550" t="s">
        <v>3190</v>
      </c>
      <c r="E424" s="559" t="s">
        <v>1654</v>
      </c>
      <c r="F424" s="550" t="s">
        <v>13774</v>
      </c>
      <c r="G424" s="550" t="s">
        <v>14708</v>
      </c>
      <c r="H424" s="553" t="s">
        <v>3193</v>
      </c>
      <c r="I424" s="559" t="s">
        <v>3194</v>
      </c>
      <c r="J424" s="559" t="s">
        <v>14709</v>
      </c>
      <c r="K424" s="556" t="s">
        <v>7010</v>
      </c>
      <c r="L424" s="562">
        <v>6840</v>
      </c>
    </row>
    <row r="425" spans="2:12">
      <c r="B425" s="551">
        <v>92525</v>
      </c>
      <c r="C425" s="551" t="s">
        <v>1484</v>
      </c>
      <c r="D425" s="550" t="s">
        <v>3196</v>
      </c>
      <c r="E425" s="551" t="s">
        <v>1654</v>
      </c>
      <c r="F425" s="550" t="s">
        <v>13774</v>
      </c>
      <c r="G425" s="550" t="s">
        <v>14653</v>
      </c>
      <c r="H425" s="553" t="s">
        <v>3198</v>
      </c>
      <c r="I425" s="555" t="s">
        <v>3199</v>
      </c>
      <c r="J425" s="551" t="s">
        <v>14654</v>
      </c>
      <c r="K425" s="556" t="s">
        <v>7010</v>
      </c>
      <c r="L425" s="551">
        <v>6841</v>
      </c>
    </row>
    <row r="426" spans="2:12">
      <c r="B426" s="550">
        <v>92533</v>
      </c>
      <c r="C426" s="559" t="s">
        <v>1484</v>
      </c>
      <c r="D426" s="550" t="s">
        <v>3201</v>
      </c>
      <c r="E426" s="559" t="s">
        <v>1654</v>
      </c>
      <c r="F426" s="550" t="s">
        <v>13774</v>
      </c>
      <c r="G426" s="550" t="s">
        <v>14689</v>
      </c>
      <c r="H426" s="553" t="s">
        <v>3204</v>
      </c>
      <c r="I426" s="559" t="s">
        <v>3205</v>
      </c>
      <c r="J426" s="559" t="s">
        <v>14690</v>
      </c>
      <c r="K426" s="556" t="s">
        <v>7010</v>
      </c>
      <c r="L426" s="560">
        <v>6842</v>
      </c>
    </row>
    <row r="427" spans="2:12">
      <c r="B427" s="550">
        <v>92541</v>
      </c>
      <c r="C427" s="550" t="s">
        <v>1484</v>
      </c>
      <c r="D427" s="550" t="s">
        <v>3207</v>
      </c>
      <c r="E427" s="550" t="s">
        <v>1654</v>
      </c>
      <c r="F427" s="550" t="s">
        <v>13774</v>
      </c>
      <c r="G427" s="550" t="s">
        <v>14719</v>
      </c>
      <c r="H427" s="550" t="s">
        <v>3210</v>
      </c>
      <c r="I427" s="550" t="s">
        <v>3211</v>
      </c>
      <c r="J427" s="550" t="s">
        <v>14720</v>
      </c>
      <c r="K427" s="556" t="s">
        <v>7010</v>
      </c>
      <c r="L427" s="550">
        <v>6843</v>
      </c>
    </row>
    <row r="428" spans="2:12">
      <c r="B428" s="551">
        <v>92550</v>
      </c>
      <c r="C428" s="551" t="s">
        <v>1484</v>
      </c>
      <c r="D428" s="550" t="s">
        <v>3213</v>
      </c>
      <c r="E428" s="551" t="s">
        <v>1654</v>
      </c>
      <c r="F428" s="550" t="s">
        <v>13774</v>
      </c>
      <c r="G428" s="551" t="s">
        <v>14651</v>
      </c>
      <c r="H428" s="553" t="s">
        <v>3216</v>
      </c>
      <c r="I428" s="555" t="s">
        <v>3217</v>
      </c>
      <c r="J428" s="551" t="s">
        <v>14652</v>
      </c>
      <c r="K428" s="556" t="s">
        <v>7010</v>
      </c>
      <c r="L428" s="551">
        <v>11312</v>
      </c>
    </row>
    <row r="429" spans="2:12">
      <c r="B429" s="550">
        <v>92568</v>
      </c>
      <c r="C429" s="559" t="s">
        <v>1484</v>
      </c>
      <c r="D429" s="550" t="s">
        <v>3219</v>
      </c>
      <c r="E429" s="559" t="s">
        <v>1654</v>
      </c>
      <c r="F429" s="550" t="s">
        <v>13774</v>
      </c>
      <c r="G429" s="550" t="s">
        <v>14704</v>
      </c>
      <c r="H429" s="553" t="s">
        <v>3222</v>
      </c>
      <c r="I429" s="559" t="s">
        <v>3223</v>
      </c>
      <c r="J429" s="559" t="s">
        <v>14705</v>
      </c>
      <c r="K429" s="556" t="s">
        <v>7010</v>
      </c>
      <c r="L429" s="560">
        <v>11324</v>
      </c>
    </row>
    <row r="430" spans="2:12">
      <c r="B430" s="550">
        <v>92576</v>
      </c>
      <c r="C430" s="550" t="s">
        <v>1484</v>
      </c>
      <c r="D430" s="550" t="s">
        <v>3225</v>
      </c>
      <c r="E430" s="550" t="s">
        <v>1654</v>
      </c>
      <c r="F430" s="550" t="s">
        <v>13774</v>
      </c>
      <c r="G430" s="550" t="s">
        <v>14721</v>
      </c>
      <c r="H430" s="550" t="s">
        <v>3227</v>
      </c>
      <c r="I430" s="550" t="s">
        <v>3228</v>
      </c>
      <c r="J430" s="550" t="s">
        <v>14722</v>
      </c>
      <c r="K430" s="556" t="s">
        <v>7010</v>
      </c>
      <c r="L430" s="550">
        <v>11310</v>
      </c>
    </row>
    <row r="431" spans="2:12">
      <c r="B431" s="552">
        <v>92584</v>
      </c>
      <c r="C431" s="553" t="s">
        <v>1484</v>
      </c>
      <c r="D431" s="550" t="s">
        <v>3230</v>
      </c>
      <c r="E431" s="554" t="s">
        <v>1654</v>
      </c>
      <c r="F431" s="550" t="s">
        <v>13774</v>
      </c>
      <c r="G431" s="550" t="s">
        <v>14644</v>
      </c>
      <c r="H431" s="553" t="s">
        <v>3233</v>
      </c>
      <c r="I431" s="555" t="s">
        <v>3234</v>
      </c>
      <c r="J431" s="554" t="s">
        <v>14645</v>
      </c>
      <c r="K431" s="556" t="s">
        <v>7010</v>
      </c>
      <c r="L431" s="557">
        <v>11328</v>
      </c>
    </row>
    <row r="432" spans="2:12">
      <c r="B432" s="550">
        <v>92592</v>
      </c>
      <c r="C432" s="559" t="s">
        <v>1484</v>
      </c>
      <c r="D432" s="550" t="s">
        <v>3236</v>
      </c>
      <c r="E432" s="559" t="s">
        <v>1654</v>
      </c>
      <c r="F432" s="550" t="s">
        <v>13774</v>
      </c>
      <c r="G432" s="550" t="s">
        <v>14698</v>
      </c>
      <c r="H432" s="553" t="s">
        <v>3238</v>
      </c>
      <c r="I432" s="559" t="s">
        <v>3239</v>
      </c>
      <c r="J432" s="559" t="s">
        <v>14699</v>
      </c>
      <c r="K432" s="556" t="s">
        <v>7010</v>
      </c>
      <c r="L432" s="560">
        <v>11323</v>
      </c>
    </row>
    <row r="433" spans="2:12">
      <c r="B433" s="550">
        <v>92606</v>
      </c>
      <c r="C433" s="550" t="s">
        <v>1484</v>
      </c>
      <c r="D433" s="550" t="s">
        <v>3241</v>
      </c>
      <c r="E433" s="550" t="s">
        <v>1654</v>
      </c>
      <c r="F433" s="550" t="s">
        <v>13774</v>
      </c>
      <c r="G433" s="550" t="s">
        <v>14640</v>
      </c>
      <c r="H433" s="550" t="s">
        <v>3243</v>
      </c>
      <c r="I433" s="550" t="s">
        <v>3244</v>
      </c>
      <c r="J433" s="550" t="s">
        <v>14641</v>
      </c>
      <c r="K433" s="556" t="s">
        <v>7010</v>
      </c>
      <c r="L433" s="550">
        <v>6844</v>
      </c>
    </row>
    <row r="434" spans="2:12">
      <c r="B434" s="551">
        <v>92614</v>
      </c>
      <c r="C434" s="551" t="s">
        <v>1484</v>
      </c>
      <c r="D434" s="550" t="s">
        <v>3246</v>
      </c>
      <c r="E434" s="551" t="s">
        <v>1654</v>
      </c>
      <c r="F434" s="550" t="s">
        <v>13774</v>
      </c>
      <c r="G434" s="553" t="s">
        <v>14655</v>
      </c>
      <c r="H434" s="553" t="s">
        <v>3249</v>
      </c>
      <c r="I434" s="555" t="s">
        <v>3250</v>
      </c>
      <c r="J434" s="551" t="s">
        <v>14656</v>
      </c>
      <c r="K434" s="556" t="s">
        <v>7010</v>
      </c>
      <c r="L434" s="551">
        <v>6845</v>
      </c>
    </row>
    <row r="435" spans="2:12">
      <c r="B435" s="550">
        <v>92631</v>
      </c>
      <c r="C435" s="559" t="s">
        <v>1484</v>
      </c>
      <c r="D435" s="550" t="s">
        <v>3251</v>
      </c>
      <c r="E435" s="559" t="s">
        <v>1654</v>
      </c>
      <c r="F435" s="550" t="s">
        <v>13774</v>
      </c>
      <c r="G435" s="550" t="s">
        <v>14664</v>
      </c>
      <c r="H435" s="553" t="s">
        <v>3253</v>
      </c>
      <c r="I435" s="559" t="s">
        <v>3254</v>
      </c>
      <c r="J435" s="559"/>
      <c r="K435" s="556" t="s">
        <v>7010</v>
      </c>
      <c r="L435" s="560">
        <v>6846</v>
      </c>
    </row>
    <row r="436" spans="2:12">
      <c r="B436" s="550">
        <v>92649</v>
      </c>
      <c r="C436" s="559" t="s">
        <v>1484</v>
      </c>
      <c r="D436" s="550" t="s">
        <v>3255</v>
      </c>
      <c r="E436" s="559" t="s">
        <v>1654</v>
      </c>
      <c r="F436" s="550" t="s">
        <v>13774</v>
      </c>
      <c r="G436" s="550" t="s">
        <v>14663</v>
      </c>
      <c r="H436" s="553" t="s">
        <v>3257</v>
      </c>
      <c r="I436" s="559" t="s">
        <v>3258</v>
      </c>
      <c r="J436" s="559"/>
      <c r="K436" s="556" t="s">
        <v>7010</v>
      </c>
      <c r="L436" s="560">
        <v>6847</v>
      </c>
    </row>
    <row r="437" spans="2:12">
      <c r="B437" s="550">
        <v>92657</v>
      </c>
      <c r="C437" s="559" t="s">
        <v>1484</v>
      </c>
      <c r="D437" s="550" t="s">
        <v>3259</v>
      </c>
      <c r="E437" s="559" t="s">
        <v>1654</v>
      </c>
      <c r="F437" s="550" t="s">
        <v>13774</v>
      </c>
      <c r="G437" s="550" t="s">
        <v>14706</v>
      </c>
      <c r="H437" s="553" t="s">
        <v>3261</v>
      </c>
      <c r="I437" s="559" t="s">
        <v>3262</v>
      </c>
      <c r="J437" s="559" t="s">
        <v>14707</v>
      </c>
      <c r="K437" s="556" t="s">
        <v>7010</v>
      </c>
      <c r="L437" s="560">
        <v>6848</v>
      </c>
    </row>
    <row r="438" spans="2:12">
      <c r="B438" s="551">
        <v>92665</v>
      </c>
      <c r="C438" s="551" t="s">
        <v>1484</v>
      </c>
      <c r="D438" s="550" t="s">
        <v>3263</v>
      </c>
      <c r="E438" s="551" t="s">
        <v>1654</v>
      </c>
      <c r="F438" s="550" t="s">
        <v>13774</v>
      </c>
      <c r="G438" s="551" t="s">
        <v>14657</v>
      </c>
      <c r="H438" s="553" t="s">
        <v>3266</v>
      </c>
      <c r="I438" s="555" t="s">
        <v>3267</v>
      </c>
      <c r="J438" s="551"/>
      <c r="K438" s="556" t="s">
        <v>7010</v>
      </c>
      <c r="L438" s="551">
        <v>11313</v>
      </c>
    </row>
    <row r="439" spans="2:12">
      <c r="B439" s="550">
        <v>92673</v>
      </c>
      <c r="C439" s="559" t="s">
        <v>1484</v>
      </c>
      <c r="D439" s="550" t="s">
        <v>3268</v>
      </c>
      <c r="E439" s="559" t="s">
        <v>1654</v>
      </c>
      <c r="F439" s="550" t="s">
        <v>13774</v>
      </c>
      <c r="G439" s="550" t="s">
        <v>14691</v>
      </c>
      <c r="H439" s="553" t="s">
        <v>3271</v>
      </c>
      <c r="I439" s="559" t="s">
        <v>2437</v>
      </c>
      <c r="J439" s="559" t="s">
        <v>14692</v>
      </c>
      <c r="K439" s="556" t="s">
        <v>7010</v>
      </c>
      <c r="L439" s="560">
        <v>11322</v>
      </c>
    </row>
    <row r="440" spans="2:12">
      <c r="B440" s="550">
        <v>97071</v>
      </c>
      <c r="C440" s="550" t="s">
        <v>1484</v>
      </c>
      <c r="D440" s="550" t="s">
        <v>3273</v>
      </c>
      <c r="E440" s="550" t="s">
        <v>1617</v>
      </c>
      <c r="F440" s="550" t="s">
        <v>1618</v>
      </c>
      <c r="G440" s="550" t="s">
        <v>14002</v>
      </c>
      <c r="H440" s="550" t="s">
        <v>3276</v>
      </c>
      <c r="I440" s="550" t="s">
        <v>3277</v>
      </c>
      <c r="J440" s="550" t="s">
        <v>14003</v>
      </c>
      <c r="K440" s="550" t="s">
        <v>1624</v>
      </c>
      <c r="L440" s="550">
        <v>6658</v>
      </c>
    </row>
    <row r="441" spans="2:12">
      <c r="B441" s="550">
        <v>97080</v>
      </c>
      <c r="C441" s="550" t="s">
        <v>1484</v>
      </c>
      <c r="D441" s="550" t="s">
        <v>3278</v>
      </c>
      <c r="E441" s="550" t="s">
        <v>1617</v>
      </c>
      <c r="F441" s="550" t="s">
        <v>1618</v>
      </c>
      <c r="G441" s="550" t="s">
        <v>13985</v>
      </c>
      <c r="H441" s="550" t="s">
        <v>3281</v>
      </c>
      <c r="I441" s="550" t="s">
        <v>3282</v>
      </c>
      <c r="J441" s="550" t="s">
        <v>13986</v>
      </c>
      <c r="K441" s="550" t="s">
        <v>1624</v>
      </c>
      <c r="L441" s="550">
        <v>6626</v>
      </c>
    </row>
    <row r="442" spans="2:12">
      <c r="B442" s="550">
        <v>97098</v>
      </c>
      <c r="C442" s="550" t="s">
        <v>1484</v>
      </c>
      <c r="D442" s="550" t="s">
        <v>3283</v>
      </c>
      <c r="E442" s="550" t="s">
        <v>1617</v>
      </c>
      <c r="F442" s="550" t="s">
        <v>1618</v>
      </c>
      <c r="G442" s="550" t="s">
        <v>14029</v>
      </c>
      <c r="H442" s="550" t="s">
        <v>3285</v>
      </c>
      <c r="I442" s="550" t="s">
        <v>3286</v>
      </c>
      <c r="J442" s="550" t="s">
        <v>14030</v>
      </c>
      <c r="K442" s="550" t="s">
        <v>1624</v>
      </c>
      <c r="L442" s="550">
        <v>6659</v>
      </c>
    </row>
    <row r="443" spans="2:12">
      <c r="B443" s="550">
        <v>97101</v>
      </c>
      <c r="C443" s="550" t="s">
        <v>1484</v>
      </c>
      <c r="D443" s="550" t="s">
        <v>3288</v>
      </c>
      <c r="E443" s="550" t="s">
        <v>1707</v>
      </c>
      <c r="F443" s="551" t="s">
        <v>13799</v>
      </c>
      <c r="G443" s="550" t="s">
        <v>14338</v>
      </c>
      <c r="H443" s="550" t="s">
        <v>3290</v>
      </c>
      <c r="I443" s="550" t="s">
        <v>3291</v>
      </c>
      <c r="J443" s="550" t="s">
        <v>14339</v>
      </c>
      <c r="K443" s="550" t="s">
        <v>1633</v>
      </c>
      <c r="L443" s="550">
        <v>6697</v>
      </c>
    </row>
    <row r="444" spans="2:12">
      <c r="B444" s="550">
        <v>97691</v>
      </c>
      <c r="C444" s="550" t="s">
        <v>1484</v>
      </c>
      <c r="D444" s="550" t="s">
        <v>3293</v>
      </c>
      <c r="E444" s="550" t="s">
        <v>1707</v>
      </c>
      <c r="F444" s="551" t="s">
        <v>13799</v>
      </c>
      <c r="G444" s="550" t="s">
        <v>14291</v>
      </c>
      <c r="H444" s="550" t="s">
        <v>3296</v>
      </c>
      <c r="I444" s="550" t="s">
        <v>3297</v>
      </c>
      <c r="J444" s="550" t="s">
        <v>14292</v>
      </c>
      <c r="K444" s="550" t="s">
        <v>1633</v>
      </c>
      <c r="L444" s="550">
        <v>6698</v>
      </c>
    </row>
    <row r="445" spans="2:12">
      <c r="B445" s="550">
        <v>98515</v>
      </c>
      <c r="C445" s="550" t="s">
        <v>1484</v>
      </c>
      <c r="D445" s="550" t="s">
        <v>1603</v>
      </c>
      <c r="E445" s="550" t="s">
        <v>1486</v>
      </c>
      <c r="F445" s="550" t="s">
        <v>161</v>
      </c>
      <c r="G445" s="550" t="s">
        <v>13857</v>
      </c>
      <c r="H445" s="550" t="s">
        <v>1606</v>
      </c>
      <c r="I445" s="550" t="s">
        <v>3298</v>
      </c>
      <c r="J445" s="550" t="s">
        <v>13858</v>
      </c>
      <c r="K445" s="550" t="s">
        <v>1669</v>
      </c>
      <c r="L445" s="550">
        <v>6590</v>
      </c>
    </row>
    <row r="446" spans="2:12">
      <c r="B446" s="550">
        <v>98604</v>
      </c>
      <c r="C446" s="550" t="s">
        <v>1484</v>
      </c>
      <c r="D446" s="550" t="s">
        <v>3299</v>
      </c>
      <c r="E446" s="550" t="s">
        <v>1661</v>
      </c>
      <c r="F446" s="551" t="s">
        <v>13771</v>
      </c>
      <c r="G446" s="550" t="s">
        <v>14061</v>
      </c>
      <c r="H446" s="550" t="s">
        <v>3302</v>
      </c>
      <c r="I446" s="550" t="s">
        <v>3303</v>
      </c>
      <c r="J446" s="550" t="s">
        <v>14062</v>
      </c>
      <c r="K446" s="550" t="s">
        <v>1669</v>
      </c>
      <c r="L446" s="550">
        <v>6849</v>
      </c>
    </row>
    <row r="447" spans="2:12">
      <c r="B447" s="550">
        <v>98884</v>
      </c>
      <c r="C447" s="550" t="s">
        <v>1484</v>
      </c>
      <c r="D447" s="550" t="s">
        <v>3305</v>
      </c>
      <c r="E447" s="550" t="s">
        <v>1707</v>
      </c>
      <c r="F447" s="551" t="s">
        <v>13799</v>
      </c>
      <c r="G447" s="550" t="s">
        <v>3306</v>
      </c>
      <c r="H447" s="550" t="s">
        <v>3308</v>
      </c>
      <c r="I447" s="550" t="s">
        <v>3309</v>
      </c>
      <c r="J447" s="550" t="s">
        <v>14277</v>
      </c>
      <c r="K447" s="550" t="s">
        <v>1633</v>
      </c>
      <c r="L447" s="550">
        <v>6699</v>
      </c>
    </row>
    <row r="448" spans="2:12">
      <c r="B448" s="550">
        <v>98931</v>
      </c>
      <c r="C448" s="550" t="s">
        <v>1484</v>
      </c>
      <c r="D448" s="550" t="s">
        <v>1607</v>
      </c>
      <c r="E448" s="550" t="s">
        <v>1486</v>
      </c>
      <c r="F448" s="550" t="s">
        <v>161</v>
      </c>
      <c r="G448" s="550" t="s">
        <v>13903</v>
      </c>
      <c r="H448" s="550" t="s">
        <v>1610</v>
      </c>
      <c r="I448" s="550" t="s">
        <v>3310</v>
      </c>
      <c r="J448" s="550" t="s">
        <v>13904</v>
      </c>
      <c r="K448" s="550" t="s">
        <v>1669</v>
      </c>
      <c r="L448" s="550">
        <v>6591</v>
      </c>
    </row>
    <row r="449" spans="2:12">
      <c r="B449" s="550">
        <v>98957</v>
      </c>
      <c r="C449" s="550" t="s">
        <v>1484</v>
      </c>
      <c r="D449" s="550" t="s">
        <v>3311</v>
      </c>
      <c r="E449" s="550" t="s">
        <v>1626</v>
      </c>
      <c r="F449" s="551" t="s">
        <v>13763</v>
      </c>
      <c r="G449" s="550" t="s">
        <v>13933</v>
      </c>
      <c r="H449" s="550" t="s">
        <v>3314</v>
      </c>
      <c r="I449" s="550" t="s">
        <v>3315</v>
      </c>
      <c r="J449" s="550" t="s">
        <v>13934</v>
      </c>
      <c r="K449" s="550" t="s">
        <v>1633</v>
      </c>
      <c r="L449" s="550">
        <v>6737</v>
      </c>
    </row>
    <row r="450" spans="2:12">
      <c r="B450" s="550">
        <v>98965</v>
      </c>
      <c r="C450" s="550" t="s">
        <v>1484</v>
      </c>
      <c r="D450" s="550" t="s">
        <v>3317</v>
      </c>
      <c r="E450" s="550" t="s">
        <v>1626</v>
      </c>
      <c r="F450" s="551" t="s">
        <v>13763</v>
      </c>
      <c r="G450" s="550" t="s">
        <v>13959</v>
      </c>
      <c r="H450" s="550" t="s">
        <v>3319</v>
      </c>
      <c r="I450" s="550" t="s">
        <v>3320</v>
      </c>
      <c r="J450" s="550" t="s">
        <v>3321</v>
      </c>
      <c r="K450" s="550" t="s">
        <v>1633</v>
      </c>
      <c r="L450" s="550">
        <v>6741</v>
      </c>
    </row>
    <row r="451" spans="2:12">
      <c r="B451" s="550">
        <v>98973</v>
      </c>
      <c r="C451" s="550" t="s">
        <v>1484</v>
      </c>
      <c r="D451" s="550" t="s">
        <v>3322</v>
      </c>
      <c r="E451" s="550" t="s">
        <v>1640</v>
      </c>
      <c r="F451" s="550" t="s">
        <v>1641</v>
      </c>
      <c r="G451" s="550" t="s">
        <v>14195</v>
      </c>
      <c r="H451" s="550" t="s">
        <v>3325</v>
      </c>
      <c r="I451" s="550" t="s">
        <v>3326</v>
      </c>
      <c r="J451" s="550" t="s">
        <v>14196</v>
      </c>
      <c r="K451" s="550" t="s">
        <v>1633</v>
      </c>
      <c r="L451" s="550">
        <v>6777</v>
      </c>
    </row>
    <row r="452" spans="2:12">
      <c r="B452" s="550">
        <v>98981</v>
      </c>
      <c r="C452" s="550" t="s">
        <v>1484</v>
      </c>
      <c r="D452" s="550" t="s">
        <v>3328</v>
      </c>
      <c r="E452" s="550" t="s">
        <v>1640</v>
      </c>
      <c r="F452" s="550" t="s">
        <v>1641</v>
      </c>
      <c r="G452" s="550" t="s">
        <v>14245</v>
      </c>
      <c r="H452" s="550" t="s">
        <v>3330</v>
      </c>
      <c r="I452" s="550" t="s">
        <v>3331</v>
      </c>
      <c r="J452" s="550" t="s">
        <v>14246</v>
      </c>
      <c r="K452" s="550" t="s">
        <v>1633</v>
      </c>
      <c r="L452" s="550">
        <v>6790</v>
      </c>
    </row>
    <row r="453" spans="2:12">
      <c r="B453" s="550">
        <v>98990</v>
      </c>
      <c r="C453" s="550" t="s">
        <v>1484</v>
      </c>
      <c r="D453" s="550" t="s">
        <v>3333</v>
      </c>
      <c r="E453" s="550" t="s">
        <v>1640</v>
      </c>
      <c r="F453" s="550" t="s">
        <v>1641</v>
      </c>
      <c r="G453" s="550" t="s">
        <v>14233</v>
      </c>
      <c r="H453" s="550" t="s">
        <v>3336</v>
      </c>
      <c r="I453" s="550" t="s">
        <v>3337</v>
      </c>
      <c r="J453" s="550" t="s">
        <v>14234</v>
      </c>
      <c r="K453" s="550" t="s">
        <v>1633</v>
      </c>
      <c r="L453" s="550">
        <v>6782</v>
      </c>
    </row>
    <row r="454" spans="2:12">
      <c r="B454" s="550">
        <v>99007</v>
      </c>
      <c r="C454" s="551" t="s">
        <v>1484</v>
      </c>
      <c r="D454" s="550" t="s">
        <v>14549</v>
      </c>
      <c r="E454" s="550" t="s">
        <v>13777</v>
      </c>
      <c r="F454" s="553" t="s">
        <v>13778</v>
      </c>
      <c r="G454" s="551" t="s">
        <v>14550</v>
      </c>
      <c r="H454" s="553"/>
      <c r="I454" s="558">
        <v>5135370</v>
      </c>
      <c r="J454" s="551" t="s">
        <v>14553</v>
      </c>
      <c r="K454" s="550" t="s">
        <v>1633</v>
      </c>
      <c r="L454" s="550">
        <v>6750</v>
      </c>
    </row>
    <row r="455" spans="2:12">
      <c r="B455" s="550">
        <v>99015</v>
      </c>
      <c r="C455" s="551" t="s">
        <v>1484</v>
      </c>
      <c r="D455" s="550" t="s">
        <v>14827</v>
      </c>
      <c r="E455" s="550" t="s">
        <v>13777</v>
      </c>
      <c r="F455" s="553" t="s">
        <v>13778</v>
      </c>
      <c r="G455" s="551" t="s">
        <v>14565</v>
      </c>
      <c r="H455" s="553"/>
      <c r="I455" s="558">
        <v>2977090</v>
      </c>
      <c r="J455" s="551" t="s">
        <v>14568</v>
      </c>
      <c r="K455" s="550" t="s">
        <v>1633</v>
      </c>
      <c r="L455" s="550">
        <v>6751</v>
      </c>
    </row>
    <row r="456" spans="2:12">
      <c r="B456" s="550">
        <v>99074</v>
      </c>
      <c r="C456" s="559" t="s">
        <v>1484</v>
      </c>
      <c r="D456" s="550" t="s">
        <v>3339</v>
      </c>
      <c r="E456" s="559" t="s">
        <v>1654</v>
      </c>
      <c r="F456" s="550" t="s">
        <v>13774</v>
      </c>
      <c r="G456" s="550" t="s">
        <v>14667</v>
      </c>
      <c r="H456" s="553" t="s">
        <v>3342</v>
      </c>
      <c r="I456" s="559" t="s">
        <v>3343</v>
      </c>
      <c r="J456" s="559" t="s">
        <v>14668</v>
      </c>
      <c r="K456" s="556" t="s">
        <v>7010</v>
      </c>
      <c r="L456" s="560">
        <v>6860</v>
      </c>
    </row>
    <row r="457" spans="2:12">
      <c r="B457" s="550">
        <v>99082</v>
      </c>
      <c r="C457" s="550" t="s">
        <v>1484</v>
      </c>
      <c r="D457" s="550" t="s">
        <v>3344</v>
      </c>
      <c r="E457" s="550" t="s">
        <v>1820</v>
      </c>
      <c r="F457" s="551" t="s">
        <v>13802</v>
      </c>
      <c r="G457" s="550" t="s">
        <v>14384</v>
      </c>
      <c r="H457" s="550" t="s">
        <v>3347</v>
      </c>
      <c r="I457" s="550" t="s">
        <v>3348</v>
      </c>
      <c r="J457" s="550" t="s">
        <v>14385</v>
      </c>
      <c r="K457" s="549" t="s">
        <v>14769</v>
      </c>
      <c r="L457" s="550">
        <v>6828</v>
      </c>
    </row>
    <row r="458" spans="2:12">
      <c r="B458" s="552">
        <v>99210</v>
      </c>
      <c r="C458" s="553" t="s">
        <v>1484</v>
      </c>
      <c r="D458" s="550" t="s">
        <v>3350</v>
      </c>
      <c r="E458" s="554" t="s">
        <v>1654</v>
      </c>
      <c r="F458" s="550" t="s">
        <v>13774</v>
      </c>
      <c r="G458" s="554" t="s">
        <v>14661</v>
      </c>
      <c r="H458" s="553" t="s">
        <v>3352</v>
      </c>
      <c r="I458" s="555" t="s">
        <v>3262</v>
      </c>
      <c r="J458" s="554" t="s">
        <v>14662</v>
      </c>
      <c r="K458" s="556" t="s">
        <v>7010</v>
      </c>
      <c r="L458" s="557">
        <v>6851</v>
      </c>
    </row>
    <row r="459" spans="2:12">
      <c r="B459" s="550">
        <v>99279</v>
      </c>
      <c r="C459" s="550" t="s">
        <v>1484</v>
      </c>
      <c r="D459" s="550" t="s">
        <v>3354</v>
      </c>
      <c r="E459" s="550" t="s">
        <v>1820</v>
      </c>
      <c r="F459" s="551" t="s">
        <v>13802</v>
      </c>
      <c r="G459" s="550" t="s">
        <v>14380</v>
      </c>
      <c r="H459" s="550" t="s">
        <v>3357</v>
      </c>
      <c r="I459" s="550" t="s">
        <v>3358</v>
      </c>
      <c r="J459" s="550" t="s">
        <v>14381</v>
      </c>
      <c r="K459" s="549" t="s">
        <v>14769</v>
      </c>
      <c r="L459" s="550">
        <v>6664</v>
      </c>
    </row>
    <row r="460" spans="2:12">
      <c r="B460" s="550">
        <v>99333</v>
      </c>
      <c r="C460" s="550" t="s">
        <v>1484</v>
      </c>
      <c r="D460" s="550" t="s">
        <v>3360</v>
      </c>
      <c r="E460" s="550" t="s">
        <v>1812</v>
      </c>
      <c r="F460" s="550" t="s">
        <v>1813</v>
      </c>
      <c r="G460" s="550" t="s">
        <v>14157</v>
      </c>
      <c r="H460" s="550" t="s">
        <v>3363</v>
      </c>
      <c r="I460" s="550" t="s">
        <v>3364</v>
      </c>
      <c r="J460" s="550" t="s">
        <v>14158</v>
      </c>
      <c r="K460" s="550" t="s">
        <v>14767</v>
      </c>
      <c r="L460" s="550">
        <v>6627</v>
      </c>
    </row>
    <row r="461" spans="2:12">
      <c r="B461" s="550">
        <v>99341</v>
      </c>
      <c r="C461" s="550" t="s">
        <v>1484</v>
      </c>
      <c r="D461" s="550" t="s">
        <v>3366</v>
      </c>
      <c r="E461" s="550" t="s">
        <v>1707</v>
      </c>
      <c r="F461" s="551" t="s">
        <v>13799</v>
      </c>
      <c r="G461" s="550" t="s">
        <v>14321</v>
      </c>
      <c r="H461" s="550" t="s">
        <v>3369</v>
      </c>
      <c r="I461" s="550" t="s">
        <v>3370</v>
      </c>
      <c r="J461" s="550" t="s">
        <v>14322</v>
      </c>
      <c r="K461" s="550" t="s">
        <v>1633</v>
      </c>
      <c r="L461" s="550">
        <v>6700</v>
      </c>
    </row>
    <row r="462" spans="2:12">
      <c r="B462" s="550">
        <v>99538</v>
      </c>
      <c r="C462" s="559" t="s">
        <v>1484</v>
      </c>
      <c r="D462" s="550" t="s">
        <v>3371</v>
      </c>
      <c r="E462" s="559" t="s">
        <v>1654</v>
      </c>
      <c r="F462" s="550" t="s">
        <v>13774</v>
      </c>
      <c r="G462" s="550" t="s">
        <v>14714</v>
      </c>
      <c r="H462" s="553" t="s">
        <v>3374</v>
      </c>
      <c r="I462" s="559" t="s">
        <v>3375</v>
      </c>
      <c r="J462" s="559" t="s">
        <v>14715</v>
      </c>
      <c r="K462" s="556" t="s">
        <v>7010</v>
      </c>
      <c r="L462" s="560">
        <v>6852</v>
      </c>
    </row>
    <row r="463" spans="2:12">
      <c r="B463" s="550">
        <v>99643</v>
      </c>
      <c r="C463" s="550" t="s">
        <v>1484</v>
      </c>
      <c r="D463" s="550" t="s">
        <v>3376</v>
      </c>
      <c r="E463" s="550" t="s">
        <v>1626</v>
      </c>
      <c r="F463" s="551" t="s">
        <v>13763</v>
      </c>
      <c r="G463" s="550" t="s">
        <v>3377</v>
      </c>
      <c r="H463" s="550" t="s">
        <v>3380</v>
      </c>
      <c r="I463" s="550" t="s">
        <v>3381</v>
      </c>
      <c r="J463" s="550" t="s">
        <v>13939</v>
      </c>
      <c r="K463" s="550" t="s">
        <v>1633</v>
      </c>
      <c r="L463" s="550">
        <v>6738</v>
      </c>
    </row>
    <row r="464" spans="2:12">
      <c r="B464" s="550">
        <v>99805</v>
      </c>
      <c r="C464" s="550" t="s">
        <v>1484</v>
      </c>
      <c r="D464" s="550" t="s">
        <v>3383</v>
      </c>
      <c r="E464" s="550" t="s">
        <v>1707</v>
      </c>
      <c r="F464" s="551" t="s">
        <v>13799</v>
      </c>
      <c r="G464" s="550" t="s">
        <v>14306</v>
      </c>
      <c r="H464" s="550" t="s">
        <v>3385</v>
      </c>
      <c r="I464" s="550" t="s">
        <v>3386</v>
      </c>
      <c r="J464" s="550" t="s">
        <v>14307</v>
      </c>
      <c r="K464" s="550" t="s">
        <v>1633</v>
      </c>
      <c r="L464" s="550">
        <v>6701</v>
      </c>
    </row>
    <row r="465" spans="2:12">
      <c r="B465" s="550">
        <v>99988</v>
      </c>
      <c r="C465" s="551" t="s">
        <v>1484</v>
      </c>
      <c r="D465" s="550" t="s">
        <v>14512</v>
      </c>
      <c r="E465" s="550" t="s">
        <v>13777</v>
      </c>
      <c r="F465" s="553" t="s">
        <v>13778</v>
      </c>
      <c r="G465" s="551" t="s">
        <v>14513</v>
      </c>
      <c r="H465" s="553"/>
      <c r="I465" s="558">
        <v>5271290</v>
      </c>
      <c r="J465" s="551" t="s">
        <v>14516</v>
      </c>
      <c r="K465" s="550" t="s">
        <v>1633</v>
      </c>
      <c r="L465" s="550">
        <v>6757</v>
      </c>
    </row>
    <row r="466" spans="2:12">
      <c r="B466" s="551">
        <v>400232</v>
      </c>
      <c r="C466" s="551" t="s">
        <v>7662</v>
      </c>
      <c r="D466" s="551" t="s">
        <v>13770</v>
      </c>
      <c r="E466" s="551" t="s">
        <v>1661</v>
      </c>
      <c r="F466" s="551" t="s">
        <v>13771</v>
      </c>
      <c r="G466" s="563" t="s">
        <v>13772</v>
      </c>
      <c r="H466" s="553" t="s">
        <v>1672</v>
      </c>
      <c r="I466" s="555" t="s">
        <v>1673</v>
      </c>
      <c r="J466" s="551"/>
      <c r="K466" s="551" t="s">
        <v>1669</v>
      </c>
      <c r="L466" s="553">
        <v>14459</v>
      </c>
    </row>
    <row r="467" spans="2:12">
      <c r="B467" s="551">
        <v>400875</v>
      </c>
      <c r="C467" s="551" t="s">
        <v>7662</v>
      </c>
      <c r="D467" s="551" t="s">
        <v>13752</v>
      </c>
      <c r="E467" s="551" t="s">
        <v>1486</v>
      </c>
      <c r="F467" s="551" t="s">
        <v>161</v>
      </c>
      <c r="G467" s="569" t="s">
        <v>13764</v>
      </c>
      <c r="H467" s="553" t="s">
        <v>13765</v>
      </c>
      <c r="I467" s="555">
        <v>4829220</v>
      </c>
      <c r="J467" s="551"/>
      <c r="K467" s="551" t="s">
        <v>1669</v>
      </c>
      <c r="L467" s="553">
        <v>14194</v>
      </c>
    </row>
  </sheetData>
  <autoFilter ref="B1:L467" xr:uid="{181595E3-4A80-49F7-A537-CAA40894E975}"/>
  <hyperlinks>
    <hyperlink ref="G207" r:id="rId1" xr:uid="{ECD3F908-DEC9-4AE0-B99F-7891F3B46637}"/>
    <hyperlink ref="G204" r:id="rId2" xr:uid="{CB410420-B583-4CA8-A21B-5EF03341CBD8}"/>
    <hyperlink ref="G193" r:id="rId3" xr:uid="{BDB2EC27-2775-46B4-8007-EF8E2E5FF7A9}"/>
    <hyperlink ref="G215" r:id="rId4" xr:uid="{5D53FABE-0667-4EF0-8DE4-0F438CF1A647}"/>
    <hyperlink ref="G208" r:id="rId5" xr:uid="{8A038365-9317-4842-B2F3-8DB87B03B1A1}"/>
    <hyperlink ref="G214" r:id="rId6" xr:uid="{A7A1E25C-DE2E-4DD5-BD3F-82937FDAC75F}"/>
    <hyperlink ref="G218" r:id="rId7" xr:uid="{2FF254E6-0224-4946-9279-0813CF3033D9}"/>
    <hyperlink ref="G205" r:id="rId8" xr:uid="{CB526983-85E0-43B3-9FA2-A66DA90EC5F1}"/>
    <hyperlink ref="G466" r:id="rId9" xr:uid="{84DD82C4-2997-4B62-BF8C-A6A73480648D}"/>
    <hyperlink ref="G467" r:id="rId10" xr:uid="{307395E9-51CB-4E8B-ACE9-4805D6D76976}"/>
    <hyperlink ref="G195" r:id="rId11" xr:uid="{8D85EB1A-0511-4659-AB09-2181D2B366DC}"/>
    <hyperlink ref="G197" r:id="rId12" xr:uid="{C8616911-64FB-4E25-A613-5AFE65FD4823}"/>
    <hyperlink ref="G196" r:id="rId13" xr:uid="{9311BBBF-CC48-4C3A-A387-E7D005B00BE3}"/>
    <hyperlink ref="G202" r:id="rId14" xr:uid="{CFC71C1A-2CF6-439E-9C0D-15659F26F0A8}"/>
    <hyperlink ref="G203" r:id="rId15" xr:uid="{EE418E5B-53C1-4D8D-829F-BD7B085FF5F1}"/>
    <hyperlink ref="G192" r:id="rId16" xr:uid="{14EAB947-3F3B-47A3-A05F-DC55F5E44C54}"/>
    <hyperlink ref="G227" r:id="rId17" display="emeijpiaget@prefeitura.sp.gov.br" xr:uid="{2D79D322-B950-4406-BB9B-50385A891A2B}"/>
    <hyperlink ref="G352" r:id="rId18" xr:uid="{1441FB26-6CDA-452A-871F-1CFC05568A18}"/>
    <hyperlink ref="G220" r:id="rId19" xr:uid="{596EC70E-3587-4B7B-953B-26B07DFD6441}"/>
    <hyperlink ref="G221" r:id="rId20" xr:uid="{DABC568E-5DA2-4D57-8025-AC27228F70D5}"/>
    <hyperlink ref="G222" r:id="rId21" xr:uid="{AA5EF334-D03F-4691-9CEA-6B4271BFFD1E}"/>
    <hyperlink ref="G223" r:id="rId22" xr:uid="{606896C7-E881-4712-85CC-F4EBFE47ABAA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AO113"/>
  <sheetViews>
    <sheetView topLeftCell="C50" workbookViewId="0">
      <selection activeCell="E92" sqref="E92"/>
    </sheetView>
  </sheetViews>
  <sheetFormatPr baseColWidth="10" defaultColWidth="0" defaultRowHeight="11" zeroHeight="1"/>
  <cols>
    <col min="1" max="1" width="5.5" style="21" hidden="1" customWidth="1"/>
    <col min="2" max="2" width="9.1640625" style="22" hidden="1" customWidth="1"/>
    <col min="3" max="3" width="3.6640625" style="21" customWidth="1"/>
    <col min="4" max="4" width="4.5" style="21" customWidth="1"/>
    <col min="5" max="5" width="4.83203125" style="21" customWidth="1"/>
    <col min="6" max="6" width="1.6640625" style="21" customWidth="1"/>
    <col min="7" max="7" width="4.5" style="21" customWidth="1"/>
    <col min="8" max="8" width="5" style="21" customWidth="1"/>
    <col min="9" max="9" width="1.6640625" style="21" customWidth="1"/>
    <col min="10" max="10" width="4.5" style="21" customWidth="1"/>
    <col min="11" max="11" width="5" style="21" customWidth="1"/>
    <col min="12" max="12" width="1.6640625" style="21" customWidth="1"/>
    <col min="13" max="13" width="4.5" style="21" customWidth="1"/>
    <col min="14" max="14" width="5" style="21" customWidth="1"/>
    <col min="15" max="15" width="1.6640625" style="21" customWidth="1"/>
    <col min="16" max="16" width="4.5" style="21" customWidth="1"/>
    <col min="17" max="17" width="5" style="21" customWidth="1"/>
    <col min="18" max="18" width="1.6640625" style="21" customWidth="1"/>
    <col min="19" max="19" width="4.5" style="21" customWidth="1"/>
    <col min="20" max="20" width="5" style="21" customWidth="1"/>
    <col min="21" max="21" width="1.6640625" style="21" customWidth="1"/>
    <col min="22" max="22" width="4.5" style="21" customWidth="1"/>
    <col min="23" max="23" width="5" style="21" customWidth="1"/>
    <col min="24" max="24" width="1.6640625" style="21" customWidth="1"/>
    <col min="25" max="25" width="4.5" style="21" customWidth="1"/>
    <col min="26" max="26" width="5" style="21" customWidth="1"/>
    <col min="27" max="27" width="1.6640625" style="21" customWidth="1"/>
    <col min="28" max="28" width="4.5" style="21" customWidth="1"/>
    <col min="29" max="29" width="5" style="21" customWidth="1"/>
    <col min="30" max="30" width="1.6640625" style="21" customWidth="1"/>
    <col min="31" max="31" width="4.5" style="21" customWidth="1"/>
    <col min="32" max="32" width="5" style="21" customWidth="1"/>
    <col min="33" max="33" width="1.6640625" style="21" customWidth="1"/>
    <col min="34" max="34" width="4.5" style="21" customWidth="1"/>
    <col min="35" max="35" width="5" style="21" customWidth="1"/>
    <col min="36" max="36" width="1.6640625" style="21" customWidth="1"/>
    <col min="37" max="37" width="4.5" style="21" customWidth="1"/>
    <col min="38" max="38" width="5" style="21" customWidth="1"/>
    <col min="39" max="39" width="3.6640625" style="21" customWidth="1"/>
    <col min="40" max="40" width="10.5" style="21" hidden="1" customWidth="1"/>
    <col min="41" max="41" width="0" style="21" hidden="1" customWidth="1"/>
    <col min="42" max="16384" width="9.1640625" style="21" hidden="1"/>
  </cols>
  <sheetData>
    <row r="1" spans="1:41" s="10" customFormat="1" hidden="1">
      <c r="A1" s="6"/>
      <c r="B1" s="7"/>
      <c r="C1" s="8" t="s">
        <v>69</v>
      </c>
      <c r="D1" s="8" t="s">
        <v>70</v>
      </c>
      <c r="E1" s="8" t="s">
        <v>71</v>
      </c>
      <c r="F1" s="8" t="s">
        <v>72</v>
      </c>
      <c r="G1" s="7"/>
      <c r="H1" s="7"/>
      <c r="I1" s="9"/>
      <c r="J1" s="7"/>
      <c r="K1" s="7"/>
      <c r="L1" s="7"/>
      <c r="M1" s="8" t="s">
        <v>73</v>
      </c>
      <c r="N1" s="8" t="s">
        <v>74</v>
      </c>
      <c r="O1" s="8" t="s">
        <v>75</v>
      </c>
      <c r="P1" s="8" t="s">
        <v>76</v>
      </c>
      <c r="Q1" s="7"/>
      <c r="R1" s="9"/>
      <c r="S1" s="7"/>
      <c r="T1" s="7"/>
      <c r="U1" s="8" t="s">
        <v>77</v>
      </c>
      <c r="V1" s="8" t="s">
        <v>78</v>
      </c>
      <c r="W1" s="8" t="s">
        <v>79</v>
      </c>
      <c r="X1" s="8" t="s">
        <v>80</v>
      </c>
      <c r="Y1" s="7"/>
      <c r="Z1" s="7"/>
      <c r="AA1" s="7"/>
    </row>
    <row r="2" spans="1:41" s="10" customFormat="1" ht="38.25" hidden="1" customHeight="1">
      <c r="A2" s="11"/>
      <c r="B2" s="12"/>
      <c r="C2" s="13" t="s">
        <v>81</v>
      </c>
      <c r="D2" s="12">
        <v>42826</v>
      </c>
      <c r="E2" s="12">
        <v>42917</v>
      </c>
      <c r="F2" s="12">
        <v>43009</v>
      </c>
      <c r="G2" s="12"/>
      <c r="H2" s="14"/>
      <c r="I2" s="15"/>
      <c r="J2" s="14"/>
      <c r="K2" s="14"/>
      <c r="L2" s="16">
        <v>28</v>
      </c>
      <c r="M2" s="12">
        <v>42767</v>
      </c>
      <c r="N2" s="12">
        <v>42856</v>
      </c>
      <c r="O2" s="12">
        <v>42948</v>
      </c>
      <c r="P2" s="12">
        <v>43040</v>
      </c>
      <c r="Q2" s="14"/>
      <c r="R2" s="15"/>
      <c r="S2" s="14"/>
      <c r="T2" s="14"/>
      <c r="U2" s="12">
        <v>42795</v>
      </c>
      <c r="V2" s="12">
        <v>42887</v>
      </c>
      <c r="W2" s="12">
        <v>42979</v>
      </c>
      <c r="X2" s="12">
        <v>43070</v>
      </c>
      <c r="Y2" s="14"/>
      <c r="Z2" s="14"/>
      <c r="AA2" s="14"/>
      <c r="AC2" s="17"/>
    </row>
    <row r="3" spans="1:41" s="10" customFormat="1" ht="15.75" hidden="1" customHeight="1">
      <c r="A3" s="18" t="s">
        <v>69</v>
      </c>
      <c r="B3" s="19"/>
      <c r="C3" s="16">
        <v>1</v>
      </c>
      <c r="D3" s="16">
        <v>0</v>
      </c>
      <c r="E3" s="16">
        <v>0</v>
      </c>
      <c r="F3" s="16">
        <v>0</v>
      </c>
      <c r="G3" s="16">
        <v>0</v>
      </c>
      <c r="H3" s="16">
        <v>0</v>
      </c>
      <c r="I3" s="20">
        <v>0</v>
      </c>
      <c r="J3" s="19" t="s">
        <v>73</v>
      </c>
      <c r="K3" s="19"/>
      <c r="L3" s="16">
        <v>0</v>
      </c>
      <c r="M3" s="16">
        <v>0</v>
      </c>
      <c r="N3" s="16">
        <v>0</v>
      </c>
      <c r="O3" s="16">
        <v>1</v>
      </c>
      <c r="P3" s="16">
        <v>0</v>
      </c>
      <c r="Q3" s="16">
        <v>0</v>
      </c>
      <c r="R3" s="20">
        <v>0</v>
      </c>
      <c r="S3" s="19" t="s">
        <v>77</v>
      </c>
      <c r="T3" s="19"/>
      <c r="U3" s="16">
        <v>0</v>
      </c>
      <c r="V3" s="16">
        <v>0</v>
      </c>
      <c r="W3" s="16">
        <v>0</v>
      </c>
      <c r="X3" s="16">
        <v>1</v>
      </c>
      <c r="Y3" s="16">
        <v>0</v>
      </c>
      <c r="Z3" s="16">
        <v>0</v>
      </c>
      <c r="AA3" s="16">
        <v>0</v>
      </c>
    </row>
    <row r="4" spans="1:41" s="10" customFormat="1" ht="15.75" hidden="1" customHeight="1">
      <c r="A4" s="18" t="s">
        <v>70</v>
      </c>
      <c r="B4" s="19"/>
      <c r="C4" s="16">
        <v>0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20">
        <v>1</v>
      </c>
      <c r="J4" s="19" t="s">
        <v>74</v>
      </c>
      <c r="K4" s="19"/>
      <c r="L4" s="16">
        <v>0</v>
      </c>
      <c r="M4" s="16">
        <v>1</v>
      </c>
      <c r="N4" s="16">
        <v>0</v>
      </c>
      <c r="O4" s="16">
        <v>0</v>
      </c>
      <c r="P4" s="16">
        <v>0</v>
      </c>
      <c r="Q4" s="16">
        <v>0</v>
      </c>
      <c r="R4" s="20">
        <v>0</v>
      </c>
      <c r="S4" s="19" t="s">
        <v>78</v>
      </c>
      <c r="T4" s="19"/>
      <c r="U4" s="16">
        <v>0</v>
      </c>
      <c r="V4" s="16">
        <v>0</v>
      </c>
      <c r="W4" s="16">
        <v>0</v>
      </c>
      <c r="X4" s="16">
        <v>0</v>
      </c>
      <c r="Y4" s="16">
        <v>1</v>
      </c>
      <c r="Z4" s="16">
        <v>0</v>
      </c>
      <c r="AA4" s="16">
        <v>0</v>
      </c>
    </row>
    <row r="5" spans="1:41" s="10" customFormat="1" ht="15.75" hidden="1" customHeight="1">
      <c r="A5" s="18" t="s">
        <v>71</v>
      </c>
      <c r="B5" s="19"/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20">
        <v>1</v>
      </c>
      <c r="J5" s="19" t="s">
        <v>75</v>
      </c>
      <c r="K5" s="19"/>
      <c r="L5" s="16">
        <v>0</v>
      </c>
      <c r="M5" s="16">
        <v>0</v>
      </c>
      <c r="N5" s="16">
        <v>1</v>
      </c>
      <c r="O5" s="16">
        <v>0</v>
      </c>
      <c r="P5" s="16">
        <v>0</v>
      </c>
      <c r="Q5" s="16">
        <v>0</v>
      </c>
      <c r="R5" s="20">
        <v>0</v>
      </c>
      <c r="S5" s="19" t="s">
        <v>79</v>
      </c>
      <c r="T5" s="19"/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1</v>
      </c>
      <c r="AA5" s="16">
        <v>0</v>
      </c>
    </row>
    <row r="6" spans="1:41" s="10" customFormat="1" ht="15.75" hidden="1" customHeight="1">
      <c r="A6" s="18" t="s">
        <v>72</v>
      </c>
      <c r="B6" s="19"/>
      <c r="C6" s="16">
        <v>1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20">
        <v>0</v>
      </c>
      <c r="J6" s="19" t="s">
        <v>76</v>
      </c>
      <c r="K6" s="19"/>
      <c r="L6" s="16">
        <v>0</v>
      </c>
      <c r="M6" s="16">
        <v>0</v>
      </c>
      <c r="N6" s="16">
        <v>0</v>
      </c>
      <c r="O6" s="16">
        <v>1</v>
      </c>
      <c r="P6" s="16">
        <v>0</v>
      </c>
      <c r="Q6" s="16">
        <v>0</v>
      </c>
      <c r="R6" s="20">
        <v>0</v>
      </c>
      <c r="S6" s="19" t="s">
        <v>80</v>
      </c>
      <c r="T6" s="19"/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1</v>
      </c>
      <c r="AA6" s="16">
        <v>0</v>
      </c>
    </row>
    <row r="7" spans="1:41" hidden="1">
      <c r="B7" s="21"/>
    </row>
    <row r="8" spans="1:41" hidden="1">
      <c r="B8" s="21"/>
    </row>
    <row r="9" spans="1:41" ht="12" thickBot="1"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</row>
    <row r="10" spans="1:41" ht="15" customHeight="1" thickBot="1">
      <c r="A10" s="22"/>
      <c r="C10" s="22"/>
      <c r="D10" s="1011">
        <v>2017</v>
      </c>
      <c r="E10" s="101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</row>
    <row r="11" spans="1:41" ht="5.25" customHeight="1">
      <c r="A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</row>
    <row r="12" spans="1:41">
      <c r="A12" s="22"/>
      <c r="C12" s="22"/>
      <c r="D12" s="1010" t="s">
        <v>82</v>
      </c>
      <c r="E12" s="1010"/>
      <c r="F12" s="23"/>
      <c r="G12" s="1010" t="s">
        <v>83</v>
      </c>
      <c r="H12" s="1010"/>
      <c r="I12" s="23"/>
      <c r="J12" s="1010" t="s">
        <v>84</v>
      </c>
      <c r="K12" s="1010"/>
      <c r="L12" s="23"/>
      <c r="M12" s="1010" t="s">
        <v>85</v>
      </c>
      <c r="N12" s="1010"/>
      <c r="O12" s="23"/>
      <c r="P12" s="1010" t="s">
        <v>86</v>
      </c>
      <c r="Q12" s="1010"/>
      <c r="R12" s="23"/>
      <c r="S12" s="1010" t="s">
        <v>87</v>
      </c>
      <c r="T12" s="1010"/>
      <c r="U12" s="23"/>
      <c r="V12" s="1010" t="s">
        <v>88</v>
      </c>
      <c r="W12" s="1010"/>
      <c r="X12" s="23"/>
      <c r="Y12" s="1010" t="s">
        <v>89</v>
      </c>
      <c r="Z12" s="1010"/>
      <c r="AA12" s="23"/>
      <c r="AB12" s="1010" t="s">
        <v>90</v>
      </c>
      <c r="AC12" s="1010"/>
      <c r="AD12" s="23"/>
      <c r="AE12" s="1010" t="s">
        <v>91</v>
      </c>
      <c r="AF12" s="1010"/>
      <c r="AG12" s="23"/>
      <c r="AH12" s="1010" t="s">
        <v>92</v>
      </c>
      <c r="AI12" s="1010"/>
      <c r="AJ12" s="23"/>
      <c r="AK12" s="1010" t="s">
        <v>93</v>
      </c>
      <c r="AL12" s="1010"/>
      <c r="AM12" s="22"/>
    </row>
    <row r="13" spans="1:41">
      <c r="A13" s="22"/>
      <c r="C13" s="22"/>
      <c r="D13" s="24" t="s">
        <v>94</v>
      </c>
      <c r="E13" s="24" t="s">
        <v>95</v>
      </c>
      <c r="F13" s="23"/>
      <c r="G13" s="24" t="s">
        <v>94</v>
      </c>
      <c r="H13" s="24" t="s">
        <v>95</v>
      </c>
      <c r="I13" s="23"/>
      <c r="J13" s="24" t="s">
        <v>94</v>
      </c>
      <c r="K13" s="24" t="s">
        <v>95</v>
      </c>
      <c r="L13" s="23"/>
      <c r="M13" s="24" t="s">
        <v>94</v>
      </c>
      <c r="N13" s="24" t="s">
        <v>95</v>
      </c>
      <c r="O13" s="23"/>
      <c r="P13" s="24" t="s">
        <v>94</v>
      </c>
      <c r="Q13" s="24" t="s">
        <v>95</v>
      </c>
      <c r="R13" s="23"/>
      <c r="S13" s="24" t="s">
        <v>94</v>
      </c>
      <c r="T13" s="24" t="s">
        <v>95</v>
      </c>
      <c r="U13" s="23"/>
      <c r="V13" s="24" t="s">
        <v>94</v>
      </c>
      <c r="W13" s="24" t="s">
        <v>95</v>
      </c>
      <c r="X13" s="23"/>
      <c r="Y13" s="24" t="s">
        <v>94</v>
      </c>
      <c r="Z13" s="24" t="s">
        <v>95</v>
      </c>
      <c r="AA13" s="23"/>
      <c r="AB13" s="24" t="s">
        <v>94</v>
      </c>
      <c r="AC13" s="24" t="s">
        <v>95</v>
      </c>
      <c r="AD13" s="23"/>
      <c r="AE13" s="24" t="s">
        <v>94</v>
      </c>
      <c r="AF13" s="24" t="s">
        <v>95</v>
      </c>
      <c r="AG13" s="23"/>
      <c r="AH13" s="24" t="s">
        <v>94</v>
      </c>
      <c r="AI13" s="24" t="s">
        <v>95</v>
      </c>
      <c r="AJ13" s="23"/>
      <c r="AK13" s="24" t="s">
        <v>94</v>
      </c>
      <c r="AL13" s="24" t="s">
        <v>95</v>
      </c>
      <c r="AM13" s="22"/>
    </row>
    <row r="14" spans="1:41">
      <c r="C14" s="22"/>
      <c r="D14" s="25">
        <v>1</v>
      </c>
      <c r="E14" s="26" t="s">
        <v>28</v>
      </c>
      <c r="F14" s="27"/>
      <c r="G14" s="25" t="s">
        <v>102</v>
      </c>
      <c r="H14" s="26" t="e">
        <v>#NAME?</v>
      </c>
      <c r="I14" s="27"/>
      <c r="J14" s="25" t="e">
        <v>#NAME?</v>
      </c>
      <c r="K14" s="26" t="e">
        <v>#NAME?</v>
      </c>
      <c r="L14" s="27"/>
      <c r="M14" s="25" t="e">
        <v>#NAME?</v>
      </c>
      <c r="N14" s="26" t="e">
        <v>#NAME?</v>
      </c>
      <c r="O14" s="27"/>
      <c r="P14" s="25" t="e">
        <v>#NAME?</v>
      </c>
      <c r="Q14" s="26" t="e">
        <v>#NAME?</v>
      </c>
      <c r="R14" s="27"/>
      <c r="S14" s="25" t="e">
        <v>#NAME?</v>
      </c>
      <c r="T14" s="26" t="e">
        <v>#NAME?</v>
      </c>
      <c r="U14" s="27"/>
      <c r="V14" s="25" t="e">
        <v>#NAME?</v>
      </c>
      <c r="W14" s="26" t="e">
        <v>#NAME?</v>
      </c>
      <c r="X14" s="27"/>
      <c r="Y14" s="25" t="e">
        <v>#NAME?</v>
      </c>
      <c r="Z14" s="26" t="e">
        <v>#NAME?</v>
      </c>
      <c r="AA14" s="27"/>
      <c r="AB14" s="25" t="e">
        <v>#NAME?</v>
      </c>
      <c r="AC14" s="26" t="e">
        <v>#NAME?</v>
      </c>
      <c r="AD14" s="27"/>
      <c r="AE14" s="25">
        <v>1</v>
      </c>
      <c r="AF14" s="26" t="s">
        <v>28</v>
      </c>
      <c r="AG14" s="27"/>
      <c r="AH14" s="25" t="e">
        <v>#NAME?</v>
      </c>
      <c r="AI14" s="26" t="e">
        <v>#NAME?</v>
      </c>
      <c r="AJ14" s="27"/>
      <c r="AK14" s="25" t="e">
        <v>#NAME?</v>
      </c>
      <c r="AL14" s="26" t="e">
        <v>#NAME?</v>
      </c>
      <c r="AM14" s="22"/>
      <c r="AN14" s="21" t="s">
        <v>48</v>
      </c>
      <c r="AO14" s="28" t="s">
        <v>27</v>
      </c>
    </row>
    <row r="15" spans="1:41">
      <c r="C15" s="22"/>
      <c r="D15" s="25">
        <v>2</v>
      </c>
      <c r="E15" s="26" t="s">
        <v>22</v>
      </c>
      <c r="F15" s="27"/>
      <c r="G15" s="25" t="e">
        <v>#NAME?</v>
      </c>
      <c r="H15" s="26" t="e">
        <v>#NAME?</v>
      </c>
      <c r="I15" s="27"/>
      <c r="J15" s="25" t="e">
        <v>#NAME?</v>
      </c>
      <c r="K15" s="26" t="e">
        <v>#NAME?</v>
      </c>
      <c r="L15" s="27"/>
      <c r="M15" s="25" t="e">
        <v>#NAME?</v>
      </c>
      <c r="N15" s="26" t="e">
        <v>#NAME?</v>
      </c>
      <c r="O15" s="27"/>
      <c r="P15" s="25">
        <v>1</v>
      </c>
      <c r="Q15" s="26" t="s">
        <v>22</v>
      </c>
      <c r="R15" s="27"/>
      <c r="S15" s="25" t="e">
        <v>#NAME?</v>
      </c>
      <c r="T15" s="26" t="e">
        <v>#NAME?</v>
      </c>
      <c r="U15" s="27"/>
      <c r="V15" s="25" t="e">
        <v>#NAME?</v>
      </c>
      <c r="W15" s="26" t="e">
        <v>#NAME?</v>
      </c>
      <c r="X15" s="27"/>
      <c r="Y15" s="25" t="e">
        <v>#NAME?</v>
      </c>
      <c r="Z15" s="26" t="e">
        <v>#NAME?</v>
      </c>
      <c r="AA15" s="27"/>
      <c r="AB15" s="25" t="e">
        <v>#NAME?</v>
      </c>
      <c r="AC15" s="26" t="e">
        <v>#NAME?</v>
      </c>
      <c r="AD15" s="27"/>
      <c r="AE15" s="25">
        <v>2</v>
      </c>
      <c r="AF15" s="26" t="s">
        <v>22</v>
      </c>
      <c r="AG15" s="27"/>
      <c r="AH15" s="25" t="e">
        <v>#NAME?</v>
      </c>
      <c r="AI15" s="26" t="e">
        <v>#NAME?</v>
      </c>
      <c r="AJ15" s="27"/>
      <c r="AK15" s="25" t="e">
        <v>#NAME?</v>
      </c>
      <c r="AL15" s="26" t="e">
        <v>#NAME?</v>
      </c>
      <c r="AM15" s="22"/>
      <c r="AN15" s="21" t="s">
        <v>49</v>
      </c>
      <c r="AO15" s="28" t="s">
        <v>23</v>
      </c>
    </row>
    <row r="16" spans="1:41">
      <c r="C16" s="22"/>
      <c r="D16" s="25">
        <v>3</v>
      </c>
      <c r="E16" s="26" t="s">
        <v>23</v>
      </c>
      <c r="F16" s="27"/>
      <c r="G16" s="25" t="e">
        <v>#NAME?</v>
      </c>
      <c r="H16" s="26" t="e">
        <v>#NAME?</v>
      </c>
      <c r="I16" s="27"/>
      <c r="J16" s="25" t="e">
        <v>#NAME?</v>
      </c>
      <c r="K16" s="26" t="e">
        <v>#NAME?</v>
      </c>
      <c r="L16" s="27"/>
      <c r="M16" s="25" t="e">
        <v>#NAME?</v>
      </c>
      <c r="N16" s="26" t="e">
        <v>#NAME?</v>
      </c>
      <c r="O16" s="27"/>
      <c r="P16" s="25">
        <v>2</v>
      </c>
      <c r="Q16" s="26" t="s">
        <v>23</v>
      </c>
      <c r="R16" s="27"/>
      <c r="S16" s="25" t="e">
        <v>#NAME?</v>
      </c>
      <c r="T16" s="26" t="e">
        <v>#NAME?</v>
      </c>
      <c r="U16" s="27"/>
      <c r="V16" s="25" t="e">
        <v>#NAME?</v>
      </c>
      <c r="W16" s="26" t="e">
        <v>#NAME?</v>
      </c>
      <c r="X16" s="27"/>
      <c r="Y16" s="25">
        <v>1</v>
      </c>
      <c r="Z16" s="26" t="s">
        <v>23</v>
      </c>
      <c r="AA16" s="27"/>
      <c r="AB16" s="25" t="e">
        <v>#NAME?</v>
      </c>
      <c r="AC16" s="26" t="e">
        <v>#NAME?</v>
      </c>
      <c r="AD16" s="27"/>
      <c r="AE16" s="25">
        <v>3</v>
      </c>
      <c r="AF16" s="26" t="s">
        <v>23</v>
      </c>
      <c r="AG16" s="27"/>
      <c r="AH16" s="25" t="e">
        <v>#NAME?</v>
      </c>
      <c r="AI16" s="26" t="e">
        <v>#NAME?</v>
      </c>
      <c r="AJ16" s="27"/>
      <c r="AK16" s="25" t="e">
        <v>#NAME?</v>
      </c>
      <c r="AL16" s="26" t="e">
        <v>#NAME?</v>
      </c>
      <c r="AM16" s="22"/>
      <c r="AN16" s="21" t="s">
        <v>50</v>
      </c>
      <c r="AO16" s="28" t="s">
        <v>26</v>
      </c>
    </row>
    <row r="17" spans="3:41" s="21" customFormat="1">
      <c r="C17" s="22"/>
      <c r="D17" s="25">
        <v>4</v>
      </c>
      <c r="E17" s="26" t="s">
        <v>24</v>
      </c>
      <c r="F17" s="27"/>
      <c r="G17" s="25">
        <v>1</v>
      </c>
      <c r="H17" s="26" t="s">
        <v>24</v>
      </c>
      <c r="I17" s="27"/>
      <c r="J17" s="25">
        <v>1</v>
      </c>
      <c r="K17" s="26" t="s">
        <v>24</v>
      </c>
      <c r="L17" s="27"/>
      <c r="M17" s="25" t="e">
        <v>#NAME?</v>
      </c>
      <c r="N17" s="26" t="e">
        <v>#NAME?</v>
      </c>
      <c r="O17" s="27"/>
      <c r="P17" s="25">
        <v>3</v>
      </c>
      <c r="Q17" s="26" t="s">
        <v>24</v>
      </c>
      <c r="R17" s="27"/>
      <c r="S17" s="25" t="e">
        <v>#NAME?</v>
      </c>
      <c r="T17" s="26" t="e">
        <v>#NAME?</v>
      </c>
      <c r="U17" s="27"/>
      <c r="V17" s="25" t="e">
        <v>#NAME?</v>
      </c>
      <c r="W17" s="26" t="e">
        <v>#NAME?</v>
      </c>
      <c r="X17" s="27"/>
      <c r="Y17" s="25">
        <v>2</v>
      </c>
      <c r="Z17" s="26" t="s">
        <v>24</v>
      </c>
      <c r="AA17" s="27"/>
      <c r="AB17" s="25" t="e">
        <v>#NAME?</v>
      </c>
      <c r="AC17" s="26" t="e">
        <v>#NAME?</v>
      </c>
      <c r="AD17" s="27"/>
      <c r="AE17" s="25">
        <v>4</v>
      </c>
      <c r="AF17" s="26" t="s">
        <v>24</v>
      </c>
      <c r="AG17" s="27"/>
      <c r="AH17" s="25">
        <v>1</v>
      </c>
      <c r="AI17" s="26" t="s">
        <v>24</v>
      </c>
      <c r="AJ17" s="27"/>
      <c r="AK17" s="25" t="e">
        <v>#NAME?</v>
      </c>
      <c r="AL17" s="26" t="e">
        <v>#NAME?</v>
      </c>
      <c r="AM17" s="22"/>
      <c r="AN17" s="21" t="s">
        <v>51</v>
      </c>
      <c r="AO17" s="28" t="s">
        <v>24</v>
      </c>
    </row>
    <row r="18" spans="3:41" s="21" customFormat="1">
      <c r="C18" s="22"/>
      <c r="D18" s="25">
        <v>5</v>
      </c>
      <c r="E18" s="26" t="s">
        <v>25</v>
      </c>
      <c r="F18" s="27"/>
      <c r="G18" s="25">
        <v>2</v>
      </c>
      <c r="H18" s="26" t="s">
        <v>25</v>
      </c>
      <c r="I18" s="27"/>
      <c r="J18" s="25">
        <v>2</v>
      </c>
      <c r="K18" s="26" t="s">
        <v>25</v>
      </c>
      <c r="L18" s="27"/>
      <c r="M18" s="25" t="e">
        <v>#NAME?</v>
      </c>
      <c r="N18" s="26" t="e">
        <v>#NAME?</v>
      </c>
      <c r="O18" s="27"/>
      <c r="P18" s="25">
        <v>4</v>
      </c>
      <c r="Q18" s="26" t="s">
        <v>25</v>
      </c>
      <c r="R18" s="27"/>
      <c r="S18" s="25">
        <v>1</v>
      </c>
      <c r="T18" s="26" t="s">
        <v>25</v>
      </c>
      <c r="U18" s="27"/>
      <c r="V18" s="25" t="e">
        <v>#NAME?</v>
      </c>
      <c r="W18" s="26" t="e">
        <v>#NAME?</v>
      </c>
      <c r="X18" s="27"/>
      <c r="Y18" s="25">
        <v>3</v>
      </c>
      <c r="Z18" s="26" t="s">
        <v>25</v>
      </c>
      <c r="AA18" s="27"/>
      <c r="AB18" s="25" t="e">
        <v>#NAME?</v>
      </c>
      <c r="AC18" s="26" t="e">
        <v>#NAME?</v>
      </c>
      <c r="AD18" s="27"/>
      <c r="AE18" s="25">
        <v>5</v>
      </c>
      <c r="AF18" s="26" t="s">
        <v>25</v>
      </c>
      <c r="AG18" s="27"/>
      <c r="AH18" s="25">
        <v>2</v>
      </c>
      <c r="AI18" s="26" t="s">
        <v>25</v>
      </c>
      <c r="AJ18" s="27"/>
      <c r="AK18" s="25" t="e">
        <v>#NAME?</v>
      </c>
      <c r="AL18" s="26" t="e">
        <v>#NAME?</v>
      </c>
      <c r="AM18" s="22"/>
      <c r="AN18" s="21" t="s">
        <v>30</v>
      </c>
      <c r="AO18" s="28" t="s">
        <v>28</v>
      </c>
    </row>
    <row r="19" spans="3:41" s="21" customFormat="1">
      <c r="C19" s="22"/>
      <c r="D19" s="25">
        <v>6</v>
      </c>
      <c r="E19" s="26" t="s">
        <v>26</v>
      </c>
      <c r="F19" s="27"/>
      <c r="G19" s="25">
        <v>3</v>
      </c>
      <c r="H19" s="26" t="s">
        <v>26</v>
      </c>
      <c r="I19" s="27"/>
      <c r="J19" s="25">
        <v>3</v>
      </c>
      <c r="K19" s="26" t="s">
        <v>26</v>
      </c>
      <c r="L19" s="27"/>
      <c r="M19" s="25" t="e">
        <v>#NAME?</v>
      </c>
      <c r="N19" s="26" t="e">
        <v>#NAME?</v>
      </c>
      <c r="O19" s="27"/>
      <c r="P19" s="25">
        <v>5</v>
      </c>
      <c r="Q19" s="26" t="s">
        <v>26</v>
      </c>
      <c r="R19" s="27"/>
      <c r="S19" s="25">
        <v>2</v>
      </c>
      <c r="T19" s="26" t="s">
        <v>26</v>
      </c>
      <c r="U19" s="27"/>
      <c r="V19" s="25" t="e">
        <v>#NAME?</v>
      </c>
      <c r="W19" s="26" t="e">
        <v>#NAME?</v>
      </c>
      <c r="X19" s="27"/>
      <c r="Y19" s="25">
        <v>4</v>
      </c>
      <c r="Z19" s="26" t="s">
        <v>26</v>
      </c>
      <c r="AA19" s="27"/>
      <c r="AB19" s="25">
        <v>1</v>
      </c>
      <c r="AC19" s="26" t="s">
        <v>26</v>
      </c>
      <c r="AD19" s="27"/>
      <c r="AE19" s="25">
        <v>6</v>
      </c>
      <c r="AF19" s="26" t="s">
        <v>26</v>
      </c>
      <c r="AG19" s="27"/>
      <c r="AH19" s="25">
        <v>3</v>
      </c>
      <c r="AI19" s="26" t="s">
        <v>26</v>
      </c>
      <c r="AJ19" s="27"/>
      <c r="AK19" s="25">
        <v>1</v>
      </c>
      <c r="AL19" s="26" t="s">
        <v>26</v>
      </c>
      <c r="AM19" s="22"/>
      <c r="AN19" s="21" t="s">
        <v>52</v>
      </c>
      <c r="AO19" s="28" t="s">
        <v>27</v>
      </c>
    </row>
    <row r="20" spans="3:41" s="21" customFormat="1">
      <c r="C20" s="22"/>
      <c r="D20" s="25">
        <v>7</v>
      </c>
      <c r="E20" s="26" t="s">
        <v>27</v>
      </c>
      <c r="F20" s="27"/>
      <c r="G20" s="25">
        <v>4</v>
      </c>
      <c r="H20" s="26" t="s">
        <v>27</v>
      </c>
      <c r="I20" s="27"/>
      <c r="J20" s="25">
        <v>4</v>
      </c>
      <c r="K20" s="26" t="s">
        <v>27</v>
      </c>
      <c r="L20" s="27"/>
      <c r="M20" s="25">
        <v>1</v>
      </c>
      <c r="N20" s="26" t="s">
        <v>27</v>
      </c>
      <c r="O20" s="27"/>
      <c r="P20" s="25">
        <v>6</v>
      </c>
      <c r="Q20" s="26" t="s">
        <v>27</v>
      </c>
      <c r="R20" s="27"/>
      <c r="S20" s="25">
        <v>3</v>
      </c>
      <c r="T20" s="26" t="s">
        <v>27</v>
      </c>
      <c r="U20" s="27"/>
      <c r="V20" s="25">
        <v>1</v>
      </c>
      <c r="W20" s="26" t="s">
        <v>27</v>
      </c>
      <c r="X20" s="27"/>
      <c r="Y20" s="25">
        <v>5</v>
      </c>
      <c r="Z20" s="26" t="s">
        <v>27</v>
      </c>
      <c r="AA20" s="27"/>
      <c r="AB20" s="25">
        <v>2</v>
      </c>
      <c r="AC20" s="26" t="s">
        <v>27</v>
      </c>
      <c r="AD20" s="27"/>
      <c r="AE20" s="25">
        <v>7</v>
      </c>
      <c r="AF20" s="26" t="s">
        <v>27</v>
      </c>
      <c r="AG20" s="27"/>
      <c r="AH20" s="25">
        <v>4</v>
      </c>
      <c r="AI20" s="26" t="s">
        <v>27</v>
      </c>
      <c r="AJ20" s="27"/>
      <c r="AK20" s="25">
        <v>2</v>
      </c>
      <c r="AL20" s="26" t="s">
        <v>27</v>
      </c>
      <c r="AM20" s="22"/>
      <c r="AN20" s="21" t="s">
        <v>53</v>
      </c>
      <c r="AO20" s="28" t="s">
        <v>25</v>
      </c>
    </row>
    <row r="21" spans="3:41" s="21" customFormat="1">
      <c r="C21" s="22"/>
      <c r="D21" s="25">
        <v>8</v>
      </c>
      <c r="E21" s="26" t="s">
        <v>28</v>
      </c>
      <c r="F21" s="27"/>
      <c r="G21" s="25">
        <v>5</v>
      </c>
      <c r="H21" s="26" t="s">
        <v>28</v>
      </c>
      <c r="I21" s="27"/>
      <c r="J21" s="25">
        <v>5</v>
      </c>
      <c r="K21" s="26" t="s">
        <v>28</v>
      </c>
      <c r="L21" s="27"/>
      <c r="M21" s="25">
        <v>2</v>
      </c>
      <c r="N21" s="26" t="s">
        <v>28</v>
      </c>
      <c r="O21" s="27"/>
      <c r="P21" s="25">
        <v>7</v>
      </c>
      <c r="Q21" s="26" t="s">
        <v>28</v>
      </c>
      <c r="R21" s="27"/>
      <c r="S21" s="25">
        <v>4</v>
      </c>
      <c r="T21" s="26" t="s">
        <v>28</v>
      </c>
      <c r="U21" s="27"/>
      <c r="V21" s="25">
        <v>2</v>
      </c>
      <c r="W21" s="26" t="s">
        <v>28</v>
      </c>
      <c r="X21" s="27"/>
      <c r="Y21" s="25">
        <v>6</v>
      </c>
      <c r="Z21" s="26" t="s">
        <v>28</v>
      </c>
      <c r="AA21" s="27"/>
      <c r="AB21" s="25">
        <v>3</v>
      </c>
      <c r="AC21" s="26" t="s">
        <v>28</v>
      </c>
      <c r="AD21" s="27"/>
      <c r="AE21" s="25">
        <v>8</v>
      </c>
      <c r="AF21" s="26" t="s">
        <v>28</v>
      </c>
      <c r="AG21" s="27"/>
      <c r="AH21" s="25">
        <v>5</v>
      </c>
      <c r="AI21" s="26" t="s">
        <v>28</v>
      </c>
      <c r="AJ21" s="27"/>
      <c r="AK21" s="25">
        <v>3</v>
      </c>
      <c r="AL21" s="26" t="s">
        <v>28</v>
      </c>
      <c r="AM21" s="22"/>
      <c r="AN21" s="21" t="s">
        <v>54</v>
      </c>
      <c r="AO21" s="28" t="s">
        <v>22</v>
      </c>
    </row>
    <row r="22" spans="3:41" s="21" customFormat="1">
      <c r="C22" s="22"/>
      <c r="D22" s="25">
        <v>9</v>
      </c>
      <c r="E22" s="26" t="s">
        <v>22</v>
      </c>
      <c r="F22" s="27"/>
      <c r="G22" s="25">
        <v>6</v>
      </c>
      <c r="H22" s="26" t="s">
        <v>22</v>
      </c>
      <c r="I22" s="27"/>
      <c r="J22" s="25">
        <v>6</v>
      </c>
      <c r="K22" s="26" t="s">
        <v>22</v>
      </c>
      <c r="L22" s="27"/>
      <c r="M22" s="25">
        <v>3</v>
      </c>
      <c r="N22" s="26" t="s">
        <v>22</v>
      </c>
      <c r="O22" s="27"/>
      <c r="P22" s="25">
        <v>8</v>
      </c>
      <c r="Q22" s="26" t="s">
        <v>22</v>
      </c>
      <c r="R22" s="27"/>
      <c r="S22" s="25">
        <v>5</v>
      </c>
      <c r="T22" s="26" t="s">
        <v>22</v>
      </c>
      <c r="U22" s="27"/>
      <c r="V22" s="25">
        <v>3</v>
      </c>
      <c r="W22" s="26" t="s">
        <v>22</v>
      </c>
      <c r="X22" s="27"/>
      <c r="Y22" s="25">
        <v>7</v>
      </c>
      <c r="Z22" s="26" t="s">
        <v>22</v>
      </c>
      <c r="AA22" s="27"/>
      <c r="AB22" s="25">
        <v>4</v>
      </c>
      <c r="AC22" s="26" t="s">
        <v>22</v>
      </c>
      <c r="AD22" s="27"/>
      <c r="AE22" s="25">
        <v>9</v>
      </c>
      <c r="AF22" s="26" t="s">
        <v>22</v>
      </c>
      <c r="AG22" s="27"/>
      <c r="AH22" s="25">
        <v>6</v>
      </c>
      <c r="AI22" s="26" t="s">
        <v>22</v>
      </c>
      <c r="AJ22" s="27"/>
      <c r="AK22" s="25">
        <v>4</v>
      </c>
      <c r="AL22" s="26" t="s">
        <v>22</v>
      </c>
      <c r="AM22" s="22"/>
      <c r="AN22" s="21" t="s">
        <v>55</v>
      </c>
      <c r="AO22" s="28" t="s">
        <v>24</v>
      </c>
    </row>
    <row r="23" spans="3:41" s="21" customFormat="1">
      <c r="C23" s="22"/>
      <c r="D23" s="25">
        <v>10</v>
      </c>
      <c r="E23" s="26" t="s">
        <v>23</v>
      </c>
      <c r="F23" s="27"/>
      <c r="G23" s="25">
        <v>7</v>
      </c>
      <c r="H23" s="26" t="s">
        <v>23</v>
      </c>
      <c r="I23" s="27"/>
      <c r="J23" s="25">
        <v>7</v>
      </c>
      <c r="K23" s="26" t="s">
        <v>23</v>
      </c>
      <c r="L23" s="27"/>
      <c r="M23" s="25">
        <v>4</v>
      </c>
      <c r="N23" s="26" t="s">
        <v>23</v>
      </c>
      <c r="O23" s="27"/>
      <c r="P23" s="25">
        <v>9</v>
      </c>
      <c r="Q23" s="26" t="s">
        <v>23</v>
      </c>
      <c r="R23" s="27"/>
      <c r="S23" s="25">
        <v>6</v>
      </c>
      <c r="T23" s="26" t="s">
        <v>23</v>
      </c>
      <c r="U23" s="27"/>
      <c r="V23" s="25">
        <v>4</v>
      </c>
      <c r="W23" s="26" t="s">
        <v>23</v>
      </c>
      <c r="X23" s="27"/>
      <c r="Y23" s="25">
        <v>8</v>
      </c>
      <c r="Z23" s="26" t="s">
        <v>23</v>
      </c>
      <c r="AA23" s="27"/>
      <c r="AB23" s="25">
        <v>5</v>
      </c>
      <c r="AC23" s="26" t="s">
        <v>23</v>
      </c>
      <c r="AD23" s="27"/>
      <c r="AE23" s="25">
        <v>10</v>
      </c>
      <c r="AF23" s="26" t="s">
        <v>23</v>
      </c>
      <c r="AG23" s="27"/>
      <c r="AH23" s="25">
        <v>7</v>
      </c>
      <c r="AI23" s="26" t="s">
        <v>23</v>
      </c>
      <c r="AJ23" s="27"/>
      <c r="AK23" s="25">
        <v>5</v>
      </c>
      <c r="AL23" s="26" t="s">
        <v>23</v>
      </c>
      <c r="AM23" s="22"/>
      <c r="AN23" s="21" t="s">
        <v>56</v>
      </c>
      <c r="AO23" s="28" t="s">
        <v>24</v>
      </c>
    </row>
    <row r="24" spans="3:41" s="21" customFormat="1">
      <c r="C24" s="22"/>
      <c r="D24" s="25">
        <v>11</v>
      </c>
      <c r="E24" s="26" t="s">
        <v>24</v>
      </c>
      <c r="F24" s="27"/>
      <c r="G24" s="25">
        <v>8</v>
      </c>
      <c r="H24" s="26" t="s">
        <v>24</v>
      </c>
      <c r="I24" s="27"/>
      <c r="J24" s="25">
        <v>8</v>
      </c>
      <c r="K24" s="26" t="s">
        <v>24</v>
      </c>
      <c r="L24" s="27"/>
      <c r="M24" s="25">
        <v>5</v>
      </c>
      <c r="N24" s="26" t="s">
        <v>24</v>
      </c>
      <c r="O24" s="27"/>
      <c r="P24" s="25">
        <v>10</v>
      </c>
      <c r="Q24" s="26" t="s">
        <v>24</v>
      </c>
      <c r="R24" s="27"/>
      <c r="S24" s="25">
        <v>7</v>
      </c>
      <c r="T24" s="26" t="s">
        <v>24</v>
      </c>
      <c r="U24" s="27"/>
      <c r="V24" s="25">
        <v>5</v>
      </c>
      <c r="W24" s="26" t="s">
        <v>24</v>
      </c>
      <c r="X24" s="27"/>
      <c r="Y24" s="25">
        <v>9</v>
      </c>
      <c r="Z24" s="26" t="s">
        <v>24</v>
      </c>
      <c r="AA24" s="27"/>
      <c r="AB24" s="25">
        <v>6</v>
      </c>
      <c r="AC24" s="26" t="s">
        <v>24</v>
      </c>
      <c r="AD24" s="27"/>
      <c r="AE24" s="25">
        <v>11</v>
      </c>
      <c r="AF24" s="26" t="s">
        <v>24</v>
      </c>
      <c r="AG24" s="27"/>
      <c r="AH24" s="25">
        <v>8</v>
      </c>
      <c r="AI24" s="26" t="s">
        <v>24</v>
      </c>
      <c r="AJ24" s="27"/>
      <c r="AK24" s="25">
        <v>6</v>
      </c>
      <c r="AL24" s="26" t="s">
        <v>24</v>
      </c>
      <c r="AM24" s="22"/>
      <c r="AN24" s="21" t="s">
        <v>57</v>
      </c>
      <c r="AO24" s="28" t="s">
        <v>28</v>
      </c>
    </row>
    <row r="25" spans="3:41" s="21" customFormat="1">
      <c r="C25" s="22"/>
      <c r="D25" s="25">
        <v>12</v>
      </c>
      <c r="E25" s="26" t="s">
        <v>25</v>
      </c>
      <c r="F25" s="27"/>
      <c r="G25" s="25">
        <v>9</v>
      </c>
      <c r="H25" s="26" t="s">
        <v>25</v>
      </c>
      <c r="I25" s="27"/>
      <c r="J25" s="25">
        <v>9</v>
      </c>
      <c r="K25" s="26" t="s">
        <v>25</v>
      </c>
      <c r="L25" s="27"/>
      <c r="M25" s="25">
        <v>6</v>
      </c>
      <c r="N25" s="26" t="s">
        <v>25</v>
      </c>
      <c r="O25" s="27"/>
      <c r="P25" s="25">
        <v>11</v>
      </c>
      <c r="Q25" s="26" t="s">
        <v>25</v>
      </c>
      <c r="R25" s="27"/>
      <c r="S25" s="25">
        <v>8</v>
      </c>
      <c r="T25" s="26" t="s">
        <v>25</v>
      </c>
      <c r="U25" s="27"/>
      <c r="V25" s="25">
        <v>6</v>
      </c>
      <c r="W25" s="26" t="s">
        <v>25</v>
      </c>
      <c r="X25" s="27"/>
      <c r="Y25" s="25">
        <v>10</v>
      </c>
      <c r="Z25" s="26" t="s">
        <v>25</v>
      </c>
      <c r="AA25" s="27"/>
      <c r="AB25" s="25">
        <v>7</v>
      </c>
      <c r="AC25" s="26" t="s">
        <v>25</v>
      </c>
      <c r="AD25" s="27"/>
      <c r="AE25" s="25">
        <v>12</v>
      </c>
      <c r="AF25" s="26" t="s">
        <v>25</v>
      </c>
      <c r="AG25" s="27"/>
      <c r="AH25" s="25">
        <v>9</v>
      </c>
      <c r="AI25" s="26" t="s">
        <v>25</v>
      </c>
      <c r="AJ25" s="27"/>
      <c r="AK25" s="25">
        <v>7</v>
      </c>
      <c r="AL25" s="26" t="s">
        <v>25</v>
      </c>
      <c r="AM25" s="22"/>
      <c r="AN25" s="21" t="s">
        <v>58</v>
      </c>
      <c r="AO25" s="28" t="s">
        <v>26</v>
      </c>
    </row>
    <row r="26" spans="3:41" s="21" customFormat="1">
      <c r="C26" s="22"/>
      <c r="D26" s="25">
        <v>13</v>
      </c>
      <c r="E26" s="26" t="s">
        <v>26</v>
      </c>
      <c r="F26" s="27"/>
      <c r="G26" s="25">
        <v>10</v>
      </c>
      <c r="H26" s="26" t="s">
        <v>26</v>
      </c>
      <c r="I26" s="27"/>
      <c r="J26" s="25">
        <v>10</v>
      </c>
      <c r="K26" s="26" t="s">
        <v>26</v>
      </c>
      <c r="L26" s="27"/>
      <c r="M26" s="25">
        <v>7</v>
      </c>
      <c r="N26" s="26" t="s">
        <v>26</v>
      </c>
      <c r="O26" s="27"/>
      <c r="P26" s="25">
        <v>12</v>
      </c>
      <c r="Q26" s="26" t="s">
        <v>26</v>
      </c>
      <c r="R26" s="27"/>
      <c r="S26" s="25">
        <v>9</v>
      </c>
      <c r="T26" s="26" t="s">
        <v>26</v>
      </c>
      <c r="U26" s="27"/>
      <c r="V26" s="25">
        <v>7</v>
      </c>
      <c r="W26" s="26" t="s">
        <v>26</v>
      </c>
      <c r="X26" s="27"/>
      <c r="Y26" s="25">
        <v>11</v>
      </c>
      <c r="Z26" s="26" t="s">
        <v>26</v>
      </c>
      <c r="AA26" s="27"/>
      <c r="AB26" s="25">
        <v>8</v>
      </c>
      <c r="AC26" s="26" t="s">
        <v>26</v>
      </c>
      <c r="AD26" s="27"/>
      <c r="AE26" s="25">
        <v>13</v>
      </c>
      <c r="AF26" s="26" t="s">
        <v>26</v>
      </c>
      <c r="AG26" s="27"/>
      <c r="AH26" s="25">
        <v>10</v>
      </c>
      <c r="AI26" s="26" t="s">
        <v>26</v>
      </c>
      <c r="AJ26" s="27"/>
      <c r="AK26" s="25">
        <v>8</v>
      </c>
      <c r="AL26" s="26" t="s">
        <v>26</v>
      </c>
      <c r="AM26" s="22"/>
    </row>
    <row r="27" spans="3:41" s="21" customFormat="1">
      <c r="C27" s="22"/>
      <c r="D27" s="25">
        <v>14</v>
      </c>
      <c r="E27" s="26" t="s">
        <v>27</v>
      </c>
      <c r="F27" s="27"/>
      <c r="G27" s="25">
        <v>11</v>
      </c>
      <c r="H27" s="26" t="s">
        <v>27</v>
      </c>
      <c r="I27" s="27"/>
      <c r="J27" s="25">
        <v>11</v>
      </c>
      <c r="K27" s="26" t="s">
        <v>27</v>
      </c>
      <c r="L27" s="27"/>
      <c r="M27" s="25">
        <v>8</v>
      </c>
      <c r="N27" s="26" t="s">
        <v>27</v>
      </c>
      <c r="O27" s="27"/>
      <c r="P27" s="25">
        <v>13</v>
      </c>
      <c r="Q27" s="26" t="s">
        <v>27</v>
      </c>
      <c r="R27" s="27"/>
      <c r="S27" s="25">
        <v>10</v>
      </c>
      <c r="T27" s="26" t="s">
        <v>27</v>
      </c>
      <c r="U27" s="27"/>
      <c r="V27" s="25">
        <v>8</v>
      </c>
      <c r="W27" s="26" t="s">
        <v>27</v>
      </c>
      <c r="X27" s="27"/>
      <c r="Y27" s="25">
        <v>12</v>
      </c>
      <c r="Z27" s="26" t="s">
        <v>27</v>
      </c>
      <c r="AA27" s="27"/>
      <c r="AB27" s="25">
        <v>9</v>
      </c>
      <c r="AC27" s="26" t="s">
        <v>27</v>
      </c>
      <c r="AD27" s="27"/>
      <c r="AE27" s="25">
        <v>14</v>
      </c>
      <c r="AF27" s="26" t="s">
        <v>27</v>
      </c>
      <c r="AG27" s="27"/>
      <c r="AH27" s="25">
        <v>11</v>
      </c>
      <c r="AI27" s="26" t="s">
        <v>27</v>
      </c>
      <c r="AJ27" s="27"/>
      <c r="AK27" s="25">
        <v>9</v>
      </c>
      <c r="AL27" s="26" t="s">
        <v>27</v>
      </c>
      <c r="AM27" s="22"/>
    </row>
    <row r="28" spans="3:41" s="21" customFormat="1">
      <c r="C28" s="22"/>
      <c r="D28" s="25">
        <v>15</v>
      </c>
      <c r="E28" s="26" t="s">
        <v>28</v>
      </c>
      <c r="F28" s="27"/>
      <c r="G28" s="25">
        <v>12</v>
      </c>
      <c r="H28" s="26" t="s">
        <v>28</v>
      </c>
      <c r="I28" s="27"/>
      <c r="J28" s="25">
        <v>12</v>
      </c>
      <c r="K28" s="26" t="s">
        <v>28</v>
      </c>
      <c r="L28" s="27"/>
      <c r="M28" s="25">
        <v>9</v>
      </c>
      <c r="N28" s="26" t="s">
        <v>28</v>
      </c>
      <c r="O28" s="27"/>
      <c r="P28" s="25">
        <v>14</v>
      </c>
      <c r="Q28" s="26" t="s">
        <v>28</v>
      </c>
      <c r="R28" s="27"/>
      <c r="S28" s="25">
        <v>11</v>
      </c>
      <c r="T28" s="26" t="s">
        <v>28</v>
      </c>
      <c r="U28" s="27"/>
      <c r="V28" s="25">
        <v>9</v>
      </c>
      <c r="W28" s="26" t="s">
        <v>28</v>
      </c>
      <c r="X28" s="27"/>
      <c r="Y28" s="25">
        <v>13</v>
      </c>
      <c r="Z28" s="26" t="s">
        <v>28</v>
      </c>
      <c r="AA28" s="27"/>
      <c r="AB28" s="25">
        <v>10</v>
      </c>
      <c r="AC28" s="26" t="s">
        <v>28</v>
      </c>
      <c r="AD28" s="27"/>
      <c r="AE28" s="25">
        <v>15</v>
      </c>
      <c r="AF28" s="26" t="s">
        <v>28</v>
      </c>
      <c r="AG28" s="27"/>
      <c r="AH28" s="25">
        <v>12</v>
      </c>
      <c r="AI28" s="26" t="s">
        <v>28</v>
      </c>
      <c r="AJ28" s="27"/>
      <c r="AK28" s="25">
        <v>10</v>
      </c>
      <c r="AL28" s="26" t="s">
        <v>28</v>
      </c>
      <c r="AM28" s="22"/>
    </row>
    <row r="29" spans="3:41" s="21" customFormat="1">
      <c r="C29" s="22"/>
      <c r="D29" s="25">
        <v>16</v>
      </c>
      <c r="E29" s="26" t="s">
        <v>22</v>
      </c>
      <c r="F29" s="27"/>
      <c r="G29" s="25">
        <v>13</v>
      </c>
      <c r="H29" s="26" t="s">
        <v>22</v>
      </c>
      <c r="I29" s="27"/>
      <c r="J29" s="25">
        <v>13</v>
      </c>
      <c r="K29" s="26" t="s">
        <v>22</v>
      </c>
      <c r="L29" s="27"/>
      <c r="M29" s="25">
        <v>10</v>
      </c>
      <c r="N29" s="26" t="s">
        <v>22</v>
      </c>
      <c r="O29" s="27"/>
      <c r="P29" s="25">
        <v>15</v>
      </c>
      <c r="Q29" s="26" t="s">
        <v>22</v>
      </c>
      <c r="R29" s="27"/>
      <c r="S29" s="25">
        <v>12</v>
      </c>
      <c r="T29" s="26" t="s">
        <v>22</v>
      </c>
      <c r="U29" s="27"/>
      <c r="V29" s="25">
        <v>10</v>
      </c>
      <c r="W29" s="26" t="s">
        <v>22</v>
      </c>
      <c r="X29" s="27"/>
      <c r="Y29" s="25">
        <v>14</v>
      </c>
      <c r="Z29" s="26" t="s">
        <v>22</v>
      </c>
      <c r="AA29" s="27"/>
      <c r="AB29" s="25">
        <v>11</v>
      </c>
      <c r="AC29" s="26" t="s">
        <v>22</v>
      </c>
      <c r="AD29" s="27"/>
      <c r="AE29" s="25">
        <v>16</v>
      </c>
      <c r="AF29" s="26" t="s">
        <v>22</v>
      </c>
      <c r="AG29" s="27"/>
      <c r="AH29" s="25">
        <v>13</v>
      </c>
      <c r="AI29" s="26" t="s">
        <v>22</v>
      </c>
      <c r="AJ29" s="27"/>
      <c r="AK29" s="25">
        <v>11</v>
      </c>
      <c r="AL29" s="26" t="s">
        <v>22</v>
      </c>
      <c r="AM29" s="22"/>
    </row>
    <row r="30" spans="3:41" s="21" customFormat="1">
      <c r="C30" s="22"/>
      <c r="D30" s="25">
        <v>17</v>
      </c>
      <c r="E30" s="26" t="s">
        <v>23</v>
      </c>
      <c r="F30" s="27"/>
      <c r="G30" s="25">
        <v>14</v>
      </c>
      <c r="H30" s="26" t="s">
        <v>23</v>
      </c>
      <c r="I30" s="27"/>
      <c r="J30" s="25">
        <v>14</v>
      </c>
      <c r="K30" s="26" t="s">
        <v>23</v>
      </c>
      <c r="L30" s="27"/>
      <c r="M30" s="25">
        <v>11</v>
      </c>
      <c r="N30" s="26" t="s">
        <v>23</v>
      </c>
      <c r="O30" s="27"/>
      <c r="P30" s="25">
        <v>16</v>
      </c>
      <c r="Q30" s="26" t="s">
        <v>23</v>
      </c>
      <c r="R30" s="27"/>
      <c r="S30" s="25">
        <v>13</v>
      </c>
      <c r="T30" s="26" t="s">
        <v>23</v>
      </c>
      <c r="U30" s="27"/>
      <c r="V30" s="25">
        <v>11</v>
      </c>
      <c r="W30" s="26" t="s">
        <v>23</v>
      </c>
      <c r="X30" s="27"/>
      <c r="Y30" s="25">
        <v>15</v>
      </c>
      <c r="Z30" s="26" t="s">
        <v>23</v>
      </c>
      <c r="AA30" s="27"/>
      <c r="AB30" s="25">
        <v>12</v>
      </c>
      <c r="AC30" s="26" t="s">
        <v>23</v>
      </c>
      <c r="AD30" s="27"/>
      <c r="AE30" s="25">
        <v>17</v>
      </c>
      <c r="AF30" s="26" t="s">
        <v>23</v>
      </c>
      <c r="AG30" s="27"/>
      <c r="AH30" s="25">
        <v>14</v>
      </c>
      <c r="AI30" s="26" t="s">
        <v>23</v>
      </c>
      <c r="AJ30" s="27"/>
      <c r="AK30" s="25">
        <v>12</v>
      </c>
      <c r="AL30" s="26" t="s">
        <v>23</v>
      </c>
      <c r="AM30" s="22"/>
    </row>
    <row r="31" spans="3:41" s="21" customFormat="1">
      <c r="C31" s="22"/>
      <c r="D31" s="25">
        <v>18</v>
      </c>
      <c r="E31" s="26" t="s">
        <v>24</v>
      </c>
      <c r="F31" s="27"/>
      <c r="G31" s="25">
        <v>15</v>
      </c>
      <c r="H31" s="26" t="s">
        <v>24</v>
      </c>
      <c r="I31" s="27"/>
      <c r="J31" s="25">
        <v>15</v>
      </c>
      <c r="K31" s="26" t="s">
        <v>24</v>
      </c>
      <c r="L31" s="27"/>
      <c r="M31" s="25">
        <v>12</v>
      </c>
      <c r="N31" s="26" t="s">
        <v>24</v>
      </c>
      <c r="O31" s="27"/>
      <c r="P31" s="25">
        <v>17</v>
      </c>
      <c r="Q31" s="26" t="s">
        <v>24</v>
      </c>
      <c r="R31" s="27"/>
      <c r="S31" s="25">
        <v>14</v>
      </c>
      <c r="T31" s="26" t="s">
        <v>24</v>
      </c>
      <c r="U31" s="27"/>
      <c r="V31" s="25">
        <v>12</v>
      </c>
      <c r="W31" s="26" t="s">
        <v>24</v>
      </c>
      <c r="X31" s="27"/>
      <c r="Y31" s="25">
        <v>16</v>
      </c>
      <c r="Z31" s="26" t="s">
        <v>24</v>
      </c>
      <c r="AA31" s="27"/>
      <c r="AB31" s="25">
        <v>13</v>
      </c>
      <c r="AC31" s="26" t="s">
        <v>24</v>
      </c>
      <c r="AD31" s="27"/>
      <c r="AE31" s="25">
        <v>18</v>
      </c>
      <c r="AF31" s="26" t="s">
        <v>24</v>
      </c>
      <c r="AG31" s="27"/>
      <c r="AH31" s="25">
        <v>15</v>
      </c>
      <c r="AI31" s="26" t="s">
        <v>24</v>
      </c>
      <c r="AJ31" s="27"/>
      <c r="AK31" s="25">
        <v>13</v>
      </c>
      <c r="AL31" s="26" t="s">
        <v>24</v>
      </c>
      <c r="AM31" s="22"/>
    </row>
    <row r="32" spans="3:41" s="21" customFormat="1">
      <c r="C32" s="22"/>
      <c r="D32" s="25">
        <v>19</v>
      </c>
      <c r="E32" s="26" t="s">
        <v>25</v>
      </c>
      <c r="F32" s="27"/>
      <c r="G32" s="25">
        <v>16</v>
      </c>
      <c r="H32" s="26" t="s">
        <v>25</v>
      </c>
      <c r="I32" s="27"/>
      <c r="J32" s="25">
        <v>16</v>
      </c>
      <c r="K32" s="26" t="s">
        <v>25</v>
      </c>
      <c r="L32" s="27"/>
      <c r="M32" s="25">
        <v>13</v>
      </c>
      <c r="N32" s="26" t="s">
        <v>25</v>
      </c>
      <c r="O32" s="27"/>
      <c r="P32" s="25">
        <v>18</v>
      </c>
      <c r="Q32" s="26" t="s">
        <v>25</v>
      </c>
      <c r="R32" s="27"/>
      <c r="S32" s="25">
        <v>15</v>
      </c>
      <c r="T32" s="26" t="s">
        <v>25</v>
      </c>
      <c r="U32" s="27"/>
      <c r="V32" s="25">
        <v>13</v>
      </c>
      <c r="W32" s="26" t="s">
        <v>25</v>
      </c>
      <c r="X32" s="27"/>
      <c r="Y32" s="25">
        <v>17</v>
      </c>
      <c r="Z32" s="26" t="s">
        <v>25</v>
      </c>
      <c r="AA32" s="27"/>
      <c r="AB32" s="25">
        <v>14</v>
      </c>
      <c r="AC32" s="26" t="s">
        <v>25</v>
      </c>
      <c r="AD32" s="27"/>
      <c r="AE32" s="25">
        <v>19</v>
      </c>
      <c r="AF32" s="26" t="s">
        <v>25</v>
      </c>
      <c r="AG32" s="27"/>
      <c r="AH32" s="25">
        <v>16</v>
      </c>
      <c r="AI32" s="26" t="s">
        <v>25</v>
      </c>
      <c r="AJ32" s="27"/>
      <c r="AK32" s="25">
        <v>14</v>
      </c>
      <c r="AL32" s="26" t="s">
        <v>25</v>
      </c>
      <c r="AM32" s="22"/>
    </row>
    <row r="33" spans="3:39" s="21" customFormat="1">
      <c r="C33" s="22"/>
      <c r="D33" s="25">
        <v>20</v>
      </c>
      <c r="E33" s="26" t="s">
        <v>26</v>
      </c>
      <c r="F33" s="27"/>
      <c r="G33" s="25">
        <v>17</v>
      </c>
      <c r="H33" s="26" t="s">
        <v>26</v>
      </c>
      <c r="I33" s="27"/>
      <c r="J33" s="25">
        <v>17</v>
      </c>
      <c r="K33" s="26" t="s">
        <v>26</v>
      </c>
      <c r="L33" s="27"/>
      <c r="M33" s="25">
        <v>14</v>
      </c>
      <c r="N33" s="26" t="s">
        <v>26</v>
      </c>
      <c r="O33" s="27"/>
      <c r="P33" s="25">
        <v>19</v>
      </c>
      <c r="Q33" s="26" t="s">
        <v>26</v>
      </c>
      <c r="R33" s="27"/>
      <c r="S33" s="25">
        <v>16</v>
      </c>
      <c r="T33" s="26" t="s">
        <v>26</v>
      </c>
      <c r="U33" s="27"/>
      <c r="V33" s="25">
        <v>14</v>
      </c>
      <c r="W33" s="26" t="s">
        <v>26</v>
      </c>
      <c r="X33" s="27"/>
      <c r="Y33" s="25">
        <v>18</v>
      </c>
      <c r="Z33" s="26" t="s">
        <v>26</v>
      </c>
      <c r="AA33" s="27"/>
      <c r="AB33" s="25">
        <v>15</v>
      </c>
      <c r="AC33" s="26" t="s">
        <v>26</v>
      </c>
      <c r="AD33" s="27"/>
      <c r="AE33" s="25">
        <v>20</v>
      </c>
      <c r="AF33" s="26" t="s">
        <v>26</v>
      </c>
      <c r="AG33" s="27"/>
      <c r="AH33" s="25">
        <v>17</v>
      </c>
      <c r="AI33" s="26" t="s">
        <v>26</v>
      </c>
      <c r="AJ33" s="27"/>
      <c r="AK33" s="25">
        <v>15</v>
      </c>
      <c r="AL33" s="26" t="s">
        <v>26</v>
      </c>
      <c r="AM33" s="22"/>
    </row>
    <row r="34" spans="3:39" s="21" customFormat="1">
      <c r="C34" s="22"/>
      <c r="D34" s="25">
        <v>21</v>
      </c>
      <c r="E34" s="26" t="s">
        <v>27</v>
      </c>
      <c r="F34" s="27"/>
      <c r="G34" s="25">
        <v>18</v>
      </c>
      <c r="H34" s="26" t="s">
        <v>27</v>
      </c>
      <c r="I34" s="27"/>
      <c r="J34" s="25">
        <v>18</v>
      </c>
      <c r="K34" s="26" t="s">
        <v>27</v>
      </c>
      <c r="L34" s="27"/>
      <c r="M34" s="25">
        <v>15</v>
      </c>
      <c r="N34" s="26" t="s">
        <v>27</v>
      </c>
      <c r="O34" s="27"/>
      <c r="P34" s="25">
        <v>20</v>
      </c>
      <c r="Q34" s="26" t="s">
        <v>27</v>
      </c>
      <c r="R34" s="27"/>
      <c r="S34" s="25">
        <v>17</v>
      </c>
      <c r="T34" s="26" t="s">
        <v>27</v>
      </c>
      <c r="U34" s="27"/>
      <c r="V34" s="25">
        <v>15</v>
      </c>
      <c r="W34" s="26" t="s">
        <v>27</v>
      </c>
      <c r="X34" s="27"/>
      <c r="Y34" s="25">
        <v>19</v>
      </c>
      <c r="Z34" s="26" t="s">
        <v>27</v>
      </c>
      <c r="AA34" s="27"/>
      <c r="AB34" s="25">
        <v>16</v>
      </c>
      <c r="AC34" s="26" t="s">
        <v>27</v>
      </c>
      <c r="AD34" s="27"/>
      <c r="AE34" s="25">
        <v>21</v>
      </c>
      <c r="AF34" s="26" t="s">
        <v>27</v>
      </c>
      <c r="AG34" s="27"/>
      <c r="AH34" s="25">
        <v>18</v>
      </c>
      <c r="AI34" s="26" t="s">
        <v>27</v>
      </c>
      <c r="AJ34" s="27"/>
      <c r="AK34" s="25">
        <v>16</v>
      </c>
      <c r="AL34" s="26" t="s">
        <v>27</v>
      </c>
      <c r="AM34" s="22"/>
    </row>
    <row r="35" spans="3:39" s="21" customFormat="1">
      <c r="C35" s="22"/>
      <c r="D35" s="25">
        <v>22</v>
      </c>
      <c r="E35" s="26" t="s">
        <v>28</v>
      </c>
      <c r="F35" s="27"/>
      <c r="G35" s="25">
        <v>19</v>
      </c>
      <c r="H35" s="26" t="s">
        <v>28</v>
      </c>
      <c r="I35" s="27"/>
      <c r="J35" s="25">
        <v>19</v>
      </c>
      <c r="K35" s="26" t="s">
        <v>28</v>
      </c>
      <c r="L35" s="27"/>
      <c r="M35" s="25">
        <v>16</v>
      </c>
      <c r="N35" s="26" t="s">
        <v>28</v>
      </c>
      <c r="O35" s="27"/>
      <c r="P35" s="25">
        <v>21</v>
      </c>
      <c r="Q35" s="26" t="s">
        <v>28</v>
      </c>
      <c r="R35" s="27"/>
      <c r="S35" s="25">
        <v>18</v>
      </c>
      <c r="T35" s="26" t="s">
        <v>28</v>
      </c>
      <c r="U35" s="27"/>
      <c r="V35" s="25">
        <v>16</v>
      </c>
      <c r="W35" s="26" t="s">
        <v>28</v>
      </c>
      <c r="X35" s="27"/>
      <c r="Y35" s="25">
        <v>20</v>
      </c>
      <c r="Z35" s="26" t="s">
        <v>28</v>
      </c>
      <c r="AA35" s="27"/>
      <c r="AB35" s="25">
        <v>17</v>
      </c>
      <c r="AC35" s="26" t="s">
        <v>28</v>
      </c>
      <c r="AD35" s="27"/>
      <c r="AE35" s="25">
        <v>22</v>
      </c>
      <c r="AF35" s="26" t="s">
        <v>28</v>
      </c>
      <c r="AG35" s="27"/>
      <c r="AH35" s="25">
        <v>19</v>
      </c>
      <c r="AI35" s="26" t="s">
        <v>28</v>
      </c>
      <c r="AJ35" s="27"/>
      <c r="AK35" s="25">
        <v>17</v>
      </c>
      <c r="AL35" s="26" t="s">
        <v>28</v>
      </c>
      <c r="AM35" s="22"/>
    </row>
    <row r="36" spans="3:39" s="21" customFormat="1">
      <c r="C36" s="22"/>
      <c r="D36" s="25">
        <v>23</v>
      </c>
      <c r="E36" s="26" t="s">
        <v>22</v>
      </c>
      <c r="F36" s="27"/>
      <c r="G36" s="25">
        <v>20</v>
      </c>
      <c r="H36" s="26" t="s">
        <v>22</v>
      </c>
      <c r="I36" s="27"/>
      <c r="J36" s="25">
        <v>20</v>
      </c>
      <c r="K36" s="26" t="s">
        <v>22</v>
      </c>
      <c r="L36" s="27"/>
      <c r="M36" s="25">
        <v>17</v>
      </c>
      <c r="N36" s="26" t="s">
        <v>22</v>
      </c>
      <c r="O36" s="27"/>
      <c r="P36" s="25">
        <v>22</v>
      </c>
      <c r="Q36" s="26" t="s">
        <v>22</v>
      </c>
      <c r="R36" s="27"/>
      <c r="S36" s="25">
        <v>19</v>
      </c>
      <c r="T36" s="26" t="s">
        <v>22</v>
      </c>
      <c r="U36" s="27"/>
      <c r="V36" s="25">
        <v>17</v>
      </c>
      <c r="W36" s="26" t="s">
        <v>22</v>
      </c>
      <c r="X36" s="27"/>
      <c r="Y36" s="25">
        <v>21</v>
      </c>
      <c r="Z36" s="26" t="s">
        <v>22</v>
      </c>
      <c r="AA36" s="27"/>
      <c r="AB36" s="25">
        <v>18</v>
      </c>
      <c r="AC36" s="26" t="s">
        <v>22</v>
      </c>
      <c r="AD36" s="27"/>
      <c r="AE36" s="25">
        <v>23</v>
      </c>
      <c r="AF36" s="26" t="s">
        <v>22</v>
      </c>
      <c r="AG36" s="27"/>
      <c r="AH36" s="25">
        <v>20</v>
      </c>
      <c r="AI36" s="26" t="s">
        <v>22</v>
      </c>
      <c r="AJ36" s="27"/>
      <c r="AK36" s="25">
        <v>18</v>
      </c>
      <c r="AL36" s="26" t="s">
        <v>22</v>
      </c>
      <c r="AM36" s="22"/>
    </row>
    <row r="37" spans="3:39" s="21" customFormat="1">
      <c r="C37" s="22"/>
      <c r="D37" s="25">
        <v>24</v>
      </c>
      <c r="E37" s="26" t="s">
        <v>23</v>
      </c>
      <c r="F37" s="27"/>
      <c r="G37" s="25">
        <v>21</v>
      </c>
      <c r="H37" s="26" t="s">
        <v>23</v>
      </c>
      <c r="I37" s="27"/>
      <c r="J37" s="25">
        <v>21</v>
      </c>
      <c r="K37" s="26" t="s">
        <v>23</v>
      </c>
      <c r="L37" s="27"/>
      <c r="M37" s="25">
        <v>18</v>
      </c>
      <c r="N37" s="26" t="s">
        <v>23</v>
      </c>
      <c r="O37" s="27"/>
      <c r="P37" s="25">
        <v>23</v>
      </c>
      <c r="Q37" s="26" t="s">
        <v>23</v>
      </c>
      <c r="R37" s="27"/>
      <c r="S37" s="25">
        <v>20</v>
      </c>
      <c r="T37" s="26" t="s">
        <v>23</v>
      </c>
      <c r="U37" s="27"/>
      <c r="V37" s="25">
        <v>18</v>
      </c>
      <c r="W37" s="26" t="s">
        <v>23</v>
      </c>
      <c r="X37" s="27"/>
      <c r="Y37" s="25">
        <v>22</v>
      </c>
      <c r="Z37" s="26" t="s">
        <v>23</v>
      </c>
      <c r="AA37" s="27"/>
      <c r="AB37" s="25">
        <v>19</v>
      </c>
      <c r="AC37" s="26" t="s">
        <v>23</v>
      </c>
      <c r="AD37" s="27"/>
      <c r="AE37" s="25">
        <v>24</v>
      </c>
      <c r="AF37" s="26" t="s">
        <v>23</v>
      </c>
      <c r="AG37" s="27"/>
      <c r="AH37" s="25">
        <v>21</v>
      </c>
      <c r="AI37" s="26" t="s">
        <v>23</v>
      </c>
      <c r="AJ37" s="27"/>
      <c r="AK37" s="25">
        <v>19</v>
      </c>
      <c r="AL37" s="26" t="s">
        <v>23</v>
      </c>
      <c r="AM37" s="22"/>
    </row>
    <row r="38" spans="3:39" s="21" customFormat="1">
      <c r="C38" s="22"/>
      <c r="D38" s="25">
        <v>25</v>
      </c>
      <c r="E38" s="26" t="s">
        <v>24</v>
      </c>
      <c r="F38" s="27"/>
      <c r="G38" s="25">
        <v>22</v>
      </c>
      <c r="H38" s="26" t="s">
        <v>24</v>
      </c>
      <c r="I38" s="27"/>
      <c r="J38" s="25">
        <v>22</v>
      </c>
      <c r="K38" s="26" t="s">
        <v>24</v>
      </c>
      <c r="L38" s="27"/>
      <c r="M38" s="25">
        <v>19</v>
      </c>
      <c r="N38" s="26" t="s">
        <v>24</v>
      </c>
      <c r="O38" s="27"/>
      <c r="P38" s="25">
        <v>24</v>
      </c>
      <c r="Q38" s="26" t="s">
        <v>24</v>
      </c>
      <c r="R38" s="27"/>
      <c r="S38" s="25">
        <v>21</v>
      </c>
      <c r="T38" s="26" t="s">
        <v>24</v>
      </c>
      <c r="U38" s="27"/>
      <c r="V38" s="25">
        <v>19</v>
      </c>
      <c r="W38" s="26" t="s">
        <v>24</v>
      </c>
      <c r="X38" s="27"/>
      <c r="Y38" s="25">
        <v>23</v>
      </c>
      <c r="Z38" s="26" t="s">
        <v>24</v>
      </c>
      <c r="AA38" s="27"/>
      <c r="AB38" s="25">
        <v>20</v>
      </c>
      <c r="AC38" s="26" t="s">
        <v>24</v>
      </c>
      <c r="AD38" s="27"/>
      <c r="AE38" s="25">
        <v>25</v>
      </c>
      <c r="AF38" s="26" t="s">
        <v>24</v>
      </c>
      <c r="AG38" s="27"/>
      <c r="AH38" s="25">
        <v>22</v>
      </c>
      <c r="AI38" s="26" t="s">
        <v>24</v>
      </c>
      <c r="AJ38" s="27"/>
      <c r="AK38" s="25">
        <v>20</v>
      </c>
      <c r="AL38" s="26" t="s">
        <v>24</v>
      </c>
      <c r="AM38" s="22"/>
    </row>
    <row r="39" spans="3:39" s="21" customFormat="1">
      <c r="C39" s="22"/>
      <c r="D39" s="25">
        <v>26</v>
      </c>
      <c r="E39" s="26" t="s">
        <v>25</v>
      </c>
      <c r="F39" s="27"/>
      <c r="G39" s="25">
        <v>23</v>
      </c>
      <c r="H39" s="26" t="s">
        <v>25</v>
      </c>
      <c r="I39" s="27"/>
      <c r="J39" s="25">
        <v>23</v>
      </c>
      <c r="K39" s="26" t="s">
        <v>25</v>
      </c>
      <c r="L39" s="27"/>
      <c r="M39" s="25">
        <v>20</v>
      </c>
      <c r="N39" s="26" t="s">
        <v>25</v>
      </c>
      <c r="O39" s="27"/>
      <c r="P39" s="25">
        <v>25</v>
      </c>
      <c r="Q39" s="26" t="s">
        <v>25</v>
      </c>
      <c r="R39" s="27"/>
      <c r="S39" s="25">
        <v>22</v>
      </c>
      <c r="T39" s="26" t="s">
        <v>25</v>
      </c>
      <c r="U39" s="27"/>
      <c r="V39" s="25">
        <v>20</v>
      </c>
      <c r="W39" s="26" t="s">
        <v>25</v>
      </c>
      <c r="X39" s="27"/>
      <c r="Y39" s="25">
        <v>24</v>
      </c>
      <c r="Z39" s="26" t="s">
        <v>25</v>
      </c>
      <c r="AA39" s="27"/>
      <c r="AB39" s="25">
        <v>21</v>
      </c>
      <c r="AC39" s="26" t="s">
        <v>25</v>
      </c>
      <c r="AD39" s="27"/>
      <c r="AE39" s="25">
        <v>26</v>
      </c>
      <c r="AF39" s="26" t="s">
        <v>25</v>
      </c>
      <c r="AG39" s="27"/>
      <c r="AH39" s="25">
        <v>23</v>
      </c>
      <c r="AI39" s="26" t="s">
        <v>25</v>
      </c>
      <c r="AJ39" s="27"/>
      <c r="AK39" s="25">
        <v>21</v>
      </c>
      <c r="AL39" s="26" t="s">
        <v>25</v>
      </c>
      <c r="AM39" s="22"/>
    </row>
    <row r="40" spans="3:39" s="21" customFormat="1">
      <c r="C40" s="22"/>
      <c r="D40" s="25">
        <v>27</v>
      </c>
      <c r="E40" s="26" t="s">
        <v>26</v>
      </c>
      <c r="F40" s="27"/>
      <c r="G40" s="25">
        <v>24</v>
      </c>
      <c r="H40" s="26" t="s">
        <v>26</v>
      </c>
      <c r="I40" s="27"/>
      <c r="J40" s="25">
        <v>24</v>
      </c>
      <c r="K40" s="26" t="s">
        <v>26</v>
      </c>
      <c r="L40" s="27"/>
      <c r="M40" s="25">
        <v>21</v>
      </c>
      <c r="N40" s="26" t="s">
        <v>26</v>
      </c>
      <c r="O40" s="27"/>
      <c r="P40" s="25">
        <v>26</v>
      </c>
      <c r="Q40" s="26" t="s">
        <v>26</v>
      </c>
      <c r="R40" s="27"/>
      <c r="S40" s="25">
        <v>23</v>
      </c>
      <c r="T40" s="26" t="s">
        <v>26</v>
      </c>
      <c r="U40" s="27"/>
      <c r="V40" s="25">
        <v>21</v>
      </c>
      <c r="W40" s="26" t="s">
        <v>26</v>
      </c>
      <c r="X40" s="27"/>
      <c r="Y40" s="25">
        <v>25</v>
      </c>
      <c r="Z40" s="26" t="s">
        <v>26</v>
      </c>
      <c r="AA40" s="27"/>
      <c r="AB40" s="25">
        <v>22</v>
      </c>
      <c r="AC40" s="26" t="s">
        <v>26</v>
      </c>
      <c r="AD40" s="27"/>
      <c r="AE40" s="25">
        <v>27</v>
      </c>
      <c r="AF40" s="26" t="s">
        <v>26</v>
      </c>
      <c r="AG40" s="27"/>
      <c r="AH40" s="25">
        <v>24</v>
      </c>
      <c r="AI40" s="26" t="s">
        <v>26</v>
      </c>
      <c r="AJ40" s="27"/>
      <c r="AK40" s="25">
        <v>22</v>
      </c>
      <c r="AL40" s="26" t="s">
        <v>26</v>
      </c>
      <c r="AM40" s="22"/>
    </row>
    <row r="41" spans="3:39" s="21" customFormat="1">
      <c r="C41" s="22"/>
      <c r="D41" s="25">
        <v>28</v>
      </c>
      <c r="E41" s="26" t="s">
        <v>27</v>
      </c>
      <c r="F41" s="27"/>
      <c r="G41" s="25">
        <v>25</v>
      </c>
      <c r="H41" s="26" t="s">
        <v>27</v>
      </c>
      <c r="I41" s="27"/>
      <c r="J41" s="25">
        <v>25</v>
      </c>
      <c r="K41" s="26" t="s">
        <v>27</v>
      </c>
      <c r="L41" s="27"/>
      <c r="M41" s="25">
        <v>22</v>
      </c>
      <c r="N41" s="26" t="s">
        <v>27</v>
      </c>
      <c r="O41" s="27"/>
      <c r="P41" s="25">
        <v>27</v>
      </c>
      <c r="Q41" s="26" t="s">
        <v>27</v>
      </c>
      <c r="R41" s="27"/>
      <c r="S41" s="25">
        <v>24</v>
      </c>
      <c r="T41" s="26" t="s">
        <v>27</v>
      </c>
      <c r="U41" s="27"/>
      <c r="V41" s="25">
        <v>22</v>
      </c>
      <c r="W41" s="26" t="s">
        <v>27</v>
      </c>
      <c r="X41" s="27"/>
      <c r="Y41" s="25">
        <v>26</v>
      </c>
      <c r="Z41" s="26" t="s">
        <v>27</v>
      </c>
      <c r="AA41" s="27"/>
      <c r="AB41" s="25">
        <v>23</v>
      </c>
      <c r="AC41" s="26" t="s">
        <v>27</v>
      </c>
      <c r="AD41" s="27"/>
      <c r="AE41" s="25">
        <v>28</v>
      </c>
      <c r="AF41" s="26" t="s">
        <v>27</v>
      </c>
      <c r="AG41" s="27"/>
      <c r="AH41" s="25">
        <v>25</v>
      </c>
      <c r="AI41" s="26" t="s">
        <v>27</v>
      </c>
      <c r="AJ41" s="27"/>
      <c r="AK41" s="25">
        <v>23</v>
      </c>
      <c r="AL41" s="26" t="s">
        <v>27</v>
      </c>
      <c r="AM41" s="22"/>
    </row>
    <row r="42" spans="3:39" s="21" customFormat="1">
      <c r="C42" s="22"/>
      <c r="D42" s="25">
        <v>29</v>
      </c>
      <c r="E42" s="26" t="s">
        <v>28</v>
      </c>
      <c r="F42" s="27"/>
      <c r="G42" s="25">
        <v>26</v>
      </c>
      <c r="H42" s="26" t="s">
        <v>28</v>
      </c>
      <c r="I42" s="27"/>
      <c r="J42" s="25">
        <v>26</v>
      </c>
      <c r="K42" s="26" t="s">
        <v>28</v>
      </c>
      <c r="L42" s="27"/>
      <c r="M42" s="25">
        <v>23</v>
      </c>
      <c r="N42" s="26" t="s">
        <v>28</v>
      </c>
      <c r="O42" s="27"/>
      <c r="P42" s="25">
        <v>28</v>
      </c>
      <c r="Q42" s="26" t="s">
        <v>28</v>
      </c>
      <c r="R42" s="27"/>
      <c r="S42" s="25">
        <v>25</v>
      </c>
      <c r="T42" s="26" t="s">
        <v>28</v>
      </c>
      <c r="U42" s="27"/>
      <c r="V42" s="25">
        <v>23</v>
      </c>
      <c r="W42" s="26" t="s">
        <v>28</v>
      </c>
      <c r="X42" s="27"/>
      <c r="Y42" s="25">
        <v>27</v>
      </c>
      <c r="Z42" s="26" t="s">
        <v>28</v>
      </c>
      <c r="AA42" s="27"/>
      <c r="AB42" s="25">
        <v>24</v>
      </c>
      <c r="AC42" s="26" t="s">
        <v>28</v>
      </c>
      <c r="AD42" s="27"/>
      <c r="AE42" s="25">
        <v>29</v>
      </c>
      <c r="AF42" s="26" t="s">
        <v>28</v>
      </c>
      <c r="AG42" s="27"/>
      <c r="AH42" s="25">
        <v>26</v>
      </c>
      <c r="AI42" s="26" t="s">
        <v>28</v>
      </c>
      <c r="AJ42" s="27"/>
      <c r="AK42" s="25">
        <v>24</v>
      </c>
      <c r="AL42" s="26" t="s">
        <v>28</v>
      </c>
      <c r="AM42" s="22"/>
    </row>
    <row r="43" spans="3:39" s="21" customFormat="1">
      <c r="C43" s="22"/>
      <c r="D43" s="25">
        <v>30</v>
      </c>
      <c r="E43" s="26" t="s">
        <v>22</v>
      </c>
      <c r="F43" s="27"/>
      <c r="G43" s="25">
        <v>27</v>
      </c>
      <c r="H43" s="26" t="s">
        <v>22</v>
      </c>
      <c r="I43" s="27"/>
      <c r="J43" s="25">
        <v>27</v>
      </c>
      <c r="K43" s="26" t="s">
        <v>22</v>
      </c>
      <c r="L43" s="27"/>
      <c r="M43" s="25">
        <v>24</v>
      </c>
      <c r="N43" s="26" t="s">
        <v>22</v>
      </c>
      <c r="O43" s="27"/>
      <c r="P43" s="25">
        <v>29</v>
      </c>
      <c r="Q43" s="26" t="s">
        <v>22</v>
      </c>
      <c r="R43" s="27"/>
      <c r="S43" s="25">
        <v>26</v>
      </c>
      <c r="T43" s="26" t="s">
        <v>22</v>
      </c>
      <c r="U43" s="27"/>
      <c r="V43" s="25">
        <v>24</v>
      </c>
      <c r="W43" s="26" t="s">
        <v>22</v>
      </c>
      <c r="X43" s="27"/>
      <c r="Y43" s="25">
        <v>28</v>
      </c>
      <c r="Z43" s="26" t="s">
        <v>22</v>
      </c>
      <c r="AA43" s="27"/>
      <c r="AB43" s="25">
        <v>25</v>
      </c>
      <c r="AC43" s="26" t="s">
        <v>22</v>
      </c>
      <c r="AD43" s="27"/>
      <c r="AE43" s="25">
        <v>30</v>
      </c>
      <c r="AF43" s="26" t="s">
        <v>22</v>
      </c>
      <c r="AG43" s="27"/>
      <c r="AH43" s="25">
        <v>27</v>
      </c>
      <c r="AI43" s="26" t="s">
        <v>22</v>
      </c>
      <c r="AJ43" s="27"/>
      <c r="AK43" s="25">
        <v>25</v>
      </c>
      <c r="AL43" s="26" t="s">
        <v>22</v>
      </c>
      <c r="AM43" s="22"/>
    </row>
    <row r="44" spans="3:39" s="21" customFormat="1">
      <c r="C44" s="22"/>
      <c r="D44" s="25">
        <v>31</v>
      </c>
      <c r="E44" s="26" t="s">
        <v>23</v>
      </c>
      <c r="F44" s="27"/>
      <c r="G44" s="25">
        <v>28</v>
      </c>
      <c r="H44" s="26" t="s">
        <v>23</v>
      </c>
      <c r="I44" s="27"/>
      <c r="J44" s="25">
        <v>28</v>
      </c>
      <c r="K44" s="26" t="s">
        <v>23</v>
      </c>
      <c r="L44" s="27"/>
      <c r="M44" s="25">
        <v>25</v>
      </c>
      <c r="N44" s="26" t="s">
        <v>23</v>
      </c>
      <c r="O44" s="27"/>
      <c r="P44" s="25">
        <v>30</v>
      </c>
      <c r="Q44" s="26" t="s">
        <v>23</v>
      </c>
      <c r="R44" s="27"/>
      <c r="S44" s="25">
        <v>27</v>
      </c>
      <c r="T44" s="26" t="s">
        <v>23</v>
      </c>
      <c r="U44" s="27"/>
      <c r="V44" s="25">
        <v>25</v>
      </c>
      <c r="W44" s="26" t="s">
        <v>23</v>
      </c>
      <c r="X44" s="27"/>
      <c r="Y44" s="25">
        <v>29</v>
      </c>
      <c r="Z44" s="26" t="s">
        <v>23</v>
      </c>
      <c r="AA44" s="27"/>
      <c r="AB44" s="25">
        <v>26</v>
      </c>
      <c r="AC44" s="26" t="s">
        <v>23</v>
      </c>
      <c r="AD44" s="27"/>
      <c r="AE44" s="25">
        <v>31</v>
      </c>
      <c r="AF44" s="26" t="s">
        <v>23</v>
      </c>
      <c r="AG44" s="27"/>
      <c r="AH44" s="25">
        <v>28</v>
      </c>
      <c r="AI44" s="26" t="s">
        <v>23</v>
      </c>
      <c r="AJ44" s="27"/>
      <c r="AK44" s="25">
        <v>26</v>
      </c>
      <c r="AL44" s="26" t="s">
        <v>23</v>
      </c>
      <c r="AM44" s="22"/>
    </row>
    <row r="45" spans="3:39" s="21" customFormat="1">
      <c r="C45" s="22"/>
      <c r="D45" s="25" t="e">
        <v>#NAME?</v>
      </c>
      <c r="E45" s="26" t="e">
        <v>#NAME?</v>
      </c>
      <c r="F45" s="27"/>
      <c r="G45" s="25" t="e">
        <v>#NAME?</v>
      </c>
      <c r="H45" s="26" t="e">
        <v>#NAME?</v>
      </c>
      <c r="I45" s="27"/>
      <c r="J45" s="25">
        <v>29</v>
      </c>
      <c r="K45" s="26" t="s">
        <v>24</v>
      </c>
      <c r="L45" s="27"/>
      <c r="M45" s="25">
        <v>26</v>
      </c>
      <c r="N45" s="26" t="s">
        <v>24</v>
      </c>
      <c r="O45" s="27"/>
      <c r="P45" s="25">
        <v>31</v>
      </c>
      <c r="Q45" s="26" t="s">
        <v>24</v>
      </c>
      <c r="R45" s="27"/>
      <c r="S45" s="25">
        <v>28</v>
      </c>
      <c r="T45" s="26" t="s">
        <v>24</v>
      </c>
      <c r="U45" s="27"/>
      <c r="V45" s="25">
        <v>26</v>
      </c>
      <c r="W45" s="26" t="s">
        <v>24</v>
      </c>
      <c r="X45" s="27"/>
      <c r="Y45" s="25">
        <v>30</v>
      </c>
      <c r="Z45" s="26" t="s">
        <v>24</v>
      </c>
      <c r="AA45" s="27"/>
      <c r="AB45" s="25">
        <v>27</v>
      </c>
      <c r="AC45" s="26" t="s">
        <v>24</v>
      </c>
      <c r="AD45" s="27"/>
      <c r="AE45" s="25" t="e">
        <v>#NAME?</v>
      </c>
      <c r="AF45" s="26" t="e">
        <v>#NAME?</v>
      </c>
      <c r="AG45" s="27"/>
      <c r="AH45" s="25">
        <v>29</v>
      </c>
      <c r="AI45" s="26" t="s">
        <v>24</v>
      </c>
      <c r="AJ45" s="27"/>
      <c r="AK45" s="25">
        <v>27</v>
      </c>
      <c r="AL45" s="26" t="s">
        <v>24</v>
      </c>
      <c r="AM45" s="22"/>
    </row>
    <row r="46" spans="3:39" s="21" customFormat="1">
      <c r="C46" s="22"/>
      <c r="D46" s="25" t="e">
        <v>#NAME?</v>
      </c>
      <c r="E46" s="26" t="e">
        <v>#NAME?</v>
      </c>
      <c r="F46" s="27"/>
      <c r="G46" s="25" t="e">
        <v>#NAME?</v>
      </c>
      <c r="H46" s="26" t="e">
        <v>#NAME?</v>
      </c>
      <c r="I46" s="27"/>
      <c r="J46" s="25">
        <v>30</v>
      </c>
      <c r="K46" s="26" t="s">
        <v>25</v>
      </c>
      <c r="L46" s="27"/>
      <c r="M46" s="25">
        <v>27</v>
      </c>
      <c r="N46" s="26" t="s">
        <v>25</v>
      </c>
      <c r="O46" s="27"/>
      <c r="P46" s="25" t="e">
        <v>#NAME?</v>
      </c>
      <c r="Q46" s="26" t="e">
        <v>#NAME?</v>
      </c>
      <c r="R46" s="27"/>
      <c r="S46" s="25">
        <v>29</v>
      </c>
      <c r="T46" s="26" t="s">
        <v>25</v>
      </c>
      <c r="U46" s="27"/>
      <c r="V46" s="25">
        <v>27</v>
      </c>
      <c r="W46" s="26" t="s">
        <v>25</v>
      </c>
      <c r="X46" s="27"/>
      <c r="Y46" s="25">
        <v>31</v>
      </c>
      <c r="Z46" s="26" t="s">
        <v>25</v>
      </c>
      <c r="AA46" s="27"/>
      <c r="AB46" s="25">
        <v>28</v>
      </c>
      <c r="AC46" s="26" t="s">
        <v>25</v>
      </c>
      <c r="AD46" s="27"/>
      <c r="AE46" s="25" t="e">
        <v>#NAME?</v>
      </c>
      <c r="AF46" s="26" t="e">
        <v>#NAME?</v>
      </c>
      <c r="AG46" s="27"/>
      <c r="AH46" s="25">
        <v>30</v>
      </c>
      <c r="AI46" s="26" t="s">
        <v>25</v>
      </c>
      <c r="AJ46" s="27"/>
      <c r="AK46" s="25">
        <v>28</v>
      </c>
      <c r="AL46" s="26" t="s">
        <v>25</v>
      </c>
      <c r="AM46" s="22"/>
    </row>
    <row r="47" spans="3:39" s="21" customFormat="1">
      <c r="C47" s="22"/>
      <c r="D47" s="25" t="e">
        <v>#NAME?</v>
      </c>
      <c r="E47" s="26" t="e">
        <v>#NAME?</v>
      </c>
      <c r="F47" s="27"/>
      <c r="G47" s="25" t="e">
        <v>#NAME?</v>
      </c>
      <c r="H47" s="26" t="e">
        <v>#NAME?</v>
      </c>
      <c r="I47" s="27"/>
      <c r="J47" s="25">
        <v>31</v>
      </c>
      <c r="K47" s="26" t="s">
        <v>26</v>
      </c>
      <c r="L47" s="27"/>
      <c r="M47" s="25">
        <v>28</v>
      </c>
      <c r="N47" s="26" t="s">
        <v>26</v>
      </c>
      <c r="O47" s="27"/>
      <c r="P47" s="25" t="e">
        <v>#NAME?</v>
      </c>
      <c r="Q47" s="26" t="e">
        <v>#NAME?</v>
      </c>
      <c r="R47" s="27"/>
      <c r="S47" s="25">
        <v>30</v>
      </c>
      <c r="T47" s="26" t="s">
        <v>26</v>
      </c>
      <c r="U47" s="27"/>
      <c r="V47" s="25">
        <v>28</v>
      </c>
      <c r="W47" s="26" t="s">
        <v>26</v>
      </c>
      <c r="X47" s="27"/>
      <c r="Y47" s="25" t="e">
        <v>#NAME?</v>
      </c>
      <c r="Z47" s="26" t="e">
        <v>#NAME?</v>
      </c>
      <c r="AA47" s="27"/>
      <c r="AB47" s="25">
        <v>29</v>
      </c>
      <c r="AC47" s="26" t="s">
        <v>26</v>
      </c>
      <c r="AD47" s="27"/>
      <c r="AE47" s="25" t="e">
        <v>#NAME?</v>
      </c>
      <c r="AF47" s="26" t="e">
        <v>#NAME?</v>
      </c>
      <c r="AG47" s="27"/>
      <c r="AH47" s="25" t="e">
        <v>#NAME?</v>
      </c>
      <c r="AI47" s="26" t="e">
        <v>#NAME?</v>
      </c>
      <c r="AJ47" s="27"/>
      <c r="AK47" s="25">
        <v>29</v>
      </c>
      <c r="AL47" s="26" t="s">
        <v>26</v>
      </c>
      <c r="AM47" s="22"/>
    </row>
    <row r="48" spans="3:39" s="21" customFormat="1">
      <c r="C48" s="22"/>
      <c r="D48" s="25" t="e">
        <v>#NAME?</v>
      </c>
      <c r="E48" s="26" t="e">
        <v>#NAME?</v>
      </c>
      <c r="F48" s="27"/>
      <c r="G48" s="25" t="e">
        <v>#NAME?</v>
      </c>
      <c r="H48" s="26" t="e">
        <v>#NAME?</v>
      </c>
      <c r="I48" s="27"/>
      <c r="J48" s="25" t="e">
        <v>#NAME?</v>
      </c>
      <c r="K48" s="26" t="e">
        <v>#NAME?</v>
      </c>
      <c r="L48" s="27"/>
      <c r="M48" s="25">
        <v>29</v>
      </c>
      <c r="N48" s="26" t="s">
        <v>27</v>
      </c>
      <c r="O48" s="27"/>
      <c r="P48" s="25" t="e">
        <v>#NAME?</v>
      </c>
      <c r="Q48" s="26" t="e">
        <v>#NAME?</v>
      </c>
      <c r="R48" s="27"/>
      <c r="S48" s="25" t="e">
        <v>#NAME?</v>
      </c>
      <c r="T48" s="26" t="e">
        <v>#NAME?</v>
      </c>
      <c r="U48" s="27"/>
      <c r="V48" s="25">
        <v>29</v>
      </c>
      <c r="W48" s="26" t="s">
        <v>27</v>
      </c>
      <c r="X48" s="27"/>
      <c r="Y48" s="25" t="e">
        <v>#NAME?</v>
      </c>
      <c r="Z48" s="26" t="e">
        <v>#NAME?</v>
      </c>
      <c r="AA48" s="27"/>
      <c r="AB48" s="25">
        <v>30</v>
      </c>
      <c r="AC48" s="26" t="s">
        <v>27</v>
      </c>
      <c r="AD48" s="27"/>
      <c r="AE48" s="25" t="e">
        <v>#NAME?</v>
      </c>
      <c r="AF48" s="26" t="e">
        <v>#NAME?</v>
      </c>
      <c r="AG48" s="27"/>
      <c r="AH48" s="25" t="e">
        <v>#NAME?</v>
      </c>
      <c r="AI48" s="26" t="e">
        <v>#NAME?</v>
      </c>
      <c r="AJ48" s="27"/>
      <c r="AK48" s="25">
        <v>30</v>
      </c>
      <c r="AL48" s="26" t="s">
        <v>27</v>
      </c>
      <c r="AM48" s="22"/>
    </row>
    <row r="49" spans="1:39">
      <c r="C49" s="22"/>
      <c r="D49" s="25" t="e">
        <v>#NAME?</v>
      </c>
      <c r="E49" s="26" t="e">
        <v>#NAME?</v>
      </c>
      <c r="F49" s="27"/>
      <c r="G49" s="25" t="e">
        <v>#NAME?</v>
      </c>
      <c r="H49" s="26" t="e">
        <v>#NAME?</v>
      </c>
      <c r="I49" s="27"/>
      <c r="J49" s="25" t="e">
        <v>#NAME?</v>
      </c>
      <c r="K49" s="26" t="e">
        <v>#NAME?</v>
      </c>
      <c r="L49" s="27"/>
      <c r="M49" s="25">
        <v>30</v>
      </c>
      <c r="N49" s="26" t="s">
        <v>28</v>
      </c>
      <c r="O49" s="27"/>
      <c r="P49" s="25" t="e">
        <v>#NAME?</v>
      </c>
      <c r="Q49" s="26" t="e">
        <v>#NAME?</v>
      </c>
      <c r="R49" s="27"/>
      <c r="S49" s="25" t="e">
        <v>#NAME?</v>
      </c>
      <c r="T49" s="26" t="e">
        <v>#NAME?</v>
      </c>
      <c r="U49" s="27"/>
      <c r="V49" s="25">
        <v>30</v>
      </c>
      <c r="W49" s="26" t="s">
        <v>28</v>
      </c>
      <c r="X49" s="27"/>
      <c r="Y49" s="25" t="e">
        <v>#NAME?</v>
      </c>
      <c r="Z49" s="26" t="e">
        <v>#NAME?</v>
      </c>
      <c r="AA49" s="27"/>
      <c r="AB49" s="25" t="e">
        <v>#NAME?</v>
      </c>
      <c r="AC49" s="26" t="e">
        <v>#NAME?</v>
      </c>
      <c r="AD49" s="27"/>
      <c r="AE49" s="25" t="e">
        <v>#NAME?</v>
      </c>
      <c r="AF49" s="26" t="e">
        <v>#NAME?</v>
      </c>
      <c r="AG49" s="27"/>
      <c r="AH49" s="25" t="e">
        <v>#NAME?</v>
      </c>
      <c r="AI49" s="26" t="e">
        <v>#NAME?</v>
      </c>
      <c r="AJ49" s="27"/>
      <c r="AK49" s="25">
        <v>31</v>
      </c>
      <c r="AL49" s="26" t="s">
        <v>28</v>
      </c>
      <c r="AM49" s="22"/>
    </row>
    <row r="50" spans="1:39">
      <c r="C50" s="22"/>
      <c r="D50" s="25" t="e">
        <v>#NAME?</v>
      </c>
      <c r="E50" s="26" t="e">
        <v>#NAME?</v>
      </c>
      <c r="F50" s="27"/>
      <c r="G50" s="25" t="e">
        <v>#NAME?</v>
      </c>
      <c r="H50" s="26" t="e">
        <v>#NAME?</v>
      </c>
      <c r="I50" s="27"/>
      <c r="J50" s="25" t="e">
        <v>#NAME?</v>
      </c>
      <c r="K50" s="26" t="e">
        <v>#NAME?</v>
      </c>
      <c r="L50" s="27"/>
      <c r="M50" s="25" t="e">
        <v>#NAME?</v>
      </c>
      <c r="N50" s="26" t="e">
        <v>#NAME?</v>
      </c>
      <c r="O50" s="27"/>
      <c r="P50" s="25" t="e">
        <v>#NAME?</v>
      </c>
      <c r="Q50" s="26" t="e">
        <v>#NAME?</v>
      </c>
      <c r="R50" s="27"/>
      <c r="S50" s="25" t="e">
        <v>#NAME?</v>
      </c>
      <c r="T50" s="26" t="e">
        <v>#NAME?</v>
      </c>
      <c r="U50" s="27"/>
      <c r="V50" s="25">
        <v>31</v>
      </c>
      <c r="W50" s="26" t="s">
        <v>22</v>
      </c>
      <c r="X50" s="27"/>
      <c r="Y50" s="25" t="e">
        <v>#NAME?</v>
      </c>
      <c r="Z50" s="26" t="e">
        <v>#NAME?</v>
      </c>
      <c r="AA50" s="27"/>
      <c r="AB50" s="25" t="e">
        <v>#NAME?</v>
      </c>
      <c r="AC50" s="26" t="e">
        <v>#NAME?</v>
      </c>
      <c r="AD50" s="27"/>
      <c r="AE50" s="25" t="e">
        <v>#NAME?</v>
      </c>
      <c r="AF50" s="26" t="e">
        <v>#NAME?</v>
      </c>
      <c r="AG50" s="27"/>
      <c r="AH50" s="25" t="e">
        <v>#NAME?</v>
      </c>
      <c r="AI50" s="26" t="e">
        <v>#NAME?</v>
      </c>
      <c r="AJ50" s="27"/>
      <c r="AK50" s="25" t="e">
        <v>#NAME?</v>
      </c>
      <c r="AL50" s="26" t="e">
        <v>#NAME?</v>
      </c>
      <c r="AM50" s="22"/>
    </row>
    <row r="51" spans="1:39">
      <c r="C51" s="22"/>
      <c r="D51" s="25" t="e">
        <v>#NAME?</v>
      </c>
      <c r="E51" s="26" t="e">
        <v>#NAME?</v>
      </c>
      <c r="F51" s="27"/>
      <c r="G51" s="25" t="e">
        <v>#NAME?</v>
      </c>
      <c r="H51" s="26" t="e">
        <v>#NAME?</v>
      </c>
      <c r="I51" s="27"/>
      <c r="J51" s="25" t="e">
        <v>#NAME?</v>
      </c>
      <c r="K51" s="26" t="e">
        <v>#NAME?</v>
      </c>
      <c r="L51" s="27"/>
      <c r="M51" s="25" t="e">
        <v>#NAME?</v>
      </c>
      <c r="N51" s="26" t="e">
        <v>#NAME?</v>
      </c>
      <c r="O51" s="27"/>
      <c r="P51" s="25" t="e">
        <v>#NAME?</v>
      </c>
      <c r="Q51" s="26" t="e">
        <v>#NAME?</v>
      </c>
      <c r="R51" s="27"/>
      <c r="S51" s="25" t="e">
        <v>#NAME?</v>
      </c>
      <c r="T51" s="26" t="e">
        <v>#NAME?</v>
      </c>
      <c r="U51" s="27"/>
      <c r="V51" s="25" t="e">
        <v>#NAME?</v>
      </c>
      <c r="W51" s="26" t="e">
        <v>#NAME?</v>
      </c>
      <c r="X51" s="27"/>
      <c r="Y51" s="25" t="e">
        <v>#NAME?</v>
      </c>
      <c r="Z51" s="26" t="e">
        <v>#NAME?</v>
      </c>
      <c r="AA51" s="27"/>
      <c r="AB51" s="25" t="e">
        <v>#NAME?</v>
      </c>
      <c r="AC51" s="26" t="e">
        <v>#NAME?</v>
      </c>
      <c r="AD51" s="27"/>
      <c r="AE51" s="25" t="e">
        <v>#NAME?</v>
      </c>
      <c r="AF51" s="26" t="e">
        <v>#NAME?</v>
      </c>
      <c r="AG51" s="27"/>
      <c r="AH51" s="25" t="e">
        <v>#NAME?</v>
      </c>
      <c r="AI51" s="26" t="e">
        <v>#NAME?</v>
      </c>
      <c r="AJ51" s="27"/>
      <c r="AK51" s="25" t="e">
        <v>#NAME?</v>
      </c>
      <c r="AL51" s="26" t="e">
        <v>#NAME?</v>
      </c>
      <c r="AM51" s="22"/>
    </row>
    <row r="52" spans="1:39">
      <c r="C52" s="22"/>
      <c r="D52" s="25" t="e">
        <v>#NAME?</v>
      </c>
      <c r="E52" s="26" t="e">
        <v>#NAME?</v>
      </c>
      <c r="F52" s="27"/>
      <c r="G52" s="25" t="e">
        <v>#NAME?</v>
      </c>
      <c r="H52" s="26" t="e">
        <v>#NAME?</v>
      </c>
      <c r="I52" s="27"/>
      <c r="J52" s="25" t="e">
        <v>#NAME?</v>
      </c>
      <c r="K52" s="26" t="e">
        <v>#NAME?</v>
      </c>
      <c r="L52" s="27"/>
      <c r="M52" s="25" t="e">
        <v>#NAME?</v>
      </c>
      <c r="N52" s="26" t="e">
        <v>#NAME?</v>
      </c>
      <c r="O52" s="27"/>
      <c r="P52" s="25" t="e">
        <v>#NAME?</v>
      </c>
      <c r="Q52" s="26" t="e">
        <v>#NAME?</v>
      </c>
      <c r="R52" s="27"/>
      <c r="S52" s="25" t="e">
        <v>#NAME?</v>
      </c>
      <c r="T52" s="26" t="e">
        <v>#NAME?</v>
      </c>
      <c r="U52" s="27"/>
      <c r="V52" s="25" t="e">
        <v>#NAME?</v>
      </c>
      <c r="W52" s="26" t="e">
        <v>#NAME?</v>
      </c>
      <c r="X52" s="27"/>
      <c r="Y52" s="25" t="e">
        <v>#NAME?</v>
      </c>
      <c r="Z52" s="26" t="e">
        <v>#NAME?</v>
      </c>
      <c r="AA52" s="27"/>
      <c r="AB52" s="25" t="e">
        <v>#NAME?</v>
      </c>
      <c r="AC52" s="26" t="e">
        <v>#NAME?</v>
      </c>
      <c r="AD52" s="27"/>
      <c r="AE52" s="25" t="e">
        <v>#NAME?</v>
      </c>
      <c r="AF52" s="26" t="e">
        <v>#NAME?</v>
      </c>
      <c r="AG52" s="27"/>
      <c r="AH52" s="25" t="e">
        <v>#NAME?</v>
      </c>
      <c r="AI52" s="26" t="e">
        <v>#NAME?</v>
      </c>
      <c r="AJ52" s="27"/>
      <c r="AK52" s="25" t="e">
        <v>#NAME?</v>
      </c>
      <c r="AL52" s="26" t="e">
        <v>#NAME?</v>
      </c>
      <c r="AM52" s="22"/>
    </row>
    <row r="53" spans="1:39">
      <c r="C53" s="22"/>
      <c r="D53" s="25" t="e">
        <v>#NAME?</v>
      </c>
      <c r="E53" s="26" t="e">
        <v>#NAME?</v>
      </c>
      <c r="F53" s="27"/>
      <c r="G53" s="25" t="e">
        <v>#NAME?</v>
      </c>
      <c r="H53" s="26" t="e">
        <v>#NAME?</v>
      </c>
      <c r="I53" s="27"/>
      <c r="J53" s="25" t="e">
        <v>#NAME?</v>
      </c>
      <c r="K53" s="26" t="e">
        <v>#NAME?</v>
      </c>
      <c r="L53" s="27"/>
      <c r="M53" s="25" t="e">
        <v>#NAME?</v>
      </c>
      <c r="N53" s="26" t="e">
        <v>#NAME?</v>
      </c>
      <c r="O53" s="27"/>
      <c r="P53" s="25" t="e">
        <v>#NAME?</v>
      </c>
      <c r="Q53" s="26" t="e">
        <v>#NAME?</v>
      </c>
      <c r="R53" s="27"/>
      <c r="S53" s="25" t="e">
        <v>#NAME?</v>
      </c>
      <c r="T53" s="26" t="e">
        <v>#NAME?</v>
      </c>
      <c r="U53" s="27"/>
      <c r="V53" s="25" t="e">
        <v>#NAME?</v>
      </c>
      <c r="W53" s="26" t="e">
        <v>#NAME?</v>
      </c>
      <c r="X53" s="27"/>
      <c r="Y53" s="25" t="e">
        <v>#NAME?</v>
      </c>
      <c r="Z53" s="26" t="e">
        <v>#NAME?</v>
      </c>
      <c r="AA53" s="27"/>
      <c r="AB53" s="25" t="e">
        <v>#NAME?</v>
      </c>
      <c r="AC53" s="26" t="e">
        <v>#NAME?</v>
      </c>
      <c r="AD53" s="27"/>
      <c r="AE53" s="25" t="e">
        <v>#NAME?</v>
      </c>
      <c r="AF53" s="26" t="e">
        <v>#NAME?</v>
      </c>
      <c r="AG53" s="27"/>
      <c r="AH53" s="25" t="e">
        <v>#NAME?</v>
      </c>
      <c r="AI53" s="26" t="e">
        <v>#NAME?</v>
      </c>
      <c r="AJ53" s="27"/>
      <c r="AK53" s="25" t="e">
        <v>#NAME?</v>
      </c>
      <c r="AL53" s="26" t="e">
        <v>#NAME?</v>
      </c>
      <c r="AM53" s="22"/>
    </row>
    <row r="54" spans="1:39">
      <c r="C54" s="22"/>
      <c r="D54" s="25" t="e">
        <v>#NAME?</v>
      </c>
      <c r="E54" s="26" t="e">
        <v>#NAME?</v>
      </c>
      <c r="F54" s="27"/>
      <c r="G54" s="25" t="e">
        <v>#NAME?</v>
      </c>
      <c r="H54" s="26" t="e">
        <v>#NAME?</v>
      </c>
      <c r="I54" s="27"/>
      <c r="J54" s="25" t="e">
        <v>#NAME?</v>
      </c>
      <c r="K54" s="26" t="e">
        <v>#NAME?</v>
      </c>
      <c r="L54" s="27"/>
      <c r="M54" s="25" t="e">
        <v>#NAME?</v>
      </c>
      <c r="N54" s="26" t="e">
        <v>#NAME?</v>
      </c>
      <c r="O54" s="27"/>
      <c r="P54" s="25" t="e">
        <v>#NAME?</v>
      </c>
      <c r="Q54" s="26" t="e">
        <v>#NAME?</v>
      </c>
      <c r="R54" s="27"/>
      <c r="S54" s="25" t="e">
        <v>#NAME?</v>
      </c>
      <c r="T54" s="26" t="e">
        <v>#NAME?</v>
      </c>
      <c r="U54" s="27"/>
      <c r="V54" s="25" t="e">
        <v>#NAME?</v>
      </c>
      <c r="W54" s="26" t="e">
        <v>#NAME?</v>
      </c>
      <c r="X54" s="27"/>
      <c r="Y54" s="25" t="e">
        <v>#NAME?</v>
      </c>
      <c r="Z54" s="26" t="e">
        <v>#NAME?</v>
      </c>
      <c r="AA54" s="27"/>
      <c r="AB54" s="25" t="e">
        <v>#NAME?</v>
      </c>
      <c r="AC54" s="26" t="e">
        <v>#NAME?</v>
      </c>
      <c r="AD54" s="27"/>
      <c r="AE54" s="25" t="e">
        <v>#NAME?</v>
      </c>
      <c r="AF54" s="26" t="e">
        <v>#NAME?</v>
      </c>
      <c r="AG54" s="27"/>
      <c r="AH54" s="25" t="e">
        <v>#NAME?</v>
      </c>
      <c r="AI54" s="26" t="e">
        <v>#NAME?</v>
      </c>
      <c r="AJ54" s="27"/>
      <c r="AK54" s="25" t="e">
        <v>#NAME?</v>
      </c>
      <c r="AL54" s="26" t="e">
        <v>#NAME?</v>
      </c>
      <c r="AM54" s="22"/>
    </row>
    <row r="55" spans="1:39">
      <c r="C55" s="22"/>
      <c r="D55" s="25" t="e">
        <v>#NAME?</v>
      </c>
      <c r="E55" s="26" t="e">
        <v>#NAME?</v>
      </c>
      <c r="F55" s="27"/>
      <c r="G55" s="25" t="e">
        <v>#NAME?</v>
      </c>
      <c r="H55" s="26" t="e">
        <v>#NAME?</v>
      </c>
      <c r="I55" s="27"/>
      <c r="J55" s="25" t="e">
        <v>#NAME?</v>
      </c>
      <c r="K55" s="26" t="e">
        <v>#NAME?</v>
      </c>
      <c r="L55" s="27"/>
      <c r="M55" s="25" t="e">
        <v>#NAME?</v>
      </c>
      <c r="N55" s="26" t="e">
        <v>#NAME?</v>
      </c>
      <c r="O55" s="27"/>
      <c r="P55" s="25" t="e">
        <v>#NAME?</v>
      </c>
      <c r="Q55" s="26" t="e">
        <v>#NAME?</v>
      </c>
      <c r="R55" s="27"/>
      <c r="S55" s="25" t="e">
        <v>#NAME?</v>
      </c>
      <c r="T55" s="26" t="e">
        <v>#NAME?</v>
      </c>
      <c r="U55" s="27"/>
      <c r="V55" s="25" t="e">
        <v>#NAME?</v>
      </c>
      <c r="W55" s="26" t="e">
        <v>#NAME?</v>
      </c>
      <c r="X55" s="27"/>
      <c r="Y55" s="25" t="e">
        <v>#NAME?</v>
      </c>
      <c r="Z55" s="26" t="e">
        <v>#NAME?</v>
      </c>
      <c r="AA55" s="27"/>
      <c r="AB55" s="25" t="e">
        <v>#NAME?</v>
      </c>
      <c r="AC55" s="26" t="e">
        <v>#NAME?</v>
      </c>
      <c r="AD55" s="27"/>
      <c r="AE55" s="25" t="e">
        <v>#NAME?</v>
      </c>
      <c r="AF55" s="26" t="e">
        <v>#NAME?</v>
      </c>
      <c r="AG55" s="27"/>
      <c r="AH55" s="25" t="e">
        <v>#NAME?</v>
      </c>
      <c r="AI55" s="26" t="e">
        <v>#NAME?</v>
      </c>
      <c r="AJ55" s="27"/>
      <c r="AK55" s="25" t="e">
        <v>#NAME?</v>
      </c>
      <c r="AL55" s="26" t="e">
        <v>#NAME?</v>
      </c>
      <c r="AM55" s="22"/>
    </row>
    <row r="56" spans="1:39">
      <c r="A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</row>
    <row r="57" spans="1:39"/>
    <row r="58" spans="1:39"/>
    <row r="59" spans="1:39">
      <c r="D59" s="1013" t="s">
        <v>82</v>
      </c>
      <c r="E59" s="1013"/>
      <c r="F59" s="28"/>
      <c r="G59" s="1013" t="s">
        <v>83</v>
      </c>
      <c r="H59" s="1013"/>
      <c r="I59" s="28"/>
      <c r="J59" s="1013" t="s">
        <v>84</v>
      </c>
      <c r="K59" s="1013"/>
      <c r="L59" s="28"/>
      <c r="M59" s="1013" t="s">
        <v>85</v>
      </c>
      <c r="N59" s="1013"/>
      <c r="O59" s="28"/>
      <c r="P59" s="1013" t="s">
        <v>86</v>
      </c>
      <c r="Q59" s="1013"/>
      <c r="R59" s="28"/>
      <c r="S59" s="1013" t="s">
        <v>87</v>
      </c>
      <c r="T59" s="1013"/>
      <c r="U59" s="28"/>
      <c r="V59" s="1013" t="s">
        <v>88</v>
      </c>
      <c r="W59" s="1013"/>
      <c r="X59" s="28"/>
      <c r="Y59" s="1013" t="s">
        <v>89</v>
      </c>
      <c r="Z59" s="1013"/>
      <c r="AA59" s="28"/>
      <c r="AB59" s="1013" t="s">
        <v>90</v>
      </c>
      <c r="AC59" s="1013"/>
      <c r="AD59" s="28"/>
      <c r="AE59" s="1013" t="s">
        <v>91</v>
      </c>
      <c r="AF59" s="1013"/>
      <c r="AG59" s="28"/>
      <c r="AH59" s="1013" t="s">
        <v>92</v>
      </c>
      <c r="AI59" s="1013"/>
      <c r="AJ59" s="28"/>
      <c r="AK59" s="1013" t="s">
        <v>93</v>
      </c>
      <c r="AL59" s="1013"/>
    </row>
    <row r="60" spans="1:39">
      <c r="D60" s="28" t="s">
        <v>94</v>
      </c>
      <c r="E60" s="28" t="s">
        <v>95</v>
      </c>
      <c r="F60" s="28"/>
      <c r="G60" s="28" t="s">
        <v>94</v>
      </c>
      <c r="H60" s="28" t="s">
        <v>95</v>
      </c>
      <c r="I60" s="28"/>
      <c r="J60" s="28" t="s">
        <v>94</v>
      </c>
      <c r="K60" s="28" t="s">
        <v>95</v>
      </c>
      <c r="L60" s="28"/>
      <c r="M60" s="28" t="s">
        <v>94</v>
      </c>
      <c r="N60" s="28" t="s">
        <v>95</v>
      </c>
      <c r="O60" s="28"/>
      <c r="P60" s="28" t="s">
        <v>94</v>
      </c>
      <c r="Q60" s="28" t="s">
        <v>95</v>
      </c>
      <c r="R60" s="28"/>
      <c r="S60" s="28" t="s">
        <v>94</v>
      </c>
      <c r="T60" s="28" t="s">
        <v>95</v>
      </c>
      <c r="U60" s="28"/>
      <c r="V60" s="28" t="s">
        <v>94</v>
      </c>
      <c r="W60" s="28" t="s">
        <v>95</v>
      </c>
      <c r="X60" s="28"/>
      <c r="Y60" s="28" t="s">
        <v>94</v>
      </c>
      <c r="Z60" s="28" t="s">
        <v>95</v>
      </c>
      <c r="AA60" s="28"/>
      <c r="AB60" s="28" t="s">
        <v>94</v>
      </c>
      <c r="AC60" s="28" t="s">
        <v>95</v>
      </c>
      <c r="AD60" s="28"/>
      <c r="AE60" s="28" t="s">
        <v>94</v>
      </c>
      <c r="AF60" s="28" t="s">
        <v>95</v>
      </c>
      <c r="AG60" s="28"/>
      <c r="AH60" s="28" t="s">
        <v>94</v>
      </c>
      <c r="AI60" s="28" t="s">
        <v>95</v>
      </c>
      <c r="AJ60" s="28"/>
      <c r="AK60" s="28" t="s">
        <v>94</v>
      </c>
      <c r="AL60" s="28" t="s">
        <v>95</v>
      </c>
    </row>
    <row r="61" spans="1:39">
      <c r="D61" s="28">
        <v>1</v>
      </c>
      <c r="E61" s="28" t="s">
        <v>28</v>
      </c>
      <c r="F61" s="28"/>
      <c r="G61" s="28">
        <v>1</v>
      </c>
      <c r="H61" s="28" t="s">
        <v>24</v>
      </c>
      <c r="I61" s="28"/>
      <c r="J61" s="28">
        <v>1</v>
      </c>
      <c r="K61" s="28" t="s">
        <v>24</v>
      </c>
      <c r="L61" s="28"/>
      <c r="M61" s="28">
        <v>1</v>
      </c>
      <c r="N61" s="28" t="s">
        <v>27</v>
      </c>
      <c r="O61" s="28"/>
      <c r="P61" s="28">
        <v>1</v>
      </c>
      <c r="Q61" s="28" t="s">
        <v>22</v>
      </c>
      <c r="R61" s="28"/>
      <c r="S61" s="28">
        <v>1</v>
      </c>
      <c r="T61" s="28" t="s">
        <v>25</v>
      </c>
      <c r="U61" s="28"/>
      <c r="V61" s="28">
        <v>1</v>
      </c>
      <c r="W61" s="28" t="s">
        <v>27</v>
      </c>
      <c r="X61" s="28"/>
      <c r="Y61" s="28">
        <v>1</v>
      </c>
      <c r="Z61" s="28" t="s">
        <v>23</v>
      </c>
      <c r="AA61" s="28"/>
      <c r="AB61" s="28">
        <v>1</v>
      </c>
      <c r="AC61" s="28" t="s">
        <v>26</v>
      </c>
      <c r="AD61" s="28"/>
      <c r="AE61" s="28">
        <v>1</v>
      </c>
      <c r="AF61" s="28" t="s">
        <v>28</v>
      </c>
      <c r="AG61" s="28"/>
      <c r="AH61" s="28">
        <v>1</v>
      </c>
      <c r="AI61" s="28" t="s">
        <v>24</v>
      </c>
      <c r="AJ61" s="28"/>
      <c r="AK61" s="28">
        <v>1</v>
      </c>
      <c r="AL61" s="28" t="s">
        <v>26</v>
      </c>
    </row>
    <row r="62" spans="1:39">
      <c r="D62" s="28">
        <v>2</v>
      </c>
      <c r="E62" s="28" t="s">
        <v>22</v>
      </c>
      <c r="F62" s="28"/>
      <c r="G62" s="28">
        <v>2</v>
      </c>
      <c r="H62" s="28" t="s">
        <v>25</v>
      </c>
      <c r="I62" s="28"/>
      <c r="J62" s="28">
        <v>2</v>
      </c>
      <c r="K62" s="28" t="s">
        <v>25</v>
      </c>
      <c r="L62" s="28"/>
      <c r="M62" s="28">
        <v>2</v>
      </c>
      <c r="N62" s="28" t="s">
        <v>28</v>
      </c>
      <c r="O62" s="28"/>
      <c r="P62" s="28">
        <v>2</v>
      </c>
      <c r="Q62" s="28" t="s">
        <v>23</v>
      </c>
      <c r="R62" s="28"/>
      <c r="S62" s="28">
        <v>2</v>
      </c>
      <c r="T62" s="28" t="s">
        <v>26</v>
      </c>
      <c r="U62" s="28"/>
      <c r="V62" s="28">
        <v>2</v>
      </c>
      <c r="W62" s="28" t="s">
        <v>28</v>
      </c>
      <c r="X62" s="28"/>
      <c r="Y62" s="28">
        <v>2</v>
      </c>
      <c r="Z62" s="28" t="s">
        <v>24</v>
      </c>
      <c r="AA62" s="28"/>
      <c r="AB62" s="28">
        <v>2</v>
      </c>
      <c r="AC62" s="28" t="s">
        <v>27</v>
      </c>
      <c r="AD62" s="28"/>
      <c r="AE62" s="28">
        <v>2</v>
      </c>
      <c r="AF62" s="28" t="s">
        <v>22</v>
      </c>
      <c r="AG62" s="28"/>
      <c r="AH62" s="28">
        <v>2</v>
      </c>
      <c r="AI62" s="28" t="s">
        <v>25</v>
      </c>
      <c r="AJ62" s="28"/>
      <c r="AK62" s="28">
        <v>2</v>
      </c>
      <c r="AL62" s="28" t="s">
        <v>27</v>
      </c>
    </row>
    <row r="63" spans="1:39">
      <c r="D63" s="28">
        <v>3</v>
      </c>
      <c r="E63" s="28" t="s">
        <v>23</v>
      </c>
      <c r="F63" s="28"/>
      <c r="G63" s="28">
        <v>3</v>
      </c>
      <c r="H63" s="28" t="s">
        <v>26</v>
      </c>
      <c r="I63" s="28"/>
      <c r="J63" s="28">
        <v>3</v>
      </c>
      <c r="K63" s="28" t="s">
        <v>26</v>
      </c>
      <c r="L63" s="28"/>
      <c r="M63" s="28">
        <v>3</v>
      </c>
      <c r="N63" s="28" t="s">
        <v>22</v>
      </c>
      <c r="O63" s="28"/>
      <c r="P63" s="28">
        <v>3</v>
      </c>
      <c r="Q63" s="28" t="s">
        <v>24</v>
      </c>
      <c r="R63" s="28"/>
      <c r="S63" s="28">
        <v>3</v>
      </c>
      <c r="T63" s="28" t="s">
        <v>27</v>
      </c>
      <c r="U63" s="28"/>
      <c r="V63" s="28">
        <v>3</v>
      </c>
      <c r="W63" s="28" t="s">
        <v>22</v>
      </c>
      <c r="X63" s="28"/>
      <c r="Y63" s="28">
        <v>3</v>
      </c>
      <c r="Z63" s="28" t="s">
        <v>25</v>
      </c>
      <c r="AA63" s="28"/>
      <c r="AB63" s="28">
        <v>3</v>
      </c>
      <c r="AC63" s="28" t="s">
        <v>28</v>
      </c>
      <c r="AD63" s="28"/>
      <c r="AE63" s="28">
        <v>3</v>
      </c>
      <c r="AF63" s="28" t="s">
        <v>23</v>
      </c>
      <c r="AG63" s="28"/>
      <c r="AH63" s="28">
        <v>3</v>
      </c>
      <c r="AI63" s="28" t="s">
        <v>26</v>
      </c>
      <c r="AJ63" s="28"/>
      <c r="AK63" s="28">
        <v>3</v>
      </c>
      <c r="AL63" s="28" t="s">
        <v>28</v>
      </c>
    </row>
    <row r="64" spans="1:39">
      <c r="D64" s="28">
        <v>4</v>
      </c>
      <c r="E64" s="28" t="s">
        <v>24</v>
      </c>
      <c r="F64" s="28"/>
      <c r="G64" s="28">
        <v>4</v>
      </c>
      <c r="H64" s="28" t="s">
        <v>27</v>
      </c>
      <c r="I64" s="28"/>
      <c r="J64" s="28">
        <v>4</v>
      </c>
      <c r="K64" s="28" t="s">
        <v>27</v>
      </c>
      <c r="L64" s="28"/>
      <c r="M64" s="28">
        <v>4</v>
      </c>
      <c r="N64" s="28" t="s">
        <v>23</v>
      </c>
      <c r="O64" s="28"/>
      <c r="P64" s="28">
        <v>4</v>
      </c>
      <c r="Q64" s="28" t="s">
        <v>25</v>
      </c>
      <c r="R64" s="28"/>
      <c r="S64" s="28">
        <v>4</v>
      </c>
      <c r="T64" s="28" t="s">
        <v>28</v>
      </c>
      <c r="U64" s="28"/>
      <c r="V64" s="28">
        <v>4</v>
      </c>
      <c r="W64" s="28" t="s">
        <v>23</v>
      </c>
      <c r="X64" s="28"/>
      <c r="Y64" s="28">
        <v>4</v>
      </c>
      <c r="Z64" s="28" t="s">
        <v>26</v>
      </c>
      <c r="AA64" s="28"/>
      <c r="AB64" s="28">
        <v>4</v>
      </c>
      <c r="AC64" s="28" t="s">
        <v>22</v>
      </c>
      <c r="AD64" s="28"/>
      <c r="AE64" s="28">
        <v>4</v>
      </c>
      <c r="AF64" s="28" t="s">
        <v>24</v>
      </c>
      <c r="AG64" s="28"/>
      <c r="AH64" s="28">
        <v>4</v>
      </c>
      <c r="AI64" s="28" t="s">
        <v>27</v>
      </c>
      <c r="AJ64" s="28"/>
      <c r="AK64" s="28">
        <v>4</v>
      </c>
      <c r="AL64" s="28" t="s">
        <v>22</v>
      </c>
    </row>
    <row r="65" spans="4:38" s="21" customFormat="1">
      <c r="D65" s="28">
        <v>5</v>
      </c>
      <c r="E65" s="28" t="s">
        <v>25</v>
      </c>
      <c r="F65" s="28"/>
      <c r="G65" s="28">
        <v>5</v>
      </c>
      <c r="H65" s="28" t="s">
        <v>28</v>
      </c>
      <c r="I65" s="28"/>
      <c r="J65" s="28">
        <v>5</v>
      </c>
      <c r="K65" s="28" t="s">
        <v>28</v>
      </c>
      <c r="L65" s="28"/>
      <c r="M65" s="28">
        <v>5</v>
      </c>
      <c r="N65" s="28" t="s">
        <v>24</v>
      </c>
      <c r="O65" s="28"/>
      <c r="P65" s="28">
        <v>5</v>
      </c>
      <c r="Q65" s="28" t="s">
        <v>26</v>
      </c>
      <c r="R65" s="28"/>
      <c r="S65" s="28">
        <v>5</v>
      </c>
      <c r="T65" s="28" t="s">
        <v>22</v>
      </c>
      <c r="U65" s="28"/>
      <c r="V65" s="28">
        <v>5</v>
      </c>
      <c r="W65" s="28" t="s">
        <v>24</v>
      </c>
      <c r="X65" s="28"/>
      <c r="Y65" s="28">
        <v>5</v>
      </c>
      <c r="Z65" s="28" t="s">
        <v>27</v>
      </c>
      <c r="AA65" s="28"/>
      <c r="AB65" s="28">
        <v>5</v>
      </c>
      <c r="AC65" s="28" t="s">
        <v>23</v>
      </c>
      <c r="AD65" s="28"/>
      <c r="AE65" s="28">
        <v>5</v>
      </c>
      <c r="AF65" s="28" t="s">
        <v>25</v>
      </c>
      <c r="AG65" s="28"/>
      <c r="AH65" s="28">
        <v>5</v>
      </c>
      <c r="AI65" s="28" t="s">
        <v>28</v>
      </c>
      <c r="AJ65" s="28"/>
      <c r="AK65" s="28">
        <v>5</v>
      </c>
      <c r="AL65" s="28" t="s">
        <v>23</v>
      </c>
    </row>
    <row r="66" spans="4:38" s="21" customFormat="1">
      <c r="D66" s="28">
        <v>6</v>
      </c>
      <c r="E66" s="28" t="s">
        <v>26</v>
      </c>
      <c r="F66" s="28"/>
      <c r="G66" s="28">
        <v>6</v>
      </c>
      <c r="H66" s="28" t="s">
        <v>22</v>
      </c>
      <c r="I66" s="28"/>
      <c r="J66" s="28">
        <v>6</v>
      </c>
      <c r="K66" s="28" t="s">
        <v>22</v>
      </c>
      <c r="L66" s="28"/>
      <c r="M66" s="28">
        <v>6</v>
      </c>
      <c r="N66" s="28" t="s">
        <v>25</v>
      </c>
      <c r="O66" s="28"/>
      <c r="P66" s="28">
        <v>6</v>
      </c>
      <c r="Q66" s="28" t="s">
        <v>27</v>
      </c>
      <c r="R66" s="28"/>
      <c r="S66" s="28">
        <v>6</v>
      </c>
      <c r="T66" s="28" t="s">
        <v>23</v>
      </c>
      <c r="U66" s="28"/>
      <c r="V66" s="28">
        <v>6</v>
      </c>
      <c r="W66" s="28" t="s">
        <v>25</v>
      </c>
      <c r="X66" s="28"/>
      <c r="Y66" s="28">
        <v>6</v>
      </c>
      <c r="Z66" s="28" t="s">
        <v>28</v>
      </c>
      <c r="AA66" s="28"/>
      <c r="AB66" s="28">
        <v>6</v>
      </c>
      <c r="AC66" s="28" t="s">
        <v>24</v>
      </c>
      <c r="AD66" s="28"/>
      <c r="AE66" s="28">
        <v>6</v>
      </c>
      <c r="AF66" s="28" t="s">
        <v>26</v>
      </c>
      <c r="AG66" s="28"/>
      <c r="AH66" s="28">
        <v>6</v>
      </c>
      <c r="AI66" s="28" t="s">
        <v>22</v>
      </c>
      <c r="AJ66" s="28"/>
      <c r="AK66" s="28">
        <v>6</v>
      </c>
      <c r="AL66" s="28" t="s">
        <v>24</v>
      </c>
    </row>
    <row r="67" spans="4:38" s="21" customFormat="1">
      <c r="D67" s="28">
        <v>7</v>
      </c>
      <c r="E67" s="28" t="s">
        <v>27</v>
      </c>
      <c r="F67" s="28"/>
      <c r="G67" s="28">
        <v>7</v>
      </c>
      <c r="H67" s="28" t="s">
        <v>23</v>
      </c>
      <c r="I67" s="28"/>
      <c r="J67" s="28">
        <v>7</v>
      </c>
      <c r="K67" s="28" t="s">
        <v>23</v>
      </c>
      <c r="L67" s="28"/>
      <c r="M67" s="28">
        <v>7</v>
      </c>
      <c r="N67" s="28" t="s">
        <v>26</v>
      </c>
      <c r="O67" s="28"/>
      <c r="P67" s="28">
        <v>7</v>
      </c>
      <c r="Q67" s="28" t="s">
        <v>28</v>
      </c>
      <c r="R67" s="28"/>
      <c r="S67" s="28">
        <v>7</v>
      </c>
      <c r="T67" s="28" t="s">
        <v>24</v>
      </c>
      <c r="U67" s="28"/>
      <c r="V67" s="28">
        <v>7</v>
      </c>
      <c r="W67" s="28" t="s">
        <v>26</v>
      </c>
      <c r="X67" s="28"/>
      <c r="Y67" s="28">
        <v>7</v>
      </c>
      <c r="Z67" s="28" t="s">
        <v>22</v>
      </c>
      <c r="AA67" s="28"/>
      <c r="AB67" s="28">
        <v>7</v>
      </c>
      <c r="AC67" s="28" t="s">
        <v>25</v>
      </c>
      <c r="AD67" s="28"/>
      <c r="AE67" s="28">
        <v>7</v>
      </c>
      <c r="AF67" s="28" t="s">
        <v>27</v>
      </c>
      <c r="AG67" s="28"/>
      <c r="AH67" s="28">
        <v>7</v>
      </c>
      <c r="AI67" s="28" t="s">
        <v>23</v>
      </c>
      <c r="AJ67" s="28"/>
      <c r="AK67" s="28">
        <v>7</v>
      </c>
      <c r="AL67" s="28" t="s">
        <v>25</v>
      </c>
    </row>
    <row r="68" spans="4:38" s="21" customFormat="1">
      <c r="D68" s="28">
        <v>8</v>
      </c>
      <c r="E68" s="28" t="s">
        <v>28</v>
      </c>
      <c r="F68" s="28"/>
      <c r="G68" s="28">
        <v>8</v>
      </c>
      <c r="H68" s="28" t="s">
        <v>24</v>
      </c>
      <c r="I68" s="28"/>
      <c r="J68" s="28">
        <v>8</v>
      </c>
      <c r="K68" s="28" t="s">
        <v>24</v>
      </c>
      <c r="L68" s="28"/>
      <c r="M68" s="28">
        <v>8</v>
      </c>
      <c r="N68" s="28" t="s">
        <v>27</v>
      </c>
      <c r="O68" s="28"/>
      <c r="P68" s="28">
        <v>8</v>
      </c>
      <c r="Q68" s="28" t="s">
        <v>22</v>
      </c>
      <c r="R68" s="28"/>
      <c r="S68" s="28">
        <v>8</v>
      </c>
      <c r="T68" s="28" t="s">
        <v>25</v>
      </c>
      <c r="U68" s="28"/>
      <c r="V68" s="28">
        <v>8</v>
      </c>
      <c r="W68" s="28" t="s">
        <v>27</v>
      </c>
      <c r="X68" s="28"/>
      <c r="Y68" s="28">
        <v>8</v>
      </c>
      <c r="Z68" s="28" t="s">
        <v>23</v>
      </c>
      <c r="AA68" s="28"/>
      <c r="AB68" s="28">
        <v>8</v>
      </c>
      <c r="AC68" s="28" t="s">
        <v>26</v>
      </c>
      <c r="AD68" s="28"/>
      <c r="AE68" s="28">
        <v>8</v>
      </c>
      <c r="AF68" s="28" t="s">
        <v>28</v>
      </c>
      <c r="AG68" s="28"/>
      <c r="AH68" s="28">
        <v>8</v>
      </c>
      <c r="AI68" s="28" t="s">
        <v>24</v>
      </c>
      <c r="AJ68" s="28"/>
      <c r="AK68" s="28">
        <v>8</v>
      </c>
      <c r="AL68" s="28" t="s">
        <v>26</v>
      </c>
    </row>
    <row r="69" spans="4:38" s="21" customFormat="1">
      <c r="D69" s="28">
        <v>9</v>
      </c>
      <c r="E69" s="28" t="s">
        <v>22</v>
      </c>
      <c r="F69" s="28"/>
      <c r="G69" s="28">
        <v>9</v>
      </c>
      <c r="H69" s="28" t="s">
        <v>25</v>
      </c>
      <c r="I69" s="28"/>
      <c r="J69" s="28">
        <v>9</v>
      </c>
      <c r="K69" s="28" t="s">
        <v>25</v>
      </c>
      <c r="L69" s="28"/>
      <c r="M69" s="28">
        <v>9</v>
      </c>
      <c r="N69" s="28" t="s">
        <v>28</v>
      </c>
      <c r="O69" s="28"/>
      <c r="P69" s="28">
        <v>9</v>
      </c>
      <c r="Q69" s="28" t="s">
        <v>23</v>
      </c>
      <c r="R69" s="28"/>
      <c r="S69" s="28">
        <v>9</v>
      </c>
      <c r="T69" s="28" t="s">
        <v>26</v>
      </c>
      <c r="U69" s="28"/>
      <c r="V69" s="28">
        <v>9</v>
      </c>
      <c r="W69" s="28" t="s">
        <v>28</v>
      </c>
      <c r="X69" s="28"/>
      <c r="Y69" s="28">
        <v>9</v>
      </c>
      <c r="Z69" s="28" t="s">
        <v>24</v>
      </c>
      <c r="AA69" s="28"/>
      <c r="AB69" s="28">
        <v>9</v>
      </c>
      <c r="AC69" s="28" t="s">
        <v>27</v>
      </c>
      <c r="AD69" s="28"/>
      <c r="AE69" s="28">
        <v>9</v>
      </c>
      <c r="AF69" s="28" t="s">
        <v>22</v>
      </c>
      <c r="AG69" s="28"/>
      <c r="AH69" s="28">
        <v>9</v>
      </c>
      <c r="AI69" s="28" t="s">
        <v>25</v>
      </c>
      <c r="AJ69" s="28"/>
      <c r="AK69" s="28">
        <v>9</v>
      </c>
      <c r="AL69" s="28" t="s">
        <v>27</v>
      </c>
    </row>
    <row r="70" spans="4:38" s="21" customFormat="1">
      <c r="D70" s="28">
        <v>10</v>
      </c>
      <c r="E70" s="28" t="s">
        <v>23</v>
      </c>
      <c r="F70" s="28"/>
      <c r="G70" s="28">
        <v>10</v>
      </c>
      <c r="H70" s="28" t="s">
        <v>26</v>
      </c>
      <c r="I70" s="28"/>
      <c r="J70" s="28">
        <v>10</v>
      </c>
      <c r="K70" s="28" t="s">
        <v>26</v>
      </c>
      <c r="L70" s="28"/>
      <c r="M70" s="28">
        <v>10</v>
      </c>
      <c r="N70" s="28" t="s">
        <v>22</v>
      </c>
      <c r="O70" s="28"/>
      <c r="P70" s="28">
        <v>10</v>
      </c>
      <c r="Q70" s="28" t="s">
        <v>24</v>
      </c>
      <c r="R70" s="28"/>
      <c r="S70" s="28">
        <v>10</v>
      </c>
      <c r="T70" s="28" t="s">
        <v>27</v>
      </c>
      <c r="U70" s="28"/>
      <c r="V70" s="28">
        <v>10</v>
      </c>
      <c r="W70" s="28" t="s">
        <v>22</v>
      </c>
      <c r="X70" s="28"/>
      <c r="Y70" s="28">
        <v>10</v>
      </c>
      <c r="Z70" s="28" t="s">
        <v>25</v>
      </c>
      <c r="AA70" s="28"/>
      <c r="AB70" s="28">
        <v>10</v>
      </c>
      <c r="AC70" s="28" t="s">
        <v>28</v>
      </c>
      <c r="AD70" s="28"/>
      <c r="AE70" s="28">
        <v>10</v>
      </c>
      <c r="AF70" s="28" t="s">
        <v>23</v>
      </c>
      <c r="AG70" s="28"/>
      <c r="AH70" s="28">
        <v>10</v>
      </c>
      <c r="AI70" s="28" t="s">
        <v>26</v>
      </c>
      <c r="AJ70" s="28"/>
      <c r="AK70" s="28">
        <v>10</v>
      </c>
      <c r="AL70" s="28" t="s">
        <v>28</v>
      </c>
    </row>
    <row r="71" spans="4:38" s="21" customFormat="1">
      <c r="D71" s="28">
        <v>11</v>
      </c>
      <c r="E71" s="28" t="s">
        <v>24</v>
      </c>
      <c r="F71" s="28"/>
      <c r="G71" s="28">
        <v>11</v>
      </c>
      <c r="H71" s="28" t="s">
        <v>27</v>
      </c>
      <c r="I71" s="28"/>
      <c r="J71" s="28">
        <v>11</v>
      </c>
      <c r="K71" s="28" t="s">
        <v>27</v>
      </c>
      <c r="L71" s="28"/>
      <c r="M71" s="28">
        <v>11</v>
      </c>
      <c r="N71" s="28" t="s">
        <v>23</v>
      </c>
      <c r="O71" s="28"/>
      <c r="P71" s="28">
        <v>11</v>
      </c>
      <c r="Q71" s="28" t="s">
        <v>25</v>
      </c>
      <c r="R71" s="28"/>
      <c r="S71" s="28">
        <v>11</v>
      </c>
      <c r="T71" s="28" t="s">
        <v>28</v>
      </c>
      <c r="U71" s="28"/>
      <c r="V71" s="28">
        <v>11</v>
      </c>
      <c r="W71" s="28" t="s">
        <v>23</v>
      </c>
      <c r="X71" s="28"/>
      <c r="Y71" s="28">
        <v>11</v>
      </c>
      <c r="Z71" s="28" t="s">
        <v>26</v>
      </c>
      <c r="AA71" s="28"/>
      <c r="AB71" s="28">
        <v>11</v>
      </c>
      <c r="AC71" s="28" t="s">
        <v>22</v>
      </c>
      <c r="AD71" s="28"/>
      <c r="AE71" s="28">
        <v>11</v>
      </c>
      <c r="AF71" s="28" t="s">
        <v>24</v>
      </c>
      <c r="AG71" s="28"/>
      <c r="AH71" s="28">
        <v>11</v>
      </c>
      <c r="AI71" s="28" t="s">
        <v>27</v>
      </c>
      <c r="AJ71" s="28"/>
      <c r="AK71" s="28">
        <v>11</v>
      </c>
      <c r="AL71" s="28" t="s">
        <v>22</v>
      </c>
    </row>
    <row r="72" spans="4:38" s="21" customFormat="1">
      <c r="D72" s="28">
        <v>12</v>
      </c>
      <c r="E72" s="28" t="s">
        <v>25</v>
      </c>
      <c r="F72" s="28"/>
      <c r="G72" s="28">
        <v>12</v>
      </c>
      <c r="H72" s="28" t="s">
        <v>28</v>
      </c>
      <c r="I72" s="28"/>
      <c r="J72" s="28">
        <v>12</v>
      </c>
      <c r="K72" s="28" t="s">
        <v>28</v>
      </c>
      <c r="L72" s="28"/>
      <c r="M72" s="28">
        <v>12</v>
      </c>
      <c r="N72" s="28" t="s">
        <v>24</v>
      </c>
      <c r="O72" s="28"/>
      <c r="P72" s="28">
        <v>12</v>
      </c>
      <c r="Q72" s="28" t="s">
        <v>26</v>
      </c>
      <c r="R72" s="28"/>
      <c r="S72" s="28">
        <v>12</v>
      </c>
      <c r="T72" s="28" t="s">
        <v>22</v>
      </c>
      <c r="U72" s="28"/>
      <c r="V72" s="28">
        <v>12</v>
      </c>
      <c r="W72" s="28" t="s">
        <v>24</v>
      </c>
      <c r="X72" s="28"/>
      <c r="Y72" s="28">
        <v>12</v>
      </c>
      <c r="Z72" s="28" t="s">
        <v>27</v>
      </c>
      <c r="AA72" s="28"/>
      <c r="AB72" s="28">
        <v>12</v>
      </c>
      <c r="AC72" s="28" t="s">
        <v>23</v>
      </c>
      <c r="AD72" s="28"/>
      <c r="AE72" s="28">
        <v>12</v>
      </c>
      <c r="AF72" s="28" t="s">
        <v>25</v>
      </c>
      <c r="AG72" s="28"/>
      <c r="AH72" s="28">
        <v>12</v>
      </c>
      <c r="AI72" s="28" t="s">
        <v>28</v>
      </c>
      <c r="AJ72" s="28"/>
      <c r="AK72" s="28">
        <v>12</v>
      </c>
      <c r="AL72" s="28" t="s">
        <v>23</v>
      </c>
    </row>
    <row r="73" spans="4:38" s="21" customFormat="1">
      <c r="D73" s="28">
        <v>13</v>
      </c>
      <c r="E73" s="28" t="s">
        <v>26</v>
      </c>
      <c r="F73" s="28"/>
      <c r="G73" s="28">
        <v>13</v>
      </c>
      <c r="H73" s="28" t="s">
        <v>22</v>
      </c>
      <c r="I73" s="28"/>
      <c r="J73" s="28">
        <v>13</v>
      </c>
      <c r="K73" s="28" t="s">
        <v>22</v>
      </c>
      <c r="L73" s="28"/>
      <c r="M73" s="28">
        <v>13</v>
      </c>
      <c r="N73" s="28" t="s">
        <v>25</v>
      </c>
      <c r="O73" s="28"/>
      <c r="P73" s="28">
        <v>13</v>
      </c>
      <c r="Q73" s="28" t="s">
        <v>27</v>
      </c>
      <c r="R73" s="28"/>
      <c r="S73" s="28">
        <v>13</v>
      </c>
      <c r="T73" s="28" t="s">
        <v>23</v>
      </c>
      <c r="U73" s="28"/>
      <c r="V73" s="28">
        <v>13</v>
      </c>
      <c r="W73" s="28" t="s">
        <v>25</v>
      </c>
      <c r="X73" s="28"/>
      <c r="Y73" s="28">
        <v>13</v>
      </c>
      <c r="Z73" s="28" t="s">
        <v>28</v>
      </c>
      <c r="AA73" s="28"/>
      <c r="AB73" s="28">
        <v>13</v>
      </c>
      <c r="AC73" s="28" t="s">
        <v>24</v>
      </c>
      <c r="AD73" s="28"/>
      <c r="AE73" s="28">
        <v>13</v>
      </c>
      <c r="AF73" s="28" t="s">
        <v>26</v>
      </c>
      <c r="AG73" s="28"/>
      <c r="AH73" s="28">
        <v>13</v>
      </c>
      <c r="AI73" s="28" t="s">
        <v>22</v>
      </c>
      <c r="AJ73" s="28"/>
      <c r="AK73" s="28">
        <v>13</v>
      </c>
      <c r="AL73" s="28" t="s">
        <v>24</v>
      </c>
    </row>
    <row r="74" spans="4:38" s="21" customFormat="1">
      <c r="D74" s="28">
        <v>14</v>
      </c>
      <c r="E74" s="28" t="s">
        <v>27</v>
      </c>
      <c r="F74" s="28"/>
      <c r="G74" s="28">
        <v>14</v>
      </c>
      <c r="H74" s="28" t="s">
        <v>23</v>
      </c>
      <c r="I74" s="28"/>
      <c r="J74" s="28">
        <v>14</v>
      </c>
      <c r="K74" s="28" t="s">
        <v>23</v>
      </c>
      <c r="L74" s="28"/>
      <c r="M74" s="28">
        <v>14</v>
      </c>
      <c r="N74" s="28" t="s">
        <v>26</v>
      </c>
      <c r="O74" s="28"/>
      <c r="P74" s="28">
        <v>14</v>
      </c>
      <c r="Q74" s="28" t="s">
        <v>28</v>
      </c>
      <c r="R74" s="28"/>
      <c r="S74" s="28">
        <v>14</v>
      </c>
      <c r="T74" s="28" t="s">
        <v>24</v>
      </c>
      <c r="U74" s="28"/>
      <c r="V74" s="28">
        <v>14</v>
      </c>
      <c r="W74" s="28" t="s">
        <v>26</v>
      </c>
      <c r="X74" s="28"/>
      <c r="Y74" s="28">
        <v>14</v>
      </c>
      <c r="Z74" s="28" t="s">
        <v>22</v>
      </c>
      <c r="AA74" s="28"/>
      <c r="AB74" s="28">
        <v>14</v>
      </c>
      <c r="AC74" s="28" t="s">
        <v>25</v>
      </c>
      <c r="AD74" s="28"/>
      <c r="AE74" s="28">
        <v>14</v>
      </c>
      <c r="AF74" s="28" t="s">
        <v>27</v>
      </c>
      <c r="AG74" s="28"/>
      <c r="AH74" s="28">
        <v>14</v>
      </c>
      <c r="AI74" s="28" t="s">
        <v>23</v>
      </c>
      <c r="AJ74" s="28"/>
      <c r="AK74" s="28">
        <v>14</v>
      </c>
      <c r="AL74" s="28" t="s">
        <v>25</v>
      </c>
    </row>
    <row r="75" spans="4:38" s="21" customFormat="1">
      <c r="D75" s="28">
        <v>15</v>
      </c>
      <c r="E75" s="28" t="s">
        <v>28</v>
      </c>
      <c r="F75" s="28"/>
      <c r="G75" s="28">
        <v>15</v>
      </c>
      <c r="H75" s="28" t="s">
        <v>24</v>
      </c>
      <c r="I75" s="28"/>
      <c r="J75" s="28">
        <v>15</v>
      </c>
      <c r="K75" s="28" t="s">
        <v>24</v>
      </c>
      <c r="L75" s="28"/>
      <c r="M75" s="28">
        <v>15</v>
      </c>
      <c r="N75" s="28" t="s">
        <v>27</v>
      </c>
      <c r="O75" s="28"/>
      <c r="P75" s="28">
        <v>15</v>
      </c>
      <c r="Q75" s="28" t="s">
        <v>22</v>
      </c>
      <c r="R75" s="28"/>
      <c r="S75" s="28">
        <v>15</v>
      </c>
      <c r="T75" s="28" t="s">
        <v>25</v>
      </c>
      <c r="U75" s="28"/>
      <c r="V75" s="28">
        <v>15</v>
      </c>
      <c r="W75" s="28" t="s">
        <v>27</v>
      </c>
      <c r="X75" s="28"/>
      <c r="Y75" s="28">
        <v>15</v>
      </c>
      <c r="Z75" s="28" t="s">
        <v>23</v>
      </c>
      <c r="AA75" s="28"/>
      <c r="AB75" s="28">
        <v>15</v>
      </c>
      <c r="AC75" s="28" t="s">
        <v>26</v>
      </c>
      <c r="AD75" s="28"/>
      <c r="AE75" s="28">
        <v>15</v>
      </c>
      <c r="AF75" s="28" t="s">
        <v>28</v>
      </c>
      <c r="AG75" s="28"/>
      <c r="AH75" s="28">
        <v>15</v>
      </c>
      <c r="AI75" s="28" t="s">
        <v>24</v>
      </c>
      <c r="AJ75" s="28"/>
      <c r="AK75" s="28">
        <v>15</v>
      </c>
      <c r="AL75" s="28" t="s">
        <v>26</v>
      </c>
    </row>
    <row r="76" spans="4:38" s="21" customFormat="1">
      <c r="D76" s="28">
        <v>16</v>
      </c>
      <c r="E76" s="28" t="s">
        <v>22</v>
      </c>
      <c r="F76" s="28"/>
      <c r="G76" s="28">
        <v>16</v>
      </c>
      <c r="H76" s="28" t="s">
        <v>25</v>
      </c>
      <c r="I76" s="28"/>
      <c r="J76" s="28">
        <v>16</v>
      </c>
      <c r="K76" s="28" t="s">
        <v>25</v>
      </c>
      <c r="L76" s="28"/>
      <c r="M76" s="28">
        <v>16</v>
      </c>
      <c r="N76" s="28" t="s">
        <v>28</v>
      </c>
      <c r="O76" s="28"/>
      <c r="P76" s="28">
        <v>16</v>
      </c>
      <c r="Q76" s="28" t="s">
        <v>23</v>
      </c>
      <c r="R76" s="28"/>
      <c r="S76" s="28">
        <v>16</v>
      </c>
      <c r="T76" s="28" t="s">
        <v>26</v>
      </c>
      <c r="U76" s="28"/>
      <c r="V76" s="28">
        <v>16</v>
      </c>
      <c r="W76" s="28" t="s">
        <v>28</v>
      </c>
      <c r="X76" s="28"/>
      <c r="Y76" s="28">
        <v>16</v>
      </c>
      <c r="Z76" s="28" t="s">
        <v>24</v>
      </c>
      <c r="AA76" s="28"/>
      <c r="AB76" s="28">
        <v>16</v>
      </c>
      <c r="AC76" s="28" t="s">
        <v>27</v>
      </c>
      <c r="AD76" s="28"/>
      <c r="AE76" s="28">
        <v>16</v>
      </c>
      <c r="AF76" s="28" t="s">
        <v>22</v>
      </c>
      <c r="AG76" s="28"/>
      <c r="AH76" s="28">
        <v>16</v>
      </c>
      <c r="AI76" s="28" t="s">
        <v>25</v>
      </c>
      <c r="AJ76" s="28"/>
      <c r="AK76" s="28">
        <v>16</v>
      </c>
      <c r="AL76" s="28" t="s">
        <v>27</v>
      </c>
    </row>
    <row r="77" spans="4:38" s="21" customFormat="1">
      <c r="D77" s="28">
        <v>17</v>
      </c>
      <c r="E77" s="28" t="s">
        <v>23</v>
      </c>
      <c r="F77" s="28"/>
      <c r="G77" s="28">
        <v>17</v>
      </c>
      <c r="H77" s="28" t="s">
        <v>26</v>
      </c>
      <c r="I77" s="28"/>
      <c r="J77" s="28">
        <v>17</v>
      </c>
      <c r="K77" s="28" t="s">
        <v>26</v>
      </c>
      <c r="L77" s="28"/>
      <c r="M77" s="28">
        <v>17</v>
      </c>
      <c r="N77" s="28" t="s">
        <v>22</v>
      </c>
      <c r="O77" s="28"/>
      <c r="P77" s="28">
        <v>17</v>
      </c>
      <c r="Q77" s="28" t="s">
        <v>24</v>
      </c>
      <c r="R77" s="28"/>
      <c r="S77" s="28">
        <v>17</v>
      </c>
      <c r="T77" s="28" t="s">
        <v>27</v>
      </c>
      <c r="U77" s="28"/>
      <c r="V77" s="28">
        <v>17</v>
      </c>
      <c r="W77" s="28" t="s">
        <v>22</v>
      </c>
      <c r="X77" s="28"/>
      <c r="Y77" s="28">
        <v>17</v>
      </c>
      <c r="Z77" s="28" t="s">
        <v>25</v>
      </c>
      <c r="AA77" s="28"/>
      <c r="AB77" s="28">
        <v>17</v>
      </c>
      <c r="AC77" s="28" t="s">
        <v>28</v>
      </c>
      <c r="AD77" s="28"/>
      <c r="AE77" s="28">
        <v>17</v>
      </c>
      <c r="AF77" s="28" t="s">
        <v>23</v>
      </c>
      <c r="AG77" s="28"/>
      <c r="AH77" s="28">
        <v>17</v>
      </c>
      <c r="AI77" s="28" t="s">
        <v>26</v>
      </c>
      <c r="AJ77" s="28"/>
      <c r="AK77" s="28">
        <v>17</v>
      </c>
      <c r="AL77" s="28" t="s">
        <v>28</v>
      </c>
    </row>
    <row r="78" spans="4:38" s="21" customFormat="1">
      <c r="D78" s="28">
        <v>18</v>
      </c>
      <c r="E78" s="28" t="s">
        <v>24</v>
      </c>
      <c r="F78" s="28"/>
      <c r="G78" s="28">
        <v>18</v>
      </c>
      <c r="H78" s="28" t="s">
        <v>27</v>
      </c>
      <c r="I78" s="28"/>
      <c r="J78" s="28">
        <v>18</v>
      </c>
      <c r="K78" s="28" t="s">
        <v>27</v>
      </c>
      <c r="L78" s="28"/>
      <c r="M78" s="28">
        <v>18</v>
      </c>
      <c r="N78" s="28" t="s">
        <v>23</v>
      </c>
      <c r="O78" s="28"/>
      <c r="P78" s="28">
        <v>18</v>
      </c>
      <c r="Q78" s="28" t="s">
        <v>25</v>
      </c>
      <c r="R78" s="28"/>
      <c r="S78" s="28">
        <v>18</v>
      </c>
      <c r="T78" s="28" t="s">
        <v>28</v>
      </c>
      <c r="U78" s="28"/>
      <c r="V78" s="28">
        <v>18</v>
      </c>
      <c r="W78" s="28" t="s">
        <v>23</v>
      </c>
      <c r="X78" s="28"/>
      <c r="Y78" s="28">
        <v>18</v>
      </c>
      <c r="Z78" s="28" t="s">
        <v>26</v>
      </c>
      <c r="AA78" s="28"/>
      <c r="AB78" s="28">
        <v>18</v>
      </c>
      <c r="AC78" s="28" t="s">
        <v>22</v>
      </c>
      <c r="AD78" s="28"/>
      <c r="AE78" s="28">
        <v>18</v>
      </c>
      <c r="AF78" s="28" t="s">
        <v>24</v>
      </c>
      <c r="AG78" s="28"/>
      <c r="AH78" s="28">
        <v>18</v>
      </c>
      <c r="AI78" s="28" t="s">
        <v>27</v>
      </c>
      <c r="AJ78" s="28"/>
      <c r="AK78" s="28">
        <v>18</v>
      </c>
      <c r="AL78" s="28" t="s">
        <v>22</v>
      </c>
    </row>
    <row r="79" spans="4:38" s="21" customFormat="1">
      <c r="D79" s="28">
        <v>19</v>
      </c>
      <c r="E79" s="28" t="s">
        <v>25</v>
      </c>
      <c r="F79" s="28"/>
      <c r="G79" s="28">
        <v>19</v>
      </c>
      <c r="H79" s="28" t="s">
        <v>28</v>
      </c>
      <c r="I79" s="28"/>
      <c r="J79" s="28">
        <v>19</v>
      </c>
      <c r="K79" s="28" t="s">
        <v>28</v>
      </c>
      <c r="L79" s="28"/>
      <c r="M79" s="28">
        <v>19</v>
      </c>
      <c r="N79" s="28" t="s">
        <v>24</v>
      </c>
      <c r="O79" s="28"/>
      <c r="P79" s="28">
        <v>19</v>
      </c>
      <c r="Q79" s="28" t="s">
        <v>26</v>
      </c>
      <c r="R79" s="28"/>
      <c r="S79" s="28">
        <v>19</v>
      </c>
      <c r="T79" s="28" t="s">
        <v>22</v>
      </c>
      <c r="U79" s="28"/>
      <c r="V79" s="28">
        <v>19</v>
      </c>
      <c r="W79" s="28" t="s">
        <v>24</v>
      </c>
      <c r="X79" s="28"/>
      <c r="Y79" s="28">
        <v>19</v>
      </c>
      <c r="Z79" s="28" t="s">
        <v>27</v>
      </c>
      <c r="AA79" s="28"/>
      <c r="AB79" s="28">
        <v>19</v>
      </c>
      <c r="AC79" s="28" t="s">
        <v>23</v>
      </c>
      <c r="AD79" s="28"/>
      <c r="AE79" s="28">
        <v>19</v>
      </c>
      <c r="AF79" s="28" t="s">
        <v>25</v>
      </c>
      <c r="AG79" s="28"/>
      <c r="AH79" s="28">
        <v>19</v>
      </c>
      <c r="AI79" s="28" t="s">
        <v>28</v>
      </c>
      <c r="AJ79" s="28"/>
      <c r="AK79" s="28">
        <v>19</v>
      </c>
      <c r="AL79" s="28" t="s">
        <v>23</v>
      </c>
    </row>
    <row r="80" spans="4:38" s="21" customFormat="1">
      <c r="D80" s="28">
        <v>20</v>
      </c>
      <c r="E80" s="28" t="s">
        <v>26</v>
      </c>
      <c r="F80" s="28"/>
      <c r="G80" s="28">
        <v>20</v>
      </c>
      <c r="H80" s="28" t="s">
        <v>22</v>
      </c>
      <c r="I80" s="28"/>
      <c r="J80" s="28">
        <v>20</v>
      </c>
      <c r="K80" s="28" t="s">
        <v>22</v>
      </c>
      <c r="L80" s="28"/>
      <c r="M80" s="28">
        <v>20</v>
      </c>
      <c r="N80" s="28" t="s">
        <v>25</v>
      </c>
      <c r="O80" s="28"/>
      <c r="P80" s="28">
        <v>20</v>
      </c>
      <c r="Q80" s="28" t="s">
        <v>27</v>
      </c>
      <c r="R80" s="28"/>
      <c r="S80" s="28">
        <v>20</v>
      </c>
      <c r="T80" s="28" t="s">
        <v>23</v>
      </c>
      <c r="U80" s="28"/>
      <c r="V80" s="28">
        <v>20</v>
      </c>
      <c r="W80" s="28" t="s">
        <v>25</v>
      </c>
      <c r="X80" s="28"/>
      <c r="Y80" s="28">
        <v>20</v>
      </c>
      <c r="Z80" s="28" t="s">
        <v>28</v>
      </c>
      <c r="AA80" s="28"/>
      <c r="AB80" s="28">
        <v>20</v>
      </c>
      <c r="AC80" s="28" t="s">
        <v>24</v>
      </c>
      <c r="AD80" s="28"/>
      <c r="AE80" s="28">
        <v>20</v>
      </c>
      <c r="AF80" s="28" t="s">
        <v>26</v>
      </c>
      <c r="AG80" s="28"/>
      <c r="AH80" s="28">
        <v>20</v>
      </c>
      <c r="AI80" s="28" t="s">
        <v>22</v>
      </c>
      <c r="AJ80" s="28"/>
      <c r="AK80" s="28">
        <v>20</v>
      </c>
      <c r="AL80" s="28" t="s">
        <v>24</v>
      </c>
    </row>
    <row r="81" spans="4:38" s="21" customFormat="1">
      <c r="D81" s="28">
        <v>21</v>
      </c>
      <c r="E81" s="28" t="s">
        <v>27</v>
      </c>
      <c r="F81" s="28"/>
      <c r="G81" s="28">
        <v>21</v>
      </c>
      <c r="H81" s="28" t="s">
        <v>23</v>
      </c>
      <c r="I81" s="28"/>
      <c r="J81" s="28">
        <v>21</v>
      </c>
      <c r="K81" s="28" t="s">
        <v>23</v>
      </c>
      <c r="L81" s="28"/>
      <c r="M81" s="28">
        <v>21</v>
      </c>
      <c r="N81" s="28" t="s">
        <v>26</v>
      </c>
      <c r="O81" s="28"/>
      <c r="P81" s="28">
        <v>21</v>
      </c>
      <c r="Q81" s="28" t="s">
        <v>28</v>
      </c>
      <c r="R81" s="28"/>
      <c r="S81" s="28">
        <v>21</v>
      </c>
      <c r="T81" s="28" t="s">
        <v>24</v>
      </c>
      <c r="U81" s="28"/>
      <c r="V81" s="28">
        <v>21</v>
      </c>
      <c r="W81" s="28" t="s">
        <v>26</v>
      </c>
      <c r="X81" s="28"/>
      <c r="Y81" s="28">
        <v>21</v>
      </c>
      <c r="Z81" s="28" t="s">
        <v>22</v>
      </c>
      <c r="AA81" s="28"/>
      <c r="AB81" s="28">
        <v>21</v>
      </c>
      <c r="AC81" s="28" t="s">
        <v>25</v>
      </c>
      <c r="AD81" s="28"/>
      <c r="AE81" s="28">
        <v>21</v>
      </c>
      <c r="AF81" s="28" t="s">
        <v>27</v>
      </c>
      <c r="AG81" s="28"/>
      <c r="AH81" s="28">
        <v>21</v>
      </c>
      <c r="AI81" s="28" t="s">
        <v>23</v>
      </c>
      <c r="AJ81" s="28"/>
      <c r="AK81" s="28">
        <v>21</v>
      </c>
      <c r="AL81" s="28" t="s">
        <v>25</v>
      </c>
    </row>
    <row r="82" spans="4:38" s="21" customFormat="1">
      <c r="D82" s="28">
        <v>22</v>
      </c>
      <c r="E82" s="28" t="s">
        <v>28</v>
      </c>
      <c r="F82" s="28"/>
      <c r="G82" s="28">
        <v>22</v>
      </c>
      <c r="H82" s="28" t="s">
        <v>24</v>
      </c>
      <c r="I82" s="28"/>
      <c r="J82" s="28">
        <v>22</v>
      </c>
      <c r="K82" s="28" t="s">
        <v>24</v>
      </c>
      <c r="L82" s="28"/>
      <c r="M82" s="28">
        <v>22</v>
      </c>
      <c r="N82" s="28" t="s">
        <v>27</v>
      </c>
      <c r="O82" s="28"/>
      <c r="P82" s="28">
        <v>22</v>
      </c>
      <c r="Q82" s="28" t="s">
        <v>22</v>
      </c>
      <c r="R82" s="28"/>
      <c r="S82" s="28">
        <v>22</v>
      </c>
      <c r="T82" s="28" t="s">
        <v>25</v>
      </c>
      <c r="U82" s="28"/>
      <c r="V82" s="28">
        <v>22</v>
      </c>
      <c r="W82" s="28" t="s">
        <v>27</v>
      </c>
      <c r="X82" s="28"/>
      <c r="Y82" s="28">
        <v>22</v>
      </c>
      <c r="Z82" s="28" t="s">
        <v>23</v>
      </c>
      <c r="AA82" s="28"/>
      <c r="AB82" s="28">
        <v>22</v>
      </c>
      <c r="AC82" s="28" t="s">
        <v>26</v>
      </c>
      <c r="AD82" s="28"/>
      <c r="AE82" s="28">
        <v>22</v>
      </c>
      <c r="AF82" s="28" t="s">
        <v>28</v>
      </c>
      <c r="AG82" s="28"/>
      <c r="AH82" s="28">
        <v>22</v>
      </c>
      <c r="AI82" s="28" t="s">
        <v>24</v>
      </c>
      <c r="AJ82" s="28"/>
      <c r="AK82" s="28">
        <v>22</v>
      </c>
      <c r="AL82" s="28" t="s">
        <v>26</v>
      </c>
    </row>
    <row r="83" spans="4:38" s="21" customFormat="1">
      <c r="D83" s="28">
        <v>23</v>
      </c>
      <c r="E83" s="28" t="s">
        <v>22</v>
      </c>
      <c r="F83" s="28"/>
      <c r="G83" s="28">
        <v>23</v>
      </c>
      <c r="H83" s="28" t="s">
        <v>25</v>
      </c>
      <c r="I83" s="28"/>
      <c r="J83" s="28">
        <v>23</v>
      </c>
      <c r="K83" s="28" t="s">
        <v>25</v>
      </c>
      <c r="L83" s="28"/>
      <c r="M83" s="28">
        <v>23</v>
      </c>
      <c r="N83" s="28" t="s">
        <v>28</v>
      </c>
      <c r="O83" s="28"/>
      <c r="P83" s="28">
        <v>23</v>
      </c>
      <c r="Q83" s="28" t="s">
        <v>23</v>
      </c>
      <c r="R83" s="28"/>
      <c r="S83" s="28">
        <v>23</v>
      </c>
      <c r="T83" s="28" t="s">
        <v>26</v>
      </c>
      <c r="U83" s="28"/>
      <c r="V83" s="28">
        <v>23</v>
      </c>
      <c r="W83" s="28" t="s">
        <v>28</v>
      </c>
      <c r="X83" s="28"/>
      <c r="Y83" s="28">
        <v>23</v>
      </c>
      <c r="Z83" s="28" t="s">
        <v>24</v>
      </c>
      <c r="AA83" s="28"/>
      <c r="AB83" s="28">
        <v>23</v>
      </c>
      <c r="AC83" s="28" t="s">
        <v>27</v>
      </c>
      <c r="AD83" s="28"/>
      <c r="AE83" s="28">
        <v>23</v>
      </c>
      <c r="AF83" s="28" t="s">
        <v>22</v>
      </c>
      <c r="AG83" s="28"/>
      <c r="AH83" s="28">
        <v>23</v>
      </c>
      <c r="AI83" s="28" t="s">
        <v>25</v>
      </c>
      <c r="AJ83" s="28"/>
      <c r="AK83" s="28">
        <v>23</v>
      </c>
      <c r="AL83" s="28" t="s">
        <v>27</v>
      </c>
    </row>
    <row r="84" spans="4:38" s="21" customFormat="1">
      <c r="D84" s="28">
        <v>24</v>
      </c>
      <c r="E84" s="28" t="s">
        <v>23</v>
      </c>
      <c r="F84" s="28"/>
      <c r="G84" s="28">
        <v>24</v>
      </c>
      <c r="H84" s="28" t="s">
        <v>26</v>
      </c>
      <c r="I84" s="28"/>
      <c r="J84" s="28">
        <v>24</v>
      </c>
      <c r="K84" s="28" t="s">
        <v>26</v>
      </c>
      <c r="L84" s="28"/>
      <c r="M84" s="28">
        <v>24</v>
      </c>
      <c r="N84" s="28" t="s">
        <v>22</v>
      </c>
      <c r="O84" s="28"/>
      <c r="P84" s="28">
        <v>24</v>
      </c>
      <c r="Q84" s="28" t="s">
        <v>24</v>
      </c>
      <c r="R84" s="28"/>
      <c r="S84" s="28">
        <v>24</v>
      </c>
      <c r="T84" s="28" t="s">
        <v>27</v>
      </c>
      <c r="U84" s="28"/>
      <c r="V84" s="28">
        <v>24</v>
      </c>
      <c r="W84" s="28" t="s">
        <v>22</v>
      </c>
      <c r="X84" s="28"/>
      <c r="Y84" s="28">
        <v>24</v>
      </c>
      <c r="Z84" s="28" t="s">
        <v>25</v>
      </c>
      <c r="AA84" s="28"/>
      <c r="AB84" s="28">
        <v>24</v>
      </c>
      <c r="AC84" s="28" t="s">
        <v>28</v>
      </c>
      <c r="AD84" s="28"/>
      <c r="AE84" s="28">
        <v>24</v>
      </c>
      <c r="AF84" s="28" t="s">
        <v>23</v>
      </c>
      <c r="AG84" s="28"/>
      <c r="AH84" s="28">
        <v>24</v>
      </c>
      <c r="AI84" s="28" t="s">
        <v>26</v>
      </c>
      <c r="AJ84" s="28"/>
      <c r="AK84" s="28">
        <v>24</v>
      </c>
      <c r="AL84" s="28" t="s">
        <v>28</v>
      </c>
    </row>
    <row r="85" spans="4:38" s="21" customFormat="1">
      <c r="D85" s="28">
        <v>25</v>
      </c>
      <c r="E85" s="28" t="s">
        <v>24</v>
      </c>
      <c r="F85" s="28"/>
      <c r="G85" s="28">
        <v>25</v>
      </c>
      <c r="H85" s="28" t="s">
        <v>27</v>
      </c>
      <c r="I85" s="28"/>
      <c r="J85" s="28">
        <v>25</v>
      </c>
      <c r="K85" s="28" t="s">
        <v>27</v>
      </c>
      <c r="L85" s="28"/>
      <c r="M85" s="28">
        <v>25</v>
      </c>
      <c r="N85" s="28" t="s">
        <v>23</v>
      </c>
      <c r="O85" s="28"/>
      <c r="P85" s="28">
        <v>25</v>
      </c>
      <c r="Q85" s="28" t="s">
        <v>25</v>
      </c>
      <c r="R85" s="28"/>
      <c r="S85" s="28">
        <v>25</v>
      </c>
      <c r="T85" s="28" t="s">
        <v>28</v>
      </c>
      <c r="U85" s="28"/>
      <c r="V85" s="28">
        <v>25</v>
      </c>
      <c r="W85" s="28" t="s">
        <v>23</v>
      </c>
      <c r="X85" s="28"/>
      <c r="Y85" s="28">
        <v>25</v>
      </c>
      <c r="Z85" s="28" t="s">
        <v>26</v>
      </c>
      <c r="AA85" s="28"/>
      <c r="AB85" s="28">
        <v>25</v>
      </c>
      <c r="AC85" s="28" t="s">
        <v>22</v>
      </c>
      <c r="AD85" s="28"/>
      <c r="AE85" s="28">
        <v>25</v>
      </c>
      <c r="AF85" s="28" t="s">
        <v>24</v>
      </c>
      <c r="AG85" s="28"/>
      <c r="AH85" s="28">
        <v>25</v>
      </c>
      <c r="AI85" s="28" t="s">
        <v>27</v>
      </c>
      <c r="AJ85" s="28"/>
      <c r="AK85" s="28">
        <v>25</v>
      </c>
      <c r="AL85" s="28" t="s">
        <v>22</v>
      </c>
    </row>
    <row r="86" spans="4:38" s="21" customFormat="1">
      <c r="D86" s="28">
        <v>26</v>
      </c>
      <c r="E86" s="28" t="s">
        <v>25</v>
      </c>
      <c r="F86" s="28"/>
      <c r="G86" s="28">
        <v>26</v>
      </c>
      <c r="H86" s="28" t="s">
        <v>28</v>
      </c>
      <c r="I86" s="28"/>
      <c r="J86" s="28">
        <v>26</v>
      </c>
      <c r="K86" s="28" t="s">
        <v>28</v>
      </c>
      <c r="L86" s="28"/>
      <c r="M86" s="28">
        <v>26</v>
      </c>
      <c r="N86" s="28" t="s">
        <v>24</v>
      </c>
      <c r="O86" s="28"/>
      <c r="P86" s="28">
        <v>26</v>
      </c>
      <c r="Q86" s="28" t="s">
        <v>26</v>
      </c>
      <c r="R86" s="28"/>
      <c r="S86" s="28">
        <v>26</v>
      </c>
      <c r="T86" s="28" t="s">
        <v>22</v>
      </c>
      <c r="U86" s="28"/>
      <c r="V86" s="28">
        <v>26</v>
      </c>
      <c r="W86" s="28" t="s">
        <v>24</v>
      </c>
      <c r="X86" s="28"/>
      <c r="Y86" s="28">
        <v>26</v>
      </c>
      <c r="Z86" s="28" t="s">
        <v>27</v>
      </c>
      <c r="AA86" s="28"/>
      <c r="AB86" s="28">
        <v>26</v>
      </c>
      <c r="AC86" s="28" t="s">
        <v>23</v>
      </c>
      <c r="AD86" s="28"/>
      <c r="AE86" s="28">
        <v>26</v>
      </c>
      <c r="AF86" s="28" t="s">
        <v>25</v>
      </c>
      <c r="AG86" s="28"/>
      <c r="AH86" s="28">
        <v>26</v>
      </c>
      <c r="AI86" s="28" t="s">
        <v>28</v>
      </c>
      <c r="AJ86" s="28"/>
      <c r="AK86" s="28">
        <v>26</v>
      </c>
      <c r="AL86" s="28" t="s">
        <v>23</v>
      </c>
    </row>
    <row r="87" spans="4:38" s="21" customFormat="1">
      <c r="D87" s="28">
        <v>27</v>
      </c>
      <c r="E87" s="28" t="s">
        <v>26</v>
      </c>
      <c r="F87" s="28"/>
      <c r="G87" s="28">
        <v>27</v>
      </c>
      <c r="H87" s="28" t="s">
        <v>22</v>
      </c>
      <c r="I87" s="28"/>
      <c r="J87" s="28">
        <v>27</v>
      </c>
      <c r="K87" s="28" t="s">
        <v>22</v>
      </c>
      <c r="L87" s="28"/>
      <c r="M87" s="28">
        <v>27</v>
      </c>
      <c r="N87" s="28" t="s">
        <v>25</v>
      </c>
      <c r="O87" s="28"/>
      <c r="P87" s="28">
        <v>27</v>
      </c>
      <c r="Q87" s="28" t="s">
        <v>27</v>
      </c>
      <c r="R87" s="28"/>
      <c r="S87" s="28">
        <v>27</v>
      </c>
      <c r="T87" s="28" t="s">
        <v>23</v>
      </c>
      <c r="U87" s="28"/>
      <c r="V87" s="28">
        <v>27</v>
      </c>
      <c r="W87" s="28" t="s">
        <v>25</v>
      </c>
      <c r="X87" s="28"/>
      <c r="Y87" s="28">
        <v>27</v>
      </c>
      <c r="Z87" s="28" t="s">
        <v>28</v>
      </c>
      <c r="AA87" s="28"/>
      <c r="AB87" s="28">
        <v>27</v>
      </c>
      <c r="AC87" s="28" t="s">
        <v>24</v>
      </c>
      <c r="AD87" s="28"/>
      <c r="AE87" s="28">
        <v>27</v>
      </c>
      <c r="AF87" s="28" t="s">
        <v>26</v>
      </c>
      <c r="AG87" s="28"/>
      <c r="AH87" s="28">
        <v>27</v>
      </c>
      <c r="AI87" s="28" t="s">
        <v>22</v>
      </c>
      <c r="AJ87" s="28"/>
      <c r="AK87" s="28">
        <v>27</v>
      </c>
      <c r="AL87" s="28" t="s">
        <v>24</v>
      </c>
    </row>
    <row r="88" spans="4:38" s="21" customFormat="1">
      <c r="D88" s="28">
        <v>28</v>
      </c>
      <c r="E88" s="28" t="s">
        <v>27</v>
      </c>
      <c r="F88" s="28"/>
      <c r="G88" s="28">
        <v>28</v>
      </c>
      <c r="H88" s="28" t="s">
        <v>23</v>
      </c>
      <c r="I88" s="28"/>
      <c r="J88" s="28">
        <v>28</v>
      </c>
      <c r="K88" s="28" t="s">
        <v>23</v>
      </c>
      <c r="L88" s="28"/>
      <c r="M88" s="28">
        <v>28</v>
      </c>
      <c r="N88" s="28" t="s">
        <v>26</v>
      </c>
      <c r="O88" s="28"/>
      <c r="P88" s="28">
        <v>28</v>
      </c>
      <c r="Q88" s="28" t="s">
        <v>28</v>
      </c>
      <c r="R88" s="28"/>
      <c r="S88" s="28">
        <v>28</v>
      </c>
      <c r="T88" s="28" t="s">
        <v>24</v>
      </c>
      <c r="U88" s="28"/>
      <c r="V88" s="28">
        <v>28</v>
      </c>
      <c r="W88" s="28" t="s">
        <v>26</v>
      </c>
      <c r="X88" s="28"/>
      <c r="Y88" s="28">
        <v>28</v>
      </c>
      <c r="Z88" s="28" t="s">
        <v>22</v>
      </c>
      <c r="AA88" s="28"/>
      <c r="AB88" s="28">
        <v>28</v>
      </c>
      <c r="AC88" s="28" t="s">
        <v>25</v>
      </c>
      <c r="AD88" s="28"/>
      <c r="AE88" s="28">
        <v>28</v>
      </c>
      <c r="AF88" s="28" t="s">
        <v>27</v>
      </c>
      <c r="AG88" s="28"/>
      <c r="AH88" s="28">
        <v>28</v>
      </c>
      <c r="AI88" s="28" t="s">
        <v>23</v>
      </c>
      <c r="AJ88" s="28"/>
      <c r="AK88" s="28">
        <v>28</v>
      </c>
      <c r="AL88" s="28" t="s">
        <v>25</v>
      </c>
    </row>
    <row r="89" spans="4:38" s="21" customFormat="1">
      <c r="D89" s="28">
        <v>29</v>
      </c>
      <c r="E89" s="28" t="s">
        <v>28</v>
      </c>
      <c r="F89" s="28"/>
      <c r="G89" s="28">
        <v>29</v>
      </c>
      <c r="H89" s="28" t="s">
        <v>23</v>
      </c>
      <c r="I89" s="28"/>
      <c r="J89" s="28">
        <v>29</v>
      </c>
      <c r="K89" s="28" t="s">
        <v>24</v>
      </c>
      <c r="L89" s="28"/>
      <c r="M89" s="28">
        <v>29</v>
      </c>
      <c r="N89" s="28" t="s">
        <v>27</v>
      </c>
      <c r="O89" s="28"/>
      <c r="P89" s="28">
        <v>29</v>
      </c>
      <c r="Q89" s="28" t="s">
        <v>22</v>
      </c>
      <c r="R89" s="28"/>
      <c r="S89" s="28">
        <v>29</v>
      </c>
      <c r="T89" s="28" t="s">
        <v>25</v>
      </c>
      <c r="U89" s="28"/>
      <c r="V89" s="28">
        <v>29</v>
      </c>
      <c r="W89" s="28" t="s">
        <v>27</v>
      </c>
      <c r="X89" s="28"/>
      <c r="Y89" s="28">
        <v>29</v>
      </c>
      <c r="Z89" s="28" t="s">
        <v>23</v>
      </c>
      <c r="AA89" s="28"/>
      <c r="AB89" s="28">
        <v>29</v>
      </c>
      <c r="AC89" s="28" t="s">
        <v>26</v>
      </c>
      <c r="AD89" s="28"/>
      <c r="AE89" s="28">
        <v>29</v>
      </c>
      <c r="AF89" s="28" t="s">
        <v>28</v>
      </c>
      <c r="AG89" s="28"/>
      <c r="AH89" s="28">
        <v>29</v>
      </c>
      <c r="AI89" s="28" t="s">
        <v>24</v>
      </c>
      <c r="AJ89" s="28"/>
      <c r="AK89" s="28">
        <v>29</v>
      </c>
      <c r="AL89" s="28" t="s">
        <v>26</v>
      </c>
    </row>
    <row r="90" spans="4:38" s="21" customFormat="1">
      <c r="D90" s="28">
        <v>30</v>
      </c>
      <c r="E90" s="28" t="s">
        <v>22</v>
      </c>
      <c r="F90" s="28"/>
      <c r="G90" s="28"/>
      <c r="H90" s="28"/>
      <c r="I90" s="28"/>
      <c r="J90" s="28">
        <v>30</v>
      </c>
      <c r="K90" s="28" t="s">
        <v>25</v>
      </c>
      <c r="L90" s="28"/>
      <c r="M90" s="28">
        <v>30</v>
      </c>
      <c r="N90" s="28" t="s">
        <v>28</v>
      </c>
      <c r="O90" s="28"/>
      <c r="P90" s="28">
        <v>30</v>
      </c>
      <c r="Q90" s="28" t="s">
        <v>23</v>
      </c>
      <c r="R90" s="28"/>
      <c r="S90" s="28">
        <v>30</v>
      </c>
      <c r="T90" s="28" t="s">
        <v>26</v>
      </c>
      <c r="U90" s="28"/>
      <c r="V90" s="28">
        <v>30</v>
      </c>
      <c r="W90" s="28" t="s">
        <v>28</v>
      </c>
      <c r="X90" s="28"/>
      <c r="Y90" s="28">
        <v>30</v>
      </c>
      <c r="Z90" s="28" t="s">
        <v>24</v>
      </c>
      <c r="AA90" s="28"/>
      <c r="AB90" s="28">
        <v>30</v>
      </c>
      <c r="AC90" s="28" t="s">
        <v>27</v>
      </c>
      <c r="AD90" s="28"/>
      <c r="AE90" s="28">
        <v>30</v>
      </c>
      <c r="AF90" s="28" t="s">
        <v>22</v>
      </c>
      <c r="AG90" s="28"/>
      <c r="AH90" s="28">
        <v>30</v>
      </c>
      <c r="AI90" s="28" t="s">
        <v>25</v>
      </c>
      <c r="AJ90" s="28"/>
      <c r="AK90" s="28">
        <v>30</v>
      </c>
      <c r="AL90" s="28" t="s">
        <v>27</v>
      </c>
    </row>
    <row r="91" spans="4:38" s="21" customFormat="1">
      <c r="D91" s="28">
        <v>31</v>
      </c>
      <c r="E91" s="28" t="s">
        <v>23</v>
      </c>
      <c r="F91" s="28"/>
      <c r="G91" s="28"/>
      <c r="H91" s="28"/>
      <c r="I91" s="28"/>
      <c r="J91" s="28">
        <v>31</v>
      </c>
      <c r="K91" s="28" t="s">
        <v>26</v>
      </c>
      <c r="L91" s="28"/>
      <c r="M91" s="28"/>
      <c r="N91" s="28"/>
      <c r="O91" s="28"/>
      <c r="P91" s="28">
        <v>31</v>
      </c>
      <c r="Q91" s="28" t="s">
        <v>24</v>
      </c>
      <c r="R91" s="28"/>
      <c r="S91" s="28"/>
      <c r="T91" s="28"/>
      <c r="U91" s="28"/>
      <c r="V91" s="28">
        <v>31</v>
      </c>
      <c r="W91" s="28" t="s">
        <v>22</v>
      </c>
      <c r="X91" s="28"/>
      <c r="Y91" s="28">
        <v>31</v>
      </c>
      <c r="Z91" s="28" t="s">
        <v>25</v>
      </c>
      <c r="AA91" s="28"/>
      <c r="AB91" s="28"/>
      <c r="AC91" s="28"/>
      <c r="AD91" s="28"/>
      <c r="AE91" s="28">
        <v>31</v>
      </c>
      <c r="AF91" s="28" t="s">
        <v>23</v>
      </c>
      <c r="AG91" s="28"/>
      <c r="AH91" s="28"/>
      <c r="AI91" s="28"/>
      <c r="AJ91" s="28"/>
      <c r="AK91" s="28">
        <v>31</v>
      </c>
      <c r="AL91" s="28" t="s">
        <v>28</v>
      </c>
    </row>
    <row r="92" spans="4:38" s="21" customFormat="1"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4:38" s="21" customFormat="1"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4:38" s="21" customFormat="1"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4:38" s="21" customFormat="1"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4:38" s="21" customFormat="1"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4:38" s="21" customFormat="1"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4:38" s="21" customFormat="1"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4:38" s="21" customFormat="1"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4:38" s="21" customFormat="1"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4:38" s="21" customFormat="1">
      <c r="D101" s="28"/>
    </row>
    <row r="102" spans="4:38" s="21" customFormat="1">
      <c r="D102" s="28"/>
    </row>
    <row r="103" spans="4:38" s="21" customFormat="1">
      <c r="D103" s="28"/>
    </row>
    <row r="104" spans="4:38" s="21" customFormat="1">
      <c r="D104" s="28"/>
    </row>
    <row r="105" spans="4:38" s="21" customFormat="1">
      <c r="D105" s="28"/>
    </row>
    <row r="106" spans="4:38" s="21" customFormat="1">
      <c r="D106" s="28"/>
    </row>
    <row r="107" spans="4:38" s="21" customFormat="1">
      <c r="D107" s="28"/>
    </row>
    <row r="108" spans="4:38" s="21" customFormat="1">
      <c r="D108" s="28"/>
    </row>
    <row r="109" spans="4:38" s="21" customFormat="1">
      <c r="D109" s="28"/>
    </row>
    <row r="110" spans="4:38" s="21" customFormat="1">
      <c r="D110" s="28"/>
    </row>
    <row r="111" spans="4:38" s="21" customFormat="1">
      <c r="D111" s="28"/>
    </row>
    <row r="112" spans="4:38" s="21" customFormat="1">
      <c r="D112" s="28"/>
    </row>
    <row r="113" spans="4:4" s="21" customFormat="1">
      <c r="D113" s="28"/>
    </row>
  </sheetData>
  <customSheetViews>
    <customSheetView guid="{A4151E33-58C6-41F5-BA81-6DF0478FCCB4}" hiddenRows="1" hiddenColumns="1" state="veryHidden" topLeftCell="C50">
      <selection activeCell="E92" sqref="E92"/>
      <pageMargins left="0.511811024" right="0.511811024" top="0.78740157499999996" bottom="0.78740157499999996" header="0.31496062000000002" footer="0.31496062000000002"/>
    </customSheetView>
  </customSheetViews>
  <mergeCells count="25">
    <mergeCell ref="AE59:AF59"/>
    <mergeCell ref="AH59:AI59"/>
    <mergeCell ref="AK59:AL59"/>
    <mergeCell ref="AK12:AL12"/>
    <mergeCell ref="D59:E59"/>
    <mergeCell ref="G59:H59"/>
    <mergeCell ref="J59:K59"/>
    <mergeCell ref="M59:N59"/>
    <mergeCell ref="P59:Q59"/>
    <mergeCell ref="S59:T59"/>
    <mergeCell ref="V59:W59"/>
    <mergeCell ref="Y59:Z59"/>
    <mergeCell ref="AB59:AC59"/>
    <mergeCell ref="S12:T12"/>
    <mergeCell ref="V12:W12"/>
    <mergeCell ref="Y12:Z12"/>
    <mergeCell ref="AB12:AC12"/>
    <mergeCell ref="AE12:AF12"/>
    <mergeCell ref="AH12:AI12"/>
    <mergeCell ref="D10:E10"/>
    <mergeCell ref="D12:E12"/>
    <mergeCell ref="G12:H12"/>
    <mergeCell ref="J12:K12"/>
    <mergeCell ref="M12:N12"/>
    <mergeCell ref="P12:Q12"/>
  </mergeCells>
  <conditionalFormatting sqref="E14:E55 H14:H55 K14:K55 N14:N55 Q14:Q55 T14:T55 W14:W55 Z14:Z55 AC14:AC55 AF14:AF55 AI14:AI55 AL14:AL55">
    <cfRule type="cellIs" dxfId="12" priority="1" stopIfTrue="1" operator="equal">
      <formula>"DOM"</formula>
    </cfRule>
    <cfRule type="cellIs" dxfId="11" priority="2" stopIfTrue="1" operator="equal">
      <formula>"SAB"</formula>
    </cfRule>
    <cfRule type="cellIs" dxfId="10" priority="3" stopIfTrue="1" operator="between">
      <formula>"Q"</formula>
      <formula>"U"</formula>
    </cfRule>
  </conditionalFormatting>
  <conditionalFormatting sqref="D14:D55 AK14:AK55 J14:J55 M14:M55 P14:P55 S14:S55 V14:V55 Y14:Y55 AB14:AB55 AE14:AE55 AH14:AH55 G14:G55">
    <cfRule type="expression" dxfId="9" priority="4" stopIfTrue="1">
      <formula>E14="DOM"</formula>
    </cfRule>
    <cfRule type="expression" dxfId="8" priority="5" stopIfTrue="1">
      <formula>E14="SAB"</formula>
    </cfRule>
    <cfRule type="cellIs" dxfId="7" priority="6" stopIfTrue="1" operator="between">
      <formula>1</formula>
      <formula>31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J29"/>
  <sheetViews>
    <sheetView topLeftCell="A11" workbookViewId="0">
      <selection activeCell="D41" sqref="D41"/>
    </sheetView>
  </sheetViews>
  <sheetFormatPr baseColWidth="10" defaultColWidth="8.83203125" defaultRowHeight="15"/>
  <cols>
    <col min="3" max="3" width="12.5" customWidth="1"/>
    <col min="5" max="5" width="9.1640625" hidden="1" customWidth="1"/>
  </cols>
  <sheetData>
    <row r="1" spans="1:10" hidden="1">
      <c r="A1" s="37" t="e">
        <f>IF(EMEI!#REF!&gt;0,"REGRA MERENDA SECA","")</f>
        <v>#REF!</v>
      </c>
      <c r="B1" s="29"/>
      <c r="C1" s="29"/>
      <c r="D1" s="30"/>
    </row>
    <row r="2" spans="1:10" hidden="1">
      <c r="A2" s="38" t="e">
        <f>IF(EMEI!#REF!&gt;0,"REGRA DO KIT","")</f>
        <v>#REF!</v>
      </c>
      <c r="B2" s="31"/>
      <c r="C2" s="31"/>
      <c r="D2" s="32"/>
    </row>
    <row r="3" spans="1:10" hidden="1">
      <c r="A3" s="38" t="e">
        <f>IF(SUM(EMEI!#REF!+EMEI!#REF!+EMEI!#REF!+EMEI!#REF!+EMEI!#REF!)&gt;0,"REGRA DA FREQ","")</f>
        <v>#REF!</v>
      </c>
      <c r="B3" s="31"/>
      <c r="C3" s="31"/>
      <c r="D3" s="32"/>
    </row>
    <row r="4" spans="1:10" hidden="1">
      <c r="A4" s="38" t="e">
        <f>IF(SUM(EMEI!#REF!,EMEI!#REF!,EMEI!#REF!,EMEI!#REF!,EMEI!#REF!,EMEI!#REF!)&gt;0,"REGRA DE LANCHE","")</f>
        <v>#REF!</v>
      </c>
      <c r="B4" s="31"/>
      <c r="C4" s="31"/>
      <c r="D4" s="32"/>
    </row>
    <row r="5" spans="1:10" hidden="1">
      <c r="A5" s="38" t="e">
        <f>IF(SUM(EMEI!#REF!,EMEI!#REF!,EMEI!#REF!,EMEI!#REF!,EMEI!#REF!)&gt;0,"REGRA REFEIÇÃO","")</f>
        <v>#REF!</v>
      </c>
      <c r="B5" s="31"/>
      <c r="C5" s="31"/>
      <c r="D5" s="32"/>
    </row>
    <row r="6" spans="1:10" hidden="1">
      <c r="A6" s="38" t="e">
        <f>IF(SUM(EMEI!#REF!,EMEI!#REF!,EMEI!#REF!,EMEI!#REF!,EMEI!#REF!)&gt;0,"REGRA REP REFEIÇÃO","")</f>
        <v>#REF!</v>
      </c>
      <c r="B6" s="31"/>
      <c r="C6" s="31"/>
      <c r="D6" s="32"/>
    </row>
    <row r="7" spans="1:10" hidden="1">
      <c r="A7" s="38" t="e">
        <f>IF(SUM(EMEI!#REF!,EMEI!#REF!,EMEI!#REF!,EMEI!#REF!,EMEI!#REF!)&gt;0,"REGRA SOBREMESA","")</f>
        <v>#REF!</v>
      </c>
      <c r="B7" s="31"/>
      <c r="C7" s="31"/>
      <c r="D7" s="32"/>
    </row>
    <row r="8" spans="1:10" ht="16" hidden="1" thickBot="1">
      <c r="A8" s="39" t="e">
        <f>IF(SUM(EMEI!#REF!,EMEI!#REF!,EMEI!#REF!,EMEI!#REF!,EMEI!#REF!)&gt;0,"REGRA REP SOB","")</f>
        <v>#REF!</v>
      </c>
      <c r="B8" s="33"/>
      <c r="C8" s="33"/>
      <c r="D8" s="34"/>
    </row>
    <row r="9" spans="1:10" hidden="1"/>
    <row r="10" spans="1:10" hidden="1"/>
    <row r="11" spans="1:10" ht="16" thickBot="1"/>
    <row r="12" spans="1:10" ht="25" thickBot="1">
      <c r="A12" s="35"/>
      <c r="B12" s="1020" t="s">
        <v>62</v>
      </c>
      <c r="C12" s="1021"/>
      <c r="D12" s="43" t="s">
        <v>99</v>
      </c>
      <c r="E12" s="40"/>
      <c r="F12" s="1022" t="s">
        <v>96</v>
      </c>
      <c r="G12" s="1023"/>
      <c r="H12" s="1023"/>
      <c r="I12" s="1023"/>
      <c r="J12" s="1024"/>
    </row>
    <row r="13" spans="1:10">
      <c r="A13" s="41" t="s">
        <v>64</v>
      </c>
      <c r="B13" s="4" t="s">
        <v>63</v>
      </c>
      <c r="C13" s="47"/>
      <c r="D13" s="44"/>
      <c r="E13" s="5"/>
      <c r="F13" s="1025">
        <v>55</v>
      </c>
      <c r="G13" s="1026"/>
      <c r="H13" s="1026"/>
      <c r="I13" s="1026"/>
      <c r="J13" s="1027"/>
    </row>
    <row r="14" spans="1:10">
      <c r="A14" s="42"/>
      <c r="B14" s="48">
        <v>1</v>
      </c>
      <c r="C14" s="49"/>
      <c r="E14" s="2"/>
    </row>
    <row r="15" spans="1:10">
      <c r="A15" s="42"/>
      <c r="B15" s="48">
        <v>2</v>
      </c>
      <c r="C15" s="49"/>
      <c r="E15" s="2"/>
    </row>
    <row r="16" spans="1:10">
      <c r="A16" s="41"/>
      <c r="B16" s="48">
        <v>3</v>
      </c>
      <c r="C16" s="49"/>
      <c r="E16" s="2"/>
    </row>
    <row r="17" spans="1:10" ht="16" thickBot="1">
      <c r="A17" s="42" t="s">
        <v>64</v>
      </c>
      <c r="B17" s="1" t="s">
        <v>42</v>
      </c>
      <c r="C17" s="50"/>
      <c r="D17" s="45" t="s">
        <v>101</v>
      </c>
      <c r="E17" s="2">
        <f>IF(D17="até 4h",4,IF(D17="4 a 6 horas",6,""))</f>
        <v>6</v>
      </c>
      <c r="F17" s="1017">
        <v>55</v>
      </c>
      <c r="G17" s="1018"/>
      <c r="H17" s="1018"/>
      <c r="I17" s="1018"/>
      <c r="J17" s="1019"/>
    </row>
    <row r="18" spans="1:10" ht="16" thickBot="1">
      <c r="A18" s="42"/>
      <c r="B18" s="48">
        <v>1</v>
      </c>
      <c r="C18" s="49"/>
      <c r="E18" s="36"/>
    </row>
    <row r="19" spans="1:10">
      <c r="A19" s="41"/>
      <c r="B19" s="48">
        <f>IF(E17=6,2,"")</f>
        <v>2</v>
      </c>
      <c r="C19" s="49"/>
    </row>
    <row r="20" spans="1:10">
      <c r="A20" s="42" t="s">
        <v>64</v>
      </c>
      <c r="B20" s="1" t="s">
        <v>43</v>
      </c>
      <c r="C20" s="50"/>
      <c r="D20" s="45" t="s">
        <v>101</v>
      </c>
      <c r="E20" s="2">
        <f>IF(D20="até 4h",4,IF(D20="4 a 6 horas",6,""))</f>
        <v>6</v>
      </c>
      <c r="F20" s="1017"/>
      <c r="G20" s="1018"/>
      <c r="H20" s="1018"/>
      <c r="I20" s="1018"/>
      <c r="J20" s="1019"/>
    </row>
    <row r="21" spans="1:10">
      <c r="A21" s="42"/>
      <c r="B21" s="48">
        <v>1</v>
      </c>
      <c r="C21" s="49"/>
    </row>
    <row r="22" spans="1:10">
      <c r="A22" s="41"/>
      <c r="B22" s="48">
        <f>IF(E20=6,2,"")</f>
        <v>2</v>
      </c>
      <c r="C22" s="49"/>
    </row>
    <row r="23" spans="1:10">
      <c r="A23" s="42" t="s">
        <v>64</v>
      </c>
      <c r="B23" s="1" t="s">
        <v>44</v>
      </c>
      <c r="C23" s="50"/>
      <c r="D23" s="45" t="s">
        <v>101</v>
      </c>
      <c r="E23" s="2">
        <f>IF(D23="até 4h",4,IF(D23="4 a 6 horas",6,""))</f>
        <v>6</v>
      </c>
      <c r="F23" s="1017"/>
      <c r="G23" s="1018"/>
      <c r="H23" s="1018"/>
      <c r="I23" s="1018"/>
      <c r="J23" s="1019"/>
    </row>
    <row r="24" spans="1:10">
      <c r="A24" s="42"/>
      <c r="B24" s="48">
        <v>1</v>
      </c>
      <c r="C24" s="49"/>
    </row>
    <row r="25" spans="1:10">
      <c r="A25" s="41"/>
      <c r="B25" s="48">
        <f>IF(E23=6,2,"")</f>
        <v>2</v>
      </c>
      <c r="C25" s="49"/>
    </row>
    <row r="26" spans="1:10" ht="16" thickBot="1">
      <c r="A26" s="42" t="s">
        <v>64</v>
      </c>
      <c r="B26" s="3" t="s">
        <v>45</v>
      </c>
      <c r="C26" s="51"/>
      <c r="D26" s="46" t="s">
        <v>100</v>
      </c>
      <c r="E26" s="2">
        <f>IF(D26="até 4h",4,IF(D26="4 a 6 horas",6,""))</f>
        <v>4</v>
      </c>
      <c r="F26" s="1017"/>
      <c r="G26" s="1018"/>
      <c r="H26" s="1018"/>
      <c r="I26" s="1018"/>
      <c r="J26" s="1019"/>
    </row>
    <row r="27" spans="1:10">
      <c r="A27" s="42"/>
      <c r="B27" s="48">
        <v>1</v>
      </c>
      <c r="C27" s="49"/>
    </row>
    <row r="28" spans="1:10" ht="16" thickBot="1">
      <c r="A28" s="41"/>
      <c r="B28" s="52" t="str">
        <f>IF(E26=6,2,"")</f>
        <v/>
      </c>
      <c r="C28" s="53"/>
    </row>
    <row r="29" spans="1:10" ht="16" thickBot="1">
      <c r="F29" s="1014">
        <f>SUM(F13:F26)</f>
        <v>110</v>
      </c>
      <c r="G29" s="1015"/>
      <c r="H29" s="1015"/>
      <c r="I29" s="1015"/>
      <c r="J29" s="1016"/>
    </row>
  </sheetData>
  <customSheetViews>
    <customSheetView guid="{A4151E33-58C6-41F5-BA81-6DF0478FCCB4}" hiddenRows="1" hiddenColumns="1" state="veryHidden" topLeftCell="A11">
      <selection activeCell="D41" sqref="D41"/>
      <pageMargins left="0.511811024" right="0.511811024" top="0.78740157499999996" bottom="0.78740157499999996" header="0.31496062000000002" footer="0.31496062000000002"/>
    </customSheetView>
  </customSheetViews>
  <mergeCells count="8">
    <mergeCell ref="F29:J29"/>
    <mergeCell ref="F26:J26"/>
    <mergeCell ref="B12:C12"/>
    <mergeCell ref="F12:J12"/>
    <mergeCell ref="F13:J13"/>
    <mergeCell ref="F17:J17"/>
    <mergeCell ref="F20:J20"/>
    <mergeCell ref="F23:J23"/>
  </mergeCells>
  <conditionalFormatting sqref="A13:A28">
    <cfRule type="expression" dxfId="6" priority="352">
      <formula>AND($C$20="",$C$23="",$C$26="",#REF!="",#REF!="")</formula>
    </cfRule>
  </conditionalFormatting>
  <conditionalFormatting sqref="F13:J13 F17:J17 F20:J20 F23:J23">
    <cfRule type="expression" dxfId="5" priority="359">
      <formula>$I13&lt;&gt;""</formula>
    </cfRule>
    <cfRule type="expression" dxfId="4" priority="360">
      <formula>$C13&lt;&gt;""</formula>
    </cfRule>
  </conditionalFormatting>
  <conditionalFormatting sqref="F13:J13 F17:J17 F20:J20 F23:J23">
    <cfRule type="expression" dxfId="3" priority="361">
      <formula>AND($I13&lt;&gt;"",$C13="")</formula>
    </cfRule>
  </conditionalFormatting>
  <conditionalFormatting sqref="F26:J26">
    <cfRule type="expression" dxfId="2" priority="1">
      <formula>$I26&lt;&gt;""</formula>
    </cfRule>
    <cfRule type="expression" dxfId="1" priority="2">
      <formula>$C26&lt;&gt;""</formula>
    </cfRule>
  </conditionalFormatting>
  <conditionalFormatting sqref="F26:J26">
    <cfRule type="expression" dxfId="0" priority="3">
      <formula>AND($I26&lt;&gt;"",$C26="")</formula>
    </cfRule>
  </conditionalFormatting>
  <dataValidations count="4">
    <dataValidation type="list" allowBlank="1" showInputMessage="1" showErrorMessage="1" sqref="C14:C16" xr:uid="{00000000-0002-0000-0300-000000000000}">
      <formula1>"Lanche 5h, Refeição, Lanche 4h"</formula1>
    </dataValidation>
    <dataValidation type="list" allowBlank="1" showInputMessage="1" showErrorMessage="1" sqref="D17 D20 D26 D23" xr:uid="{00000000-0002-0000-0300-000001000000}">
      <formula1>"até 4h, 4 a 6 horas"</formula1>
    </dataValidation>
    <dataValidation type="list" allowBlank="1" showInputMessage="1" showErrorMessage="1" sqref="C18:C19" xr:uid="{00000000-0002-0000-0300-000002000000}">
      <formula1>"Refeição, Lanche 5h"</formula1>
    </dataValidation>
    <dataValidation type="whole" allowBlank="1" showInputMessage="1" showErrorMessage="1" sqref="F13:J13 F17:J17 F23:J23 F20:J20 F26:J26" xr:uid="{00000000-0002-0000-0300-000003000000}">
      <formula1>0</formula1>
      <formula2>10000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E3:Q13"/>
  <sheetViews>
    <sheetView view="pageBreakPreview" zoomScaleNormal="100" zoomScaleSheetLayoutView="100" workbookViewId="0">
      <selection activeCell="C10" sqref="C10"/>
    </sheetView>
  </sheetViews>
  <sheetFormatPr baseColWidth="10" defaultColWidth="8.83203125" defaultRowHeight="15"/>
  <cols>
    <col min="12" max="12" width="19" customWidth="1"/>
  </cols>
  <sheetData>
    <row r="3" spans="5:17" ht="15" customHeight="1">
      <c r="E3" s="1029" t="s">
        <v>13753</v>
      </c>
      <c r="F3" s="1029"/>
      <c r="G3" s="1029"/>
      <c r="H3" s="1029"/>
      <c r="I3" s="1029"/>
      <c r="J3" s="1029"/>
      <c r="K3" s="1029"/>
      <c r="L3" s="1029"/>
      <c r="M3" s="1029"/>
      <c r="N3" s="1029"/>
      <c r="O3" s="1029"/>
      <c r="P3" s="1029"/>
      <c r="Q3" s="1029"/>
    </row>
    <row r="4" spans="5:17" ht="15" customHeight="1">
      <c r="E4" s="1029"/>
      <c r="F4" s="1029"/>
      <c r="G4" s="1029"/>
      <c r="H4" s="1029"/>
      <c r="I4" s="1029"/>
      <c r="J4" s="1029"/>
      <c r="K4" s="1029"/>
      <c r="L4" s="1029"/>
      <c r="M4" s="1029"/>
      <c r="N4" s="1029"/>
      <c r="O4" s="1029"/>
      <c r="P4" s="1029"/>
      <c r="Q4" s="1029"/>
    </row>
    <row r="5" spans="5:17" ht="15" customHeight="1">
      <c r="E5" s="1029"/>
      <c r="F5" s="1029"/>
      <c r="G5" s="1029"/>
      <c r="H5" s="1029"/>
      <c r="I5" s="1029"/>
      <c r="J5" s="1029"/>
      <c r="K5" s="1029"/>
      <c r="L5" s="1029"/>
      <c r="M5" s="1029"/>
      <c r="N5" s="1029"/>
      <c r="O5" s="1029"/>
      <c r="P5" s="1029"/>
      <c r="Q5" s="1029"/>
    </row>
    <row r="6" spans="5:17" ht="15" customHeight="1">
      <c r="E6" s="1029"/>
      <c r="F6" s="1029"/>
      <c r="G6" s="1029"/>
      <c r="H6" s="1029"/>
      <c r="I6" s="1029"/>
      <c r="J6" s="1029"/>
      <c r="K6" s="1029"/>
      <c r="L6" s="1029"/>
      <c r="M6" s="1029"/>
      <c r="N6" s="1029"/>
      <c r="O6" s="1029"/>
      <c r="P6" s="1029"/>
      <c r="Q6" s="1029"/>
    </row>
    <row r="7" spans="5:17" ht="15" customHeight="1">
      <c r="E7" s="1029"/>
      <c r="F7" s="1029"/>
      <c r="G7" s="1029"/>
      <c r="H7" s="1029"/>
      <c r="I7" s="1029"/>
      <c r="J7" s="1029"/>
      <c r="K7" s="1029"/>
      <c r="L7" s="1029"/>
      <c r="M7" s="1029"/>
      <c r="N7" s="1029"/>
      <c r="O7" s="1029"/>
      <c r="P7" s="1029"/>
      <c r="Q7" s="1029"/>
    </row>
    <row r="8" spans="5:17" ht="15" customHeight="1">
      <c r="E8" s="1029"/>
      <c r="F8" s="1029"/>
      <c r="G8" s="1029"/>
      <c r="H8" s="1029"/>
      <c r="I8" s="1029"/>
      <c r="J8" s="1029"/>
      <c r="K8" s="1029"/>
      <c r="L8" s="1029"/>
      <c r="M8" s="1029"/>
      <c r="N8" s="1029"/>
      <c r="O8" s="1029"/>
      <c r="P8" s="1029"/>
      <c r="Q8" s="1029"/>
    </row>
    <row r="9" spans="5:17" ht="15" customHeight="1">
      <c r="E9" s="1029"/>
      <c r="F9" s="1029"/>
      <c r="G9" s="1029"/>
      <c r="H9" s="1029"/>
      <c r="I9" s="1029"/>
      <c r="J9" s="1029"/>
      <c r="K9" s="1029"/>
      <c r="L9" s="1029"/>
      <c r="M9" s="1029"/>
      <c r="N9" s="1029"/>
      <c r="O9" s="1029"/>
      <c r="P9" s="1029"/>
      <c r="Q9" s="1029"/>
    </row>
    <row r="10" spans="5:17" ht="15" customHeight="1">
      <c r="E10" s="1029"/>
      <c r="F10" s="1029"/>
      <c r="G10" s="1029"/>
      <c r="H10" s="1029"/>
      <c r="I10" s="1029"/>
      <c r="J10" s="1029"/>
      <c r="K10" s="1029"/>
      <c r="L10" s="1029"/>
      <c r="M10" s="1029"/>
      <c r="N10" s="1029"/>
      <c r="O10" s="1029"/>
      <c r="P10" s="1029"/>
      <c r="Q10" s="1029"/>
    </row>
    <row r="12" spans="5:17">
      <c r="E12" s="1028" t="s">
        <v>107</v>
      </c>
      <c r="F12" s="1028"/>
      <c r="G12" s="1028"/>
      <c r="H12" s="1028"/>
      <c r="I12" s="1028"/>
      <c r="J12" s="1028"/>
      <c r="K12" s="1028"/>
      <c r="L12" s="1028"/>
      <c r="M12" s="1028"/>
      <c r="N12" s="1028"/>
      <c r="O12" s="1028"/>
      <c r="P12" s="1028"/>
      <c r="Q12" s="1028"/>
    </row>
    <row r="13" spans="5:17" ht="25.5" customHeight="1">
      <c r="E13" s="1028"/>
      <c r="F13" s="1028"/>
      <c r="G13" s="1028"/>
      <c r="H13" s="1028"/>
      <c r="I13" s="1028"/>
      <c r="J13" s="1028"/>
      <c r="K13" s="1028"/>
      <c r="L13" s="1028"/>
      <c r="M13" s="1028"/>
      <c r="N13" s="1028"/>
      <c r="O13" s="1028"/>
      <c r="P13" s="1028"/>
      <c r="Q13" s="1028"/>
    </row>
  </sheetData>
  <customSheetViews>
    <customSheetView guid="{A4151E33-58C6-41F5-BA81-6DF0478FCCB4}" showPageBreaks="1" printArea="1" state="veryHidden" view="pageBreakPreview">
      <selection activeCell="D27" sqref="D27"/>
      <pageMargins left="0.51181102362204722" right="0.51181102362204722" top="0.78740157480314965" bottom="0.78740157480314965" header="0.31496062992125984" footer="0.31496062992125984"/>
      <pageSetup scale="47" orientation="portrait" r:id="rId1"/>
    </customSheetView>
  </customSheetViews>
  <mergeCells count="2">
    <mergeCell ref="E12:Q13"/>
    <mergeCell ref="E3:Q10"/>
  </mergeCells>
  <pageMargins left="0.51181102362204722" right="0.51181102362204722" top="0.78740157480314965" bottom="0.78740157480314965" header="0.31496062992125984" footer="0.31496062992125984"/>
  <pageSetup scale="47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O428"/>
  <sheetViews>
    <sheetView topLeftCell="N397" workbookViewId="0">
      <selection sqref="A1:O428"/>
    </sheetView>
  </sheetViews>
  <sheetFormatPr baseColWidth="10" defaultColWidth="8.83203125" defaultRowHeight="15"/>
  <cols>
    <col min="4" max="4" width="13.5" bestFit="1" customWidth="1"/>
    <col min="5" max="5" width="13.1640625" bestFit="1" customWidth="1"/>
    <col min="6" max="6" width="48.83203125" bestFit="1" customWidth="1"/>
    <col min="7" max="7" width="9.33203125" customWidth="1"/>
    <col min="8" max="8" width="10.6640625" bestFit="1" customWidth="1"/>
    <col min="12" max="12" width="14.6640625" bestFit="1" customWidth="1"/>
    <col min="13" max="13" width="229.1640625" bestFit="1" customWidth="1"/>
  </cols>
  <sheetData>
    <row r="1" spans="1:15">
      <c r="A1" s="173" t="s">
        <v>146</v>
      </c>
      <c r="B1" s="173" t="s">
        <v>147</v>
      </c>
      <c r="C1" s="173" t="s">
        <v>6</v>
      </c>
      <c r="D1" s="173" t="s">
        <v>148</v>
      </c>
      <c r="E1" s="173" t="s">
        <v>149</v>
      </c>
      <c r="F1" s="173" t="s">
        <v>150</v>
      </c>
      <c r="G1" s="173" t="s">
        <v>151</v>
      </c>
      <c r="H1" s="174" t="s">
        <v>152</v>
      </c>
      <c r="I1" s="174" t="s">
        <v>153</v>
      </c>
      <c r="J1" s="174" t="s">
        <v>154</v>
      </c>
      <c r="K1" s="174" t="s">
        <v>155</v>
      </c>
      <c r="L1" s="173" t="s">
        <v>156</v>
      </c>
      <c r="M1" s="173" t="s">
        <v>157</v>
      </c>
      <c r="N1" s="173" t="s">
        <v>158</v>
      </c>
      <c r="O1" s="173" t="s">
        <v>159</v>
      </c>
    </row>
    <row r="2" spans="1:15">
      <c r="A2" s="175">
        <v>7447</v>
      </c>
      <c r="B2" s="176" t="s">
        <v>160</v>
      </c>
      <c r="C2" s="176" t="s">
        <v>161</v>
      </c>
      <c r="D2" s="175" t="s">
        <v>162</v>
      </c>
      <c r="E2" s="175">
        <v>5975876</v>
      </c>
      <c r="F2" s="176" t="s">
        <v>163</v>
      </c>
      <c r="G2" s="177" t="s">
        <v>164</v>
      </c>
      <c r="H2" s="178">
        <v>42907</v>
      </c>
      <c r="I2" s="179">
        <v>1223</v>
      </c>
      <c r="J2" s="179">
        <v>40.766666666666666</v>
      </c>
      <c r="K2" s="179" t="s">
        <v>165</v>
      </c>
      <c r="L2" s="180">
        <v>41785</v>
      </c>
      <c r="M2" s="176" t="s">
        <v>166</v>
      </c>
      <c r="N2" s="176" t="s">
        <v>167</v>
      </c>
      <c r="O2" s="181" t="s">
        <v>168</v>
      </c>
    </row>
    <row r="3" spans="1:15">
      <c r="A3" s="175">
        <v>7447</v>
      </c>
      <c r="B3" s="176" t="s">
        <v>160</v>
      </c>
      <c r="C3" s="176" t="s">
        <v>161</v>
      </c>
      <c r="D3" s="175" t="s">
        <v>162</v>
      </c>
      <c r="E3" s="175">
        <v>5950165</v>
      </c>
      <c r="F3" s="176" t="s">
        <v>169</v>
      </c>
      <c r="G3" s="177" t="s">
        <v>170</v>
      </c>
      <c r="H3" s="182"/>
      <c r="I3" s="182"/>
      <c r="J3" s="182"/>
      <c r="K3" s="182"/>
      <c r="L3" s="180">
        <v>42290</v>
      </c>
      <c r="M3" s="176" t="s">
        <v>171</v>
      </c>
      <c r="N3" s="176" t="s">
        <v>172</v>
      </c>
      <c r="O3" s="181" t="s">
        <v>173</v>
      </c>
    </row>
    <row r="4" spans="1:15">
      <c r="A4" s="175">
        <v>7447</v>
      </c>
      <c r="B4" s="176" t="s">
        <v>160</v>
      </c>
      <c r="C4" s="176" t="s">
        <v>161</v>
      </c>
      <c r="D4" s="175" t="s">
        <v>162</v>
      </c>
      <c r="E4" s="175">
        <v>6163041</v>
      </c>
      <c r="F4" s="176" t="s">
        <v>174</v>
      </c>
      <c r="G4" s="177" t="s">
        <v>175</v>
      </c>
      <c r="H4" s="182"/>
      <c r="I4" s="182"/>
      <c r="J4" s="182"/>
      <c r="K4" s="182"/>
      <c r="L4" s="180">
        <v>42324</v>
      </c>
      <c r="M4" s="176" t="s">
        <v>176</v>
      </c>
      <c r="N4" s="176" t="s">
        <v>177</v>
      </c>
      <c r="O4" s="181" t="s">
        <v>168</v>
      </c>
    </row>
    <row r="5" spans="1:15">
      <c r="A5" s="175">
        <v>7447</v>
      </c>
      <c r="B5" s="176" t="s">
        <v>160</v>
      </c>
      <c r="C5" s="176" t="s">
        <v>161</v>
      </c>
      <c r="D5" s="175" t="s">
        <v>162</v>
      </c>
      <c r="E5" s="175">
        <v>6350248</v>
      </c>
      <c r="F5" s="176" t="s">
        <v>178</v>
      </c>
      <c r="G5" s="177" t="s">
        <v>179</v>
      </c>
      <c r="H5" s="182"/>
      <c r="I5" s="182"/>
      <c r="J5" s="182"/>
      <c r="K5" s="182"/>
      <c r="L5" s="180">
        <v>42452</v>
      </c>
      <c r="M5" s="176" t="s">
        <v>180</v>
      </c>
      <c r="N5" s="176" t="s">
        <v>181</v>
      </c>
      <c r="O5" s="181" t="s">
        <v>173</v>
      </c>
    </row>
    <row r="6" spans="1:15">
      <c r="A6" s="175">
        <v>7447</v>
      </c>
      <c r="B6" s="176" t="s">
        <v>160</v>
      </c>
      <c r="C6" s="176" t="s">
        <v>161</v>
      </c>
      <c r="D6" s="175" t="s">
        <v>162</v>
      </c>
      <c r="E6" s="175">
        <v>5933994</v>
      </c>
      <c r="F6" s="176" t="s">
        <v>182</v>
      </c>
      <c r="G6" s="177" t="s">
        <v>183</v>
      </c>
      <c r="H6" s="182"/>
      <c r="I6" s="182"/>
      <c r="J6" s="182"/>
      <c r="K6" s="182"/>
      <c r="L6" s="180">
        <v>41709</v>
      </c>
      <c r="M6" s="176" t="s">
        <v>166</v>
      </c>
      <c r="N6" s="176" t="s">
        <v>184</v>
      </c>
      <c r="O6" s="181" t="s">
        <v>168</v>
      </c>
    </row>
    <row r="7" spans="1:15">
      <c r="A7" s="175">
        <v>7447</v>
      </c>
      <c r="B7" s="176" t="s">
        <v>160</v>
      </c>
      <c r="C7" s="176" t="s">
        <v>161</v>
      </c>
      <c r="D7" s="175" t="s">
        <v>162</v>
      </c>
      <c r="E7" s="175">
        <v>6381641</v>
      </c>
      <c r="F7" s="176" t="s">
        <v>185</v>
      </c>
      <c r="G7" s="177" t="s">
        <v>186</v>
      </c>
      <c r="H7" s="182"/>
      <c r="I7" s="182"/>
      <c r="J7" s="182"/>
      <c r="K7" s="182"/>
      <c r="L7" s="180">
        <v>42628</v>
      </c>
      <c r="M7" s="176" t="s">
        <v>187</v>
      </c>
      <c r="N7" s="176" t="s">
        <v>188</v>
      </c>
      <c r="O7" s="181" t="s">
        <v>173</v>
      </c>
    </row>
    <row r="8" spans="1:15">
      <c r="A8" s="175">
        <v>7456</v>
      </c>
      <c r="B8" s="176" t="s">
        <v>189</v>
      </c>
      <c r="C8" s="176" t="s">
        <v>161</v>
      </c>
      <c r="D8" s="175" t="s">
        <v>162</v>
      </c>
      <c r="E8" s="175">
        <v>6337268</v>
      </c>
      <c r="F8" s="176" t="s">
        <v>190</v>
      </c>
      <c r="G8" s="177" t="s">
        <v>191</v>
      </c>
      <c r="H8" s="178">
        <v>42907</v>
      </c>
      <c r="I8" s="179">
        <v>363</v>
      </c>
      <c r="J8" s="179">
        <v>12.1</v>
      </c>
      <c r="K8" s="179" t="s">
        <v>192</v>
      </c>
      <c r="L8" s="180">
        <v>42783</v>
      </c>
      <c r="M8" s="176" t="s">
        <v>193</v>
      </c>
      <c r="N8" s="176" t="s">
        <v>194</v>
      </c>
      <c r="O8" s="181" t="s">
        <v>168</v>
      </c>
    </row>
    <row r="9" spans="1:15">
      <c r="A9" s="175">
        <v>7462</v>
      </c>
      <c r="B9" s="176" t="s">
        <v>195</v>
      </c>
      <c r="C9" s="176" t="s">
        <v>161</v>
      </c>
      <c r="D9" s="175" t="s">
        <v>162</v>
      </c>
      <c r="E9" s="175">
        <v>6151078</v>
      </c>
      <c r="F9" s="176" t="s">
        <v>196</v>
      </c>
      <c r="G9" s="177" t="s">
        <v>197</v>
      </c>
      <c r="H9" s="182"/>
      <c r="I9" s="182"/>
      <c r="J9" s="182"/>
      <c r="K9" s="182"/>
      <c r="L9" s="180">
        <v>42776</v>
      </c>
      <c r="M9" s="176" t="s">
        <v>198</v>
      </c>
      <c r="N9" s="176" t="s">
        <v>198</v>
      </c>
      <c r="O9" s="181" t="s">
        <v>168</v>
      </c>
    </row>
    <row r="10" spans="1:15">
      <c r="A10" s="175">
        <v>7462</v>
      </c>
      <c r="B10" s="176" t="s">
        <v>195</v>
      </c>
      <c r="C10" s="176" t="s">
        <v>161</v>
      </c>
      <c r="D10" s="175" t="s">
        <v>162</v>
      </c>
      <c r="E10" s="175">
        <v>6621434</v>
      </c>
      <c r="F10" s="176" t="s">
        <v>199</v>
      </c>
      <c r="G10" s="177" t="s">
        <v>200</v>
      </c>
      <c r="H10" s="182"/>
      <c r="I10" s="182"/>
      <c r="J10" s="182"/>
      <c r="K10" s="182"/>
      <c r="L10" s="180">
        <v>42781</v>
      </c>
      <c r="M10" s="176" t="s">
        <v>193</v>
      </c>
      <c r="N10" s="176" t="s">
        <v>201</v>
      </c>
      <c r="O10" s="181" t="s">
        <v>168</v>
      </c>
    </row>
    <row r="11" spans="1:15">
      <c r="A11" s="175">
        <v>7462</v>
      </c>
      <c r="B11" s="176" t="s">
        <v>195</v>
      </c>
      <c r="C11" s="176" t="s">
        <v>161</v>
      </c>
      <c r="D11" s="175" t="s">
        <v>162</v>
      </c>
      <c r="E11" s="175">
        <v>5800396</v>
      </c>
      <c r="F11" s="176" t="s">
        <v>202</v>
      </c>
      <c r="G11" s="177" t="s">
        <v>203</v>
      </c>
      <c r="H11" s="182"/>
      <c r="I11" s="182"/>
      <c r="J11" s="182"/>
      <c r="K11" s="182"/>
      <c r="L11" s="180">
        <v>42653</v>
      </c>
      <c r="M11" s="176" t="s">
        <v>166</v>
      </c>
      <c r="N11" s="176" t="s">
        <v>204</v>
      </c>
      <c r="O11" s="181" t="s">
        <v>168</v>
      </c>
    </row>
    <row r="12" spans="1:15">
      <c r="A12" s="175">
        <v>7462</v>
      </c>
      <c r="B12" s="176" t="s">
        <v>195</v>
      </c>
      <c r="C12" s="176" t="s">
        <v>161</v>
      </c>
      <c r="D12" s="175" t="s">
        <v>162</v>
      </c>
      <c r="E12" s="175">
        <v>6166113</v>
      </c>
      <c r="F12" s="176" t="s">
        <v>205</v>
      </c>
      <c r="G12" s="177" t="s">
        <v>206</v>
      </c>
      <c r="H12" s="182"/>
      <c r="I12" s="182"/>
      <c r="J12" s="182"/>
      <c r="K12" s="182"/>
      <c r="L12" s="180">
        <v>42843</v>
      </c>
      <c r="M12" s="176" t="s">
        <v>193</v>
      </c>
      <c r="N12" s="176" t="s">
        <v>194</v>
      </c>
      <c r="O12" s="181" t="s">
        <v>168</v>
      </c>
    </row>
    <row r="13" spans="1:15">
      <c r="A13" s="175">
        <v>7458</v>
      </c>
      <c r="B13" s="176" t="s">
        <v>207</v>
      </c>
      <c r="C13" s="176" t="s">
        <v>161</v>
      </c>
      <c r="D13" s="175" t="s">
        <v>162</v>
      </c>
      <c r="E13" s="175">
        <v>5956615</v>
      </c>
      <c r="F13" s="176" t="s">
        <v>208</v>
      </c>
      <c r="G13" s="177" t="s">
        <v>209</v>
      </c>
      <c r="H13" s="178">
        <v>42907</v>
      </c>
      <c r="I13" s="179">
        <v>1486</v>
      </c>
      <c r="J13" s="179">
        <v>49.533333333333331</v>
      </c>
      <c r="K13" s="179" t="s">
        <v>210</v>
      </c>
      <c r="L13" s="180">
        <v>42038</v>
      </c>
      <c r="M13" s="176" t="s">
        <v>211</v>
      </c>
      <c r="N13" s="176" t="s">
        <v>212</v>
      </c>
      <c r="O13" s="181" t="s">
        <v>168</v>
      </c>
    </row>
    <row r="14" spans="1:15">
      <c r="A14" s="175">
        <v>7458</v>
      </c>
      <c r="B14" s="176" t="s">
        <v>207</v>
      </c>
      <c r="C14" s="176" t="s">
        <v>161</v>
      </c>
      <c r="D14" s="175" t="s">
        <v>162</v>
      </c>
      <c r="E14" s="175">
        <v>5960640</v>
      </c>
      <c r="F14" s="176" t="s">
        <v>213</v>
      </c>
      <c r="G14" s="177" t="s">
        <v>214</v>
      </c>
      <c r="H14" s="178">
        <v>42907</v>
      </c>
      <c r="I14" s="179">
        <v>1023</v>
      </c>
      <c r="J14" s="179">
        <v>34.1</v>
      </c>
      <c r="K14" s="179" t="s">
        <v>165</v>
      </c>
      <c r="L14" s="180">
        <v>42299</v>
      </c>
      <c r="M14" s="176" t="s">
        <v>215</v>
      </c>
      <c r="N14" s="176" t="s">
        <v>216</v>
      </c>
      <c r="O14" s="181" t="s">
        <v>168</v>
      </c>
    </row>
    <row r="15" spans="1:15">
      <c r="A15" s="175">
        <v>7458</v>
      </c>
      <c r="B15" s="176" t="s">
        <v>207</v>
      </c>
      <c r="C15" s="176" t="s">
        <v>161</v>
      </c>
      <c r="D15" s="175" t="s">
        <v>162</v>
      </c>
      <c r="E15" s="175">
        <v>6194196</v>
      </c>
      <c r="F15" s="176" t="s">
        <v>217</v>
      </c>
      <c r="G15" s="177" t="s">
        <v>218</v>
      </c>
      <c r="H15" s="182"/>
      <c r="I15" s="182"/>
      <c r="J15" s="182"/>
      <c r="K15" s="182"/>
      <c r="L15" s="180">
        <v>42870</v>
      </c>
      <c r="M15" s="176" t="s">
        <v>219</v>
      </c>
      <c r="N15" s="176" t="s">
        <v>220</v>
      </c>
      <c r="O15" s="181" t="s">
        <v>173</v>
      </c>
    </row>
    <row r="16" spans="1:15">
      <c r="A16" s="175">
        <v>7458</v>
      </c>
      <c r="B16" s="176" t="s">
        <v>207</v>
      </c>
      <c r="C16" s="176" t="s">
        <v>161</v>
      </c>
      <c r="D16" s="175" t="s">
        <v>162</v>
      </c>
      <c r="E16" s="175">
        <v>6011423</v>
      </c>
      <c r="F16" s="176" t="s">
        <v>221</v>
      </c>
      <c r="G16" s="177" t="s">
        <v>222</v>
      </c>
      <c r="H16" s="182"/>
      <c r="I16" s="182"/>
      <c r="J16" s="182"/>
      <c r="K16" s="182"/>
      <c r="L16" s="180">
        <v>42172</v>
      </c>
      <c r="M16" s="176" t="s">
        <v>223</v>
      </c>
      <c r="N16" s="176" t="s">
        <v>224</v>
      </c>
      <c r="O16" s="181" t="s">
        <v>173</v>
      </c>
    </row>
    <row r="17" spans="1:15">
      <c r="A17" s="175">
        <v>7451</v>
      </c>
      <c r="B17" s="176" t="s">
        <v>225</v>
      </c>
      <c r="C17" s="176" t="s">
        <v>161</v>
      </c>
      <c r="D17" s="175" t="s">
        <v>162</v>
      </c>
      <c r="E17" s="175">
        <v>5963335</v>
      </c>
      <c r="F17" s="176" t="s">
        <v>226</v>
      </c>
      <c r="G17" s="177" t="s">
        <v>227</v>
      </c>
      <c r="H17" s="178">
        <v>42907</v>
      </c>
      <c r="I17" s="179">
        <v>1047</v>
      </c>
      <c r="J17" s="179">
        <v>34.9</v>
      </c>
      <c r="K17" s="179" t="s">
        <v>165</v>
      </c>
      <c r="L17" s="180">
        <v>42054</v>
      </c>
      <c r="M17" s="176" t="s">
        <v>193</v>
      </c>
      <c r="N17" s="176" t="s">
        <v>228</v>
      </c>
      <c r="O17" s="181" t="s">
        <v>168</v>
      </c>
    </row>
    <row r="18" spans="1:15">
      <c r="A18" s="175">
        <v>7451</v>
      </c>
      <c r="B18" s="176" t="s">
        <v>225</v>
      </c>
      <c r="C18" s="176" t="s">
        <v>161</v>
      </c>
      <c r="D18" s="175" t="s">
        <v>162</v>
      </c>
      <c r="E18" s="175">
        <v>6548776</v>
      </c>
      <c r="F18" s="176" t="s">
        <v>229</v>
      </c>
      <c r="G18" s="177" t="s">
        <v>230</v>
      </c>
      <c r="H18" s="182"/>
      <c r="I18" s="182"/>
      <c r="J18" s="182"/>
      <c r="K18" s="182"/>
      <c r="L18" s="180">
        <v>42780</v>
      </c>
      <c r="M18" s="176" t="s">
        <v>193</v>
      </c>
      <c r="N18" s="176" t="s">
        <v>194</v>
      </c>
      <c r="O18" s="181" t="s">
        <v>168</v>
      </c>
    </row>
    <row r="19" spans="1:15">
      <c r="A19" s="175">
        <v>7451</v>
      </c>
      <c r="B19" s="176" t="s">
        <v>225</v>
      </c>
      <c r="C19" s="176" t="s">
        <v>161</v>
      </c>
      <c r="D19" s="175" t="s">
        <v>162</v>
      </c>
      <c r="E19" s="175">
        <v>6737302</v>
      </c>
      <c r="F19" s="176" t="s">
        <v>231</v>
      </c>
      <c r="G19" s="177" t="s">
        <v>232</v>
      </c>
      <c r="H19" s="182"/>
      <c r="I19" s="182"/>
      <c r="J19" s="182"/>
      <c r="K19" s="182"/>
      <c r="L19" s="180">
        <v>42765</v>
      </c>
      <c r="M19" s="176" t="s">
        <v>233</v>
      </c>
      <c r="N19" s="176" t="s">
        <v>234</v>
      </c>
      <c r="O19" s="181" t="s">
        <v>168</v>
      </c>
    </row>
    <row r="20" spans="1:15">
      <c r="A20" s="175">
        <v>10497</v>
      </c>
      <c r="B20" s="176" t="s">
        <v>235</v>
      </c>
      <c r="C20" s="176" t="s">
        <v>161</v>
      </c>
      <c r="D20" s="175" t="s">
        <v>162</v>
      </c>
      <c r="E20" s="175">
        <v>6665128</v>
      </c>
      <c r="F20" s="176" t="s">
        <v>236</v>
      </c>
      <c r="G20" s="177" t="s">
        <v>237</v>
      </c>
      <c r="H20" s="182"/>
      <c r="I20" s="182"/>
      <c r="J20" s="182"/>
      <c r="K20" s="182"/>
      <c r="L20" s="180">
        <v>42818</v>
      </c>
      <c r="M20" s="176" t="s">
        <v>238</v>
      </c>
      <c r="N20" s="176" t="s">
        <v>239</v>
      </c>
      <c r="O20" s="181" t="s">
        <v>173</v>
      </c>
    </row>
    <row r="21" spans="1:15">
      <c r="A21" s="175">
        <v>8448</v>
      </c>
      <c r="B21" s="176" t="s">
        <v>240</v>
      </c>
      <c r="C21" s="176" t="s">
        <v>161</v>
      </c>
      <c r="D21" s="175" t="s">
        <v>162</v>
      </c>
      <c r="E21" s="175">
        <v>6209503</v>
      </c>
      <c r="F21" s="176" t="s">
        <v>241</v>
      </c>
      <c r="G21" s="177" t="s">
        <v>242</v>
      </c>
      <c r="H21" s="182"/>
      <c r="I21" s="182"/>
      <c r="J21" s="182"/>
      <c r="K21" s="182"/>
      <c r="L21" s="180">
        <v>42467</v>
      </c>
      <c r="M21" s="176" t="s">
        <v>166</v>
      </c>
      <c r="N21" s="176" t="s">
        <v>243</v>
      </c>
      <c r="O21" s="181" t="s">
        <v>168</v>
      </c>
    </row>
    <row r="22" spans="1:15">
      <c r="A22" s="175">
        <v>8448</v>
      </c>
      <c r="B22" s="176" t="s">
        <v>240</v>
      </c>
      <c r="C22" s="176" t="s">
        <v>161</v>
      </c>
      <c r="D22" s="175" t="s">
        <v>162</v>
      </c>
      <c r="E22" s="175">
        <v>6694894</v>
      </c>
      <c r="F22" s="176" t="s">
        <v>244</v>
      </c>
      <c r="G22" s="177" t="s">
        <v>245</v>
      </c>
      <c r="H22" s="182"/>
      <c r="I22" s="182"/>
      <c r="J22" s="182"/>
      <c r="K22" s="182"/>
      <c r="L22" s="180">
        <v>42850</v>
      </c>
      <c r="M22" s="176" t="s">
        <v>246</v>
      </c>
      <c r="N22" s="176" t="s">
        <v>247</v>
      </c>
      <c r="O22" s="181" t="s">
        <v>248</v>
      </c>
    </row>
    <row r="23" spans="1:15">
      <c r="A23" s="175">
        <v>7452</v>
      </c>
      <c r="B23" s="176" t="s">
        <v>249</v>
      </c>
      <c r="C23" s="176" t="s">
        <v>161</v>
      </c>
      <c r="D23" s="175" t="s">
        <v>162</v>
      </c>
      <c r="E23" s="175">
        <v>6743736</v>
      </c>
      <c r="F23" s="176" t="s">
        <v>250</v>
      </c>
      <c r="G23" s="177" t="s">
        <v>251</v>
      </c>
      <c r="H23" s="182"/>
      <c r="I23" s="182"/>
      <c r="J23" s="182"/>
      <c r="K23" s="182"/>
      <c r="L23" s="180">
        <v>42796</v>
      </c>
      <c r="M23" s="176" t="s">
        <v>252</v>
      </c>
      <c r="N23" s="176" t="s">
        <v>253</v>
      </c>
      <c r="O23" s="181" t="s">
        <v>173</v>
      </c>
    </row>
    <row r="24" spans="1:15">
      <c r="A24" s="175">
        <v>7452</v>
      </c>
      <c r="B24" s="176" t="s">
        <v>249</v>
      </c>
      <c r="C24" s="176" t="s">
        <v>161</v>
      </c>
      <c r="D24" s="175" t="s">
        <v>162</v>
      </c>
      <c r="E24" s="175">
        <v>6008172</v>
      </c>
      <c r="F24" s="176" t="s">
        <v>254</v>
      </c>
      <c r="G24" s="177" t="s">
        <v>255</v>
      </c>
      <c r="H24" s="182"/>
      <c r="I24" s="182"/>
      <c r="J24" s="182"/>
      <c r="K24" s="182"/>
      <c r="L24" s="180">
        <v>42857</v>
      </c>
      <c r="M24" s="176" t="s">
        <v>256</v>
      </c>
      <c r="N24" s="176" t="s">
        <v>257</v>
      </c>
      <c r="O24" s="181" t="s">
        <v>173</v>
      </c>
    </row>
    <row r="25" spans="1:15">
      <c r="A25" s="175">
        <v>7448</v>
      </c>
      <c r="B25" s="176" t="s">
        <v>258</v>
      </c>
      <c r="C25" s="176" t="s">
        <v>161</v>
      </c>
      <c r="D25" s="175" t="s">
        <v>162</v>
      </c>
      <c r="E25" s="175">
        <v>6156709</v>
      </c>
      <c r="F25" s="176" t="s">
        <v>259</v>
      </c>
      <c r="G25" s="177" t="s">
        <v>260</v>
      </c>
      <c r="H25" s="178">
        <v>42907</v>
      </c>
      <c r="I25" s="179">
        <v>1517</v>
      </c>
      <c r="J25" s="179">
        <v>50.56666666666667</v>
      </c>
      <c r="K25" s="179" t="s">
        <v>210</v>
      </c>
      <c r="L25" s="180">
        <v>42446</v>
      </c>
      <c r="M25" s="176" t="s">
        <v>261</v>
      </c>
      <c r="N25" s="176" t="s">
        <v>262</v>
      </c>
      <c r="O25" s="181" t="s">
        <v>168</v>
      </c>
    </row>
    <row r="26" spans="1:15">
      <c r="A26" s="175">
        <v>7448</v>
      </c>
      <c r="B26" s="176" t="s">
        <v>258</v>
      </c>
      <c r="C26" s="176" t="s">
        <v>161</v>
      </c>
      <c r="D26" s="175" t="s">
        <v>162</v>
      </c>
      <c r="E26" s="175">
        <v>6454146</v>
      </c>
      <c r="F26" s="176" t="s">
        <v>263</v>
      </c>
      <c r="G26" s="177" t="s">
        <v>264</v>
      </c>
      <c r="H26" s="178">
        <v>42907</v>
      </c>
      <c r="I26" s="179">
        <v>1823</v>
      </c>
      <c r="J26" s="179">
        <v>60.766666666666666</v>
      </c>
      <c r="K26" s="179" t="s">
        <v>210</v>
      </c>
      <c r="L26" s="180">
        <v>42787</v>
      </c>
      <c r="M26" s="176" t="s">
        <v>166</v>
      </c>
      <c r="N26" s="176" t="s">
        <v>265</v>
      </c>
      <c r="O26" s="181" t="s">
        <v>168</v>
      </c>
    </row>
    <row r="27" spans="1:15">
      <c r="A27" s="175">
        <v>7448</v>
      </c>
      <c r="B27" s="176" t="s">
        <v>258</v>
      </c>
      <c r="C27" s="176" t="s">
        <v>161</v>
      </c>
      <c r="D27" s="175" t="s">
        <v>162</v>
      </c>
      <c r="E27" s="175">
        <v>6148652</v>
      </c>
      <c r="F27" s="176" t="s">
        <v>266</v>
      </c>
      <c r="G27" s="177" t="s">
        <v>267</v>
      </c>
      <c r="H27" s="182"/>
      <c r="I27" s="182"/>
      <c r="J27" s="182"/>
      <c r="K27" s="182"/>
      <c r="L27" s="180">
        <v>42436</v>
      </c>
      <c r="M27" s="176" t="s">
        <v>193</v>
      </c>
      <c r="N27" s="176" t="s">
        <v>268</v>
      </c>
      <c r="O27" s="181" t="s">
        <v>168</v>
      </c>
    </row>
    <row r="28" spans="1:15">
      <c r="A28" s="175">
        <v>7448</v>
      </c>
      <c r="B28" s="176" t="s">
        <v>258</v>
      </c>
      <c r="C28" s="176" t="s">
        <v>161</v>
      </c>
      <c r="D28" s="175" t="s">
        <v>162</v>
      </c>
      <c r="E28" s="175">
        <v>6182277</v>
      </c>
      <c r="F28" s="176" t="s">
        <v>269</v>
      </c>
      <c r="G28" s="177" t="s">
        <v>270</v>
      </c>
      <c r="H28" s="182"/>
      <c r="I28" s="182"/>
      <c r="J28" s="182"/>
      <c r="K28" s="182"/>
      <c r="L28" s="180">
        <v>42450</v>
      </c>
      <c r="M28" s="176" t="s">
        <v>271</v>
      </c>
      <c r="N28" s="176" t="s">
        <v>272</v>
      </c>
      <c r="O28" s="181" t="s">
        <v>168</v>
      </c>
    </row>
    <row r="29" spans="1:15">
      <c r="A29" s="175">
        <v>7448</v>
      </c>
      <c r="B29" s="176" t="s">
        <v>258</v>
      </c>
      <c r="C29" s="176" t="s">
        <v>161</v>
      </c>
      <c r="D29" s="175" t="s">
        <v>162</v>
      </c>
      <c r="E29" s="175">
        <v>6570851</v>
      </c>
      <c r="F29" s="176" t="s">
        <v>273</v>
      </c>
      <c r="G29" s="177" t="s">
        <v>274</v>
      </c>
      <c r="H29" s="182"/>
      <c r="I29" s="182"/>
      <c r="J29" s="182"/>
      <c r="K29" s="182"/>
      <c r="L29" s="180">
        <v>36937</v>
      </c>
      <c r="M29" s="176" t="s">
        <v>275</v>
      </c>
      <c r="N29" s="176" t="s">
        <v>276</v>
      </c>
      <c r="O29" s="181" t="s">
        <v>168</v>
      </c>
    </row>
    <row r="30" spans="1:15">
      <c r="A30" s="175">
        <v>7448</v>
      </c>
      <c r="B30" s="176" t="s">
        <v>258</v>
      </c>
      <c r="C30" s="176" t="s">
        <v>161</v>
      </c>
      <c r="D30" s="175" t="s">
        <v>162</v>
      </c>
      <c r="E30" s="175">
        <v>6523884</v>
      </c>
      <c r="F30" s="176" t="s">
        <v>277</v>
      </c>
      <c r="G30" s="177" t="s">
        <v>278</v>
      </c>
      <c r="H30" s="182"/>
      <c r="I30" s="182"/>
      <c r="J30" s="182"/>
      <c r="K30" s="182"/>
      <c r="L30" s="180">
        <v>42773</v>
      </c>
      <c r="M30" s="176" t="s">
        <v>279</v>
      </c>
      <c r="N30" s="176" t="s">
        <v>280</v>
      </c>
      <c r="O30" s="181" t="s">
        <v>168</v>
      </c>
    </row>
    <row r="31" spans="1:15">
      <c r="A31" s="175">
        <v>7441</v>
      </c>
      <c r="B31" s="176" t="s">
        <v>281</v>
      </c>
      <c r="C31" s="176" t="s">
        <v>161</v>
      </c>
      <c r="D31" s="175" t="s">
        <v>162</v>
      </c>
      <c r="E31" s="175">
        <v>5989481</v>
      </c>
      <c r="F31" s="176" t="s">
        <v>282</v>
      </c>
      <c r="G31" s="177" t="s">
        <v>283</v>
      </c>
      <c r="H31" s="182"/>
      <c r="I31" s="182"/>
      <c r="J31" s="182"/>
      <c r="K31" s="182"/>
      <c r="L31" s="180">
        <v>42466</v>
      </c>
      <c r="M31" s="176" t="s">
        <v>284</v>
      </c>
      <c r="N31" s="176" t="s">
        <v>284</v>
      </c>
      <c r="O31" s="181" t="s">
        <v>168</v>
      </c>
    </row>
    <row r="32" spans="1:15">
      <c r="A32" s="175">
        <v>7441</v>
      </c>
      <c r="B32" s="176" t="s">
        <v>281</v>
      </c>
      <c r="C32" s="176" t="s">
        <v>161</v>
      </c>
      <c r="D32" s="175" t="s">
        <v>162</v>
      </c>
      <c r="E32" s="175">
        <v>6599179</v>
      </c>
      <c r="F32" s="176" t="s">
        <v>285</v>
      </c>
      <c r="G32" s="177" t="s">
        <v>286</v>
      </c>
      <c r="H32" s="182"/>
      <c r="I32" s="182"/>
      <c r="J32" s="182"/>
      <c r="K32" s="182"/>
      <c r="L32" s="180">
        <v>42816</v>
      </c>
      <c r="M32" s="176" t="s">
        <v>287</v>
      </c>
      <c r="N32" s="176" t="s">
        <v>288</v>
      </c>
      <c r="O32" s="181" t="s">
        <v>168</v>
      </c>
    </row>
    <row r="33" spans="1:15">
      <c r="A33" s="175">
        <v>8450</v>
      </c>
      <c r="B33" s="176" t="s">
        <v>289</v>
      </c>
      <c r="C33" s="176" t="s">
        <v>161</v>
      </c>
      <c r="D33" s="175" t="s">
        <v>162</v>
      </c>
      <c r="E33" s="175">
        <v>5747660</v>
      </c>
      <c r="F33" s="176" t="s">
        <v>290</v>
      </c>
      <c r="G33" s="177" t="s">
        <v>291</v>
      </c>
      <c r="H33" s="178">
        <v>42907</v>
      </c>
      <c r="I33" s="179">
        <v>1192</v>
      </c>
      <c r="J33" s="179">
        <v>39.733333333333334</v>
      </c>
      <c r="K33" s="179" t="s">
        <v>165</v>
      </c>
      <c r="L33" s="180">
        <v>42508</v>
      </c>
      <c r="M33" s="176" t="s">
        <v>292</v>
      </c>
      <c r="N33" s="176" t="s">
        <v>293</v>
      </c>
      <c r="O33" s="181" t="s">
        <v>168</v>
      </c>
    </row>
    <row r="34" spans="1:15">
      <c r="A34" s="175">
        <v>8450</v>
      </c>
      <c r="B34" s="176" t="s">
        <v>289</v>
      </c>
      <c r="C34" s="176" t="s">
        <v>161</v>
      </c>
      <c r="D34" s="175" t="s">
        <v>162</v>
      </c>
      <c r="E34" s="175">
        <v>6321842</v>
      </c>
      <c r="F34" s="176" t="s">
        <v>294</v>
      </c>
      <c r="G34" s="177" t="s">
        <v>295</v>
      </c>
      <c r="H34" s="178">
        <v>42907</v>
      </c>
      <c r="I34" s="179">
        <v>1465</v>
      </c>
      <c r="J34" s="179">
        <v>48.833333333333336</v>
      </c>
      <c r="K34" s="179" t="s">
        <v>210</v>
      </c>
      <c r="L34" s="180">
        <v>42744</v>
      </c>
      <c r="M34" s="176" t="s">
        <v>166</v>
      </c>
      <c r="N34" s="176" t="s">
        <v>296</v>
      </c>
      <c r="O34" s="181" t="s">
        <v>168</v>
      </c>
    </row>
    <row r="35" spans="1:15">
      <c r="A35" s="175">
        <v>8450</v>
      </c>
      <c r="B35" s="176" t="s">
        <v>289</v>
      </c>
      <c r="C35" s="176" t="s">
        <v>161</v>
      </c>
      <c r="D35" s="175" t="s">
        <v>162</v>
      </c>
      <c r="E35" s="175">
        <v>6243489</v>
      </c>
      <c r="F35" s="176" t="s">
        <v>297</v>
      </c>
      <c r="G35" s="177" t="s">
        <v>298</v>
      </c>
      <c r="H35" s="182"/>
      <c r="I35" s="182"/>
      <c r="J35" s="182"/>
      <c r="K35" s="182"/>
      <c r="L35" s="180">
        <v>42801</v>
      </c>
      <c r="M35" s="176" t="s">
        <v>166</v>
      </c>
      <c r="N35" s="176" t="s">
        <v>296</v>
      </c>
      <c r="O35" s="181" t="s">
        <v>168</v>
      </c>
    </row>
    <row r="36" spans="1:15">
      <c r="A36" s="175">
        <v>8450</v>
      </c>
      <c r="B36" s="176" t="s">
        <v>289</v>
      </c>
      <c r="C36" s="176" t="s">
        <v>161</v>
      </c>
      <c r="D36" s="175" t="s">
        <v>162</v>
      </c>
      <c r="E36" s="175">
        <v>6143966</v>
      </c>
      <c r="F36" s="176" t="s">
        <v>299</v>
      </c>
      <c r="G36" s="177" t="s">
        <v>300</v>
      </c>
      <c r="H36" s="182"/>
      <c r="I36" s="182"/>
      <c r="J36" s="182"/>
      <c r="K36" s="182"/>
      <c r="L36" s="180">
        <v>42059</v>
      </c>
      <c r="M36" s="176" t="s">
        <v>301</v>
      </c>
      <c r="N36" s="176" t="s">
        <v>302</v>
      </c>
      <c r="O36" s="181" t="s">
        <v>168</v>
      </c>
    </row>
    <row r="37" spans="1:15">
      <c r="A37" s="175">
        <v>8450</v>
      </c>
      <c r="B37" s="176" t="s">
        <v>289</v>
      </c>
      <c r="C37" s="176" t="s">
        <v>161</v>
      </c>
      <c r="D37" s="175" t="s">
        <v>162</v>
      </c>
      <c r="E37" s="175">
        <v>6662356</v>
      </c>
      <c r="F37" s="176" t="s">
        <v>303</v>
      </c>
      <c r="G37" s="177" t="s">
        <v>304</v>
      </c>
      <c r="H37" s="182"/>
      <c r="I37" s="182"/>
      <c r="J37" s="182"/>
      <c r="K37" s="182"/>
      <c r="L37" s="180">
        <v>42807</v>
      </c>
      <c r="M37" s="176" t="s">
        <v>305</v>
      </c>
      <c r="N37" s="176" t="s">
        <v>306</v>
      </c>
      <c r="O37" s="181" t="s">
        <v>168</v>
      </c>
    </row>
    <row r="38" spans="1:15">
      <c r="A38" s="175">
        <v>9592</v>
      </c>
      <c r="B38" s="176" t="s">
        <v>307</v>
      </c>
      <c r="C38" s="176" t="s">
        <v>161</v>
      </c>
      <c r="D38" s="175" t="s">
        <v>162</v>
      </c>
      <c r="E38" s="175">
        <v>5999931</v>
      </c>
      <c r="F38" s="176" t="s">
        <v>308</v>
      </c>
      <c r="G38" s="177" t="s">
        <v>309</v>
      </c>
      <c r="H38" s="182"/>
      <c r="I38" s="182"/>
      <c r="J38" s="182"/>
      <c r="K38" s="182"/>
      <c r="L38" s="180">
        <v>42347</v>
      </c>
      <c r="M38" s="176" t="s">
        <v>180</v>
      </c>
      <c r="N38" s="176" t="s">
        <v>310</v>
      </c>
      <c r="O38" s="181" t="s">
        <v>168</v>
      </c>
    </row>
    <row r="39" spans="1:15">
      <c r="A39" s="175">
        <v>9592</v>
      </c>
      <c r="B39" s="176" t="s">
        <v>307</v>
      </c>
      <c r="C39" s="176" t="s">
        <v>161</v>
      </c>
      <c r="D39" s="175" t="s">
        <v>162</v>
      </c>
      <c r="E39" s="175">
        <v>6381674</v>
      </c>
      <c r="F39" s="176" t="s">
        <v>311</v>
      </c>
      <c r="G39" s="177" t="s">
        <v>312</v>
      </c>
      <c r="H39" s="182"/>
      <c r="I39" s="182"/>
      <c r="J39" s="182"/>
      <c r="K39" s="182"/>
      <c r="L39" s="180">
        <v>42499</v>
      </c>
      <c r="M39" s="176" t="s">
        <v>313</v>
      </c>
      <c r="N39" s="176" t="s">
        <v>314</v>
      </c>
      <c r="O39" s="181" t="s">
        <v>173</v>
      </c>
    </row>
    <row r="40" spans="1:15">
      <c r="A40" s="175">
        <v>9592</v>
      </c>
      <c r="B40" s="176" t="s">
        <v>307</v>
      </c>
      <c r="C40" s="176" t="s">
        <v>161</v>
      </c>
      <c r="D40" s="175" t="s">
        <v>162</v>
      </c>
      <c r="E40" s="175">
        <v>6213626</v>
      </c>
      <c r="F40" s="176" t="s">
        <v>315</v>
      </c>
      <c r="G40" s="177" t="s">
        <v>316</v>
      </c>
      <c r="H40" s="182"/>
      <c r="I40" s="182"/>
      <c r="J40" s="182"/>
      <c r="K40" s="182"/>
      <c r="L40" s="180">
        <v>42446</v>
      </c>
      <c r="M40" s="176" t="s">
        <v>271</v>
      </c>
      <c r="N40" s="176" t="s">
        <v>317</v>
      </c>
      <c r="O40" s="181" t="s">
        <v>168</v>
      </c>
    </row>
    <row r="41" spans="1:15">
      <c r="A41" s="175">
        <v>7446</v>
      </c>
      <c r="B41" s="176" t="s">
        <v>318</v>
      </c>
      <c r="C41" s="176" t="s">
        <v>161</v>
      </c>
      <c r="D41" s="175" t="s">
        <v>162</v>
      </c>
      <c r="E41" s="175">
        <v>6211324</v>
      </c>
      <c r="F41" s="176" t="s">
        <v>319</v>
      </c>
      <c r="G41" s="177" t="s">
        <v>320</v>
      </c>
      <c r="H41" s="178">
        <v>42907</v>
      </c>
      <c r="I41" s="179">
        <v>1498</v>
      </c>
      <c r="J41" s="179">
        <v>49.93333333333333</v>
      </c>
      <c r="K41" s="179" t="s">
        <v>210</v>
      </c>
      <c r="L41" s="180">
        <v>42538</v>
      </c>
      <c r="M41" s="176" t="s">
        <v>301</v>
      </c>
      <c r="N41" s="176" t="s">
        <v>302</v>
      </c>
      <c r="O41" s="181" t="s">
        <v>168</v>
      </c>
    </row>
    <row r="42" spans="1:15">
      <c r="A42" s="175">
        <v>7446</v>
      </c>
      <c r="B42" s="176" t="s">
        <v>318</v>
      </c>
      <c r="C42" s="176" t="s">
        <v>161</v>
      </c>
      <c r="D42" s="175" t="s">
        <v>162</v>
      </c>
      <c r="E42" s="175">
        <v>6523887</v>
      </c>
      <c r="F42" s="176" t="s">
        <v>321</v>
      </c>
      <c r="G42" s="177" t="s">
        <v>322</v>
      </c>
      <c r="H42" s="182"/>
      <c r="I42" s="182"/>
      <c r="J42" s="182"/>
      <c r="K42" s="182"/>
      <c r="L42" s="180">
        <v>42765</v>
      </c>
      <c r="M42" s="176" t="s">
        <v>323</v>
      </c>
      <c r="N42" s="176" t="s">
        <v>324</v>
      </c>
      <c r="O42" s="181" t="s">
        <v>168</v>
      </c>
    </row>
    <row r="43" spans="1:15">
      <c r="A43" s="175">
        <v>7446</v>
      </c>
      <c r="B43" s="176" t="s">
        <v>318</v>
      </c>
      <c r="C43" s="176" t="s">
        <v>161</v>
      </c>
      <c r="D43" s="175" t="s">
        <v>162</v>
      </c>
      <c r="E43" s="175">
        <v>6630113</v>
      </c>
      <c r="F43" s="176" t="s">
        <v>325</v>
      </c>
      <c r="G43" s="177" t="s">
        <v>326</v>
      </c>
      <c r="H43" s="182"/>
      <c r="I43" s="182"/>
      <c r="J43" s="182"/>
      <c r="K43" s="182"/>
      <c r="L43" s="180">
        <v>42776</v>
      </c>
      <c r="M43" s="176" t="s">
        <v>166</v>
      </c>
      <c r="N43" s="176" t="s">
        <v>327</v>
      </c>
      <c r="O43" s="181" t="s">
        <v>168</v>
      </c>
    </row>
    <row r="44" spans="1:15">
      <c r="A44" s="175">
        <v>10496</v>
      </c>
      <c r="B44" s="176" t="s">
        <v>328</v>
      </c>
      <c r="C44" s="176" t="s">
        <v>161</v>
      </c>
      <c r="D44" s="175" t="s">
        <v>162</v>
      </c>
      <c r="E44" s="175">
        <v>6586882</v>
      </c>
      <c r="F44" s="176" t="s">
        <v>329</v>
      </c>
      <c r="G44" s="177" t="s">
        <v>330</v>
      </c>
      <c r="H44" s="182"/>
      <c r="I44" s="182"/>
      <c r="J44" s="182"/>
      <c r="K44" s="182"/>
      <c r="L44" s="180">
        <v>42808</v>
      </c>
      <c r="M44" s="176" t="s">
        <v>193</v>
      </c>
      <c r="N44" s="176" t="s">
        <v>194</v>
      </c>
      <c r="O44" s="181" t="s">
        <v>168</v>
      </c>
    </row>
    <row r="45" spans="1:15">
      <c r="A45" s="175">
        <v>10496</v>
      </c>
      <c r="B45" s="176" t="s">
        <v>328</v>
      </c>
      <c r="C45" s="176" t="s">
        <v>161</v>
      </c>
      <c r="D45" s="175" t="s">
        <v>162</v>
      </c>
      <c r="E45" s="175">
        <v>5761311</v>
      </c>
      <c r="F45" s="176" t="s">
        <v>331</v>
      </c>
      <c r="G45" s="177" t="s">
        <v>332</v>
      </c>
      <c r="H45" s="182"/>
      <c r="I45" s="182"/>
      <c r="J45" s="182"/>
      <c r="K45" s="182"/>
      <c r="L45" s="180">
        <v>41866</v>
      </c>
      <c r="M45" s="176" t="s">
        <v>271</v>
      </c>
      <c r="N45" s="176" t="s">
        <v>333</v>
      </c>
      <c r="O45" s="181" t="s">
        <v>168</v>
      </c>
    </row>
    <row r="46" spans="1:15">
      <c r="A46" s="175">
        <v>10496</v>
      </c>
      <c r="B46" s="176" t="s">
        <v>328</v>
      </c>
      <c r="C46" s="176" t="s">
        <v>161</v>
      </c>
      <c r="D46" s="175" t="s">
        <v>162</v>
      </c>
      <c r="E46" s="175">
        <v>6342331</v>
      </c>
      <c r="F46" s="176" t="s">
        <v>334</v>
      </c>
      <c r="G46" s="177" t="s">
        <v>335</v>
      </c>
      <c r="H46" s="182"/>
      <c r="I46" s="182"/>
      <c r="J46" s="182"/>
      <c r="K46" s="182"/>
      <c r="L46" s="180">
        <v>42865</v>
      </c>
      <c r="M46" s="176" t="s">
        <v>336</v>
      </c>
      <c r="N46" s="176" t="s">
        <v>337</v>
      </c>
      <c r="O46" s="181" t="s">
        <v>168</v>
      </c>
    </row>
    <row r="47" spans="1:15">
      <c r="A47" s="175">
        <v>7457</v>
      </c>
      <c r="B47" s="176" t="s">
        <v>338</v>
      </c>
      <c r="C47" s="176" t="s">
        <v>161</v>
      </c>
      <c r="D47" s="175" t="s">
        <v>162</v>
      </c>
      <c r="E47" s="175">
        <v>5996561</v>
      </c>
      <c r="F47" s="176" t="s">
        <v>339</v>
      </c>
      <c r="G47" s="177" t="s">
        <v>340</v>
      </c>
      <c r="H47" s="178">
        <v>42907</v>
      </c>
      <c r="I47" s="179">
        <v>912</v>
      </c>
      <c r="J47" s="179">
        <v>30.4</v>
      </c>
      <c r="K47" s="179" t="s">
        <v>165</v>
      </c>
      <c r="L47" s="180">
        <v>42241</v>
      </c>
      <c r="M47" s="176" t="s">
        <v>193</v>
      </c>
      <c r="N47" s="176" t="s">
        <v>341</v>
      </c>
      <c r="O47" s="181" t="s">
        <v>168</v>
      </c>
    </row>
    <row r="48" spans="1:15">
      <c r="A48" s="175">
        <v>7457</v>
      </c>
      <c r="B48" s="176" t="s">
        <v>338</v>
      </c>
      <c r="C48" s="176" t="s">
        <v>161</v>
      </c>
      <c r="D48" s="175" t="s">
        <v>162</v>
      </c>
      <c r="E48" s="175">
        <v>6229041</v>
      </c>
      <c r="F48" s="176" t="s">
        <v>342</v>
      </c>
      <c r="G48" s="177" t="s">
        <v>343</v>
      </c>
      <c r="H48" s="182"/>
      <c r="I48" s="182"/>
      <c r="J48" s="182"/>
      <c r="K48" s="182"/>
      <c r="L48" s="180">
        <v>42555</v>
      </c>
      <c r="M48" s="176" t="s">
        <v>166</v>
      </c>
      <c r="N48" s="176" t="s">
        <v>344</v>
      </c>
      <c r="O48" s="181" t="s">
        <v>168</v>
      </c>
    </row>
    <row r="49" spans="1:15">
      <c r="A49" s="175">
        <v>7457</v>
      </c>
      <c r="B49" s="176" t="s">
        <v>338</v>
      </c>
      <c r="C49" s="176" t="s">
        <v>161</v>
      </c>
      <c r="D49" s="175" t="s">
        <v>162</v>
      </c>
      <c r="E49" s="175">
        <v>6236598</v>
      </c>
      <c r="F49" s="176" t="s">
        <v>345</v>
      </c>
      <c r="G49" s="177" t="s">
        <v>346</v>
      </c>
      <c r="H49" s="182"/>
      <c r="I49" s="182"/>
      <c r="J49" s="182"/>
      <c r="K49" s="182"/>
      <c r="L49" s="180">
        <v>42661</v>
      </c>
      <c r="M49" s="176" t="s">
        <v>166</v>
      </c>
      <c r="N49" s="176" t="s">
        <v>344</v>
      </c>
      <c r="O49" s="181" t="s">
        <v>168</v>
      </c>
    </row>
    <row r="50" spans="1:15">
      <c r="A50" s="175">
        <v>7457</v>
      </c>
      <c r="B50" s="176" t="s">
        <v>338</v>
      </c>
      <c r="C50" s="176" t="s">
        <v>161</v>
      </c>
      <c r="D50" s="175" t="s">
        <v>162</v>
      </c>
      <c r="E50" s="175">
        <v>6411211</v>
      </c>
      <c r="F50" s="176" t="s">
        <v>347</v>
      </c>
      <c r="G50" s="177" t="s">
        <v>348</v>
      </c>
      <c r="H50" s="182"/>
      <c r="I50" s="182"/>
      <c r="J50" s="182"/>
      <c r="K50" s="182"/>
      <c r="L50" s="180">
        <v>42776</v>
      </c>
      <c r="M50" s="176" t="s">
        <v>349</v>
      </c>
      <c r="N50" s="176" t="s">
        <v>350</v>
      </c>
      <c r="O50" s="181" t="s">
        <v>168</v>
      </c>
    </row>
    <row r="51" spans="1:15">
      <c r="A51" s="175">
        <v>7459</v>
      </c>
      <c r="B51" s="176" t="s">
        <v>351</v>
      </c>
      <c r="C51" s="176" t="s">
        <v>161</v>
      </c>
      <c r="D51" s="175" t="s">
        <v>162</v>
      </c>
      <c r="E51" s="175">
        <v>6144926</v>
      </c>
      <c r="F51" s="176" t="s">
        <v>352</v>
      </c>
      <c r="G51" s="177" t="s">
        <v>353</v>
      </c>
      <c r="H51" s="182"/>
      <c r="I51" s="182"/>
      <c r="J51" s="182"/>
      <c r="K51" s="182"/>
      <c r="L51" s="180">
        <v>42426</v>
      </c>
      <c r="M51" s="176" t="s">
        <v>354</v>
      </c>
      <c r="N51" s="176" t="s">
        <v>355</v>
      </c>
      <c r="O51" s="181" t="s">
        <v>168</v>
      </c>
    </row>
    <row r="52" spans="1:15">
      <c r="A52" s="175">
        <v>7459</v>
      </c>
      <c r="B52" s="176" t="s">
        <v>351</v>
      </c>
      <c r="C52" s="176" t="s">
        <v>161</v>
      </c>
      <c r="D52" s="175" t="s">
        <v>162</v>
      </c>
      <c r="E52" s="175">
        <v>6214594</v>
      </c>
      <c r="F52" s="176" t="s">
        <v>356</v>
      </c>
      <c r="G52" s="177" t="s">
        <v>357</v>
      </c>
      <c r="H52" s="182"/>
      <c r="I52" s="182"/>
      <c r="J52" s="182"/>
      <c r="K52" s="182"/>
      <c r="L52" s="180">
        <v>42626</v>
      </c>
      <c r="M52" s="176" t="s">
        <v>358</v>
      </c>
      <c r="N52" s="176" t="s">
        <v>359</v>
      </c>
      <c r="O52" s="181" t="s">
        <v>173</v>
      </c>
    </row>
    <row r="53" spans="1:15">
      <c r="A53" s="175">
        <v>7459</v>
      </c>
      <c r="B53" s="176" t="s">
        <v>351</v>
      </c>
      <c r="C53" s="176" t="s">
        <v>161</v>
      </c>
      <c r="D53" s="175" t="s">
        <v>162</v>
      </c>
      <c r="E53" s="175">
        <v>6204248</v>
      </c>
      <c r="F53" s="176" t="s">
        <v>360</v>
      </c>
      <c r="G53" s="177" t="s">
        <v>361</v>
      </c>
      <c r="H53" s="182"/>
      <c r="I53" s="182"/>
      <c r="J53" s="182"/>
      <c r="K53" s="182"/>
      <c r="L53" s="180">
        <v>42513</v>
      </c>
      <c r="M53" s="176" t="s">
        <v>362</v>
      </c>
      <c r="N53" s="176" t="s">
        <v>363</v>
      </c>
      <c r="O53" s="181" t="s">
        <v>168</v>
      </c>
    </row>
    <row r="54" spans="1:15">
      <c r="A54" s="175">
        <v>7459</v>
      </c>
      <c r="B54" s="176" t="s">
        <v>351</v>
      </c>
      <c r="C54" s="176" t="s">
        <v>161</v>
      </c>
      <c r="D54" s="175" t="s">
        <v>162</v>
      </c>
      <c r="E54" s="175">
        <v>6204651</v>
      </c>
      <c r="F54" s="176" t="s">
        <v>364</v>
      </c>
      <c r="G54" s="177" t="s">
        <v>365</v>
      </c>
      <c r="H54" s="182"/>
      <c r="I54" s="182"/>
      <c r="J54" s="182"/>
      <c r="K54" s="182"/>
      <c r="L54" s="180">
        <v>42723</v>
      </c>
      <c r="M54" s="176" t="s">
        <v>366</v>
      </c>
      <c r="N54" s="176" t="s">
        <v>366</v>
      </c>
      <c r="O54" s="181" t="s">
        <v>168</v>
      </c>
    </row>
    <row r="55" spans="1:15">
      <c r="A55" s="175">
        <v>7444</v>
      </c>
      <c r="B55" s="176" t="s">
        <v>367</v>
      </c>
      <c r="C55" s="176" t="s">
        <v>161</v>
      </c>
      <c r="D55" s="175" t="s">
        <v>162</v>
      </c>
      <c r="E55" s="175">
        <v>6335886</v>
      </c>
      <c r="F55" s="176" t="s">
        <v>368</v>
      </c>
      <c r="G55" s="177">
        <v>41995</v>
      </c>
      <c r="H55" s="178">
        <v>42907</v>
      </c>
      <c r="I55" s="179">
        <v>923</v>
      </c>
      <c r="J55" s="179">
        <v>30.766666666666666</v>
      </c>
      <c r="K55" s="179" t="s">
        <v>165</v>
      </c>
      <c r="L55" s="180">
        <v>42745</v>
      </c>
      <c r="M55" s="176" t="s">
        <v>166</v>
      </c>
      <c r="N55" s="176" t="s">
        <v>296</v>
      </c>
      <c r="O55" s="181" t="s">
        <v>168</v>
      </c>
    </row>
    <row r="56" spans="1:15">
      <c r="A56" s="175">
        <v>7444</v>
      </c>
      <c r="B56" s="176" t="s">
        <v>367</v>
      </c>
      <c r="C56" s="176" t="s">
        <v>161</v>
      </c>
      <c r="D56" s="175" t="s">
        <v>162</v>
      </c>
      <c r="E56" s="175">
        <v>6193875</v>
      </c>
      <c r="F56" s="176" t="s">
        <v>369</v>
      </c>
      <c r="G56" s="177" t="s">
        <v>370</v>
      </c>
      <c r="H56" s="182"/>
      <c r="I56" s="182"/>
      <c r="J56" s="182"/>
      <c r="K56" s="182"/>
      <c r="L56" s="180">
        <v>42815</v>
      </c>
      <c r="M56" s="176" t="s">
        <v>193</v>
      </c>
      <c r="N56" s="176" t="s">
        <v>194</v>
      </c>
      <c r="O56" s="181" t="s">
        <v>168</v>
      </c>
    </row>
    <row r="57" spans="1:15">
      <c r="A57" s="175">
        <v>7444</v>
      </c>
      <c r="B57" s="176" t="s">
        <v>367</v>
      </c>
      <c r="C57" s="176" t="s">
        <v>161</v>
      </c>
      <c r="D57" s="175" t="s">
        <v>162</v>
      </c>
      <c r="E57" s="175">
        <v>6465895</v>
      </c>
      <c r="F57" s="176" t="s">
        <v>371</v>
      </c>
      <c r="G57" s="177" t="s">
        <v>372</v>
      </c>
      <c r="H57" s="182"/>
      <c r="I57" s="182"/>
      <c r="J57" s="182"/>
      <c r="K57" s="182"/>
      <c r="L57" s="180">
        <v>42776</v>
      </c>
      <c r="M57" s="176" t="s">
        <v>166</v>
      </c>
      <c r="N57" s="176" t="s">
        <v>373</v>
      </c>
      <c r="O57" s="181" t="s">
        <v>168</v>
      </c>
    </row>
    <row r="58" spans="1:15">
      <c r="A58" s="175">
        <v>7453</v>
      </c>
      <c r="B58" s="176" t="s">
        <v>374</v>
      </c>
      <c r="C58" s="176" t="s">
        <v>161</v>
      </c>
      <c r="D58" s="175" t="s">
        <v>162</v>
      </c>
      <c r="E58" s="175">
        <v>5937338</v>
      </c>
      <c r="F58" s="176" t="s">
        <v>375</v>
      </c>
      <c r="G58" s="177" t="s">
        <v>376</v>
      </c>
      <c r="H58" s="182"/>
      <c r="I58" s="182"/>
      <c r="J58" s="182"/>
      <c r="K58" s="182"/>
      <c r="L58" s="180">
        <v>42592</v>
      </c>
      <c r="M58" s="176" t="s">
        <v>193</v>
      </c>
      <c r="N58" s="176" t="s">
        <v>377</v>
      </c>
      <c r="O58" s="181" t="s">
        <v>168</v>
      </c>
    </row>
    <row r="59" spans="1:15">
      <c r="A59" s="175">
        <v>7453</v>
      </c>
      <c r="B59" s="176" t="s">
        <v>374</v>
      </c>
      <c r="C59" s="176" t="s">
        <v>161</v>
      </c>
      <c r="D59" s="175" t="s">
        <v>162</v>
      </c>
      <c r="E59" s="175">
        <v>6389470</v>
      </c>
      <c r="F59" s="176" t="s">
        <v>378</v>
      </c>
      <c r="G59" s="177" t="s">
        <v>379</v>
      </c>
      <c r="H59" s="182"/>
      <c r="I59" s="182"/>
      <c r="J59" s="182"/>
      <c r="K59" s="182"/>
      <c r="L59" s="180">
        <v>42858</v>
      </c>
      <c r="M59" s="176" t="s">
        <v>380</v>
      </c>
      <c r="N59" s="176" t="s">
        <v>381</v>
      </c>
      <c r="O59" s="181" t="s">
        <v>173</v>
      </c>
    </row>
    <row r="60" spans="1:15">
      <c r="A60" s="175">
        <v>7442</v>
      </c>
      <c r="B60" s="176" t="s">
        <v>382</v>
      </c>
      <c r="C60" s="176" t="s">
        <v>161</v>
      </c>
      <c r="D60" s="175" t="s">
        <v>162</v>
      </c>
      <c r="E60" s="175">
        <v>6293644</v>
      </c>
      <c r="F60" s="176" t="s">
        <v>383</v>
      </c>
      <c r="G60" s="177" t="s">
        <v>384</v>
      </c>
      <c r="H60" s="178">
        <v>42907</v>
      </c>
      <c r="I60" s="179">
        <v>1523</v>
      </c>
      <c r="J60" s="179">
        <v>50.766666666666666</v>
      </c>
      <c r="K60" s="179" t="s">
        <v>210</v>
      </c>
      <c r="L60" s="180">
        <v>42459</v>
      </c>
      <c r="M60" s="176" t="s">
        <v>166</v>
      </c>
      <c r="N60" s="176" t="s">
        <v>385</v>
      </c>
      <c r="O60" s="181" t="s">
        <v>248</v>
      </c>
    </row>
    <row r="61" spans="1:15">
      <c r="A61" s="175">
        <v>7442</v>
      </c>
      <c r="B61" s="176" t="s">
        <v>382</v>
      </c>
      <c r="C61" s="176" t="s">
        <v>161</v>
      </c>
      <c r="D61" s="175" t="s">
        <v>162</v>
      </c>
      <c r="E61" s="175">
        <v>6603143</v>
      </c>
      <c r="F61" s="176" t="s">
        <v>386</v>
      </c>
      <c r="G61" s="177" t="s">
        <v>387</v>
      </c>
      <c r="H61" s="178">
        <v>42907</v>
      </c>
      <c r="I61" s="179">
        <v>1302</v>
      </c>
      <c r="J61" s="179">
        <v>43.4</v>
      </c>
      <c r="K61" s="179" t="s">
        <v>165</v>
      </c>
      <c r="L61" s="180">
        <v>42746</v>
      </c>
      <c r="M61" s="176" t="s">
        <v>271</v>
      </c>
      <c r="N61" s="176" t="s">
        <v>388</v>
      </c>
      <c r="O61" s="181" t="s">
        <v>168</v>
      </c>
    </row>
    <row r="62" spans="1:15">
      <c r="A62" s="175">
        <v>7442</v>
      </c>
      <c r="B62" s="176" t="s">
        <v>382</v>
      </c>
      <c r="C62" s="176" t="s">
        <v>161</v>
      </c>
      <c r="D62" s="175" t="s">
        <v>162</v>
      </c>
      <c r="E62" s="175">
        <v>6191762</v>
      </c>
      <c r="F62" s="176" t="s">
        <v>389</v>
      </c>
      <c r="G62" s="177" t="s">
        <v>390</v>
      </c>
      <c r="H62" s="178">
        <v>42907</v>
      </c>
      <c r="I62" s="179">
        <v>949</v>
      </c>
      <c r="J62" s="179">
        <v>31.633333333333333</v>
      </c>
      <c r="K62" s="179" t="s">
        <v>165</v>
      </c>
      <c r="L62" s="180">
        <v>42797</v>
      </c>
      <c r="M62" s="176" t="s">
        <v>275</v>
      </c>
      <c r="N62" s="176" t="s">
        <v>391</v>
      </c>
      <c r="O62" s="181" t="s">
        <v>168</v>
      </c>
    </row>
    <row r="63" spans="1:15">
      <c r="A63" s="175">
        <v>7442</v>
      </c>
      <c r="B63" s="176" t="s">
        <v>382</v>
      </c>
      <c r="C63" s="176" t="s">
        <v>161</v>
      </c>
      <c r="D63" s="175" t="s">
        <v>162</v>
      </c>
      <c r="E63" s="175">
        <v>6385096</v>
      </c>
      <c r="F63" s="176" t="s">
        <v>392</v>
      </c>
      <c r="G63" s="177" t="s">
        <v>393</v>
      </c>
      <c r="H63" s="178">
        <v>42907</v>
      </c>
      <c r="I63" s="179">
        <v>883</v>
      </c>
      <c r="J63" s="179">
        <v>29.433333333333334</v>
      </c>
      <c r="K63" s="179" t="s">
        <v>165</v>
      </c>
      <c r="L63" s="180">
        <v>42787</v>
      </c>
      <c r="M63" s="176" t="s">
        <v>193</v>
      </c>
      <c r="N63" s="176" t="s">
        <v>194</v>
      </c>
      <c r="O63" s="181" t="s">
        <v>168</v>
      </c>
    </row>
    <row r="64" spans="1:15">
      <c r="A64" s="175">
        <v>7443</v>
      </c>
      <c r="B64" s="176" t="s">
        <v>394</v>
      </c>
      <c r="C64" s="176" t="s">
        <v>161</v>
      </c>
      <c r="D64" s="175" t="s">
        <v>162</v>
      </c>
      <c r="E64" s="175">
        <v>6736512</v>
      </c>
      <c r="F64" s="176" t="s">
        <v>395</v>
      </c>
      <c r="G64" s="177" t="s">
        <v>396</v>
      </c>
      <c r="H64" s="178">
        <v>42907</v>
      </c>
      <c r="I64" s="179">
        <v>853</v>
      </c>
      <c r="J64" s="179">
        <v>28.433333333333334</v>
      </c>
      <c r="K64" s="179" t="s">
        <v>165</v>
      </c>
      <c r="L64" s="180">
        <v>42810</v>
      </c>
      <c r="M64" s="176" t="s">
        <v>313</v>
      </c>
      <c r="N64" s="176" t="s">
        <v>397</v>
      </c>
      <c r="O64" s="181" t="s">
        <v>168</v>
      </c>
    </row>
    <row r="65" spans="1:15">
      <c r="A65" s="175">
        <v>7443</v>
      </c>
      <c r="B65" s="176" t="s">
        <v>394</v>
      </c>
      <c r="C65" s="176" t="s">
        <v>161</v>
      </c>
      <c r="D65" s="175" t="s">
        <v>162</v>
      </c>
      <c r="E65" s="175">
        <v>6179723</v>
      </c>
      <c r="F65" s="176" t="s">
        <v>398</v>
      </c>
      <c r="G65" s="177" t="s">
        <v>399</v>
      </c>
      <c r="H65" s="182"/>
      <c r="I65" s="182"/>
      <c r="J65" s="182"/>
      <c r="K65" s="182"/>
      <c r="L65" s="180">
        <v>42592</v>
      </c>
      <c r="M65" s="176" t="s">
        <v>400</v>
      </c>
      <c r="N65" s="176" t="s">
        <v>401</v>
      </c>
      <c r="O65" s="181" t="s">
        <v>168</v>
      </c>
    </row>
    <row r="66" spans="1:15">
      <c r="A66" s="175">
        <v>7450</v>
      </c>
      <c r="B66" s="176" t="s">
        <v>402</v>
      </c>
      <c r="C66" s="176" t="s">
        <v>161</v>
      </c>
      <c r="D66" s="175" t="s">
        <v>162</v>
      </c>
      <c r="E66" s="175">
        <v>6070759</v>
      </c>
      <c r="F66" s="176" t="s">
        <v>403</v>
      </c>
      <c r="G66" s="177" t="s">
        <v>387</v>
      </c>
      <c r="H66" s="178">
        <v>42907</v>
      </c>
      <c r="I66" s="179">
        <v>1186</v>
      </c>
      <c r="J66" s="179">
        <v>39.533333333333331</v>
      </c>
      <c r="K66" s="179" t="s">
        <v>165</v>
      </c>
      <c r="L66" s="180">
        <v>42257</v>
      </c>
      <c r="M66" s="176" t="s">
        <v>180</v>
      </c>
      <c r="N66" s="176" t="s">
        <v>404</v>
      </c>
      <c r="O66" s="181" t="s">
        <v>173</v>
      </c>
    </row>
    <row r="67" spans="1:15">
      <c r="A67" s="175">
        <v>7450</v>
      </c>
      <c r="B67" s="176" t="s">
        <v>402</v>
      </c>
      <c r="C67" s="176" t="s">
        <v>161</v>
      </c>
      <c r="D67" s="175" t="s">
        <v>162</v>
      </c>
      <c r="E67" s="175">
        <v>5951422</v>
      </c>
      <c r="F67" s="176" t="s">
        <v>405</v>
      </c>
      <c r="G67" s="177" t="s">
        <v>406</v>
      </c>
      <c r="H67" s="182"/>
      <c r="I67" s="182"/>
      <c r="J67" s="182"/>
      <c r="K67" s="182"/>
      <c r="L67" s="180">
        <v>42340</v>
      </c>
      <c r="M67" s="176" t="s">
        <v>301</v>
      </c>
      <c r="N67" s="176" t="s">
        <v>407</v>
      </c>
      <c r="O67" s="181" t="s">
        <v>173</v>
      </c>
    </row>
    <row r="68" spans="1:15">
      <c r="A68" s="175">
        <v>7450</v>
      </c>
      <c r="B68" s="176" t="s">
        <v>402</v>
      </c>
      <c r="C68" s="176" t="s">
        <v>161</v>
      </c>
      <c r="D68" s="175" t="s">
        <v>162</v>
      </c>
      <c r="E68" s="175">
        <v>6381723</v>
      </c>
      <c r="F68" s="176" t="s">
        <v>408</v>
      </c>
      <c r="G68" s="177" t="s">
        <v>409</v>
      </c>
      <c r="H68" s="182"/>
      <c r="I68" s="182"/>
      <c r="J68" s="182"/>
      <c r="K68" s="182"/>
      <c r="L68" s="180">
        <v>42474</v>
      </c>
      <c r="M68" s="176" t="s">
        <v>284</v>
      </c>
      <c r="N68" s="176" t="s">
        <v>410</v>
      </c>
      <c r="O68" s="181" t="s">
        <v>173</v>
      </c>
    </row>
    <row r="69" spans="1:15">
      <c r="A69" s="175">
        <v>9855</v>
      </c>
      <c r="B69" s="176" t="s">
        <v>411</v>
      </c>
      <c r="C69" s="176" t="s">
        <v>161</v>
      </c>
      <c r="D69" s="175" t="s">
        <v>162</v>
      </c>
      <c r="E69" s="175">
        <v>6474542</v>
      </c>
      <c r="F69" s="176" t="s">
        <v>412</v>
      </c>
      <c r="G69" s="177" t="s">
        <v>413</v>
      </c>
      <c r="H69" s="182"/>
      <c r="I69" s="182"/>
      <c r="J69" s="182"/>
      <c r="K69" s="182"/>
      <c r="L69" s="180">
        <v>42555</v>
      </c>
      <c r="M69" s="176" t="s">
        <v>166</v>
      </c>
      <c r="N69" s="176" t="s">
        <v>414</v>
      </c>
      <c r="O69" s="181" t="s">
        <v>168</v>
      </c>
    </row>
    <row r="70" spans="1:15">
      <c r="A70" s="175">
        <v>9855</v>
      </c>
      <c r="B70" s="176" t="s">
        <v>411</v>
      </c>
      <c r="C70" s="176" t="s">
        <v>161</v>
      </c>
      <c r="D70" s="175" t="s">
        <v>162</v>
      </c>
      <c r="E70" s="175">
        <v>6654886</v>
      </c>
      <c r="F70" s="176" t="s">
        <v>415</v>
      </c>
      <c r="G70" s="177" t="s">
        <v>416</v>
      </c>
      <c r="H70" s="182"/>
      <c r="I70" s="182"/>
      <c r="J70" s="182"/>
      <c r="K70" s="182"/>
      <c r="L70" s="180">
        <v>42895</v>
      </c>
      <c r="M70" s="176" t="s">
        <v>166</v>
      </c>
      <c r="N70" s="176" t="s">
        <v>417</v>
      </c>
      <c r="O70" s="181" t="s">
        <v>248</v>
      </c>
    </row>
    <row r="71" spans="1:15">
      <c r="A71" s="175">
        <v>9855</v>
      </c>
      <c r="B71" s="176" t="s">
        <v>411</v>
      </c>
      <c r="C71" s="176" t="s">
        <v>161</v>
      </c>
      <c r="D71" s="175" t="s">
        <v>162</v>
      </c>
      <c r="E71" s="175">
        <v>6154451</v>
      </c>
      <c r="F71" s="176" t="s">
        <v>418</v>
      </c>
      <c r="G71" s="177" t="s">
        <v>419</v>
      </c>
      <c r="H71" s="182"/>
      <c r="I71" s="182"/>
      <c r="J71" s="182"/>
      <c r="K71" s="182"/>
      <c r="L71" s="180">
        <v>42107</v>
      </c>
      <c r="M71" s="176" t="s">
        <v>284</v>
      </c>
      <c r="N71" s="176" t="s">
        <v>420</v>
      </c>
      <c r="O71" s="181" t="s">
        <v>168</v>
      </c>
    </row>
    <row r="72" spans="1:15">
      <c r="A72" s="175">
        <v>9855</v>
      </c>
      <c r="B72" s="176" t="s">
        <v>411</v>
      </c>
      <c r="C72" s="176" t="s">
        <v>161</v>
      </c>
      <c r="D72" s="175" t="s">
        <v>162</v>
      </c>
      <c r="E72" s="175">
        <v>6748023</v>
      </c>
      <c r="F72" s="176" t="s">
        <v>421</v>
      </c>
      <c r="G72" s="177" t="s">
        <v>422</v>
      </c>
      <c r="H72" s="182"/>
      <c r="I72" s="182"/>
      <c r="J72" s="182"/>
      <c r="K72" s="182"/>
      <c r="L72" s="180">
        <v>42814</v>
      </c>
      <c r="M72" s="176" t="s">
        <v>423</v>
      </c>
      <c r="N72" s="176" t="s">
        <v>424</v>
      </c>
      <c r="O72" s="181" t="s">
        <v>168</v>
      </c>
    </row>
    <row r="73" spans="1:15">
      <c r="A73" s="175">
        <v>9855</v>
      </c>
      <c r="B73" s="176" t="s">
        <v>411</v>
      </c>
      <c r="C73" s="176" t="s">
        <v>161</v>
      </c>
      <c r="D73" s="175" t="s">
        <v>162</v>
      </c>
      <c r="E73" s="175">
        <v>6362209</v>
      </c>
      <c r="F73" s="176" t="s">
        <v>425</v>
      </c>
      <c r="G73" s="177" t="s">
        <v>426</v>
      </c>
      <c r="H73" s="182"/>
      <c r="I73" s="182"/>
      <c r="J73" s="182"/>
      <c r="K73" s="182"/>
      <c r="L73" s="180">
        <v>42766</v>
      </c>
      <c r="M73" s="176" t="s">
        <v>166</v>
      </c>
      <c r="N73" s="176" t="s">
        <v>327</v>
      </c>
      <c r="O73" s="181" t="s">
        <v>168</v>
      </c>
    </row>
    <row r="74" spans="1:15">
      <c r="A74" s="175">
        <v>9855</v>
      </c>
      <c r="B74" s="176" t="s">
        <v>411</v>
      </c>
      <c r="C74" s="176" t="s">
        <v>161</v>
      </c>
      <c r="D74" s="175" t="s">
        <v>162</v>
      </c>
      <c r="E74" s="175">
        <v>6435061</v>
      </c>
      <c r="F74" s="176" t="s">
        <v>427</v>
      </c>
      <c r="G74" s="177" t="s">
        <v>428</v>
      </c>
      <c r="H74" s="182"/>
      <c r="I74" s="182"/>
      <c r="J74" s="182"/>
      <c r="K74" s="182"/>
      <c r="L74" s="180">
        <v>42524</v>
      </c>
      <c r="M74" s="176" t="s">
        <v>193</v>
      </c>
      <c r="N74" s="176" t="s">
        <v>429</v>
      </c>
      <c r="O74" s="181" t="s">
        <v>168</v>
      </c>
    </row>
    <row r="75" spans="1:15">
      <c r="A75" s="175">
        <v>9855</v>
      </c>
      <c r="B75" s="176" t="s">
        <v>411</v>
      </c>
      <c r="C75" s="176" t="s">
        <v>161</v>
      </c>
      <c r="D75" s="175" t="s">
        <v>162</v>
      </c>
      <c r="E75" s="175">
        <v>6490921</v>
      </c>
      <c r="F75" s="176" t="s">
        <v>430</v>
      </c>
      <c r="G75" s="177" t="s">
        <v>431</v>
      </c>
      <c r="H75" s="182"/>
      <c r="I75" s="182"/>
      <c r="J75" s="182"/>
      <c r="K75" s="182"/>
      <c r="L75" s="180">
        <v>42472</v>
      </c>
      <c r="M75" s="176" t="s">
        <v>284</v>
      </c>
      <c r="N75" s="176" t="s">
        <v>432</v>
      </c>
      <c r="O75" s="181" t="s">
        <v>168</v>
      </c>
    </row>
    <row r="76" spans="1:15">
      <c r="A76" s="175">
        <v>9855</v>
      </c>
      <c r="B76" s="176" t="s">
        <v>411</v>
      </c>
      <c r="C76" s="176" t="s">
        <v>161</v>
      </c>
      <c r="D76" s="175" t="s">
        <v>162</v>
      </c>
      <c r="E76" s="175">
        <v>6332696</v>
      </c>
      <c r="F76" s="176" t="s">
        <v>433</v>
      </c>
      <c r="G76" s="177" t="s">
        <v>434</v>
      </c>
      <c r="H76" s="182"/>
      <c r="I76" s="182"/>
      <c r="J76" s="182"/>
      <c r="K76" s="182"/>
      <c r="L76" s="180">
        <v>42789</v>
      </c>
      <c r="M76" s="176" t="s">
        <v>166</v>
      </c>
      <c r="N76" s="176" t="s">
        <v>327</v>
      </c>
      <c r="O76" s="181" t="s">
        <v>168</v>
      </c>
    </row>
    <row r="77" spans="1:15">
      <c r="A77" s="175">
        <v>9855</v>
      </c>
      <c r="B77" s="176" t="s">
        <v>411</v>
      </c>
      <c r="C77" s="176" t="s">
        <v>161</v>
      </c>
      <c r="D77" s="175" t="s">
        <v>162</v>
      </c>
      <c r="E77" s="175">
        <v>6264457</v>
      </c>
      <c r="F77" s="176" t="s">
        <v>435</v>
      </c>
      <c r="G77" s="177" t="s">
        <v>436</v>
      </c>
      <c r="H77" s="182"/>
      <c r="I77" s="182"/>
      <c r="J77" s="182"/>
      <c r="K77" s="182"/>
      <c r="L77" s="180">
        <v>42779</v>
      </c>
      <c r="M77" s="176" t="s">
        <v>437</v>
      </c>
      <c r="N77" s="176" t="s">
        <v>438</v>
      </c>
      <c r="O77" s="181" t="s">
        <v>173</v>
      </c>
    </row>
    <row r="78" spans="1:15">
      <c r="A78" s="175">
        <v>9916</v>
      </c>
      <c r="B78" s="176" t="s">
        <v>439</v>
      </c>
      <c r="C78" s="176" t="s">
        <v>161</v>
      </c>
      <c r="D78" s="175" t="s">
        <v>162</v>
      </c>
      <c r="E78" s="175">
        <v>6128365</v>
      </c>
      <c r="F78" s="176" t="s">
        <v>440</v>
      </c>
      <c r="G78" s="177" t="s">
        <v>441</v>
      </c>
      <c r="H78" s="178">
        <v>42907</v>
      </c>
      <c r="I78" s="179">
        <v>2015</v>
      </c>
      <c r="J78" s="179">
        <v>67.166666666666671</v>
      </c>
      <c r="K78" s="179" t="s">
        <v>210</v>
      </c>
      <c r="L78" s="180">
        <v>42508</v>
      </c>
      <c r="M78" s="176" t="s">
        <v>166</v>
      </c>
      <c r="N78" s="176" t="s">
        <v>344</v>
      </c>
      <c r="O78" s="181" t="s">
        <v>168</v>
      </c>
    </row>
    <row r="79" spans="1:15">
      <c r="A79" s="175">
        <v>9916</v>
      </c>
      <c r="B79" s="176" t="s">
        <v>439</v>
      </c>
      <c r="C79" s="176" t="s">
        <v>161</v>
      </c>
      <c r="D79" s="175" t="s">
        <v>162</v>
      </c>
      <c r="E79" s="175">
        <v>6508694</v>
      </c>
      <c r="F79" s="176" t="s">
        <v>442</v>
      </c>
      <c r="G79" s="177" t="s">
        <v>443</v>
      </c>
      <c r="H79" s="182"/>
      <c r="I79" s="182"/>
      <c r="J79" s="182"/>
      <c r="K79" s="182"/>
      <c r="L79" s="180">
        <v>42765</v>
      </c>
      <c r="M79" s="176" t="s">
        <v>166</v>
      </c>
      <c r="N79" s="176" t="s">
        <v>327</v>
      </c>
      <c r="O79" s="181" t="s">
        <v>168</v>
      </c>
    </row>
    <row r="80" spans="1:15">
      <c r="A80" s="175">
        <v>9916</v>
      </c>
      <c r="B80" s="176" t="s">
        <v>439</v>
      </c>
      <c r="C80" s="176" t="s">
        <v>161</v>
      </c>
      <c r="D80" s="175" t="s">
        <v>162</v>
      </c>
      <c r="E80" s="175">
        <v>5980808</v>
      </c>
      <c r="F80" s="176" t="s">
        <v>444</v>
      </c>
      <c r="G80" s="177" t="s">
        <v>445</v>
      </c>
      <c r="H80" s="182"/>
      <c r="I80" s="182"/>
      <c r="J80" s="182"/>
      <c r="K80" s="182"/>
      <c r="L80" s="180">
        <v>42590</v>
      </c>
      <c r="M80" s="176" t="s">
        <v>271</v>
      </c>
      <c r="N80" s="176" t="s">
        <v>333</v>
      </c>
      <c r="O80" s="181" t="s">
        <v>168</v>
      </c>
    </row>
    <row r="81" spans="1:15">
      <c r="A81" s="175">
        <v>9916</v>
      </c>
      <c r="B81" s="176" t="s">
        <v>439</v>
      </c>
      <c r="C81" s="176" t="s">
        <v>161</v>
      </c>
      <c r="D81" s="175" t="s">
        <v>162</v>
      </c>
      <c r="E81" s="175">
        <v>6297327</v>
      </c>
      <c r="F81" s="176" t="s">
        <v>446</v>
      </c>
      <c r="G81" s="177" t="s">
        <v>447</v>
      </c>
      <c r="H81" s="182"/>
      <c r="I81" s="182"/>
      <c r="J81" s="182"/>
      <c r="K81" s="182"/>
      <c r="L81" s="180">
        <v>42508</v>
      </c>
      <c r="M81" s="176" t="s">
        <v>349</v>
      </c>
      <c r="N81" s="176" t="s">
        <v>448</v>
      </c>
      <c r="O81" s="181" t="s">
        <v>168</v>
      </c>
    </row>
    <row r="82" spans="1:15">
      <c r="A82" s="175">
        <v>9916</v>
      </c>
      <c r="B82" s="176" t="s">
        <v>439</v>
      </c>
      <c r="C82" s="176" t="s">
        <v>161</v>
      </c>
      <c r="D82" s="175" t="s">
        <v>162</v>
      </c>
      <c r="E82" s="175">
        <v>6302451</v>
      </c>
      <c r="F82" s="176" t="s">
        <v>449</v>
      </c>
      <c r="G82" s="177" t="s">
        <v>450</v>
      </c>
      <c r="H82" s="182"/>
      <c r="I82" s="182"/>
      <c r="J82" s="182"/>
      <c r="K82" s="182"/>
      <c r="L82" s="180">
        <v>42524</v>
      </c>
      <c r="M82" s="176" t="s">
        <v>366</v>
      </c>
      <c r="N82" s="176" t="s">
        <v>451</v>
      </c>
      <c r="O82" s="181" t="s">
        <v>168</v>
      </c>
    </row>
    <row r="83" spans="1:15">
      <c r="A83" s="175">
        <v>9916</v>
      </c>
      <c r="B83" s="176" t="s">
        <v>439</v>
      </c>
      <c r="C83" s="176" t="s">
        <v>161</v>
      </c>
      <c r="D83" s="175" t="s">
        <v>162</v>
      </c>
      <c r="E83" s="175">
        <v>6591838</v>
      </c>
      <c r="F83" s="176" t="s">
        <v>452</v>
      </c>
      <c r="G83" s="177" t="s">
        <v>453</v>
      </c>
      <c r="H83" s="182"/>
      <c r="I83" s="182"/>
      <c r="J83" s="182"/>
      <c r="K83" s="182"/>
      <c r="L83" s="180">
        <v>42864</v>
      </c>
      <c r="M83" s="176" t="s">
        <v>423</v>
      </c>
      <c r="N83" s="176" t="s">
        <v>454</v>
      </c>
      <c r="O83" s="181" t="s">
        <v>168</v>
      </c>
    </row>
    <row r="84" spans="1:15">
      <c r="A84" s="175">
        <v>9916</v>
      </c>
      <c r="B84" s="176" t="s">
        <v>439</v>
      </c>
      <c r="C84" s="176" t="s">
        <v>161</v>
      </c>
      <c r="D84" s="175" t="s">
        <v>162</v>
      </c>
      <c r="E84" s="175">
        <v>6121152</v>
      </c>
      <c r="F84" s="176" t="s">
        <v>455</v>
      </c>
      <c r="G84" s="177" t="s">
        <v>456</v>
      </c>
      <c r="H84" s="182"/>
      <c r="I84" s="182"/>
      <c r="J84" s="182"/>
      <c r="K84" s="182"/>
      <c r="L84" s="180">
        <v>42870</v>
      </c>
      <c r="M84" s="176" t="s">
        <v>271</v>
      </c>
      <c r="N84" s="176" t="s">
        <v>457</v>
      </c>
      <c r="O84" s="181" t="s">
        <v>168</v>
      </c>
    </row>
    <row r="85" spans="1:15">
      <c r="A85" s="175">
        <v>9916</v>
      </c>
      <c r="B85" s="176" t="s">
        <v>439</v>
      </c>
      <c r="C85" s="176" t="s">
        <v>161</v>
      </c>
      <c r="D85" s="175" t="s">
        <v>162</v>
      </c>
      <c r="E85" s="175">
        <v>6132106</v>
      </c>
      <c r="F85" s="176" t="s">
        <v>458</v>
      </c>
      <c r="G85" s="177" t="s">
        <v>459</v>
      </c>
      <c r="H85" s="182"/>
      <c r="I85" s="182"/>
      <c r="J85" s="182"/>
      <c r="K85" s="182"/>
      <c r="L85" s="180">
        <v>42524</v>
      </c>
      <c r="M85" s="176" t="s">
        <v>460</v>
      </c>
      <c r="N85" s="176" t="s">
        <v>461</v>
      </c>
      <c r="O85" s="181" t="s">
        <v>168</v>
      </c>
    </row>
    <row r="86" spans="1:15">
      <c r="A86" s="175">
        <v>12070</v>
      </c>
      <c r="B86" s="176" t="s">
        <v>462</v>
      </c>
      <c r="C86" s="176" t="s">
        <v>161</v>
      </c>
      <c r="D86" s="175" t="s">
        <v>162</v>
      </c>
      <c r="E86" s="175">
        <v>6605570</v>
      </c>
      <c r="F86" s="176" t="s">
        <v>463</v>
      </c>
      <c r="G86" s="177" t="s">
        <v>464</v>
      </c>
      <c r="H86" s="182"/>
      <c r="I86" s="182"/>
      <c r="J86" s="182"/>
      <c r="K86" s="182"/>
      <c r="L86" s="180">
        <v>42795</v>
      </c>
      <c r="M86" s="176" t="s">
        <v>465</v>
      </c>
      <c r="N86" s="176" t="s">
        <v>466</v>
      </c>
      <c r="O86" s="181" t="s">
        <v>168</v>
      </c>
    </row>
    <row r="87" spans="1:15">
      <c r="A87" s="175">
        <v>12070</v>
      </c>
      <c r="B87" s="176" t="s">
        <v>462</v>
      </c>
      <c r="C87" s="176" t="s">
        <v>161</v>
      </c>
      <c r="D87" s="175" t="s">
        <v>162</v>
      </c>
      <c r="E87" s="175">
        <v>6291999</v>
      </c>
      <c r="F87" s="176" t="s">
        <v>467</v>
      </c>
      <c r="G87" s="177" t="s">
        <v>468</v>
      </c>
      <c r="H87" s="183"/>
      <c r="I87" s="183"/>
      <c r="J87" s="183"/>
      <c r="K87" s="183"/>
      <c r="L87" s="180">
        <v>42458</v>
      </c>
      <c r="M87" s="176" t="s">
        <v>193</v>
      </c>
      <c r="N87" s="176" t="s">
        <v>469</v>
      </c>
      <c r="O87" s="181" t="s">
        <v>168</v>
      </c>
    </row>
    <row r="88" spans="1:15">
      <c r="A88" s="175">
        <v>12070</v>
      </c>
      <c r="B88" s="176" t="s">
        <v>462</v>
      </c>
      <c r="C88" s="176" t="s">
        <v>161</v>
      </c>
      <c r="D88" s="175" t="s">
        <v>162</v>
      </c>
      <c r="E88" s="175">
        <v>6049492</v>
      </c>
      <c r="F88" s="176" t="s">
        <v>470</v>
      </c>
      <c r="G88" s="177" t="s">
        <v>471</v>
      </c>
      <c r="H88" s="183"/>
      <c r="I88" s="183"/>
      <c r="J88" s="183"/>
      <c r="K88" s="183"/>
      <c r="L88" s="180">
        <v>42795</v>
      </c>
      <c r="M88" s="176" t="s">
        <v>193</v>
      </c>
      <c r="N88" s="176" t="s">
        <v>472</v>
      </c>
      <c r="O88" s="181" t="s">
        <v>168</v>
      </c>
    </row>
    <row r="89" spans="1:15">
      <c r="A89" s="175">
        <v>12070</v>
      </c>
      <c r="B89" s="176" t="s">
        <v>462</v>
      </c>
      <c r="C89" s="176" t="s">
        <v>161</v>
      </c>
      <c r="D89" s="175" t="s">
        <v>162</v>
      </c>
      <c r="E89" s="175">
        <v>6220022</v>
      </c>
      <c r="F89" s="176" t="s">
        <v>473</v>
      </c>
      <c r="G89" s="177" t="s">
        <v>474</v>
      </c>
      <c r="H89" s="183"/>
      <c r="I89" s="183"/>
      <c r="J89" s="183"/>
      <c r="K89" s="183"/>
      <c r="L89" s="180">
        <v>42480</v>
      </c>
      <c r="M89" s="176" t="s">
        <v>166</v>
      </c>
      <c r="N89" s="176" t="s">
        <v>475</v>
      </c>
      <c r="O89" s="181" t="s">
        <v>168</v>
      </c>
    </row>
    <row r="90" spans="1:15">
      <c r="A90" s="175">
        <v>12070</v>
      </c>
      <c r="B90" s="176" t="s">
        <v>462</v>
      </c>
      <c r="C90" s="176" t="s">
        <v>161</v>
      </c>
      <c r="D90" s="175" t="s">
        <v>162</v>
      </c>
      <c r="E90" s="175">
        <v>5918898</v>
      </c>
      <c r="F90" s="176" t="s">
        <v>476</v>
      </c>
      <c r="G90" s="177" t="s">
        <v>477</v>
      </c>
      <c r="H90" s="183"/>
      <c r="I90" s="183"/>
      <c r="J90" s="183"/>
      <c r="K90" s="183"/>
      <c r="L90" s="180">
        <v>42135</v>
      </c>
      <c r="M90" s="176" t="s">
        <v>166</v>
      </c>
      <c r="N90" s="176" t="s">
        <v>478</v>
      </c>
      <c r="O90" s="181" t="s">
        <v>168</v>
      </c>
    </row>
    <row r="91" spans="1:15">
      <c r="A91" s="175">
        <v>9917</v>
      </c>
      <c r="B91" s="176" t="s">
        <v>479</v>
      </c>
      <c r="C91" s="176" t="s">
        <v>161</v>
      </c>
      <c r="D91" s="175" t="s">
        <v>162</v>
      </c>
      <c r="E91" s="175">
        <v>6271954</v>
      </c>
      <c r="F91" s="176" t="s">
        <v>480</v>
      </c>
      <c r="G91" s="177" t="s">
        <v>481</v>
      </c>
      <c r="H91" s="184">
        <v>42907</v>
      </c>
      <c r="I91" s="185">
        <v>1325</v>
      </c>
      <c r="J91" s="185">
        <v>44.166666666666664</v>
      </c>
      <c r="K91" s="185" t="s">
        <v>165</v>
      </c>
      <c r="L91" s="180">
        <v>42461</v>
      </c>
      <c r="M91" s="176" t="s">
        <v>261</v>
      </c>
      <c r="N91" s="176" t="s">
        <v>262</v>
      </c>
      <c r="O91" s="181" t="s">
        <v>168</v>
      </c>
    </row>
    <row r="92" spans="1:15">
      <c r="A92" s="175">
        <v>9917</v>
      </c>
      <c r="B92" s="176" t="s">
        <v>479</v>
      </c>
      <c r="C92" s="176" t="s">
        <v>161</v>
      </c>
      <c r="D92" s="175" t="s">
        <v>162</v>
      </c>
      <c r="E92" s="175">
        <v>6429786</v>
      </c>
      <c r="F92" s="176" t="s">
        <v>482</v>
      </c>
      <c r="G92" s="177" t="s">
        <v>483</v>
      </c>
      <c r="H92" s="184">
        <v>42907</v>
      </c>
      <c r="I92" s="185">
        <v>887</v>
      </c>
      <c r="J92" s="185">
        <v>29.566666666666666</v>
      </c>
      <c r="K92" s="185" t="s">
        <v>165</v>
      </c>
      <c r="L92" s="180">
        <v>42520</v>
      </c>
      <c r="M92" s="176" t="s">
        <v>484</v>
      </c>
      <c r="N92" s="176" t="s">
        <v>485</v>
      </c>
      <c r="O92" s="181" t="s">
        <v>168</v>
      </c>
    </row>
    <row r="93" spans="1:15">
      <c r="A93" s="175">
        <v>9917</v>
      </c>
      <c r="B93" s="176" t="s">
        <v>479</v>
      </c>
      <c r="C93" s="176" t="s">
        <v>161</v>
      </c>
      <c r="D93" s="175" t="s">
        <v>162</v>
      </c>
      <c r="E93" s="175">
        <v>5738002</v>
      </c>
      <c r="F93" s="176" t="s">
        <v>486</v>
      </c>
      <c r="G93" s="177" t="s">
        <v>487</v>
      </c>
      <c r="H93" s="184">
        <v>42907</v>
      </c>
      <c r="I93" s="185">
        <v>1211</v>
      </c>
      <c r="J93" s="185">
        <v>40.366666666666667</v>
      </c>
      <c r="K93" s="185" t="s">
        <v>165</v>
      </c>
      <c r="L93" s="180">
        <v>41871</v>
      </c>
      <c r="M93" s="176" t="s">
        <v>166</v>
      </c>
      <c r="N93" s="176" t="s">
        <v>167</v>
      </c>
      <c r="O93" s="181" t="s">
        <v>168</v>
      </c>
    </row>
    <row r="94" spans="1:15">
      <c r="A94" s="175">
        <v>9917</v>
      </c>
      <c r="B94" s="176" t="s">
        <v>479</v>
      </c>
      <c r="C94" s="176" t="s">
        <v>161</v>
      </c>
      <c r="D94" s="175" t="s">
        <v>162</v>
      </c>
      <c r="E94" s="175">
        <v>5828979</v>
      </c>
      <c r="F94" s="176" t="s">
        <v>488</v>
      </c>
      <c r="G94" s="177" t="s">
        <v>489</v>
      </c>
      <c r="H94" s="183"/>
      <c r="I94" s="183"/>
      <c r="J94" s="183"/>
      <c r="K94" s="183"/>
      <c r="L94" s="180">
        <v>41752</v>
      </c>
      <c r="M94" s="176" t="s">
        <v>490</v>
      </c>
      <c r="N94" s="176" t="s">
        <v>491</v>
      </c>
      <c r="O94" s="181" t="s">
        <v>168</v>
      </c>
    </row>
    <row r="95" spans="1:15">
      <c r="A95" s="175">
        <v>9917</v>
      </c>
      <c r="B95" s="176" t="s">
        <v>479</v>
      </c>
      <c r="C95" s="176" t="s">
        <v>161</v>
      </c>
      <c r="D95" s="175" t="s">
        <v>162</v>
      </c>
      <c r="E95" s="175">
        <v>6129988</v>
      </c>
      <c r="F95" s="176" t="s">
        <v>492</v>
      </c>
      <c r="G95" s="177" t="s">
        <v>493</v>
      </c>
      <c r="H95" s="183"/>
      <c r="I95" s="183"/>
      <c r="J95" s="183"/>
      <c r="K95" s="183"/>
      <c r="L95" s="180">
        <v>42699</v>
      </c>
      <c r="M95" s="176" t="s">
        <v>193</v>
      </c>
      <c r="N95" s="176" t="s">
        <v>377</v>
      </c>
      <c r="O95" s="181" t="s">
        <v>168</v>
      </c>
    </row>
    <row r="96" spans="1:15">
      <c r="A96" s="175">
        <v>9917</v>
      </c>
      <c r="B96" s="176" t="s">
        <v>479</v>
      </c>
      <c r="C96" s="176" t="s">
        <v>161</v>
      </c>
      <c r="D96" s="175" t="s">
        <v>162</v>
      </c>
      <c r="E96" s="175">
        <v>5899610</v>
      </c>
      <c r="F96" s="176" t="s">
        <v>494</v>
      </c>
      <c r="G96" s="177" t="s">
        <v>495</v>
      </c>
      <c r="H96" s="183"/>
      <c r="I96" s="183"/>
      <c r="J96" s="183"/>
      <c r="K96" s="183"/>
      <c r="L96" s="180">
        <v>42095</v>
      </c>
      <c r="M96" s="176" t="s">
        <v>496</v>
      </c>
      <c r="N96" s="176" t="s">
        <v>497</v>
      </c>
      <c r="O96" s="181" t="s">
        <v>173</v>
      </c>
    </row>
    <row r="97" spans="1:15">
      <c r="A97" s="175">
        <v>9917</v>
      </c>
      <c r="B97" s="176" t="s">
        <v>479</v>
      </c>
      <c r="C97" s="176" t="s">
        <v>161</v>
      </c>
      <c r="D97" s="175" t="s">
        <v>162</v>
      </c>
      <c r="E97" s="175">
        <v>6426757</v>
      </c>
      <c r="F97" s="176" t="s">
        <v>498</v>
      </c>
      <c r="G97" s="177" t="s">
        <v>499</v>
      </c>
      <c r="H97" s="183"/>
      <c r="I97" s="183"/>
      <c r="J97" s="183"/>
      <c r="K97" s="183"/>
      <c r="L97" s="180">
        <v>42489</v>
      </c>
      <c r="M97" s="176" t="s">
        <v>284</v>
      </c>
      <c r="N97" s="176" t="s">
        <v>500</v>
      </c>
      <c r="O97" s="181" t="s">
        <v>168</v>
      </c>
    </row>
    <row r="98" spans="1:15">
      <c r="A98" s="175">
        <v>9917</v>
      </c>
      <c r="B98" s="176" t="s">
        <v>479</v>
      </c>
      <c r="C98" s="176" t="s">
        <v>161</v>
      </c>
      <c r="D98" s="175" t="s">
        <v>162</v>
      </c>
      <c r="E98" s="175">
        <v>6358234</v>
      </c>
      <c r="F98" s="176" t="s">
        <v>501</v>
      </c>
      <c r="G98" s="177" t="s">
        <v>502</v>
      </c>
      <c r="H98" s="183"/>
      <c r="I98" s="183"/>
      <c r="J98" s="183"/>
      <c r="K98" s="183"/>
      <c r="L98" s="180">
        <v>42466</v>
      </c>
      <c r="M98" s="176" t="s">
        <v>193</v>
      </c>
      <c r="N98" s="176" t="s">
        <v>503</v>
      </c>
      <c r="O98" s="181" t="s">
        <v>168</v>
      </c>
    </row>
    <row r="99" spans="1:15">
      <c r="A99" s="175">
        <v>9917</v>
      </c>
      <c r="B99" s="176" t="s">
        <v>479</v>
      </c>
      <c r="C99" s="176" t="s">
        <v>161</v>
      </c>
      <c r="D99" s="175" t="s">
        <v>162</v>
      </c>
      <c r="E99" s="175">
        <v>6105099</v>
      </c>
      <c r="F99" s="176" t="s">
        <v>504</v>
      </c>
      <c r="G99" s="177" t="s">
        <v>505</v>
      </c>
      <c r="H99" s="183"/>
      <c r="I99" s="183"/>
      <c r="J99" s="183"/>
      <c r="K99" s="183"/>
      <c r="L99" s="180">
        <v>42073</v>
      </c>
      <c r="M99" s="176" t="s">
        <v>219</v>
      </c>
      <c r="N99" s="176" t="s">
        <v>506</v>
      </c>
      <c r="O99" s="181" t="s">
        <v>173</v>
      </c>
    </row>
    <row r="100" spans="1:15">
      <c r="A100" s="175">
        <v>9917</v>
      </c>
      <c r="B100" s="176" t="s">
        <v>479</v>
      </c>
      <c r="C100" s="176" t="s">
        <v>161</v>
      </c>
      <c r="D100" s="175" t="s">
        <v>162</v>
      </c>
      <c r="E100" s="175">
        <v>6219507</v>
      </c>
      <c r="F100" s="176" t="s">
        <v>507</v>
      </c>
      <c r="G100" s="177" t="s">
        <v>508</v>
      </c>
      <c r="H100" s="183"/>
      <c r="I100" s="183"/>
      <c r="J100" s="183"/>
      <c r="K100" s="183"/>
      <c r="L100" s="180">
        <v>42781</v>
      </c>
      <c r="M100" s="176" t="s">
        <v>193</v>
      </c>
      <c r="N100" s="176" t="s">
        <v>509</v>
      </c>
      <c r="O100" s="181" t="s">
        <v>168</v>
      </c>
    </row>
    <row r="101" spans="1:15">
      <c r="A101" s="175">
        <v>9917</v>
      </c>
      <c r="B101" s="176" t="s">
        <v>479</v>
      </c>
      <c r="C101" s="176" t="s">
        <v>161</v>
      </c>
      <c r="D101" s="175" t="s">
        <v>162</v>
      </c>
      <c r="E101" s="175">
        <v>5752925</v>
      </c>
      <c r="F101" s="176" t="s">
        <v>510</v>
      </c>
      <c r="G101" s="177" t="s">
        <v>511</v>
      </c>
      <c r="H101" s="183"/>
      <c r="I101" s="183"/>
      <c r="J101" s="183"/>
      <c r="K101" s="183"/>
      <c r="L101" s="180">
        <v>42864</v>
      </c>
      <c r="M101" s="176" t="s">
        <v>313</v>
      </c>
      <c r="N101" s="176" t="s">
        <v>397</v>
      </c>
      <c r="O101" s="181" t="s">
        <v>173</v>
      </c>
    </row>
    <row r="102" spans="1:15">
      <c r="A102" s="175">
        <v>9917</v>
      </c>
      <c r="B102" s="176" t="s">
        <v>479</v>
      </c>
      <c r="C102" s="176" t="s">
        <v>161</v>
      </c>
      <c r="D102" s="175" t="s">
        <v>162</v>
      </c>
      <c r="E102" s="175">
        <v>6156847</v>
      </c>
      <c r="F102" s="176" t="s">
        <v>512</v>
      </c>
      <c r="G102" s="177" t="s">
        <v>513</v>
      </c>
      <c r="H102" s="183"/>
      <c r="I102" s="183"/>
      <c r="J102" s="183"/>
      <c r="K102" s="183"/>
      <c r="L102" s="180">
        <v>42489</v>
      </c>
      <c r="M102" s="176" t="s">
        <v>514</v>
      </c>
      <c r="N102" s="176" t="s">
        <v>515</v>
      </c>
      <c r="O102" s="181" t="s">
        <v>168</v>
      </c>
    </row>
    <row r="103" spans="1:15">
      <c r="A103" s="175">
        <v>9917</v>
      </c>
      <c r="B103" s="176" t="s">
        <v>479</v>
      </c>
      <c r="C103" s="176" t="s">
        <v>161</v>
      </c>
      <c r="D103" s="175" t="s">
        <v>162</v>
      </c>
      <c r="E103" s="175">
        <v>6363165</v>
      </c>
      <c r="F103" s="176" t="s">
        <v>516</v>
      </c>
      <c r="G103" s="177" t="s">
        <v>517</v>
      </c>
      <c r="H103" s="183"/>
      <c r="I103" s="183"/>
      <c r="J103" s="183"/>
      <c r="K103" s="183"/>
      <c r="L103" s="180">
        <v>42781</v>
      </c>
      <c r="M103" s="176" t="s">
        <v>518</v>
      </c>
      <c r="N103" s="176" t="s">
        <v>519</v>
      </c>
      <c r="O103" s="181" t="s">
        <v>168</v>
      </c>
    </row>
    <row r="104" spans="1:15">
      <c r="A104" s="175">
        <v>11085</v>
      </c>
      <c r="B104" s="176" t="s">
        <v>520</v>
      </c>
      <c r="C104" s="176" t="s">
        <v>161</v>
      </c>
      <c r="D104" s="175" t="s">
        <v>162</v>
      </c>
      <c r="E104" s="175">
        <v>6388508</v>
      </c>
      <c r="F104" s="176" t="s">
        <v>521</v>
      </c>
      <c r="G104" s="177" t="s">
        <v>522</v>
      </c>
      <c r="H104" s="184">
        <v>42907</v>
      </c>
      <c r="I104" s="185">
        <v>1264</v>
      </c>
      <c r="J104" s="185">
        <v>42.133333333333333</v>
      </c>
      <c r="K104" s="185" t="s">
        <v>165</v>
      </c>
      <c r="L104" s="180">
        <v>42461</v>
      </c>
      <c r="M104" s="176" t="s">
        <v>380</v>
      </c>
      <c r="N104" s="176" t="s">
        <v>523</v>
      </c>
      <c r="O104" s="181" t="s">
        <v>173</v>
      </c>
    </row>
    <row r="105" spans="1:15">
      <c r="A105" s="175">
        <v>11085</v>
      </c>
      <c r="B105" s="176" t="s">
        <v>520</v>
      </c>
      <c r="C105" s="176" t="s">
        <v>161</v>
      </c>
      <c r="D105" s="175" t="s">
        <v>162</v>
      </c>
      <c r="E105" s="175">
        <v>6426550</v>
      </c>
      <c r="F105" s="176" t="s">
        <v>524</v>
      </c>
      <c r="G105" s="177" t="s">
        <v>525</v>
      </c>
      <c r="H105" s="183"/>
      <c r="I105" s="183"/>
      <c r="J105" s="183"/>
      <c r="K105" s="183"/>
      <c r="L105" s="180">
        <v>42765</v>
      </c>
      <c r="M105" s="176" t="s">
        <v>526</v>
      </c>
      <c r="N105" s="176" t="s">
        <v>527</v>
      </c>
      <c r="O105" s="181" t="s">
        <v>173</v>
      </c>
    </row>
    <row r="106" spans="1:15">
      <c r="A106" s="175">
        <v>11085</v>
      </c>
      <c r="B106" s="176" t="s">
        <v>520</v>
      </c>
      <c r="C106" s="176" t="s">
        <v>161</v>
      </c>
      <c r="D106" s="175" t="s">
        <v>162</v>
      </c>
      <c r="E106" s="175">
        <v>6526259</v>
      </c>
      <c r="F106" s="176" t="s">
        <v>528</v>
      </c>
      <c r="G106" s="177" t="s">
        <v>529</v>
      </c>
      <c r="H106" s="183"/>
      <c r="I106" s="183"/>
      <c r="J106" s="183"/>
      <c r="K106" s="183"/>
      <c r="L106" s="180">
        <v>42801</v>
      </c>
      <c r="M106" s="176" t="s">
        <v>301</v>
      </c>
      <c r="N106" s="176" t="s">
        <v>530</v>
      </c>
      <c r="O106" s="181" t="s">
        <v>168</v>
      </c>
    </row>
    <row r="107" spans="1:15">
      <c r="A107" s="175">
        <v>11085</v>
      </c>
      <c r="B107" s="176" t="s">
        <v>520</v>
      </c>
      <c r="C107" s="176" t="s">
        <v>161</v>
      </c>
      <c r="D107" s="175" t="s">
        <v>162</v>
      </c>
      <c r="E107" s="175">
        <v>6280638</v>
      </c>
      <c r="F107" s="176" t="s">
        <v>531</v>
      </c>
      <c r="G107" s="177" t="s">
        <v>532</v>
      </c>
      <c r="H107" s="183"/>
      <c r="I107" s="183"/>
      <c r="J107" s="183"/>
      <c r="K107" s="183"/>
      <c r="L107" s="180">
        <v>42446</v>
      </c>
      <c r="M107" s="176" t="s">
        <v>271</v>
      </c>
      <c r="N107" s="176" t="s">
        <v>533</v>
      </c>
      <c r="O107" s="181" t="s">
        <v>168</v>
      </c>
    </row>
    <row r="108" spans="1:15">
      <c r="A108" s="175">
        <v>11085</v>
      </c>
      <c r="B108" s="176" t="s">
        <v>520</v>
      </c>
      <c r="C108" s="176" t="s">
        <v>161</v>
      </c>
      <c r="D108" s="175" t="s">
        <v>162</v>
      </c>
      <c r="E108" s="175">
        <v>6225273</v>
      </c>
      <c r="F108" s="176" t="s">
        <v>534</v>
      </c>
      <c r="G108" s="177" t="s">
        <v>535</v>
      </c>
      <c r="H108" s="183"/>
      <c r="I108" s="183"/>
      <c r="J108" s="183"/>
      <c r="K108" s="183"/>
      <c r="L108" s="180">
        <v>42646</v>
      </c>
      <c r="M108" s="176" t="s">
        <v>193</v>
      </c>
      <c r="N108" s="176" t="s">
        <v>536</v>
      </c>
      <c r="O108" s="181" t="s">
        <v>168</v>
      </c>
    </row>
    <row r="109" spans="1:15">
      <c r="A109" s="175">
        <v>9857</v>
      </c>
      <c r="B109" s="176" t="s">
        <v>537</v>
      </c>
      <c r="C109" s="176" t="s">
        <v>161</v>
      </c>
      <c r="D109" s="175" t="s">
        <v>162</v>
      </c>
      <c r="E109" s="175">
        <v>5022269</v>
      </c>
      <c r="F109" s="176" t="s">
        <v>538</v>
      </c>
      <c r="G109" s="177" t="s">
        <v>539</v>
      </c>
      <c r="H109" s="184">
        <v>42907</v>
      </c>
      <c r="I109" s="185">
        <v>1627</v>
      </c>
      <c r="J109" s="185">
        <v>54.233333333333334</v>
      </c>
      <c r="K109" s="185" t="s">
        <v>210</v>
      </c>
      <c r="L109" s="180">
        <v>42205</v>
      </c>
      <c r="M109" s="176" t="s">
        <v>193</v>
      </c>
      <c r="N109" s="176" t="s">
        <v>377</v>
      </c>
      <c r="O109" s="181" t="s">
        <v>168</v>
      </c>
    </row>
    <row r="110" spans="1:15">
      <c r="A110" s="175">
        <v>9857</v>
      </c>
      <c r="B110" s="176" t="s">
        <v>537</v>
      </c>
      <c r="C110" s="176" t="s">
        <v>161</v>
      </c>
      <c r="D110" s="175" t="s">
        <v>162</v>
      </c>
      <c r="E110" s="175">
        <v>5796098</v>
      </c>
      <c r="F110" s="176" t="s">
        <v>540</v>
      </c>
      <c r="G110" s="177" t="s">
        <v>541</v>
      </c>
      <c r="H110" s="184">
        <v>42907</v>
      </c>
      <c r="I110" s="185">
        <v>1725</v>
      </c>
      <c r="J110" s="185">
        <v>57.5</v>
      </c>
      <c r="K110" s="185" t="s">
        <v>210</v>
      </c>
      <c r="L110" s="180">
        <v>42818</v>
      </c>
      <c r="M110" s="176" t="s">
        <v>193</v>
      </c>
      <c r="N110" s="176" t="s">
        <v>194</v>
      </c>
      <c r="O110" s="181" t="s">
        <v>168</v>
      </c>
    </row>
    <row r="111" spans="1:15">
      <c r="A111" s="175">
        <v>9857</v>
      </c>
      <c r="B111" s="176" t="s">
        <v>537</v>
      </c>
      <c r="C111" s="176" t="s">
        <v>161</v>
      </c>
      <c r="D111" s="175" t="s">
        <v>162</v>
      </c>
      <c r="E111" s="175">
        <v>5166232</v>
      </c>
      <c r="F111" s="176" t="s">
        <v>542</v>
      </c>
      <c r="G111" s="177" t="s">
        <v>543</v>
      </c>
      <c r="H111" s="183"/>
      <c r="I111" s="183"/>
      <c r="J111" s="183"/>
      <c r="K111" s="183"/>
      <c r="L111" s="180">
        <v>42884</v>
      </c>
      <c r="M111" s="176" t="s">
        <v>180</v>
      </c>
      <c r="N111" s="176" t="s">
        <v>544</v>
      </c>
      <c r="O111" s="181" t="s">
        <v>173</v>
      </c>
    </row>
    <row r="112" spans="1:15">
      <c r="A112" s="175">
        <v>9857</v>
      </c>
      <c r="B112" s="176" t="s">
        <v>537</v>
      </c>
      <c r="C112" s="176" t="s">
        <v>161</v>
      </c>
      <c r="D112" s="175" t="s">
        <v>162</v>
      </c>
      <c r="E112" s="175">
        <v>4606902</v>
      </c>
      <c r="F112" s="176" t="s">
        <v>545</v>
      </c>
      <c r="G112" s="177" t="s">
        <v>546</v>
      </c>
      <c r="H112" s="183"/>
      <c r="I112" s="183"/>
      <c r="J112" s="183"/>
      <c r="K112" s="183"/>
      <c r="L112" s="180">
        <v>42446</v>
      </c>
      <c r="M112" s="176" t="s">
        <v>547</v>
      </c>
      <c r="N112" s="176" t="s">
        <v>548</v>
      </c>
      <c r="O112" s="181" t="s">
        <v>248</v>
      </c>
    </row>
    <row r="113" spans="1:15">
      <c r="A113" s="175">
        <v>9857</v>
      </c>
      <c r="B113" s="176" t="s">
        <v>537</v>
      </c>
      <c r="C113" s="176" t="s">
        <v>161</v>
      </c>
      <c r="D113" s="175" t="s">
        <v>162</v>
      </c>
      <c r="E113" s="175">
        <v>5090433</v>
      </c>
      <c r="F113" s="176" t="s">
        <v>549</v>
      </c>
      <c r="G113" s="177" t="s">
        <v>550</v>
      </c>
      <c r="H113" s="183"/>
      <c r="I113" s="183"/>
      <c r="J113" s="183"/>
      <c r="K113" s="183"/>
      <c r="L113" s="180">
        <v>42135</v>
      </c>
      <c r="M113" s="176" t="s">
        <v>211</v>
      </c>
      <c r="N113" s="176" t="s">
        <v>212</v>
      </c>
      <c r="O113" s="181" t="s">
        <v>168</v>
      </c>
    </row>
    <row r="114" spans="1:15">
      <c r="A114" s="175">
        <v>9857</v>
      </c>
      <c r="B114" s="176" t="s">
        <v>537</v>
      </c>
      <c r="C114" s="176" t="s">
        <v>161</v>
      </c>
      <c r="D114" s="175" t="s">
        <v>162</v>
      </c>
      <c r="E114" s="175">
        <v>4947398</v>
      </c>
      <c r="F114" s="176" t="s">
        <v>551</v>
      </c>
      <c r="G114" s="177" t="s">
        <v>552</v>
      </c>
      <c r="H114" s="183"/>
      <c r="I114" s="183"/>
      <c r="J114" s="183"/>
      <c r="K114" s="183"/>
      <c r="L114" s="180">
        <v>42027</v>
      </c>
      <c r="M114" s="176" t="s">
        <v>465</v>
      </c>
      <c r="N114" s="176" t="s">
        <v>553</v>
      </c>
      <c r="O114" s="181" t="s">
        <v>168</v>
      </c>
    </row>
    <row r="115" spans="1:15">
      <c r="A115" s="175">
        <v>9857</v>
      </c>
      <c r="B115" s="176" t="s">
        <v>537</v>
      </c>
      <c r="C115" s="176" t="s">
        <v>161</v>
      </c>
      <c r="D115" s="175" t="s">
        <v>162</v>
      </c>
      <c r="E115" s="175">
        <v>4843771</v>
      </c>
      <c r="F115" s="176" t="s">
        <v>554</v>
      </c>
      <c r="G115" s="177" t="s">
        <v>555</v>
      </c>
      <c r="H115" s="183"/>
      <c r="I115" s="183"/>
      <c r="J115" s="183"/>
      <c r="K115" s="183"/>
      <c r="L115" s="180">
        <v>41304</v>
      </c>
      <c r="M115" s="176" t="s">
        <v>366</v>
      </c>
      <c r="N115" s="176" t="s">
        <v>366</v>
      </c>
      <c r="O115" s="181" t="s">
        <v>168</v>
      </c>
    </row>
    <row r="116" spans="1:15">
      <c r="A116" s="175">
        <v>9913</v>
      </c>
      <c r="B116" s="176" t="s">
        <v>556</v>
      </c>
      <c r="C116" s="176" t="s">
        <v>161</v>
      </c>
      <c r="D116" s="175" t="s">
        <v>162</v>
      </c>
      <c r="E116" s="175">
        <v>6114300</v>
      </c>
      <c r="F116" s="176" t="s">
        <v>557</v>
      </c>
      <c r="G116" s="177" t="s">
        <v>558</v>
      </c>
      <c r="H116" s="183"/>
      <c r="I116" s="183"/>
      <c r="J116" s="183"/>
      <c r="K116" s="183"/>
      <c r="L116" s="180">
        <v>42804</v>
      </c>
      <c r="M116" s="176" t="s">
        <v>180</v>
      </c>
      <c r="N116" s="176" t="s">
        <v>559</v>
      </c>
      <c r="O116" s="181" t="s">
        <v>168</v>
      </c>
    </row>
    <row r="117" spans="1:15">
      <c r="A117" s="175">
        <v>9913</v>
      </c>
      <c r="B117" s="176" t="s">
        <v>556</v>
      </c>
      <c r="C117" s="176" t="s">
        <v>161</v>
      </c>
      <c r="D117" s="175" t="s">
        <v>162</v>
      </c>
      <c r="E117" s="175">
        <v>4035963</v>
      </c>
      <c r="F117" s="176" t="s">
        <v>560</v>
      </c>
      <c r="G117" s="177" t="s">
        <v>561</v>
      </c>
      <c r="H117" s="183"/>
      <c r="I117" s="183"/>
      <c r="J117" s="183"/>
      <c r="K117" s="183"/>
      <c r="L117" s="180">
        <v>41733</v>
      </c>
      <c r="M117" s="176" t="s">
        <v>562</v>
      </c>
      <c r="N117" s="176" t="s">
        <v>562</v>
      </c>
      <c r="O117" s="181" t="s">
        <v>168</v>
      </c>
    </row>
    <row r="118" spans="1:15">
      <c r="A118" s="175">
        <v>9911</v>
      </c>
      <c r="B118" s="176" t="s">
        <v>563</v>
      </c>
      <c r="C118" s="176" t="s">
        <v>161</v>
      </c>
      <c r="D118" s="175" t="s">
        <v>162</v>
      </c>
      <c r="E118" s="175">
        <v>3701277</v>
      </c>
      <c r="F118" s="176" t="s">
        <v>564</v>
      </c>
      <c r="G118" s="177" t="s">
        <v>565</v>
      </c>
      <c r="H118" s="184">
        <v>42907</v>
      </c>
      <c r="I118" s="185">
        <v>431</v>
      </c>
      <c r="J118" s="185">
        <v>14.366666666666667</v>
      </c>
      <c r="K118" s="185" t="s">
        <v>192</v>
      </c>
      <c r="L118" s="180">
        <v>41709</v>
      </c>
      <c r="M118" s="176" t="s">
        <v>566</v>
      </c>
      <c r="N118" s="176" t="s">
        <v>567</v>
      </c>
      <c r="O118" s="181" t="s">
        <v>168</v>
      </c>
    </row>
    <row r="119" spans="1:15">
      <c r="A119" s="175">
        <v>9911</v>
      </c>
      <c r="B119" s="176" t="s">
        <v>563</v>
      </c>
      <c r="C119" s="176" t="s">
        <v>161</v>
      </c>
      <c r="D119" s="175" t="s">
        <v>162</v>
      </c>
      <c r="E119" s="175">
        <v>3800022</v>
      </c>
      <c r="F119" s="176" t="s">
        <v>568</v>
      </c>
      <c r="G119" s="177" t="s">
        <v>569</v>
      </c>
      <c r="H119" s="183"/>
      <c r="I119" s="183"/>
      <c r="J119" s="183"/>
      <c r="K119" s="183"/>
      <c r="L119" s="180">
        <v>41621</v>
      </c>
      <c r="M119" s="176" t="s">
        <v>570</v>
      </c>
      <c r="N119" s="176" t="s">
        <v>571</v>
      </c>
      <c r="O119" s="181" t="s">
        <v>248</v>
      </c>
    </row>
    <row r="120" spans="1:15">
      <c r="A120" s="175">
        <v>9911</v>
      </c>
      <c r="B120" s="176" t="s">
        <v>563</v>
      </c>
      <c r="C120" s="176" t="s">
        <v>161</v>
      </c>
      <c r="D120" s="175" t="s">
        <v>162</v>
      </c>
      <c r="E120" s="175">
        <v>5840197</v>
      </c>
      <c r="F120" s="176" t="s">
        <v>572</v>
      </c>
      <c r="G120" s="177" t="s">
        <v>573</v>
      </c>
      <c r="H120" s="183"/>
      <c r="I120" s="183"/>
      <c r="J120" s="183"/>
      <c r="K120" s="183"/>
      <c r="L120" s="180">
        <v>42513</v>
      </c>
      <c r="M120" s="176" t="s">
        <v>301</v>
      </c>
      <c r="N120" s="176" t="s">
        <v>302</v>
      </c>
      <c r="O120" s="181" t="s">
        <v>168</v>
      </c>
    </row>
    <row r="121" spans="1:15">
      <c r="A121" s="175">
        <v>11099</v>
      </c>
      <c r="B121" s="176" t="s">
        <v>574</v>
      </c>
      <c r="C121" s="176" t="s">
        <v>161</v>
      </c>
      <c r="D121" s="175" t="s">
        <v>162</v>
      </c>
      <c r="E121" s="175">
        <v>3955435</v>
      </c>
      <c r="F121" s="176" t="s">
        <v>575</v>
      </c>
      <c r="G121" s="177" t="s">
        <v>576</v>
      </c>
      <c r="H121" s="184">
        <v>42907</v>
      </c>
      <c r="I121" s="185">
        <v>1462</v>
      </c>
      <c r="J121" s="185">
        <v>48.733333333333334</v>
      </c>
      <c r="K121" s="185" t="s">
        <v>210</v>
      </c>
      <c r="L121" s="180">
        <v>41414</v>
      </c>
      <c r="M121" s="176" t="s">
        <v>198</v>
      </c>
      <c r="N121" s="176" t="s">
        <v>577</v>
      </c>
      <c r="O121" s="181" t="s">
        <v>168</v>
      </c>
    </row>
    <row r="122" spans="1:15">
      <c r="A122" s="175">
        <v>11099</v>
      </c>
      <c r="B122" s="176" t="s">
        <v>574</v>
      </c>
      <c r="C122" s="176" t="s">
        <v>161</v>
      </c>
      <c r="D122" s="175" t="s">
        <v>162</v>
      </c>
      <c r="E122" s="175">
        <v>6100800</v>
      </c>
      <c r="F122" s="176" t="s">
        <v>578</v>
      </c>
      <c r="G122" s="177" t="s">
        <v>579</v>
      </c>
      <c r="H122" s="183"/>
      <c r="I122" s="183"/>
      <c r="J122" s="183"/>
      <c r="K122" s="183"/>
      <c r="L122" s="180">
        <v>42844</v>
      </c>
      <c r="M122" s="176" t="s">
        <v>580</v>
      </c>
      <c r="N122" s="176" t="s">
        <v>581</v>
      </c>
      <c r="O122" s="181" t="s">
        <v>248</v>
      </c>
    </row>
    <row r="123" spans="1:15">
      <c r="A123" s="175">
        <v>11099</v>
      </c>
      <c r="B123" s="176" t="s">
        <v>574</v>
      </c>
      <c r="C123" s="176" t="s">
        <v>161</v>
      </c>
      <c r="D123" s="175" t="s">
        <v>162</v>
      </c>
      <c r="E123" s="175">
        <v>6100800</v>
      </c>
      <c r="F123" s="176" t="s">
        <v>578</v>
      </c>
      <c r="G123" s="177" t="s">
        <v>579</v>
      </c>
      <c r="H123" s="183"/>
      <c r="I123" s="183"/>
      <c r="J123" s="183"/>
      <c r="K123" s="183"/>
      <c r="L123" s="180">
        <v>42885</v>
      </c>
      <c r="M123" s="176" t="s">
        <v>580</v>
      </c>
      <c r="N123" s="176" t="s">
        <v>582</v>
      </c>
      <c r="O123" s="181" t="s">
        <v>248</v>
      </c>
    </row>
    <row r="124" spans="1:15">
      <c r="A124" s="175">
        <v>11099</v>
      </c>
      <c r="B124" s="176" t="s">
        <v>574</v>
      </c>
      <c r="C124" s="176" t="s">
        <v>161</v>
      </c>
      <c r="D124" s="175" t="s">
        <v>162</v>
      </c>
      <c r="E124" s="175">
        <v>4929115</v>
      </c>
      <c r="F124" s="176" t="s">
        <v>583</v>
      </c>
      <c r="G124" s="177" t="s">
        <v>584</v>
      </c>
      <c r="H124" s="183"/>
      <c r="I124" s="183"/>
      <c r="J124" s="183"/>
      <c r="K124" s="183"/>
      <c r="L124" s="180">
        <v>42816</v>
      </c>
      <c r="M124" s="176" t="s">
        <v>275</v>
      </c>
      <c r="N124" s="176" t="s">
        <v>585</v>
      </c>
      <c r="O124" s="181" t="s">
        <v>168</v>
      </c>
    </row>
    <row r="125" spans="1:15">
      <c r="A125" s="175">
        <v>11099</v>
      </c>
      <c r="B125" s="176" t="s">
        <v>574</v>
      </c>
      <c r="C125" s="176" t="s">
        <v>161</v>
      </c>
      <c r="D125" s="175" t="s">
        <v>162</v>
      </c>
      <c r="E125" s="175">
        <v>4252430</v>
      </c>
      <c r="F125" s="176" t="s">
        <v>586</v>
      </c>
      <c r="G125" s="177" t="s">
        <v>587</v>
      </c>
      <c r="H125" s="183"/>
      <c r="I125" s="183"/>
      <c r="J125" s="183"/>
      <c r="K125" s="183"/>
      <c r="L125" s="180">
        <v>42234</v>
      </c>
      <c r="M125" s="176" t="s">
        <v>588</v>
      </c>
      <c r="N125" s="176" t="s">
        <v>589</v>
      </c>
      <c r="O125" s="181" t="s">
        <v>168</v>
      </c>
    </row>
    <row r="126" spans="1:15">
      <c r="A126" s="175">
        <v>11099</v>
      </c>
      <c r="B126" s="176" t="s">
        <v>574</v>
      </c>
      <c r="C126" s="176" t="s">
        <v>161</v>
      </c>
      <c r="D126" s="175" t="s">
        <v>162</v>
      </c>
      <c r="E126" s="175">
        <v>5718446</v>
      </c>
      <c r="F126" s="176" t="s">
        <v>590</v>
      </c>
      <c r="G126" s="177" t="s">
        <v>591</v>
      </c>
      <c r="H126" s="183"/>
      <c r="I126" s="183"/>
      <c r="J126" s="183"/>
      <c r="K126" s="183"/>
      <c r="L126" s="180">
        <v>41771</v>
      </c>
      <c r="M126" s="176" t="s">
        <v>261</v>
      </c>
      <c r="N126" s="176" t="s">
        <v>592</v>
      </c>
      <c r="O126" s="181" t="s">
        <v>168</v>
      </c>
    </row>
    <row r="127" spans="1:15">
      <c r="A127" s="175">
        <v>11099</v>
      </c>
      <c r="B127" s="176" t="s">
        <v>574</v>
      </c>
      <c r="C127" s="176" t="s">
        <v>161</v>
      </c>
      <c r="D127" s="175" t="s">
        <v>162</v>
      </c>
      <c r="E127" s="175">
        <v>5103246</v>
      </c>
      <c r="F127" s="176" t="s">
        <v>593</v>
      </c>
      <c r="G127" s="177" t="s">
        <v>594</v>
      </c>
      <c r="H127" s="183"/>
      <c r="I127" s="183"/>
      <c r="J127" s="183"/>
      <c r="K127" s="183"/>
      <c r="L127" s="180">
        <v>42797</v>
      </c>
      <c r="M127" s="176" t="s">
        <v>595</v>
      </c>
      <c r="N127" s="176" t="s">
        <v>596</v>
      </c>
      <c r="O127" s="181" t="s">
        <v>173</v>
      </c>
    </row>
    <row r="128" spans="1:15">
      <c r="A128" s="175">
        <v>9903</v>
      </c>
      <c r="B128" s="176" t="s">
        <v>597</v>
      </c>
      <c r="C128" s="176" t="s">
        <v>161</v>
      </c>
      <c r="D128" s="175" t="s">
        <v>162</v>
      </c>
      <c r="E128" s="175">
        <v>5850767</v>
      </c>
      <c r="F128" s="176" t="s">
        <v>598</v>
      </c>
      <c r="G128" s="177" t="s">
        <v>599</v>
      </c>
      <c r="H128" s="183"/>
      <c r="I128" s="183"/>
      <c r="J128" s="183"/>
      <c r="K128" s="183"/>
      <c r="L128" s="180">
        <v>42520</v>
      </c>
      <c r="M128" s="176" t="s">
        <v>193</v>
      </c>
      <c r="N128" s="176" t="s">
        <v>600</v>
      </c>
      <c r="O128" s="181" t="s">
        <v>168</v>
      </c>
    </row>
    <row r="129" spans="1:15">
      <c r="A129" s="175">
        <v>9903</v>
      </c>
      <c r="B129" s="176" t="s">
        <v>597</v>
      </c>
      <c r="C129" s="176" t="s">
        <v>161</v>
      </c>
      <c r="D129" s="175" t="s">
        <v>162</v>
      </c>
      <c r="E129" s="175">
        <v>6232759</v>
      </c>
      <c r="F129" s="176" t="s">
        <v>601</v>
      </c>
      <c r="G129" s="177" t="s">
        <v>602</v>
      </c>
      <c r="H129" s="183"/>
      <c r="I129" s="183"/>
      <c r="J129" s="183"/>
      <c r="K129" s="183"/>
      <c r="L129" s="180">
        <v>42765</v>
      </c>
      <c r="M129" s="176" t="s">
        <v>193</v>
      </c>
      <c r="N129" s="176" t="s">
        <v>603</v>
      </c>
      <c r="O129" s="181" t="s">
        <v>168</v>
      </c>
    </row>
    <row r="130" spans="1:15">
      <c r="A130" s="175">
        <v>9903</v>
      </c>
      <c r="B130" s="176" t="s">
        <v>597</v>
      </c>
      <c r="C130" s="176" t="s">
        <v>161</v>
      </c>
      <c r="D130" s="175" t="s">
        <v>162</v>
      </c>
      <c r="E130" s="175">
        <v>6136179</v>
      </c>
      <c r="F130" s="176" t="s">
        <v>604</v>
      </c>
      <c r="G130" s="177" t="s">
        <v>605</v>
      </c>
      <c r="H130" s="183"/>
      <c r="I130" s="183"/>
      <c r="J130" s="183"/>
      <c r="K130" s="183"/>
      <c r="L130" s="180">
        <v>42780</v>
      </c>
      <c r="M130" s="176" t="s">
        <v>606</v>
      </c>
      <c r="N130" s="176" t="s">
        <v>607</v>
      </c>
      <c r="O130" s="181" t="s">
        <v>168</v>
      </c>
    </row>
    <row r="131" spans="1:15">
      <c r="A131" s="175">
        <v>9903</v>
      </c>
      <c r="B131" s="176" t="s">
        <v>597</v>
      </c>
      <c r="C131" s="176" t="s">
        <v>161</v>
      </c>
      <c r="D131" s="175" t="s">
        <v>162</v>
      </c>
      <c r="E131" s="175">
        <v>5869390</v>
      </c>
      <c r="F131" s="176" t="s">
        <v>608</v>
      </c>
      <c r="G131" s="177" t="s">
        <v>609</v>
      </c>
      <c r="H131" s="183"/>
      <c r="I131" s="183"/>
      <c r="J131" s="183"/>
      <c r="K131" s="183"/>
      <c r="L131" s="180">
        <v>42783</v>
      </c>
      <c r="M131" s="176" t="s">
        <v>275</v>
      </c>
      <c r="N131" s="176" t="s">
        <v>585</v>
      </c>
      <c r="O131" s="181" t="s">
        <v>173</v>
      </c>
    </row>
    <row r="132" spans="1:15">
      <c r="A132" s="175">
        <v>9903</v>
      </c>
      <c r="B132" s="176" t="s">
        <v>597</v>
      </c>
      <c r="C132" s="176" t="s">
        <v>161</v>
      </c>
      <c r="D132" s="175" t="s">
        <v>162</v>
      </c>
      <c r="E132" s="175">
        <v>5621374</v>
      </c>
      <c r="F132" s="176" t="s">
        <v>610</v>
      </c>
      <c r="G132" s="177" t="s">
        <v>611</v>
      </c>
      <c r="H132" s="183"/>
      <c r="I132" s="183"/>
      <c r="J132" s="183"/>
      <c r="K132" s="183"/>
      <c r="L132" s="180">
        <v>42783</v>
      </c>
      <c r="M132" s="176" t="s">
        <v>193</v>
      </c>
      <c r="N132" s="176" t="s">
        <v>612</v>
      </c>
      <c r="O132" s="181" t="s">
        <v>168</v>
      </c>
    </row>
    <row r="133" spans="1:15">
      <c r="A133" s="175">
        <v>9903</v>
      </c>
      <c r="B133" s="176" t="s">
        <v>597</v>
      </c>
      <c r="C133" s="176" t="s">
        <v>161</v>
      </c>
      <c r="D133" s="175" t="s">
        <v>162</v>
      </c>
      <c r="E133" s="175">
        <v>6158041</v>
      </c>
      <c r="F133" s="176" t="s">
        <v>613</v>
      </c>
      <c r="G133" s="177" t="s">
        <v>614</v>
      </c>
      <c r="H133" s="183"/>
      <c r="I133" s="183"/>
      <c r="J133" s="183"/>
      <c r="K133" s="183"/>
      <c r="L133" s="180">
        <v>42879</v>
      </c>
      <c r="M133" s="176" t="s">
        <v>615</v>
      </c>
      <c r="N133" s="176" t="s">
        <v>616</v>
      </c>
      <c r="O133" s="181" t="s">
        <v>248</v>
      </c>
    </row>
    <row r="134" spans="1:15">
      <c r="A134" s="175">
        <v>12069</v>
      </c>
      <c r="B134" s="176" t="s">
        <v>617</v>
      </c>
      <c r="C134" s="176" t="s">
        <v>161</v>
      </c>
      <c r="D134" s="175" t="s">
        <v>162</v>
      </c>
      <c r="E134" s="175">
        <v>5675400</v>
      </c>
      <c r="F134" s="176" t="s">
        <v>618</v>
      </c>
      <c r="G134" s="177" t="s">
        <v>619</v>
      </c>
      <c r="H134" s="184">
        <v>42907</v>
      </c>
      <c r="I134" s="185">
        <v>546</v>
      </c>
      <c r="J134" s="185">
        <v>18.2</v>
      </c>
      <c r="K134" s="185" t="s">
        <v>192</v>
      </c>
      <c r="L134" s="180">
        <v>42745</v>
      </c>
      <c r="M134" s="176" t="s">
        <v>620</v>
      </c>
      <c r="N134" s="176" t="s">
        <v>621</v>
      </c>
      <c r="O134" s="181" t="s">
        <v>168</v>
      </c>
    </row>
    <row r="135" spans="1:15">
      <c r="A135" s="175">
        <v>12069</v>
      </c>
      <c r="B135" s="176" t="s">
        <v>617</v>
      </c>
      <c r="C135" s="176" t="s">
        <v>161</v>
      </c>
      <c r="D135" s="175" t="s">
        <v>162</v>
      </c>
      <c r="E135" s="175">
        <v>5891611</v>
      </c>
      <c r="F135" s="176" t="s">
        <v>622</v>
      </c>
      <c r="G135" s="177" t="s">
        <v>623</v>
      </c>
      <c r="H135" s="184">
        <v>42907</v>
      </c>
      <c r="I135" s="185">
        <v>848</v>
      </c>
      <c r="J135" s="185">
        <v>28.266666666666666</v>
      </c>
      <c r="K135" s="185" t="s">
        <v>165</v>
      </c>
      <c r="L135" s="180">
        <v>42836</v>
      </c>
      <c r="M135" s="176" t="s">
        <v>366</v>
      </c>
      <c r="N135" s="176" t="s">
        <v>624</v>
      </c>
      <c r="O135" s="181" t="s">
        <v>168</v>
      </c>
    </row>
    <row r="136" spans="1:15">
      <c r="A136" s="175">
        <v>12069</v>
      </c>
      <c r="B136" s="176" t="s">
        <v>617</v>
      </c>
      <c r="C136" s="176" t="s">
        <v>161</v>
      </c>
      <c r="D136" s="175" t="s">
        <v>162</v>
      </c>
      <c r="E136" s="175">
        <v>5641155</v>
      </c>
      <c r="F136" s="176" t="s">
        <v>625</v>
      </c>
      <c r="G136" s="177" t="s">
        <v>626</v>
      </c>
      <c r="H136" s="183"/>
      <c r="I136" s="183"/>
      <c r="J136" s="183"/>
      <c r="K136" s="183"/>
      <c r="L136" s="180">
        <v>42884</v>
      </c>
      <c r="M136" s="176" t="s">
        <v>287</v>
      </c>
      <c r="N136" s="176" t="s">
        <v>627</v>
      </c>
      <c r="O136" s="181" t="s">
        <v>168</v>
      </c>
    </row>
    <row r="137" spans="1:15">
      <c r="A137" s="175">
        <v>12069</v>
      </c>
      <c r="B137" s="176" t="s">
        <v>617</v>
      </c>
      <c r="C137" s="176" t="s">
        <v>161</v>
      </c>
      <c r="D137" s="175" t="s">
        <v>162</v>
      </c>
      <c r="E137" s="175">
        <v>6293064</v>
      </c>
      <c r="F137" s="176" t="s">
        <v>628</v>
      </c>
      <c r="G137" s="177" t="s">
        <v>629</v>
      </c>
      <c r="H137" s="183"/>
      <c r="I137" s="183"/>
      <c r="J137" s="183"/>
      <c r="K137" s="183"/>
      <c r="L137" s="180">
        <v>42513</v>
      </c>
      <c r="M137" s="176" t="s">
        <v>366</v>
      </c>
      <c r="N137" s="176" t="s">
        <v>366</v>
      </c>
      <c r="O137" s="181" t="s">
        <v>168</v>
      </c>
    </row>
    <row r="138" spans="1:15">
      <c r="A138" s="175">
        <v>12069</v>
      </c>
      <c r="B138" s="176" t="s">
        <v>617</v>
      </c>
      <c r="C138" s="176" t="s">
        <v>161</v>
      </c>
      <c r="D138" s="175" t="s">
        <v>162</v>
      </c>
      <c r="E138" s="175">
        <v>6683913</v>
      </c>
      <c r="F138" s="176" t="s">
        <v>630</v>
      </c>
      <c r="G138" s="177" t="s">
        <v>309</v>
      </c>
      <c r="H138" s="183"/>
      <c r="I138" s="183"/>
      <c r="J138" s="183"/>
      <c r="K138" s="183"/>
      <c r="L138" s="180">
        <v>42860</v>
      </c>
      <c r="M138" s="176" t="s">
        <v>261</v>
      </c>
      <c r="N138" s="176" t="s">
        <v>631</v>
      </c>
      <c r="O138" s="181" t="s">
        <v>168</v>
      </c>
    </row>
    <row r="139" spans="1:15">
      <c r="A139" s="175">
        <v>12069</v>
      </c>
      <c r="B139" s="176" t="s">
        <v>617</v>
      </c>
      <c r="C139" s="176" t="s">
        <v>161</v>
      </c>
      <c r="D139" s="175" t="s">
        <v>162</v>
      </c>
      <c r="E139" s="175">
        <v>5634773</v>
      </c>
      <c r="F139" s="176" t="s">
        <v>632</v>
      </c>
      <c r="G139" s="177" t="s">
        <v>633</v>
      </c>
      <c r="H139" s="183"/>
      <c r="I139" s="183"/>
      <c r="J139" s="183"/>
      <c r="K139" s="183"/>
      <c r="L139" s="180">
        <v>42780</v>
      </c>
      <c r="M139" s="176" t="s">
        <v>261</v>
      </c>
      <c r="N139" s="176" t="s">
        <v>631</v>
      </c>
      <c r="O139" s="181" t="s">
        <v>168</v>
      </c>
    </row>
    <row r="140" spans="1:15">
      <c r="A140" s="175">
        <v>12069</v>
      </c>
      <c r="B140" s="176" t="s">
        <v>617</v>
      </c>
      <c r="C140" s="176" t="s">
        <v>161</v>
      </c>
      <c r="D140" s="175" t="s">
        <v>162</v>
      </c>
      <c r="E140" s="175">
        <v>5807098</v>
      </c>
      <c r="F140" s="176" t="s">
        <v>634</v>
      </c>
      <c r="G140" s="177" t="s">
        <v>635</v>
      </c>
      <c r="H140" s="183"/>
      <c r="I140" s="183"/>
      <c r="J140" s="183"/>
      <c r="K140" s="183"/>
      <c r="L140" s="180" t="s">
        <v>636</v>
      </c>
      <c r="M140" s="176" t="s">
        <v>193</v>
      </c>
      <c r="N140" s="176" t="s">
        <v>637</v>
      </c>
      <c r="O140" s="181" t="s">
        <v>168</v>
      </c>
    </row>
    <row r="141" spans="1:15">
      <c r="A141" s="175">
        <v>12069</v>
      </c>
      <c r="B141" s="176" t="s">
        <v>617</v>
      </c>
      <c r="C141" s="176" t="s">
        <v>161</v>
      </c>
      <c r="D141" s="175" t="s">
        <v>162</v>
      </c>
      <c r="E141" s="175">
        <v>6404379</v>
      </c>
      <c r="F141" s="176" t="s">
        <v>638</v>
      </c>
      <c r="G141" s="177" t="s">
        <v>639</v>
      </c>
      <c r="H141" s="183"/>
      <c r="I141" s="183"/>
      <c r="J141" s="183"/>
      <c r="K141" s="183"/>
      <c r="L141" s="180">
        <v>42803</v>
      </c>
      <c r="M141" s="176" t="s">
        <v>349</v>
      </c>
      <c r="N141" s="176" t="s">
        <v>640</v>
      </c>
      <c r="O141" s="181" t="s">
        <v>168</v>
      </c>
    </row>
    <row r="142" spans="1:15">
      <c r="A142" s="175">
        <v>9856</v>
      </c>
      <c r="B142" s="176" t="s">
        <v>641</v>
      </c>
      <c r="C142" s="176" t="s">
        <v>161</v>
      </c>
      <c r="D142" s="175" t="s">
        <v>162</v>
      </c>
      <c r="E142" s="175">
        <v>5948488</v>
      </c>
      <c r="F142" s="176" t="s">
        <v>642</v>
      </c>
      <c r="G142" s="177" t="s">
        <v>643</v>
      </c>
      <c r="H142" s="183"/>
      <c r="I142" s="183"/>
      <c r="J142" s="183"/>
      <c r="K142" s="183"/>
      <c r="L142" s="180">
        <v>42783</v>
      </c>
      <c r="M142" s="176" t="s">
        <v>437</v>
      </c>
      <c r="N142" s="176" t="s">
        <v>644</v>
      </c>
      <c r="O142" s="181" t="s">
        <v>173</v>
      </c>
    </row>
    <row r="143" spans="1:15">
      <c r="A143" s="175">
        <v>9856</v>
      </c>
      <c r="B143" s="176" t="s">
        <v>641</v>
      </c>
      <c r="C143" s="176" t="s">
        <v>161</v>
      </c>
      <c r="D143" s="175" t="s">
        <v>162</v>
      </c>
      <c r="E143" s="175">
        <v>6526239</v>
      </c>
      <c r="F143" s="176" t="s">
        <v>645</v>
      </c>
      <c r="G143" s="177" t="s">
        <v>646</v>
      </c>
      <c r="H143" s="183"/>
      <c r="I143" s="183"/>
      <c r="J143" s="183"/>
      <c r="K143" s="183"/>
      <c r="L143" s="180">
        <v>42870</v>
      </c>
      <c r="M143" s="176" t="s">
        <v>647</v>
      </c>
      <c r="N143" s="176" t="s">
        <v>648</v>
      </c>
      <c r="O143" s="181" t="s">
        <v>168</v>
      </c>
    </row>
    <row r="144" spans="1:15">
      <c r="A144" s="175">
        <v>9856</v>
      </c>
      <c r="B144" s="176" t="s">
        <v>641</v>
      </c>
      <c r="C144" s="176" t="s">
        <v>161</v>
      </c>
      <c r="D144" s="175" t="s">
        <v>162</v>
      </c>
      <c r="E144" s="175">
        <v>5663095</v>
      </c>
      <c r="F144" s="176" t="s">
        <v>649</v>
      </c>
      <c r="G144" s="177" t="s">
        <v>650</v>
      </c>
      <c r="H144" s="183"/>
      <c r="I144" s="183"/>
      <c r="J144" s="183"/>
      <c r="K144" s="183"/>
      <c r="L144" s="180">
        <v>42489</v>
      </c>
      <c r="M144" s="176" t="s">
        <v>193</v>
      </c>
      <c r="N144" s="176" t="s">
        <v>651</v>
      </c>
      <c r="O144" s="181" t="s">
        <v>168</v>
      </c>
    </row>
    <row r="145" spans="1:15">
      <c r="A145" s="175">
        <v>9856</v>
      </c>
      <c r="B145" s="176" t="s">
        <v>641</v>
      </c>
      <c r="C145" s="176" t="s">
        <v>161</v>
      </c>
      <c r="D145" s="175" t="s">
        <v>162</v>
      </c>
      <c r="E145" s="175">
        <v>5155923</v>
      </c>
      <c r="F145" s="176" t="s">
        <v>652</v>
      </c>
      <c r="G145" s="177" t="s">
        <v>653</v>
      </c>
      <c r="H145" s="183"/>
      <c r="I145" s="183"/>
      <c r="J145" s="183"/>
      <c r="K145" s="183"/>
      <c r="L145" s="180">
        <v>42479</v>
      </c>
      <c r="M145" s="176" t="s">
        <v>271</v>
      </c>
      <c r="N145" s="176" t="s">
        <v>533</v>
      </c>
      <c r="O145" s="181" t="s">
        <v>168</v>
      </c>
    </row>
    <row r="146" spans="1:15">
      <c r="A146" s="175">
        <v>9856</v>
      </c>
      <c r="B146" s="176" t="s">
        <v>641</v>
      </c>
      <c r="C146" s="176" t="s">
        <v>161</v>
      </c>
      <c r="D146" s="175" t="s">
        <v>162</v>
      </c>
      <c r="E146" s="175">
        <v>5772381</v>
      </c>
      <c r="F146" s="176" t="s">
        <v>654</v>
      </c>
      <c r="G146" s="177" t="s">
        <v>655</v>
      </c>
      <c r="H146" s="183"/>
      <c r="I146" s="183"/>
      <c r="J146" s="183"/>
      <c r="K146" s="183"/>
      <c r="L146" s="180">
        <v>42857</v>
      </c>
      <c r="M146" s="176" t="s">
        <v>219</v>
      </c>
      <c r="N146" s="176" t="s">
        <v>220</v>
      </c>
      <c r="O146" s="181" t="s">
        <v>173</v>
      </c>
    </row>
    <row r="147" spans="1:15">
      <c r="A147" s="175">
        <v>9856</v>
      </c>
      <c r="B147" s="176" t="s">
        <v>641</v>
      </c>
      <c r="C147" s="176" t="s">
        <v>161</v>
      </c>
      <c r="D147" s="175" t="s">
        <v>162</v>
      </c>
      <c r="E147" s="175">
        <v>5728207</v>
      </c>
      <c r="F147" s="176" t="s">
        <v>656</v>
      </c>
      <c r="G147" s="177" t="s">
        <v>657</v>
      </c>
      <c r="H147" s="183"/>
      <c r="I147" s="183"/>
      <c r="J147" s="183"/>
      <c r="K147" s="183"/>
      <c r="L147" s="180">
        <v>42598</v>
      </c>
      <c r="M147" s="176" t="s">
        <v>166</v>
      </c>
      <c r="N147" s="176" t="s">
        <v>344</v>
      </c>
      <c r="O147" s="181" t="s">
        <v>168</v>
      </c>
    </row>
    <row r="148" spans="1:15">
      <c r="A148" s="175">
        <v>9856</v>
      </c>
      <c r="B148" s="176" t="s">
        <v>641</v>
      </c>
      <c r="C148" s="176" t="s">
        <v>161</v>
      </c>
      <c r="D148" s="175" t="s">
        <v>162</v>
      </c>
      <c r="E148" s="175">
        <v>5830889</v>
      </c>
      <c r="F148" s="176" t="s">
        <v>658</v>
      </c>
      <c r="G148" s="177" t="s">
        <v>659</v>
      </c>
      <c r="H148" s="183"/>
      <c r="I148" s="183"/>
      <c r="J148" s="183"/>
      <c r="K148" s="183"/>
      <c r="L148" s="180">
        <v>42741</v>
      </c>
      <c r="M148" s="176" t="s">
        <v>193</v>
      </c>
      <c r="N148" s="176" t="s">
        <v>637</v>
      </c>
      <c r="O148" s="181" t="s">
        <v>168</v>
      </c>
    </row>
    <row r="149" spans="1:15">
      <c r="A149" s="175">
        <v>9856</v>
      </c>
      <c r="B149" s="176" t="s">
        <v>641</v>
      </c>
      <c r="C149" s="176" t="s">
        <v>161</v>
      </c>
      <c r="D149" s="175" t="s">
        <v>162</v>
      </c>
      <c r="E149" s="175">
        <v>5777945</v>
      </c>
      <c r="F149" s="176" t="s">
        <v>660</v>
      </c>
      <c r="G149" s="177" t="s">
        <v>661</v>
      </c>
      <c r="H149" s="183"/>
      <c r="I149" s="183"/>
      <c r="J149" s="183"/>
      <c r="K149" s="183"/>
      <c r="L149" s="180">
        <v>42850</v>
      </c>
      <c r="M149" s="176" t="s">
        <v>662</v>
      </c>
      <c r="N149" s="176" t="s">
        <v>663</v>
      </c>
      <c r="O149" s="181" t="s">
        <v>248</v>
      </c>
    </row>
    <row r="150" spans="1:15">
      <c r="A150" s="175">
        <v>9910</v>
      </c>
      <c r="B150" s="176" t="s">
        <v>664</v>
      </c>
      <c r="C150" s="176" t="s">
        <v>161</v>
      </c>
      <c r="D150" s="175" t="s">
        <v>162</v>
      </c>
      <c r="E150" s="175">
        <v>6063624</v>
      </c>
      <c r="F150" s="176" t="s">
        <v>665</v>
      </c>
      <c r="G150" s="177" t="s">
        <v>666</v>
      </c>
      <c r="H150" s="183"/>
      <c r="I150" s="183"/>
      <c r="J150" s="183"/>
      <c r="K150" s="183"/>
      <c r="L150" s="180">
        <v>42779</v>
      </c>
      <c r="M150" s="176" t="s">
        <v>490</v>
      </c>
      <c r="N150" s="176" t="s">
        <v>667</v>
      </c>
      <c r="O150" s="181" t="s">
        <v>168</v>
      </c>
    </row>
    <row r="151" spans="1:15">
      <c r="A151" s="175">
        <v>9910</v>
      </c>
      <c r="B151" s="176" t="s">
        <v>664</v>
      </c>
      <c r="C151" s="176" t="s">
        <v>161</v>
      </c>
      <c r="D151" s="175" t="s">
        <v>162</v>
      </c>
      <c r="E151" s="175">
        <v>5753454</v>
      </c>
      <c r="F151" s="176" t="s">
        <v>668</v>
      </c>
      <c r="G151" s="177" t="s">
        <v>669</v>
      </c>
      <c r="H151" s="183"/>
      <c r="I151" s="183"/>
      <c r="J151" s="183"/>
      <c r="K151" s="183"/>
      <c r="L151" s="180">
        <v>42779</v>
      </c>
      <c r="M151" s="176" t="s">
        <v>670</v>
      </c>
      <c r="N151" s="176" t="s">
        <v>671</v>
      </c>
      <c r="O151" s="181" t="s">
        <v>173</v>
      </c>
    </row>
    <row r="152" spans="1:15">
      <c r="A152" s="175">
        <v>9910</v>
      </c>
      <c r="B152" s="176" t="s">
        <v>664</v>
      </c>
      <c r="C152" s="176" t="s">
        <v>161</v>
      </c>
      <c r="D152" s="175" t="s">
        <v>162</v>
      </c>
      <c r="E152" s="175">
        <v>5746932</v>
      </c>
      <c r="F152" s="176" t="s">
        <v>672</v>
      </c>
      <c r="G152" s="177" t="s">
        <v>673</v>
      </c>
      <c r="H152" s="183"/>
      <c r="I152" s="183"/>
      <c r="J152" s="183"/>
      <c r="K152" s="183"/>
      <c r="L152" s="180">
        <v>42446</v>
      </c>
      <c r="M152" s="176" t="s">
        <v>674</v>
      </c>
      <c r="N152" s="176" t="s">
        <v>675</v>
      </c>
      <c r="O152" s="181" t="s">
        <v>173</v>
      </c>
    </row>
    <row r="153" spans="1:15">
      <c r="A153" s="175">
        <v>9910</v>
      </c>
      <c r="B153" s="176" t="s">
        <v>664</v>
      </c>
      <c r="C153" s="176" t="s">
        <v>161</v>
      </c>
      <c r="D153" s="175" t="s">
        <v>162</v>
      </c>
      <c r="E153" s="175">
        <v>6337726</v>
      </c>
      <c r="F153" s="176" t="s">
        <v>676</v>
      </c>
      <c r="G153" s="177" t="s">
        <v>677</v>
      </c>
      <c r="H153" s="183"/>
      <c r="I153" s="183"/>
      <c r="J153" s="183"/>
      <c r="K153" s="183"/>
      <c r="L153" s="180">
        <v>42779</v>
      </c>
      <c r="M153" s="176" t="s">
        <v>198</v>
      </c>
      <c r="N153" s="176" t="s">
        <v>198</v>
      </c>
      <c r="O153" s="181" t="s">
        <v>168</v>
      </c>
    </row>
    <row r="154" spans="1:15">
      <c r="A154" s="175">
        <v>9910</v>
      </c>
      <c r="B154" s="176" t="s">
        <v>664</v>
      </c>
      <c r="C154" s="176" t="s">
        <v>161</v>
      </c>
      <c r="D154" s="175" t="s">
        <v>162</v>
      </c>
      <c r="E154" s="175">
        <v>5786092</v>
      </c>
      <c r="F154" s="176" t="s">
        <v>678</v>
      </c>
      <c r="G154" s="177" t="s">
        <v>679</v>
      </c>
      <c r="H154" s="183"/>
      <c r="I154" s="183"/>
      <c r="J154" s="183"/>
      <c r="K154" s="183"/>
      <c r="L154" s="180">
        <v>42779</v>
      </c>
      <c r="M154" s="176" t="s">
        <v>193</v>
      </c>
      <c r="N154" s="176" t="s">
        <v>194</v>
      </c>
      <c r="O154" s="181" t="s">
        <v>168</v>
      </c>
    </row>
    <row r="155" spans="1:15">
      <c r="A155" s="175">
        <v>9910</v>
      </c>
      <c r="B155" s="176" t="s">
        <v>664</v>
      </c>
      <c r="C155" s="176" t="s">
        <v>161</v>
      </c>
      <c r="D155" s="175" t="s">
        <v>162</v>
      </c>
      <c r="E155" s="175">
        <v>6188057</v>
      </c>
      <c r="F155" s="176" t="s">
        <v>680</v>
      </c>
      <c r="G155" s="177" t="s">
        <v>681</v>
      </c>
      <c r="H155" s="183"/>
      <c r="I155" s="183"/>
      <c r="J155" s="183"/>
      <c r="K155" s="183"/>
      <c r="L155" s="180">
        <v>42779</v>
      </c>
      <c r="M155" s="176" t="s">
        <v>166</v>
      </c>
      <c r="N155" s="176" t="s">
        <v>682</v>
      </c>
      <c r="O155" s="181" t="s">
        <v>168</v>
      </c>
    </row>
    <row r="156" spans="1:15">
      <c r="A156" s="175">
        <v>11098</v>
      </c>
      <c r="B156" s="176" t="s">
        <v>683</v>
      </c>
      <c r="C156" s="176" t="s">
        <v>161</v>
      </c>
      <c r="D156" s="175" t="s">
        <v>162</v>
      </c>
      <c r="E156" s="175">
        <v>5957739</v>
      </c>
      <c r="F156" s="176" t="s">
        <v>684</v>
      </c>
      <c r="G156" s="177" t="s">
        <v>685</v>
      </c>
      <c r="H156" s="184">
        <v>42907</v>
      </c>
      <c r="I156" s="185">
        <v>824</v>
      </c>
      <c r="J156" s="185">
        <v>27.466666666666665</v>
      </c>
      <c r="K156" s="185" t="s">
        <v>165</v>
      </c>
      <c r="L156" s="180">
        <v>42765</v>
      </c>
      <c r="M156" s="176" t="s">
        <v>166</v>
      </c>
      <c r="N156" s="176" t="s">
        <v>327</v>
      </c>
      <c r="O156" s="181" t="s">
        <v>168</v>
      </c>
    </row>
    <row r="157" spans="1:15">
      <c r="A157" s="175">
        <v>11098</v>
      </c>
      <c r="B157" s="176" t="s">
        <v>683</v>
      </c>
      <c r="C157" s="176" t="s">
        <v>161</v>
      </c>
      <c r="D157" s="175" t="s">
        <v>162</v>
      </c>
      <c r="E157" s="175">
        <v>5796743</v>
      </c>
      <c r="F157" s="176" t="s">
        <v>686</v>
      </c>
      <c r="G157" s="177" t="s">
        <v>687</v>
      </c>
      <c r="H157" s="183"/>
      <c r="I157" s="183"/>
      <c r="J157" s="183"/>
      <c r="K157" s="183"/>
      <c r="L157" s="180">
        <v>42790</v>
      </c>
      <c r="M157" s="176" t="s">
        <v>275</v>
      </c>
      <c r="N157" s="176" t="s">
        <v>391</v>
      </c>
      <c r="O157" s="181" t="s">
        <v>168</v>
      </c>
    </row>
    <row r="158" spans="1:15">
      <c r="A158" s="175">
        <v>11098</v>
      </c>
      <c r="B158" s="176" t="s">
        <v>683</v>
      </c>
      <c r="C158" s="176" t="s">
        <v>161</v>
      </c>
      <c r="D158" s="175" t="s">
        <v>162</v>
      </c>
      <c r="E158" s="175">
        <v>5765572</v>
      </c>
      <c r="F158" s="176" t="s">
        <v>688</v>
      </c>
      <c r="G158" s="177" t="s">
        <v>689</v>
      </c>
      <c r="H158" s="183"/>
      <c r="I158" s="183"/>
      <c r="J158" s="183"/>
      <c r="K158" s="183"/>
      <c r="L158" s="180">
        <v>42436</v>
      </c>
      <c r="M158" s="176" t="s">
        <v>193</v>
      </c>
      <c r="N158" s="176" t="s">
        <v>690</v>
      </c>
      <c r="O158" s="181" t="s">
        <v>168</v>
      </c>
    </row>
    <row r="159" spans="1:15">
      <c r="A159" s="175">
        <v>11098</v>
      </c>
      <c r="B159" s="176" t="s">
        <v>683</v>
      </c>
      <c r="C159" s="176" t="s">
        <v>161</v>
      </c>
      <c r="D159" s="175" t="s">
        <v>162</v>
      </c>
      <c r="E159" s="175">
        <v>6088301</v>
      </c>
      <c r="F159" s="176" t="s">
        <v>691</v>
      </c>
      <c r="G159" s="177" t="s">
        <v>692</v>
      </c>
      <c r="H159" s="183"/>
      <c r="I159" s="183"/>
      <c r="J159" s="183"/>
      <c r="K159" s="183"/>
      <c r="L159" s="180">
        <v>42795</v>
      </c>
      <c r="M159" s="176" t="s">
        <v>693</v>
      </c>
      <c r="N159" s="176" t="s">
        <v>694</v>
      </c>
      <c r="O159" s="181" t="s">
        <v>168</v>
      </c>
    </row>
    <row r="160" spans="1:15">
      <c r="A160" s="175">
        <v>11098</v>
      </c>
      <c r="B160" s="176" t="s">
        <v>683</v>
      </c>
      <c r="C160" s="176" t="s">
        <v>161</v>
      </c>
      <c r="D160" s="175" t="s">
        <v>162</v>
      </c>
      <c r="E160" s="175">
        <v>5817827</v>
      </c>
      <c r="F160" s="176" t="s">
        <v>695</v>
      </c>
      <c r="G160" s="177" t="s">
        <v>696</v>
      </c>
      <c r="H160" s="183"/>
      <c r="I160" s="183"/>
      <c r="J160" s="183"/>
      <c r="K160" s="183"/>
      <c r="L160" s="180">
        <v>42696</v>
      </c>
      <c r="M160" s="176" t="s">
        <v>366</v>
      </c>
      <c r="N160" s="176" t="s">
        <v>366</v>
      </c>
      <c r="O160" s="181" t="s">
        <v>168</v>
      </c>
    </row>
    <row r="161" spans="1:15">
      <c r="A161" s="175">
        <v>11098</v>
      </c>
      <c r="B161" s="176" t="s">
        <v>683</v>
      </c>
      <c r="C161" s="176" t="s">
        <v>161</v>
      </c>
      <c r="D161" s="175" t="s">
        <v>162</v>
      </c>
      <c r="E161" s="175">
        <v>5829919</v>
      </c>
      <c r="F161" s="176" t="s">
        <v>697</v>
      </c>
      <c r="G161" s="177" t="s">
        <v>639</v>
      </c>
      <c r="H161" s="183"/>
      <c r="I161" s="183"/>
      <c r="J161" s="183"/>
      <c r="K161" s="183"/>
      <c r="L161" s="180">
        <v>42765</v>
      </c>
      <c r="M161" s="176" t="s">
        <v>580</v>
      </c>
      <c r="N161" s="176" t="s">
        <v>698</v>
      </c>
      <c r="O161" s="181" t="s">
        <v>248</v>
      </c>
    </row>
    <row r="162" spans="1:15">
      <c r="A162" s="175">
        <v>12243</v>
      </c>
      <c r="B162" s="176" t="s">
        <v>699</v>
      </c>
      <c r="C162" s="176" t="s">
        <v>161</v>
      </c>
      <c r="D162" s="175" t="s">
        <v>162</v>
      </c>
      <c r="E162" s="175">
        <v>4569558</v>
      </c>
      <c r="F162" s="176" t="s">
        <v>700</v>
      </c>
      <c r="G162" s="177" t="s">
        <v>701</v>
      </c>
      <c r="H162" s="184">
        <v>42907</v>
      </c>
      <c r="I162" s="185">
        <v>694</v>
      </c>
      <c r="J162" s="185">
        <v>23.133333333333333</v>
      </c>
      <c r="K162" s="185" t="s">
        <v>192</v>
      </c>
      <c r="L162" s="180">
        <v>41681</v>
      </c>
      <c r="M162" s="176" t="s">
        <v>702</v>
      </c>
      <c r="N162" s="176" t="s">
        <v>703</v>
      </c>
      <c r="O162" s="181" t="s">
        <v>168</v>
      </c>
    </row>
    <row r="163" spans="1:15">
      <c r="A163" s="175">
        <v>12243</v>
      </c>
      <c r="B163" s="176" t="s">
        <v>699</v>
      </c>
      <c r="C163" s="176" t="s">
        <v>161</v>
      </c>
      <c r="D163" s="175" t="s">
        <v>162</v>
      </c>
      <c r="E163" s="175">
        <v>4848511</v>
      </c>
      <c r="F163" s="176" t="s">
        <v>704</v>
      </c>
      <c r="G163" s="177" t="s">
        <v>705</v>
      </c>
      <c r="H163" s="183"/>
      <c r="I163" s="183"/>
      <c r="J163" s="183"/>
      <c r="K163" s="183"/>
      <c r="L163" s="180">
        <v>42221</v>
      </c>
      <c r="M163" s="176" t="s">
        <v>580</v>
      </c>
      <c r="N163" s="176" t="s">
        <v>706</v>
      </c>
      <c r="O163" s="181" t="s">
        <v>248</v>
      </c>
    </row>
    <row r="164" spans="1:15">
      <c r="A164" s="175">
        <v>12243</v>
      </c>
      <c r="B164" s="176" t="s">
        <v>699</v>
      </c>
      <c r="C164" s="176" t="s">
        <v>161</v>
      </c>
      <c r="D164" s="175" t="s">
        <v>162</v>
      </c>
      <c r="E164" s="175">
        <v>3792069</v>
      </c>
      <c r="F164" s="176" t="s">
        <v>707</v>
      </c>
      <c r="G164" s="177" t="s">
        <v>708</v>
      </c>
      <c r="H164" s="183"/>
      <c r="I164" s="183"/>
      <c r="J164" s="183"/>
      <c r="K164" s="183"/>
      <c r="L164" s="180">
        <v>40702</v>
      </c>
      <c r="M164" s="176" t="s">
        <v>709</v>
      </c>
      <c r="N164" s="176" t="s">
        <v>710</v>
      </c>
      <c r="O164" s="181" t="s">
        <v>168</v>
      </c>
    </row>
    <row r="165" spans="1:15">
      <c r="A165" s="175">
        <v>9744</v>
      </c>
      <c r="B165" s="176" t="s">
        <v>711</v>
      </c>
      <c r="C165" s="176" t="s">
        <v>161</v>
      </c>
      <c r="D165" s="175" t="s">
        <v>162</v>
      </c>
      <c r="E165" s="175">
        <v>5234689</v>
      </c>
      <c r="F165" s="176" t="s">
        <v>712</v>
      </c>
      <c r="G165" s="177" t="s">
        <v>713</v>
      </c>
      <c r="H165" s="183"/>
      <c r="I165" s="183"/>
      <c r="J165" s="183"/>
      <c r="K165" s="183"/>
      <c r="L165" s="180">
        <v>42704</v>
      </c>
      <c r="M165" s="176" t="s">
        <v>580</v>
      </c>
      <c r="N165" s="176" t="s">
        <v>714</v>
      </c>
      <c r="O165" s="181" t="s">
        <v>248</v>
      </c>
    </row>
    <row r="166" spans="1:15">
      <c r="A166" s="175">
        <v>9744</v>
      </c>
      <c r="B166" s="176" t="s">
        <v>711</v>
      </c>
      <c r="C166" s="176" t="s">
        <v>161</v>
      </c>
      <c r="D166" s="175" t="s">
        <v>162</v>
      </c>
      <c r="E166" s="175">
        <v>6565326</v>
      </c>
      <c r="F166" s="176" t="s">
        <v>715</v>
      </c>
      <c r="G166" s="177" t="s">
        <v>716</v>
      </c>
      <c r="H166" s="183"/>
      <c r="I166" s="183"/>
      <c r="J166" s="183"/>
      <c r="K166" s="183"/>
      <c r="L166" s="180">
        <v>42474</v>
      </c>
      <c r="M166" s="176" t="s">
        <v>193</v>
      </c>
      <c r="N166" s="176" t="s">
        <v>429</v>
      </c>
      <c r="O166" s="181" t="s">
        <v>168</v>
      </c>
    </row>
    <row r="167" spans="1:15">
      <c r="A167" s="175">
        <v>9744</v>
      </c>
      <c r="B167" s="176" t="s">
        <v>711</v>
      </c>
      <c r="C167" s="176" t="s">
        <v>161</v>
      </c>
      <c r="D167" s="175" t="s">
        <v>162</v>
      </c>
      <c r="E167" s="175">
        <v>4765391</v>
      </c>
      <c r="F167" s="176" t="s">
        <v>717</v>
      </c>
      <c r="G167" s="177" t="s">
        <v>718</v>
      </c>
      <c r="H167" s="183"/>
      <c r="I167" s="183"/>
      <c r="J167" s="183"/>
      <c r="K167" s="183"/>
      <c r="L167" s="180">
        <v>42569</v>
      </c>
      <c r="M167" s="176" t="s">
        <v>719</v>
      </c>
      <c r="N167" s="176" t="s">
        <v>720</v>
      </c>
      <c r="O167" s="181" t="s">
        <v>168</v>
      </c>
    </row>
    <row r="168" spans="1:15">
      <c r="A168" s="186">
        <v>12071</v>
      </c>
      <c r="B168" s="187" t="s">
        <v>721</v>
      </c>
      <c r="C168" s="187" t="s">
        <v>161</v>
      </c>
      <c r="D168" s="186" t="s">
        <v>162</v>
      </c>
      <c r="E168" s="186">
        <v>5297399</v>
      </c>
      <c r="F168" s="187" t="s">
        <v>722</v>
      </c>
      <c r="G168" s="188" t="s">
        <v>723</v>
      </c>
      <c r="H168" s="189"/>
      <c r="I168" s="189"/>
      <c r="J168" s="189"/>
      <c r="K168" s="189"/>
      <c r="L168" s="190">
        <v>42551</v>
      </c>
      <c r="M168" s="187" t="s">
        <v>580</v>
      </c>
      <c r="N168" s="187" t="s">
        <v>724</v>
      </c>
      <c r="O168" s="191" t="s">
        <v>248</v>
      </c>
    </row>
    <row r="169" spans="1:15">
      <c r="A169" s="186">
        <v>12071</v>
      </c>
      <c r="B169" s="187" t="s">
        <v>721</v>
      </c>
      <c r="C169" s="187" t="s">
        <v>161</v>
      </c>
      <c r="D169" s="186" t="s">
        <v>162</v>
      </c>
      <c r="E169" s="186">
        <v>4902894</v>
      </c>
      <c r="F169" s="187" t="s">
        <v>725</v>
      </c>
      <c r="G169" s="188" t="s">
        <v>726</v>
      </c>
      <c r="H169" s="189"/>
      <c r="I169" s="189"/>
      <c r="J169" s="189"/>
      <c r="K169" s="189"/>
      <c r="L169" s="190">
        <v>42744</v>
      </c>
      <c r="M169" s="187" t="s">
        <v>193</v>
      </c>
      <c r="N169" s="187" t="s">
        <v>637</v>
      </c>
      <c r="O169" s="191" t="s">
        <v>168</v>
      </c>
    </row>
    <row r="170" spans="1:15">
      <c r="A170" s="186">
        <v>12071</v>
      </c>
      <c r="B170" s="187" t="s">
        <v>721</v>
      </c>
      <c r="C170" s="187" t="s">
        <v>161</v>
      </c>
      <c r="D170" s="186" t="s">
        <v>162</v>
      </c>
      <c r="E170" s="186">
        <v>5106515</v>
      </c>
      <c r="F170" s="187" t="s">
        <v>727</v>
      </c>
      <c r="G170" s="188" t="s">
        <v>728</v>
      </c>
      <c r="H170" s="189"/>
      <c r="I170" s="189"/>
      <c r="J170" s="189"/>
      <c r="K170" s="189"/>
      <c r="L170" s="190">
        <v>42815</v>
      </c>
      <c r="M170" s="187" t="s">
        <v>193</v>
      </c>
      <c r="N170" s="187" t="s">
        <v>194</v>
      </c>
      <c r="O170" s="191" t="s">
        <v>168</v>
      </c>
    </row>
    <row r="171" spans="1:15">
      <c r="A171" s="175">
        <v>12071</v>
      </c>
      <c r="B171" s="176" t="s">
        <v>721</v>
      </c>
      <c r="C171" s="176" t="s">
        <v>161</v>
      </c>
      <c r="D171" s="175" t="s">
        <v>162</v>
      </c>
      <c r="E171" s="175">
        <v>4751957</v>
      </c>
      <c r="F171" s="176" t="s">
        <v>729</v>
      </c>
      <c r="G171" s="177" t="s">
        <v>730</v>
      </c>
      <c r="H171" s="183"/>
      <c r="I171" s="183"/>
      <c r="J171" s="183"/>
      <c r="K171" s="183"/>
      <c r="L171" s="180">
        <v>42485</v>
      </c>
      <c r="M171" s="176" t="s">
        <v>709</v>
      </c>
      <c r="N171" s="176" t="s">
        <v>731</v>
      </c>
      <c r="O171" s="181" t="s">
        <v>173</v>
      </c>
    </row>
    <row r="172" spans="1:15">
      <c r="A172" s="175">
        <v>12071</v>
      </c>
      <c r="B172" s="176" t="s">
        <v>721</v>
      </c>
      <c r="C172" s="176" t="s">
        <v>161</v>
      </c>
      <c r="D172" s="175" t="s">
        <v>162</v>
      </c>
      <c r="E172" s="175">
        <v>3106341</v>
      </c>
      <c r="F172" s="176" t="s">
        <v>732</v>
      </c>
      <c r="G172" s="177" t="s">
        <v>733</v>
      </c>
      <c r="H172" s="183"/>
      <c r="I172" s="183"/>
      <c r="J172" s="183"/>
      <c r="K172" s="183"/>
      <c r="L172" s="180">
        <v>42489</v>
      </c>
      <c r="M172" s="176" t="s">
        <v>211</v>
      </c>
      <c r="N172" s="176" t="s">
        <v>734</v>
      </c>
      <c r="O172" s="181" t="s">
        <v>168</v>
      </c>
    </row>
    <row r="173" spans="1:15">
      <c r="A173" s="175">
        <v>12076</v>
      </c>
      <c r="B173" s="176" t="s">
        <v>735</v>
      </c>
      <c r="C173" s="176" t="s">
        <v>161</v>
      </c>
      <c r="D173" s="175" t="s">
        <v>162</v>
      </c>
      <c r="E173" s="175">
        <v>5606079</v>
      </c>
      <c r="F173" s="176" t="s">
        <v>736</v>
      </c>
      <c r="G173" s="177" t="s">
        <v>737</v>
      </c>
      <c r="H173" s="184">
        <v>42907</v>
      </c>
      <c r="I173" s="185">
        <v>869</v>
      </c>
      <c r="J173" s="185">
        <v>28.966666666666665</v>
      </c>
      <c r="K173" s="185" t="s">
        <v>165</v>
      </c>
      <c r="L173" s="180">
        <v>42801</v>
      </c>
      <c r="M173" s="176" t="s">
        <v>738</v>
      </c>
      <c r="N173" s="176" t="s">
        <v>739</v>
      </c>
      <c r="O173" s="181" t="s">
        <v>168</v>
      </c>
    </row>
    <row r="174" spans="1:15">
      <c r="A174" s="175">
        <v>12076</v>
      </c>
      <c r="B174" s="176" t="s">
        <v>735</v>
      </c>
      <c r="C174" s="176" t="s">
        <v>161</v>
      </c>
      <c r="D174" s="175" t="s">
        <v>162</v>
      </c>
      <c r="E174" s="175">
        <v>4939141</v>
      </c>
      <c r="F174" s="176" t="s">
        <v>740</v>
      </c>
      <c r="G174" s="177" t="s">
        <v>741</v>
      </c>
      <c r="H174" s="184">
        <v>42907</v>
      </c>
      <c r="I174" s="185">
        <v>867</v>
      </c>
      <c r="J174" s="185">
        <v>28.9</v>
      </c>
      <c r="K174" s="185" t="s">
        <v>165</v>
      </c>
      <c r="L174" s="180">
        <v>42058</v>
      </c>
      <c r="M174" s="176" t="s">
        <v>742</v>
      </c>
      <c r="N174" s="176" t="s">
        <v>742</v>
      </c>
      <c r="O174" s="181" t="s">
        <v>168</v>
      </c>
    </row>
    <row r="175" spans="1:15">
      <c r="A175" s="175">
        <v>12076</v>
      </c>
      <c r="B175" s="176" t="s">
        <v>735</v>
      </c>
      <c r="C175" s="176" t="s">
        <v>161</v>
      </c>
      <c r="D175" s="175" t="s">
        <v>162</v>
      </c>
      <c r="E175" s="175">
        <v>5304084</v>
      </c>
      <c r="F175" s="176" t="s">
        <v>743</v>
      </c>
      <c r="G175" s="177" t="s">
        <v>744</v>
      </c>
      <c r="H175" s="183"/>
      <c r="I175" s="183"/>
      <c r="J175" s="183"/>
      <c r="K175" s="183"/>
      <c r="L175" s="180">
        <v>42726</v>
      </c>
      <c r="M175" s="176" t="s">
        <v>193</v>
      </c>
      <c r="N175" s="176" t="s">
        <v>637</v>
      </c>
      <c r="O175" s="181" t="s">
        <v>168</v>
      </c>
    </row>
    <row r="176" spans="1:15">
      <c r="A176" s="175">
        <v>12076</v>
      </c>
      <c r="B176" s="176" t="s">
        <v>735</v>
      </c>
      <c r="C176" s="176" t="s">
        <v>161</v>
      </c>
      <c r="D176" s="175" t="s">
        <v>162</v>
      </c>
      <c r="E176" s="175">
        <v>5956084</v>
      </c>
      <c r="F176" s="176" t="s">
        <v>745</v>
      </c>
      <c r="G176" s="177" t="s">
        <v>746</v>
      </c>
      <c r="H176" s="183"/>
      <c r="I176" s="183"/>
      <c r="J176" s="183"/>
      <c r="K176" s="183"/>
      <c r="L176" s="180">
        <v>42681</v>
      </c>
      <c r="M176" s="176" t="s">
        <v>747</v>
      </c>
      <c r="N176" s="176" t="s">
        <v>748</v>
      </c>
      <c r="O176" s="181" t="s">
        <v>248</v>
      </c>
    </row>
    <row r="177" spans="1:15">
      <c r="A177" s="175">
        <v>12076</v>
      </c>
      <c r="B177" s="176" t="s">
        <v>735</v>
      </c>
      <c r="C177" s="176" t="s">
        <v>161</v>
      </c>
      <c r="D177" s="175" t="s">
        <v>162</v>
      </c>
      <c r="E177" s="175">
        <v>5150675</v>
      </c>
      <c r="F177" s="176" t="s">
        <v>749</v>
      </c>
      <c r="G177" s="177" t="s">
        <v>750</v>
      </c>
      <c r="H177" s="183"/>
      <c r="I177" s="183"/>
      <c r="J177" s="183"/>
      <c r="K177" s="183"/>
      <c r="L177" s="180">
        <v>42653</v>
      </c>
      <c r="M177" s="176" t="s">
        <v>751</v>
      </c>
      <c r="N177" s="176" t="s">
        <v>752</v>
      </c>
      <c r="O177" s="181" t="s">
        <v>173</v>
      </c>
    </row>
    <row r="178" spans="1:15">
      <c r="A178" s="175">
        <v>12076</v>
      </c>
      <c r="B178" s="176" t="s">
        <v>735</v>
      </c>
      <c r="C178" s="176" t="s">
        <v>161</v>
      </c>
      <c r="D178" s="175" t="s">
        <v>162</v>
      </c>
      <c r="E178" s="175">
        <v>4875368</v>
      </c>
      <c r="F178" s="176" t="s">
        <v>753</v>
      </c>
      <c r="G178" s="177" t="s">
        <v>754</v>
      </c>
      <c r="H178" s="183"/>
      <c r="I178" s="183"/>
      <c r="J178" s="183"/>
      <c r="K178" s="183"/>
      <c r="L178" s="180">
        <v>42628</v>
      </c>
      <c r="M178" s="176" t="s">
        <v>193</v>
      </c>
      <c r="N178" s="176" t="s">
        <v>637</v>
      </c>
      <c r="O178" s="181" t="s">
        <v>168</v>
      </c>
    </row>
    <row r="179" spans="1:15">
      <c r="A179" s="175">
        <v>12076</v>
      </c>
      <c r="B179" s="176" t="s">
        <v>735</v>
      </c>
      <c r="C179" s="176" t="s">
        <v>161</v>
      </c>
      <c r="D179" s="175" t="s">
        <v>162</v>
      </c>
      <c r="E179" s="175">
        <v>5297779</v>
      </c>
      <c r="F179" s="176" t="s">
        <v>755</v>
      </c>
      <c r="G179" s="177" t="s">
        <v>756</v>
      </c>
      <c r="H179" s="183"/>
      <c r="I179" s="183"/>
      <c r="J179" s="183"/>
      <c r="K179" s="183"/>
      <c r="L179" s="180">
        <v>41207</v>
      </c>
      <c r="M179" s="176" t="s">
        <v>211</v>
      </c>
      <c r="N179" s="176" t="s">
        <v>211</v>
      </c>
      <c r="O179" s="181" t="s">
        <v>168</v>
      </c>
    </row>
    <row r="180" spans="1:15">
      <c r="A180" s="175">
        <v>12076</v>
      </c>
      <c r="B180" s="176" t="s">
        <v>735</v>
      </c>
      <c r="C180" s="176" t="s">
        <v>161</v>
      </c>
      <c r="D180" s="175" t="s">
        <v>162</v>
      </c>
      <c r="E180" s="175">
        <v>4886408</v>
      </c>
      <c r="F180" s="176" t="s">
        <v>757</v>
      </c>
      <c r="G180" s="177" t="s">
        <v>758</v>
      </c>
      <c r="H180" s="183"/>
      <c r="I180" s="183"/>
      <c r="J180" s="183"/>
      <c r="K180" s="183"/>
      <c r="L180" s="180">
        <v>42158</v>
      </c>
      <c r="M180" s="176" t="s">
        <v>193</v>
      </c>
      <c r="N180" s="176" t="s">
        <v>759</v>
      </c>
      <c r="O180" s="181" t="s">
        <v>168</v>
      </c>
    </row>
    <row r="181" spans="1:15">
      <c r="A181" s="175">
        <v>12076</v>
      </c>
      <c r="B181" s="176" t="s">
        <v>735</v>
      </c>
      <c r="C181" s="176" t="s">
        <v>161</v>
      </c>
      <c r="D181" s="175" t="s">
        <v>162</v>
      </c>
      <c r="E181" s="175">
        <v>4600326</v>
      </c>
      <c r="F181" s="176" t="s">
        <v>760</v>
      </c>
      <c r="G181" s="177" t="s">
        <v>761</v>
      </c>
      <c r="H181" s="183"/>
      <c r="I181" s="183"/>
      <c r="J181" s="183"/>
      <c r="K181" s="183"/>
      <c r="L181" s="180">
        <v>41360</v>
      </c>
      <c r="M181" s="176" t="s">
        <v>762</v>
      </c>
      <c r="N181" s="176" t="s">
        <v>763</v>
      </c>
      <c r="O181" s="181" t="s">
        <v>173</v>
      </c>
    </row>
    <row r="182" spans="1:15">
      <c r="A182" s="175">
        <v>12076</v>
      </c>
      <c r="B182" s="176" t="s">
        <v>735</v>
      </c>
      <c r="C182" s="176" t="s">
        <v>161</v>
      </c>
      <c r="D182" s="175" t="s">
        <v>162</v>
      </c>
      <c r="E182" s="175">
        <v>4594755</v>
      </c>
      <c r="F182" s="176" t="s">
        <v>764</v>
      </c>
      <c r="G182" s="177" t="s">
        <v>765</v>
      </c>
      <c r="H182" s="183"/>
      <c r="I182" s="183"/>
      <c r="J182" s="183"/>
      <c r="K182" s="183"/>
      <c r="L182" s="180">
        <v>41771</v>
      </c>
      <c r="M182" s="176" t="s">
        <v>766</v>
      </c>
      <c r="N182" s="176" t="s">
        <v>767</v>
      </c>
      <c r="O182" s="181" t="s">
        <v>168</v>
      </c>
    </row>
    <row r="183" spans="1:15">
      <c r="A183" s="175">
        <v>12076</v>
      </c>
      <c r="B183" s="176" t="s">
        <v>735</v>
      </c>
      <c r="C183" s="176" t="s">
        <v>161</v>
      </c>
      <c r="D183" s="175" t="s">
        <v>162</v>
      </c>
      <c r="E183" s="175">
        <v>4608350</v>
      </c>
      <c r="F183" s="176" t="s">
        <v>768</v>
      </c>
      <c r="G183" s="177" t="s">
        <v>769</v>
      </c>
      <c r="H183" s="183"/>
      <c r="I183" s="183"/>
      <c r="J183" s="183"/>
      <c r="K183" s="183"/>
      <c r="L183" s="180">
        <v>42149</v>
      </c>
      <c r="M183" s="176" t="s">
        <v>198</v>
      </c>
      <c r="N183" s="176" t="s">
        <v>198</v>
      </c>
      <c r="O183" s="181" t="s">
        <v>168</v>
      </c>
    </row>
    <row r="184" spans="1:15">
      <c r="A184" s="175">
        <v>12076</v>
      </c>
      <c r="B184" s="176" t="s">
        <v>735</v>
      </c>
      <c r="C184" s="176" t="s">
        <v>161</v>
      </c>
      <c r="D184" s="175" t="s">
        <v>162</v>
      </c>
      <c r="E184" s="175">
        <v>6231911</v>
      </c>
      <c r="F184" s="176" t="s">
        <v>770</v>
      </c>
      <c r="G184" s="177" t="s">
        <v>771</v>
      </c>
      <c r="H184" s="183"/>
      <c r="I184" s="183"/>
      <c r="J184" s="183"/>
      <c r="K184" s="183"/>
      <c r="L184" s="180">
        <v>42776</v>
      </c>
      <c r="M184" s="176" t="s">
        <v>166</v>
      </c>
      <c r="N184" s="176" t="s">
        <v>296</v>
      </c>
      <c r="O184" s="181" t="s">
        <v>168</v>
      </c>
    </row>
    <row r="185" spans="1:15">
      <c r="A185" s="175">
        <v>12076</v>
      </c>
      <c r="B185" s="176" t="s">
        <v>735</v>
      </c>
      <c r="C185" s="176" t="s">
        <v>161</v>
      </c>
      <c r="D185" s="175" t="s">
        <v>162</v>
      </c>
      <c r="E185" s="175">
        <v>6124045</v>
      </c>
      <c r="F185" s="176" t="s">
        <v>772</v>
      </c>
      <c r="G185" s="177" t="s">
        <v>773</v>
      </c>
      <c r="H185" s="183"/>
      <c r="I185" s="183"/>
      <c r="J185" s="183"/>
      <c r="K185" s="183"/>
      <c r="L185" s="180">
        <v>42864</v>
      </c>
      <c r="M185" s="176" t="s">
        <v>465</v>
      </c>
      <c r="N185" s="176" t="s">
        <v>466</v>
      </c>
      <c r="O185" s="181" t="s">
        <v>168</v>
      </c>
    </row>
    <row r="186" spans="1:15">
      <c r="A186" s="175">
        <v>12076</v>
      </c>
      <c r="B186" s="176" t="s">
        <v>735</v>
      </c>
      <c r="C186" s="176" t="s">
        <v>161</v>
      </c>
      <c r="D186" s="175" t="s">
        <v>162</v>
      </c>
      <c r="E186" s="175">
        <v>6169736</v>
      </c>
      <c r="F186" s="176" t="s">
        <v>774</v>
      </c>
      <c r="G186" s="177" t="s">
        <v>775</v>
      </c>
      <c r="H186" s="183"/>
      <c r="I186" s="183"/>
      <c r="J186" s="183"/>
      <c r="K186" s="183"/>
      <c r="L186" s="180">
        <v>42291</v>
      </c>
      <c r="M186" s="176" t="s">
        <v>776</v>
      </c>
      <c r="N186" s="176" t="s">
        <v>777</v>
      </c>
      <c r="O186" s="181" t="s">
        <v>168</v>
      </c>
    </row>
    <row r="187" spans="1:15">
      <c r="A187" s="175">
        <v>12076</v>
      </c>
      <c r="B187" s="176" t="s">
        <v>735</v>
      </c>
      <c r="C187" s="176" t="s">
        <v>161</v>
      </c>
      <c r="D187" s="175" t="s">
        <v>162</v>
      </c>
      <c r="E187" s="175">
        <v>4773032</v>
      </c>
      <c r="F187" s="176" t="s">
        <v>778</v>
      </c>
      <c r="G187" s="177" t="s">
        <v>779</v>
      </c>
      <c r="H187" s="183"/>
      <c r="I187" s="183"/>
      <c r="J187" s="183"/>
      <c r="K187" s="183"/>
      <c r="L187" s="180">
        <v>41814</v>
      </c>
      <c r="M187" s="176" t="s">
        <v>780</v>
      </c>
      <c r="N187" s="176" t="s">
        <v>781</v>
      </c>
      <c r="O187" s="181" t="s">
        <v>168</v>
      </c>
    </row>
    <row r="188" spans="1:15">
      <c r="A188" s="175">
        <v>12076</v>
      </c>
      <c r="B188" s="176" t="s">
        <v>735</v>
      </c>
      <c r="C188" s="176" t="s">
        <v>161</v>
      </c>
      <c r="D188" s="175" t="s">
        <v>162</v>
      </c>
      <c r="E188" s="175">
        <v>4976106</v>
      </c>
      <c r="F188" s="176" t="s">
        <v>782</v>
      </c>
      <c r="G188" s="177" t="s">
        <v>783</v>
      </c>
      <c r="H188" s="183"/>
      <c r="I188" s="183"/>
      <c r="J188" s="183"/>
      <c r="K188" s="183"/>
      <c r="L188" s="180">
        <v>41949</v>
      </c>
      <c r="M188" s="176" t="s">
        <v>784</v>
      </c>
      <c r="N188" s="176" t="s">
        <v>784</v>
      </c>
      <c r="O188" s="181" t="s">
        <v>168</v>
      </c>
    </row>
    <row r="189" spans="1:15">
      <c r="A189" s="175">
        <v>12076</v>
      </c>
      <c r="B189" s="176" t="s">
        <v>735</v>
      </c>
      <c r="C189" s="176" t="s">
        <v>161</v>
      </c>
      <c r="D189" s="175" t="s">
        <v>162</v>
      </c>
      <c r="E189" s="175">
        <v>4203130</v>
      </c>
      <c r="F189" s="176" t="s">
        <v>785</v>
      </c>
      <c r="G189" s="177" t="s">
        <v>786</v>
      </c>
      <c r="H189" s="183"/>
      <c r="I189" s="183"/>
      <c r="J189" s="183"/>
      <c r="K189" s="183"/>
      <c r="L189" s="180">
        <v>41390</v>
      </c>
      <c r="M189" s="176" t="s">
        <v>211</v>
      </c>
      <c r="N189" s="176" t="s">
        <v>211</v>
      </c>
      <c r="O189" s="181" t="s">
        <v>168</v>
      </c>
    </row>
    <row r="190" spans="1:15">
      <c r="A190" s="175">
        <v>12076</v>
      </c>
      <c r="B190" s="176" t="s">
        <v>735</v>
      </c>
      <c r="C190" s="176" t="s">
        <v>161</v>
      </c>
      <c r="D190" s="175" t="s">
        <v>162</v>
      </c>
      <c r="E190" s="175">
        <v>6393864</v>
      </c>
      <c r="F190" s="176" t="s">
        <v>787</v>
      </c>
      <c r="G190" s="177" t="s">
        <v>788</v>
      </c>
      <c r="H190" s="183"/>
      <c r="I190" s="183"/>
      <c r="J190" s="183"/>
      <c r="K190" s="183"/>
      <c r="L190" s="180">
        <v>42598</v>
      </c>
      <c r="M190" s="176" t="s">
        <v>789</v>
      </c>
      <c r="N190" s="176" t="s">
        <v>790</v>
      </c>
      <c r="O190" s="181" t="s">
        <v>168</v>
      </c>
    </row>
    <row r="191" spans="1:15">
      <c r="A191" s="175">
        <v>12157</v>
      </c>
      <c r="B191" s="176" t="s">
        <v>791</v>
      </c>
      <c r="C191" s="176" t="s">
        <v>161</v>
      </c>
      <c r="D191" s="175" t="s">
        <v>162</v>
      </c>
      <c r="E191" s="175">
        <v>5025210</v>
      </c>
      <c r="F191" s="176" t="s">
        <v>792</v>
      </c>
      <c r="G191" s="177" t="s">
        <v>793</v>
      </c>
      <c r="H191" s="183"/>
      <c r="I191" s="183"/>
      <c r="J191" s="183"/>
      <c r="K191" s="183"/>
      <c r="L191" s="180">
        <v>41465</v>
      </c>
      <c r="M191" s="176" t="s">
        <v>166</v>
      </c>
      <c r="N191" s="176" t="s">
        <v>794</v>
      </c>
      <c r="O191" s="181" t="s">
        <v>168</v>
      </c>
    </row>
    <row r="192" spans="1:15">
      <c r="A192" s="175">
        <v>12157</v>
      </c>
      <c r="B192" s="176" t="s">
        <v>791</v>
      </c>
      <c r="C192" s="176" t="s">
        <v>161</v>
      </c>
      <c r="D192" s="175" t="s">
        <v>162</v>
      </c>
      <c r="E192" s="175">
        <v>4520157</v>
      </c>
      <c r="F192" s="176" t="s">
        <v>795</v>
      </c>
      <c r="G192" s="177" t="s">
        <v>796</v>
      </c>
      <c r="H192" s="183"/>
      <c r="I192" s="183"/>
      <c r="J192" s="183"/>
      <c r="K192" s="183"/>
      <c r="L192" s="180">
        <v>41884</v>
      </c>
      <c r="M192" s="176" t="s">
        <v>211</v>
      </c>
      <c r="N192" s="176" t="s">
        <v>211</v>
      </c>
      <c r="O192" s="181" t="s">
        <v>168</v>
      </c>
    </row>
    <row r="193" spans="1:15">
      <c r="A193" s="175">
        <v>12157</v>
      </c>
      <c r="B193" s="176" t="s">
        <v>791</v>
      </c>
      <c r="C193" s="176" t="s">
        <v>161</v>
      </c>
      <c r="D193" s="175" t="s">
        <v>162</v>
      </c>
      <c r="E193" s="175">
        <v>5135106</v>
      </c>
      <c r="F193" s="176" t="s">
        <v>797</v>
      </c>
      <c r="G193" s="177" t="s">
        <v>798</v>
      </c>
      <c r="H193" s="183"/>
      <c r="I193" s="183"/>
      <c r="J193" s="183"/>
      <c r="K193" s="183"/>
      <c r="L193" s="180">
        <v>41331</v>
      </c>
      <c r="M193" s="176" t="s">
        <v>166</v>
      </c>
      <c r="N193" s="176" t="s">
        <v>799</v>
      </c>
      <c r="O193" s="181" t="s">
        <v>168</v>
      </c>
    </row>
    <row r="194" spans="1:15">
      <c r="A194" s="175">
        <v>12157</v>
      </c>
      <c r="B194" s="176" t="s">
        <v>791</v>
      </c>
      <c r="C194" s="176" t="s">
        <v>161</v>
      </c>
      <c r="D194" s="175" t="s">
        <v>162</v>
      </c>
      <c r="E194" s="175">
        <v>4921245</v>
      </c>
      <c r="F194" s="176" t="s">
        <v>800</v>
      </c>
      <c r="G194" s="177" t="s">
        <v>801</v>
      </c>
      <c r="H194" s="183"/>
      <c r="I194" s="183"/>
      <c r="J194" s="183"/>
      <c r="K194" s="183"/>
      <c r="L194" s="180">
        <v>42130</v>
      </c>
      <c r="M194" s="176" t="s">
        <v>802</v>
      </c>
      <c r="N194" s="176" t="s">
        <v>803</v>
      </c>
      <c r="O194" s="181" t="s">
        <v>168</v>
      </c>
    </row>
    <row r="195" spans="1:15">
      <c r="A195" s="175">
        <v>12157</v>
      </c>
      <c r="B195" s="176" t="s">
        <v>791</v>
      </c>
      <c r="C195" s="176" t="s">
        <v>161</v>
      </c>
      <c r="D195" s="175" t="s">
        <v>162</v>
      </c>
      <c r="E195" s="175">
        <v>4955688</v>
      </c>
      <c r="F195" s="176" t="s">
        <v>804</v>
      </c>
      <c r="G195" s="177" t="s">
        <v>805</v>
      </c>
      <c r="H195" s="183"/>
      <c r="I195" s="183"/>
      <c r="J195" s="183"/>
      <c r="K195" s="183"/>
      <c r="L195" s="180">
        <v>42299</v>
      </c>
      <c r="M195" s="176" t="s">
        <v>806</v>
      </c>
      <c r="N195" s="176" t="s">
        <v>807</v>
      </c>
      <c r="O195" s="181" t="s">
        <v>168</v>
      </c>
    </row>
    <row r="196" spans="1:15">
      <c r="A196" s="175">
        <v>6932</v>
      </c>
      <c r="B196" s="176" t="s">
        <v>808</v>
      </c>
      <c r="C196" s="176" t="s">
        <v>161</v>
      </c>
      <c r="D196" s="175" t="s">
        <v>162</v>
      </c>
      <c r="E196" s="175">
        <v>3446645</v>
      </c>
      <c r="F196" s="176" t="s">
        <v>809</v>
      </c>
      <c r="G196" s="177" t="s">
        <v>810</v>
      </c>
      <c r="H196" s="184">
        <v>42907</v>
      </c>
      <c r="I196" s="185">
        <v>1033</v>
      </c>
      <c r="J196" s="185">
        <v>34.43333333333333</v>
      </c>
      <c r="K196" s="185" t="s">
        <v>165</v>
      </c>
      <c r="L196" s="180">
        <v>40640</v>
      </c>
      <c r="M196" s="176" t="s">
        <v>211</v>
      </c>
      <c r="N196" s="176" t="s">
        <v>211</v>
      </c>
      <c r="O196" s="181" t="s">
        <v>168</v>
      </c>
    </row>
    <row r="197" spans="1:15">
      <c r="A197" s="175">
        <v>6925</v>
      </c>
      <c r="B197" s="176" t="s">
        <v>811</v>
      </c>
      <c r="C197" s="176" t="s">
        <v>161</v>
      </c>
      <c r="D197" s="175" t="s">
        <v>162</v>
      </c>
      <c r="E197" s="175">
        <v>5256472</v>
      </c>
      <c r="F197" s="176" t="s">
        <v>812</v>
      </c>
      <c r="G197" s="177" t="s">
        <v>813</v>
      </c>
      <c r="H197" s="184">
        <v>42907</v>
      </c>
      <c r="I197" s="185">
        <v>1172</v>
      </c>
      <c r="J197" s="185">
        <v>39.06666666666667</v>
      </c>
      <c r="K197" s="185" t="s">
        <v>165</v>
      </c>
      <c r="L197" s="180">
        <v>41156</v>
      </c>
      <c r="M197" s="176" t="s">
        <v>211</v>
      </c>
      <c r="N197" s="176" t="s">
        <v>211</v>
      </c>
      <c r="O197" s="181" t="s">
        <v>168</v>
      </c>
    </row>
    <row r="198" spans="1:15">
      <c r="A198" s="175">
        <v>6925</v>
      </c>
      <c r="B198" s="176" t="s">
        <v>811</v>
      </c>
      <c r="C198" s="176" t="s">
        <v>161</v>
      </c>
      <c r="D198" s="175" t="s">
        <v>162</v>
      </c>
      <c r="E198" s="175">
        <v>3793337</v>
      </c>
      <c r="F198" s="176" t="s">
        <v>814</v>
      </c>
      <c r="G198" s="177" t="s">
        <v>815</v>
      </c>
      <c r="H198" s="183"/>
      <c r="I198" s="183"/>
      <c r="J198" s="183"/>
      <c r="K198" s="183"/>
      <c r="L198" s="180">
        <v>41836</v>
      </c>
      <c r="M198" s="176" t="s">
        <v>211</v>
      </c>
      <c r="N198" s="176" t="s">
        <v>212</v>
      </c>
      <c r="O198" s="181" t="s">
        <v>168</v>
      </c>
    </row>
    <row r="199" spans="1:15">
      <c r="A199" s="175">
        <v>6925</v>
      </c>
      <c r="B199" s="176" t="s">
        <v>811</v>
      </c>
      <c r="C199" s="176" t="s">
        <v>161</v>
      </c>
      <c r="D199" s="175" t="s">
        <v>162</v>
      </c>
      <c r="E199" s="175">
        <v>3552377</v>
      </c>
      <c r="F199" s="176" t="s">
        <v>816</v>
      </c>
      <c r="G199" s="177" t="s">
        <v>817</v>
      </c>
      <c r="H199" s="183"/>
      <c r="I199" s="183"/>
      <c r="J199" s="183"/>
      <c r="K199" s="183"/>
      <c r="L199" s="180">
        <v>42151</v>
      </c>
      <c r="M199" s="176" t="s">
        <v>806</v>
      </c>
      <c r="N199" s="176" t="s">
        <v>818</v>
      </c>
      <c r="O199" s="181" t="s">
        <v>168</v>
      </c>
    </row>
    <row r="200" spans="1:15">
      <c r="A200" s="175">
        <v>6925</v>
      </c>
      <c r="B200" s="176" t="s">
        <v>811</v>
      </c>
      <c r="C200" s="176" t="s">
        <v>161</v>
      </c>
      <c r="D200" s="175" t="s">
        <v>162</v>
      </c>
      <c r="E200" s="175">
        <v>6027602</v>
      </c>
      <c r="F200" s="176" t="s">
        <v>819</v>
      </c>
      <c r="G200" s="177" t="s">
        <v>820</v>
      </c>
      <c r="H200" s="183"/>
      <c r="I200" s="183"/>
      <c r="J200" s="183"/>
      <c r="K200" s="183"/>
      <c r="L200" s="180">
        <v>42783</v>
      </c>
      <c r="M200" s="176" t="s">
        <v>366</v>
      </c>
      <c r="N200" s="176" t="s">
        <v>366</v>
      </c>
      <c r="O200" s="181" t="s">
        <v>168</v>
      </c>
    </row>
    <row r="201" spans="1:15">
      <c r="A201" s="175">
        <v>6925</v>
      </c>
      <c r="B201" s="176" t="s">
        <v>811</v>
      </c>
      <c r="C201" s="176" t="s">
        <v>161</v>
      </c>
      <c r="D201" s="175" t="s">
        <v>162</v>
      </c>
      <c r="E201" s="175">
        <v>4206145</v>
      </c>
      <c r="F201" s="176" t="s">
        <v>821</v>
      </c>
      <c r="G201" s="177" t="s">
        <v>822</v>
      </c>
      <c r="H201" s="183"/>
      <c r="I201" s="183"/>
      <c r="J201" s="183"/>
      <c r="K201" s="183"/>
      <c r="L201" s="180">
        <v>41393</v>
      </c>
      <c r="M201" s="176" t="s">
        <v>166</v>
      </c>
      <c r="N201" s="176" t="s">
        <v>823</v>
      </c>
      <c r="O201" s="181" t="s">
        <v>168</v>
      </c>
    </row>
    <row r="202" spans="1:15">
      <c r="A202" s="175">
        <v>6925</v>
      </c>
      <c r="B202" s="176" t="s">
        <v>811</v>
      </c>
      <c r="C202" s="176" t="s">
        <v>161</v>
      </c>
      <c r="D202" s="175" t="s">
        <v>162</v>
      </c>
      <c r="E202" s="175">
        <v>4311809</v>
      </c>
      <c r="F202" s="176" t="s">
        <v>824</v>
      </c>
      <c r="G202" s="177" t="s">
        <v>825</v>
      </c>
      <c r="H202" s="183"/>
      <c r="I202" s="183"/>
      <c r="J202" s="183"/>
      <c r="K202" s="183"/>
      <c r="L202" s="180">
        <v>41249</v>
      </c>
      <c r="M202" s="176" t="s">
        <v>275</v>
      </c>
      <c r="N202" s="176" t="s">
        <v>826</v>
      </c>
      <c r="O202" s="181" t="s">
        <v>173</v>
      </c>
    </row>
    <row r="203" spans="1:15">
      <c r="A203" s="175">
        <v>6925</v>
      </c>
      <c r="B203" s="176" t="s">
        <v>811</v>
      </c>
      <c r="C203" s="176" t="s">
        <v>161</v>
      </c>
      <c r="D203" s="175" t="s">
        <v>162</v>
      </c>
      <c r="E203" s="175">
        <v>5510732</v>
      </c>
      <c r="F203" s="176" t="s">
        <v>827</v>
      </c>
      <c r="G203" s="177" t="s">
        <v>828</v>
      </c>
      <c r="H203" s="183"/>
      <c r="I203" s="183"/>
      <c r="J203" s="183"/>
      <c r="K203" s="183"/>
      <c r="L203" s="180">
        <v>42241</v>
      </c>
      <c r="M203" s="176" t="s">
        <v>193</v>
      </c>
      <c r="N203" s="176" t="s">
        <v>341</v>
      </c>
      <c r="O203" s="181" t="s">
        <v>168</v>
      </c>
    </row>
    <row r="204" spans="1:15">
      <c r="A204" s="175">
        <v>6930</v>
      </c>
      <c r="B204" s="176" t="s">
        <v>829</v>
      </c>
      <c r="C204" s="176" t="s">
        <v>161</v>
      </c>
      <c r="D204" s="175" t="s">
        <v>162</v>
      </c>
      <c r="E204" s="175">
        <v>4045127</v>
      </c>
      <c r="F204" s="176" t="s">
        <v>830</v>
      </c>
      <c r="G204" s="177" t="s">
        <v>831</v>
      </c>
      <c r="H204" s="183"/>
      <c r="I204" s="183"/>
      <c r="J204" s="183"/>
      <c r="K204" s="183"/>
      <c r="L204" s="180">
        <v>42808</v>
      </c>
      <c r="M204" s="176" t="s">
        <v>193</v>
      </c>
      <c r="N204" s="176" t="s">
        <v>194</v>
      </c>
      <c r="O204" s="181" t="s">
        <v>168</v>
      </c>
    </row>
    <row r="205" spans="1:15">
      <c r="A205" s="175">
        <v>6930</v>
      </c>
      <c r="B205" s="176" t="s">
        <v>829</v>
      </c>
      <c r="C205" s="176" t="s">
        <v>161</v>
      </c>
      <c r="D205" s="175" t="s">
        <v>162</v>
      </c>
      <c r="E205" s="175">
        <v>5609845</v>
      </c>
      <c r="F205" s="176" t="s">
        <v>832</v>
      </c>
      <c r="G205" s="177" t="s">
        <v>833</v>
      </c>
      <c r="H205" s="183"/>
      <c r="I205" s="183"/>
      <c r="J205" s="183"/>
      <c r="K205" s="183"/>
      <c r="L205" s="180">
        <v>42788</v>
      </c>
      <c r="M205" s="176" t="s">
        <v>465</v>
      </c>
      <c r="N205" s="176" t="s">
        <v>466</v>
      </c>
      <c r="O205" s="181" t="s">
        <v>168</v>
      </c>
    </row>
    <row r="206" spans="1:15">
      <c r="A206" s="175">
        <v>6930</v>
      </c>
      <c r="B206" s="176" t="s">
        <v>829</v>
      </c>
      <c r="C206" s="176" t="s">
        <v>161</v>
      </c>
      <c r="D206" s="175" t="s">
        <v>162</v>
      </c>
      <c r="E206" s="175">
        <v>4710090</v>
      </c>
      <c r="F206" s="176" t="s">
        <v>834</v>
      </c>
      <c r="G206" s="177" t="s">
        <v>835</v>
      </c>
      <c r="H206" s="183"/>
      <c r="I206" s="183"/>
      <c r="J206" s="183"/>
      <c r="K206" s="183"/>
      <c r="L206" s="180">
        <v>42474</v>
      </c>
      <c r="M206" s="176" t="s">
        <v>211</v>
      </c>
      <c r="N206" s="176" t="s">
        <v>836</v>
      </c>
      <c r="O206" s="181" t="s">
        <v>168</v>
      </c>
    </row>
    <row r="207" spans="1:15">
      <c r="A207" s="175">
        <v>6930</v>
      </c>
      <c r="B207" s="176" t="s">
        <v>829</v>
      </c>
      <c r="C207" s="176" t="s">
        <v>161</v>
      </c>
      <c r="D207" s="175" t="s">
        <v>162</v>
      </c>
      <c r="E207" s="175">
        <v>3873347</v>
      </c>
      <c r="F207" s="176" t="s">
        <v>837</v>
      </c>
      <c r="G207" s="177" t="s">
        <v>838</v>
      </c>
      <c r="H207" s="183"/>
      <c r="I207" s="183"/>
      <c r="J207" s="183"/>
      <c r="K207" s="183"/>
      <c r="L207" s="180">
        <v>42465</v>
      </c>
      <c r="M207" s="176" t="s">
        <v>465</v>
      </c>
      <c r="N207" s="176" t="s">
        <v>553</v>
      </c>
      <c r="O207" s="181" t="s">
        <v>168</v>
      </c>
    </row>
    <row r="208" spans="1:15">
      <c r="A208" s="175">
        <v>6930</v>
      </c>
      <c r="B208" s="176" t="s">
        <v>829</v>
      </c>
      <c r="C208" s="176" t="s">
        <v>161</v>
      </c>
      <c r="D208" s="175" t="s">
        <v>162</v>
      </c>
      <c r="E208" s="175">
        <v>4593078</v>
      </c>
      <c r="F208" s="176" t="s">
        <v>839</v>
      </c>
      <c r="G208" s="177" t="s">
        <v>840</v>
      </c>
      <c r="H208" s="183"/>
      <c r="I208" s="183"/>
      <c r="J208" s="183"/>
      <c r="K208" s="183"/>
      <c r="L208" s="180">
        <v>40259</v>
      </c>
      <c r="M208" s="176" t="s">
        <v>261</v>
      </c>
      <c r="N208" s="176" t="s">
        <v>841</v>
      </c>
      <c r="O208" s="181" t="s">
        <v>168</v>
      </c>
    </row>
    <row r="209" spans="1:15">
      <c r="A209" s="175">
        <v>6934</v>
      </c>
      <c r="B209" s="176" t="s">
        <v>842</v>
      </c>
      <c r="C209" s="176" t="s">
        <v>161</v>
      </c>
      <c r="D209" s="175" t="s">
        <v>162</v>
      </c>
      <c r="E209" s="175">
        <v>6482511</v>
      </c>
      <c r="F209" s="176" t="s">
        <v>843</v>
      </c>
      <c r="G209" s="177" t="s">
        <v>844</v>
      </c>
      <c r="H209" s="184">
        <v>42907</v>
      </c>
      <c r="I209" s="185">
        <v>812</v>
      </c>
      <c r="J209" s="185">
        <v>27.066666666666666</v>
      </c>
      <c r="K209" s="185" t="s">
        <v>165</v>
      </c>
      <c r="L209" s="180">
        <v>42432</v>
      </c>
      <c r="M209" s="176" t="s">
        <v>271</v>
      </c>
      <c r="N209" s="176" t="s">
        <v>845</v>
      </c>
      <c r="O209" s="181" t="s">
        <v>168</v>
      </c>
    </row>
    <row r="210" spans="1:15">
      <c r="A210" s="175">
        <v>6934</v>
      </c>
      <c r="B210" s="176" t="s">
        <v>842</v>
      </c>
      <c r="C210" s="176" t="s">
        <v>161</v>
      </c>
      <c r="D210" s="175" t="s">
        <v>162</v>
      </c>
      <c r="E210" s="175">
        <v>3102234</v>
      </c>
      <c r="F210" s="176" t="s">
        <v>846</v>
      </c>
      <c r="G210" s="177" t="s">
        <v>847</v>
      </c>
      <c r="H210" s="183"/>
      <c r="I210" s="183"/>
      <c r="J210" s="183"/>
      <c r="K210" s="183"/>
      <c r="L210" s="180">
        <v>41416</v>
      </c>
      <c r="M210" s="176" t="s">
        <v>848</v>
      </c>
      <c r="N210" s="176" t="s">
        <v>849</v>
      </c>
      <c r="O210" s="181" t="s">
        <v>168</v>
      </c>
    </row>
    <row r="211" spans="1:15">
      <c r="A211" s="175">
        <v>6934</v>
      </c>
      <c r="B211" s="176" t="s">
        <v>842</v>
      </c>
      <c r="C211" s="176" t="s">
        <v>161</v>
      </c>
      <c r="D211" s="175" t="s">
        <v>162</v>
      </c>
      <c r="E211" s="175">
        <v>4672554</v>
      </c>
      <c r="F211" s="176" t="s">
        <v>850</v>
      </c>
      <c r="G211" s="177" t="s">
        <v>851</v>
      </c>
      <c r="H211" s="183"/>
      <c r="I211" s="183"/>
      <c r="J211" s="183"/>
      <c r="K211" s="183"/>
      <c r="L211" s="180">
        <v>42333</v>
      </c>
      <c r="M211" s="176" t="s">
        <v>366</v>
      </c>
      <c r="N211" s="176" t="s">
        <v>852</v>
      </c>
      <c r="O211" s="181" t="s">
        <v>168</v>
      </c>
    </row>
    <row r="212" spans="1:15">
      <c r="A212" s="175">
        <v>6934</v>
      </c>
      <c r="B212" s="176" t="s">
        <v>842</v>
      </c>
      <c r="C212" s="176" t="s">
        <v>161</v>
      </c>
      <c r="D212" s="175" t="s">
        <v>162</v>
      </c>
      <c r="E212" s="175">
        <v>5698458</v>
      </c>
      <c r="F212" s="176" t="s">
        <v>853</v>
      </c>
      <c r="G212" s="177" t="s">
        <v>550</v>
      </c>
      <c r="H212" s="183"/>
      <c r="I212" s="183"/>
      <c r="J212" s="183"/>
      <c r="K212" s="183"/>
      <c r="L212" s="180">
        <v>42808</v>
      </c>
      <c r="M212" s="176" t="s">
        <v>166</v>
      </c>
      <c r="N212" s="176" t="s">
        <v>296</v>
      </c>
      <c r="O212" s="181" t="s">
        <v>168</v>
      </c>
    </row>
    <row r="213" spans="1:15">
      <c r="A213" s="175">
        <v>6935</v>
      </c>
      <c r="B213" s="176" t="s">
        <v>854</v>
      </c>
      <c r="C213" s="176" t="s">
        <v>161</v>
      </c>
      <c r="D213" s="175" t="s">
        <v>162</v>
      </c>
      <c r="E213" s="175">
        <v>4741596</v>
      </c>
      <c r="F213" s="176" t="s">
        <v>855</v>
      </c>
      <c r="G213" s="177" t="s">
        <v>856</v>
      </c>
      <c r="H213" s="183"/>
      <c r="I213" s="183"/>
      <c r="J213" s="183"/>
      <c r="K213" s="183"/>
      <c r="L213" s="180">
        <v>42502</v>
      </c>
      <c r="M213" s="176" t="s">
        <v>857</v>
      </c>
      <c r="N213" s="176" t="s">
        <v>858</v>
      </c>
      <c r="O213" s="181" t="s">
        <v>168</v>
      </c>
    </row>
    <row r="214" spans="1:15">
      <c r="A214" s="175">
        <v>6935</v>
      </c>
      <c r="B214" s="176" t="s">
        <v>854</v>
      </c>
      <c r="C214" s="176" t="s">
        <v>161</v>
      </c>
      <c r="D214" s="175" t="s">
        <v>162</v>
      </c>
      <c r="E214" s="175">
        <v>4265312</v>
      </c>
      <c r="F214" s="176" t="s">
        <v>859</v>
      </c>
      <c r="G214" s="177" t="s">
        <v>860</v>
      </c>
      <c r="H214" s="183"/>
      <c r="I214" s="183"/>
      <c r="J214" s="183"/>
      <c r="K214" s="183"/>
      <c r="L214" s="180">
        <v>41507</v>
      </c>
      <c r="M214" s="176" t="s">
        <v>301</v>
      </c>
      <c r="N214" s="176" t="s">
        <v>861</v>
      </c>
      <c r="O214" s="181" t="s">
        <v>168</v>
      </c>
    </row>
    <row r="215" spans="1:15">
      <c r="A215" s="175">
        <v>9062</v>
      </c>
      <c r="B215" s="176" t="s">
        <v>862</v>
      </c>
      <c r="C215" s="176" t="s">
        <v>161</v>
      </c>
      <c r="D215" s="175" t="s">
        <v>162</v>
      </c>
      <c r="E215" s="175">
        <v>4673325</v>
      </c>
      <c r="F215" s="176" t="s">
        <v>863</v>
      </c>
      <c r="G215" s="177" t="s">
        <v>864</v>
      </c>
      <c r="H215" s="184">
        <v>42907</v>
      </c>
      <c r="I215" s="185">
        <v>1089</v>
      </c>
      <c r="J215" s="185">
        <v>36.299999999999997</v>
      </c>
      <c r="K215" s="185" t="s">
        <v>165</v>
      </c>
      <c r="L215" s="180">
        <v>41325</v>
      </c>
      <c r="M215" s="176" t="s">
        <v>211</v>
      </c>
      <c r="N215" s="176" t="s">
        <v>211</v>
      </c>
      <c r="O215" s="181" t="s">
        <v>168</v>
      </c>
    </row>
    <row r="216" spans="1:15">
      <c r="A216" s="175">
        <v>9062</v>
      </c>
      <c r="B216" s="176" t="s">
        <v>862</v>
      </c>
      <c r="C216" s="176" t="s">
        <v>161</v>
      </c>
      <c r="D216" s="175" t="s">
        <v>162</v>
      </c>
      <c r="E216" s="175">
        <v>4207014</v>
      </c>
      <c r="F216" s="176" t="s">
        <v>865</v>
      </c>
      <c r="G216" s="177" t="s">
        <v>866</v>
      </c>
      <c r="H216" s="183"/>
      <c r="I216" s="183"/>
      <c r="J216" s="183"/>
      <c r="K216" s="183"/>
      <c r="L216" s="180">
        <v>40659</v>
      </c>
      <c r="M216" s="176" t="s">
        <v>211</v>
      </c>
      <c r="N216" s="176" t="s">
        <v>211</v>
      </c>
      <c r="O216" s="181" t="s">
        <v>168</v>
      </c>
    </row>
    <row r="217" spans="1:15">
      <c r="A217" s="175">
        <v>12072</v>
      </c>
      <c r="B217" s="176" t="s">
        <v>867</v>
      </c>
      <c r="C217" s="176" t="s">
        <v>161</v>
      </c>
      <c r="D217" s="175" t="s">
        <v>162</v>
      </c>
      <c r="E217" s="175">
        <v>4653424</v>
      </c>
      <c r="F217" s="176" t="s">
        <v>868</v>
      </c>
      <c r="G217" s="177" t="s">
        <v>869</v>
      </c>
      <c r="H217" s="183"/>
      <c r="I217" s="183"/>
      <c r="J217" s="183"/>
      <c r="K217" s="183"/>
      <c r="L217" s="180">
        <v>42278</v>
      </c>
      <c r="M217" s="176" t="s">
        <v>180</v>
      </c>
      <c r="N217" s="176" t="s">
        <v>870</v>
      </c>
      <c r="O217" s="181" t="s">
        <v>168</v>
      </c>
    </row>
    <row r="218" spans="1:15">
      <c r="A218" s="175">
        <v>12072</v>
      </c>
      <c r="B218" s="176" t="s">
        <v>867</v>
      </c>
      <c r="C218" s="176" t="s">
        <v>161</v>
      </c>
      <c r="D218" s="175" t="s">
        <v>162</v>
      </c>
      <c r="E218" s="175">
        <v>6597312</v>
      </c>
      <c r="F218" s="176" t="s">
        <v>871</v>
      </c>
      <c r="G218" s="177" t="s">
        <v>872</v>
      </c>
      <c r="H218" s="183"/>
      <c r="I218" s="183"/>
      <c r="J218" s="183"/>
      <c r="K218" s="183"/>
      <c r="L218" s="180">
        <v>42583</v>
      </c>
      <c r="M218" s="176" t="s">
        <v>784</v>
      </c>
      <c r="N218" s="176" t="s">
        <v>873</v>
      </c>
      <c r="O218" s="181" t="s">
        <v>173</v>
      </c>
    </row>
    <row r="219" spans="1:15">
      <c r="A219" s="175">
        <v>6923</v>
      </c>
      <c r="B219" s="176" t="s">
        <v>874</v>
      </c>
      <c r="C219" s="176" t="s">
        <v>161</v>
      </c>
      <c r="D219" s="175" t="s">
        <v>162</v>
      </c>
      <c r="E219" s="175">
        <v>5123799</v>
      </c>
      <c r="F219" s="176" t="s">
        <v>875</v>
      </c>
      <c r="G219" s="177" t="s">
        <v>876</v>
      </c>
      <c r="H219" s="184">
        <v>42907</v>
      </c>
      <c r="I219" s="185">
        <v>590</v>
      </c>
      <c r="J219" s="185">
        <v>19.666666666666668</v>
      </c>
      <c r="K219" s="185" t="s">
        <v>192</v>
      </c>
      <c r="L219" s="180">
        <v>42166</v>
      </c>
      <c r="M219" s="176" t="s">
        <v>193</v>
      </c>
      <c r="N219" s="176" t="s">
        <v>377</v>
      </c>
      <c r="O219" s="181" t="s">
        <v>168</v>
      </c>
    </row>
    <row r="220" spans="1:15">
      <c r="A220" s="175">
        <v>6923</v>
      </c>
      <c r="B220" s="176" t="s">
        <v>874</v>
      </c>
      <c r="C220" s="176" t="s">
        <v>161</v>
      </c>
      <c r="D220" s="175" t="s">
        <v>162</v>
      </c>
      <c r="E220" s="175">
        <v>4987707</v>
      </c>
      <c r="F220" s="176" t="s">
        <v>877</v>
      </c>
      <c r="G220" s="177" t="s">
        <v>878</v>
      </c>
      <c r="H220" s="183"/>
      <c r="I220" s="183"/>
      <c r="J220" s="183"/>
      <c r="K220" s="183"/>
      <c r="L220" s="180">
        <v>42776</v>
      </c>
      <c r="M220" s="176" t="s">
        <v>211</v>
      </c>
      <c r="N220" s="176" t="s">
        <v>211</v>
      </c>
      <c r="O220" s="181" t="s">
        <v>168</v>
      </c>
    </row>
    <row r="221" spans="1:15">
      <c r="A221" s="175">
        <v>6923</v>
      </c>
      <c r="B221" s="176" t="s">
        <v>874</v>
      </c>
      <c r="C221" s="176" t="s">
        <v>161</v>
      </c>
      <c r="D221" s="175" t="s">
        <v>162</v>
      </c>
      <c r="E221" s="175">
        <v>5530101</v>
      </c>
      <c r="F221" s="176" t="s">
        <v>879</v>
      </c>
      <c r="G221" s="177" t="s">
        <v>880</v>
      </c>
      <c r="H221" s="183"/>
      <c r="I221" s="183"/>
      <c r="J221" s="183"/>
      <c r="K221" s="183"/>
      <c r="L221" s="180">
        <v>42765</v>
      </c>
      <c r="M221" s="176" t="s">
        <v>349</v>
      </c>
      <c r="N221" s="176" t="s">
        <v>881</v>
      </c>
      <c r="O221" s="181" t="s">
        <v>168</v>
      </c>
    </row>
    <row r="222" spans="1:15">
      <c r="A222" s="175">
        <v>6923</v>
      </c>
      <c r="B222" s="176" t="s">
        <v>874</v>
      </c>
      <c r="C222" s="176" t="s">
        <v>161</v>
      </c>
      <c r="D222" s="175" t="s">
        <v>162</v>
      </c>
      <c r="E222" s="175">
        <v>5670825</v>
      </c>
      <c r="F222" s="176" t="s">
        <v>882</v>
      </c>
      <c r="G222" s="177" t="s">
        <v>883</v>
      </c>
      <c r="H222" s="183"/>
      <c r="I222" s="183"/>
      <c r="J222" s="183"/>
      <c r="K222" s="183"/>
      <c r="L222" s="180">
        <v>42779</v>
      </c>
      <c r="M222" s="176" t="s">
        <v>166</v>
      </c>
      <c r="N222" s="176" t="s">
        <v>327</v>
      </c>
      <c r="O222" s="181" t="s">
        <v>168</v>
      </c>
    </row>
    <row r="223" spans="1:15">
      <c r="A223" s="175">
        <v>9337</v>
      </c>
      <c r="B223" s="176" t="s">
        <v>884</v>
      </c>
      <c r="C223" s="176" t="s">
        <v>161</v>
      </c>
      <c r="D223" s="175" t="s">
        <v>162</v>
      </c>
      <c r="E223" s="175">
        <v>5145078</v>
      </c>
      <c r="F223" s="176" t="s">
        <v>885</v>
      </c>
      <c r="G223" s="177" t="s">
        <v>886</v>
      </c>
      <c r="H223" s="183"/>
      <c r="I223" s="183"/>
      <c r="J223" s="183"/>
      <c r="K223" s="183"/>
      <c r="L223" s="180">
        <v>42808</v>
      </c>
      <c r="M223" s="176" t="s">
        <v>887</v>
      </c>
      <c r="N223" s="176" t="s">
        <v>888</v>
      </c>
      <c r="O223" s="181" t="s">
        <v>168</v>
      </c>
    </row>
    <row r="224" spans="1:15">
      <c r="A224" s="175">
        <v>9337</v>
      </c>
      <c r="B224" s="176" t="s">
        <v>884</v>
      </c>
      <c r="C224" s="176" t="s">
        <v>161</v>
      </c>
      <c r="D224" s="175" t="s">
        <v>162</v>
      </c>
      <c r="E224" s="175">
        <v>5146650</v>
      </c>
      <c r="F224" s="176" t="s">
        <v>889</v>
      </c>
      <c r="G224" s="177" t="s">
        <v>890</v>
      </c>
      <c r="H224" s="183"/>
      <c r="I224" s="183"/>
      <c r="J224" s="183"/>
      <c r="K224" s="183"/>
      <c r="L224" s="180">
        <v>42639</v>
      </c>
      <c r="M224" s="176" t="s">
        <v>180</v>
      </c>
      <c r="N224" s="176" t="s">
        <v>891</v>
      </c>
      <c r="O224" s="181" t="s">
        <v>173</v>
      </c>
    </row>
    <row r="225" spans="1:15">
      <c r="A225" s="175">
        <v>9337</v>
      </c>
      <c r="B225" s="176" t="s">
        <v>884</v>
      </c>
      <c r="C225" s="176" t="s">
        <v>161</v>
      </c>
      <c r="D225" s="175" t="s">
        <v>162</v>
      </c>
      <c r="E225" s="175">
        <v>4772136</v>
      </c>
      <c r="F225" s="176" t="s">
        <v>892</v>
      </c>
      <c r="G225" s="177" t="s">
        <v>893</v>
      </c>
      <c r="H225" s="183"/>
      <c r="I225" s="183"/>
      <c r="J225" s="183"/>
      <c r="K225" s="183"/>
      <c r="L225" s="180">
        <v>41710</v>
      </c>
      <c r="M225" s="176" t="s">
        <v>211</v>
      </c>
      <c r="N225" s="176" t="s">
        <v>211</v>
      </c>
      <c r="O225" s="181" t="s">
        <v>168</v>
      </c>
    </row>
    <row r="226" spans="1:15">
      <c r="A226" s="175">
        <v>9337</v>
      </c>
      <c r="B226" s="176" t="s">
        <v>884</v>
      </c>
      <c r="C226" s="176" t="s">
        <v>161</v>
      </c>
      <c r="D226" s="175" t="s">
        <v>162</v>
      </c>
      <c r="E226" s="175">
        <v>4729528</v>
      </c>
      <c r="F226" s="176" t="s">
        <v>894</v>
      </c>
      <c r="G226" s="177" t="s">
        <v>895</v>
      </c>
      <c r="H226" s="183"/>
      <c r="I226" s="183"/>
      <c r="J226" s="183"/>
      <c r="K226" s="183"/>
      <c r="L226" s="180">
        <v>42149</v>
      </c>
      <c r="M226" s="176" t="s">
        <v>896</v>
      </c>
      <c r="N226" s="176" t="s">
        <v>897</v>
      </c>
      <c r="O226" s="181" t="s">
        <v>168</v>
      </c>
    </row>
    <row r="227" spans="1:15">
      <c r="A227" s="175">
        <v>6926</v>
      </c>
      <c r="B227" s="176" t="s">
        <v>898</v>
      </c>
      <c r="C227" s="176" t="s">
        <v>161</v>
      </c>
      <c r="D227" s="175" t="s">
        <v>162</v>
      </c>
      <c r="E227" s="175">
        <v>4963688</v>
      </c>
      <c r="F227" s="176" t="s">
        <v>899</v>
      </c>
      <c r="G227" s="177" t="s">
        <v>900</v>
      </c>
      <c r="H227" s="183"/>
      <c r="I227" s="183"/>
      <c r="J227" s="183"/>
      <c r="K227" s="183"/>
      <c r="L227" s="180">
        <v>41901</v>
      </c>
      <c r="M227" s="176" t="s">
        <v>366</v>
      </c>
      <c r="N227" s="176" t="s">
        <v>366</v>
      </c>
      <c r="O227" s="181" t="s">
        <v>168</v>
      </c>
    </row>
    <row r="228" spans="1:15">
      <c r="A228" s="175">
        <v>9634</v>
      </c>
      <c r="B228" s="176" t="s">
        <v>901</v>
      </c>
      <c r="C228" s="176" t="s">
        <v>161</v>
      </c>
      <c r="D228" s="175" t="s">
        <v>162</v>
      </c>
      <c r="E228" s="175">
        <v>3575901</v>
      </c>
      <c r="F228" s="176" t="s">
        <v>902</v>
      </c>
      <c r="G228" s="177" t="s">
        <v>903</v>
      </c>
      <c r="H228" s="184">
        <v>42907</v>
      </c>
      <c r="I228" s="185">
        <v>1892</v>
      </c>
      <c r="J228" s="185">
        <v>63.06666666666667</v>
      </c>
      <c r="K228" s="185" t="s">
        <v>210</v>
      </c>
      <c r="L228" s="180">
        <v>40311</v>
      </c>
      <c r="M228" s="176" t="s">
        <v>211</v>
      </c>
      <c r="N228" s="176" t="s">
        <v>211</v>
      </c>
      <c r="O228" s="181" t="s">
        <v>168</v>
      </c>
    </row>
    <row r="229" spans="1:15">
      <c r="A229" s="175">
        <v>9634</v>
      </c>
      <c r="B229" s="176" t="s">
        <v>901</v>
      </c>
      <c r="C229" s="176" t="s">
        <v>161</v>
      </c>
      <c r="D229" s="175" t="s">
        <v>162</v>
      </c>
      <c r="E229" s="175">
        <v>4499452</v>
      </c>
      <c r="F229" s="176" t="s">
        <v>904</v>
      </c>
      <c r="G229" s="177" t="s">
        <v>905</v>
      </c>
      <c r="H229" s="183"/>
      <c r="I229" s="183"/>
      <c r="J229" s="183"/>
      <c r="K229" s="183"/>
      <c r="L229" s="180">
        <v>40967</v>
      </c>
      <c r="M229" s="176" t="s">
        <v>670</v>
      </c>
      <c r="N229" s="176" t="s">
        <v>906</v>
      </c>
      <c r="O229" s="181" t="s">
        <v>173</v>
      </c>
    </row>
    <row r="230" spans="1:15">
      <c r="A230" s="175">
        <v>9634</v>
      </c>
      <c r="B230" s="176" t="s">
        <v>901</v>
      </c>
      <c r="C230" s="176" t="s">
        <v>161</v>
      </c>
      <c r="D230" s="175" t="s">
        <v>162</v>
      </c>
      <c r="E230" s="175">
        <v>3755414</v>
      </c>
      <c r="F230" s="176" t="s">
        <v>907</v>
      </c>
      <c r="G230" s="177" t="s">
        <v>908</v>
      </c>
      <c r="H230" s="183"/>
      <c r="I230" s="183"/>
      <c r="J230" s="183"/>
      <c r="K230" s="183"/>
      <c r="L230" s="180">
        <v>40956</v>
      </c>
      <c r="M230" s="176" t="s">
        <v>211</v>
      </c>
      <c r="N230" s="176" t="s">
        <v>909</v>
      </c>
      <c r="O230" s="181" t="s">
        <v>168</v>
      </c>
    </row>
    <row r="231" spans="1:15">
      <c r="A231" s="175">
        <v>9634</v>
      </c>
      <c r="B231" s="176" t="s">
        <v>901</v>
      </c>
      <c r="C231" s="176" t="s">
        <v>161</v>
      </c>
      <c r="D231" s="175" t="s">
        <v>162</v>
      </c>
      <c r="E231" s="175">
        <v>4249558</v>
      </c>
      <c r="F231" s="176" t="s">
        <v>910</v>
      </c>
      <c r="G231" s="177" t="s">
        <v>911</v>
      </c>
      <c r="H231" s="183"/>
      <c r="I231" s="183"/>
      <c r="J231" s="183"/>
      <c r="K231" s="183"/>
      <c r="L231" s="180">
        <v>40290</v>
      </c>
      <c r="M231" s="176" t="s">
        <v>912</v>
      </c>
      <c r="N231" s="176" t="s">
        <v>913</v>
      </c>
      <c r="O231" s="181" t="s">
        <v>168</v>
      </c>
    </row>
    <row r="232" spans="1:15">
      <c r="A232" s="175">
        <v>9634</v>
      </c>
      <c r="B232" s="176" t="s">
        <v>901</v>
      </c>
      <c r="C232" s="176" t="s">
        <v>161</v>
      </c>
      <c r="D232" s="175" t="s">
        <v>162</v>
      </c>
      <c r="E232" s="175">
        <v>4498147</v>
      </c>
      <c r="F232" s="176" t="s">
        <v>914</v>
      </c>
      <c r="G232" s="177" t="s">
        <v>915</v>
      </c>
      <c r="H232" s="183"/>
      <c r="I232" s="183"/>
      <c r="J232" s="183"/>
      <c r="K232" s="183"/>
      <c r="L232" s="180">
        <v>42432</v>
      </c>
      <c r="M232" s="176" t="s">
        <v>211</v>
      </c>
      <c r="N232" s="176" t="s">
        <v>916</v>
      </c>
      <c r="O232" s="181" t="s">
        <v>168</v>
      </c>
    </row>
    <row r="233" spans="1:15">
      <c r="A233" s="175">
        <v>9634</v>
      </c>
      <c r="B233" s="176" t="s">
        <v>901</v>
      </c>
      <c r="C233" s="176" t="s">
        <v>161</v>
      </c>
      <c r="D233" s="175" t="s">
        <v>162</v>
      </c>
      <c r="E233" s="175">
        <v>3867133</v>
      </c>
      <c r="F233" s="176" t="s">
        <v>917</v>
      </c>
      <c r="G233" s="177" t="s">
        <v>918</v>
      </c>
      <c r="H233" s="183"/>
      <c r="I233" s="183"/>
      <c r="J233" s="183"/>
      <c r="K233" s="183"/>
      <c r="L233" s="180">
        <v>40651</v>
      </c>
      <c r="M233" s="176" t="s">
        <v>166</v>
      </c>
      <c r="N233" s="176" t="s">
        <v>799</v>
      </c>
      <c r="O233" s="181" t="s">
        <v>168</v>
      </c>
    </row>
    <row r="234" spans="1:15">
      <c r="A234" s="175">
        <v>6927</v>
      </c>
      <c r="B234" s="176" t="s">
        <v>919</v>
      </c>
      <c r="C234" s="176" t="s">
        <v>161</v>
      </c>
      <c r="D234" s="175" t="s">
        <v>162</v>
      </c>
      <c r="E234" s="175">
        <v>5044121</v>
      </c>
      <c r="F234" s="176" t="s">
        <v>920</v>
      </c>
      <c r="G234" s="177" t="s">
        <v>921</v>
      </c>
      <c r="H234" s="184">
        <v>42907</v>
      </c>
      <c r="I234" s="185">
        <v>1582</v>
      </c>
      <c r="J234" s="185">
        <v>52.733333333333334</v>
      </c>
      <c r="K234" s="185" t="s">
        <v>210</v>
      </c>
      <c r="L234" s="180">
        <v>41750</v>
      </c>
      <c r="M234" s="176" t="s">
        <v>166</v>
      </c>
      <c r="N234" s="176" t="s">
        <v>922</v>
      </c>
      <c r="O234" s="181" t="s">
        <v>168</v>
      </c>
    </row>
    <row r="235" spans="1:15">
      <c r="A235" s="175">
        <v>6927</v>
      </c>
      <c r="B235" s="176" t="s">
        <v>919</v>
      </c>
      <c r="C235" s="176" t="s">
        <v>161</v>
      </c>
      <c r="D235" s="175" t="s">
        <v>162</v>
      </c>
      <c r="E235" s="175">
        <v>3744582</v>
      </c>
      <c r="F235" s="176" t="s">
        <v>923</v>
      </c>
      <c r="G235" s="177" t="s">
        <v>924</v>
      </c>
      <c r="H235" s="183"/>
      <c r="I235" s="183"/>
      <c r="J235" s="183"/>
      <c r="K235" s="183"/>
      <c r="L235" s="180">
        <v>41933</v>
      </c>
      <c r="M235" s="176" t="s">
        <v>709</v>
      </c>
      <c r="N235" s="176" t="s">
        <v>925</v>
      </c>
      <c r="O235" s="181" t="s">
        <v>168</v>
      </c>
    </row>
    <row r="236" spans="1:15">
      <c r="A236" s="175">
        <v>6927</v>
      </c>
      <c r="B236" s="176" t="s">
        <v>919</v>
      </c>
      <c r="C236" s="176" t="s">
        <v>161</v>
      </c>
      <c r="D236" s="175" t="s">
        <v>162</v>
      </c>
      <c r="E236" s="175">
        <v>3740033</v>
      </c>
      <c r="F236" s="176" t="s">
        <v>926</v>
      </c>
      <c r="G236" s="177" t="s">
        <v>927</v>
      </c>
      <c r="H236" s="183"/>
      <c r="I236" s="183"/>
      <c r="J236" s="183"/>
      <c r="K236" s="183"/>
      <c r="L236" s="180">
        <v>42744</v>
      </c>
      <c r="M236" s="176" t="s">
        <v>193</v>
      </c>
      <c r="N236" s="176" t="s">
        <v>928</v>
      </c>
      <c r="O236" s="181" t="s">
        <v>248</v>
      </c>
    </row>
    <row r="237" spans="1:15">
      <c r="A237" s="175">
        <v>6927</v>
      </c>
      <c r="B237" s="176" t="s">
        <v>919</v>
      </c>
      <c r="C237" s="176" t="s">
        <v>161</v>
      </c>
      <c r="D237" s="175" t="s">
        <v>162</v>
      </c>
      <c r="E237" s="175">
        <v>3715111</v>
      </c>
      <c r="F237" s="176" t="s">
        <v>929</v>
      </c>
      <c r="G237" s="177" t="s">
        <v>930</v>
      </c>
      <c r="H237" s="183"/>
      <c r="I237" s="183"/>
      <c r="J237" s="183"/>
      <c r="K237" s="183"/>
      <c r="L237" s="180">
        <v>42550</v>
      </c>
      <c r="M237" s="176" t="s">
        <v>211</v>
      </c>
      <c r="N237" s="176" t="s">
        <v>211</v>
      </c>
      <c r="O237" s="181" t="s">
        <v>168</v>
      </c>
    </row>
    <row r="238" spans="1:15">
      <c r="A238" s="175">
        <v>6927</v>
      </c>
      <c r="B238" s="176" t="s">
        <v>919</v>
      </c>
      <c r="C238" s="176" t="s">
        <v>161</v>
      </c>
      <c r="D238" s="175" t="s">
        <v>162</v>
      </c>
      <c r="E238" s="175">
        <v>4312797</v>
      </c>
      <c r="F238" s="176" t="s">
        <v>931</v>
      </c>
      <c r="G238" s="177" t="s">
        <v>932</v>
      </c>
      <c r="H238" s="183"/>
      <c r="I238" s="183"/>
      <c r="J238" s="183"/>
      <c r="K238" s="183"/>
      <c r="L238" s="180">
        <v>41430</v>
      </c>
      <c r="M238" s="176" t="s">
        <v>198</v>
      </c>
      <c r="N238" s="176" t="s">
        <v>577</v>
      </c>
      <c r="O238" s="181" t="s">
        <v>168</v>
      </c>
    </row>
    <row r="239" spans="1:15">
      <c r="A239" s="175">
        <v>6933</v>
      </c>
      <c r="B239" s="176" t="s">
        <v>933</v>
      </c>
      <c r="C239" s="176" t="s">
        <v>161</v>
      </c>
      <c r="D239" s="175" t="s">
        <v>162</v>
      </c>
      <c r="E239" s="175">
        <v>4563177</v>
      </c>
      <c r="F239" s="176" t="s">
        <v>934</v>
      </c>
      <c r="G239" s="177" t="s">
        <v>935</v>
      </c>
      <c r="H239" s="183"/>
      <c r="I239" s="183"/>
      <c r="J239" s="183"/>
      <c r="K239" s="183"/>
      <c r="L239" s="180">
        <v>42842</v>
      </c>
      <c r="M239" s="176" t="s">
        <v>547</v>
      </c>
      <c r="N239" s="176" t="s">
        <v>936</v>
      </c>
      <c r="O239" s="181" t="s">
        <v>248</v>
      </c>
    </row>
    <row r="240" spans="1:15">
      <c r="A240" s="175">
        <v>6933</v>
      </c>
      <c r="B240" s="176" t="s">
        <v>933</v>
      </c>
      <c r="C240" s="176" t="s">
        <v>161</v>
      </c>
      <c r="D240" s="175" t="s">
        <v>162</v>
      </c>
      <c r="E240" s="175">
        <v>4396611</v>
      </c>
      <c r="F240" s="176" t="s">
        <v>937</v>
      </c>
      <c r="G240" s="177" t="s">
        <v>938</v>
      </c>
      <c r="H240" s="183"/>
      <c r="I240" s="183"/>
      <c r="J240" s="183"/>
      <c r="K240" s="183"/>
      <c r="L240" s="180">
        <v>42877</v>
      </c>
      <c r="M240" s="176" t="s">
        <v>939</v>
      </c>
      <c r="N240" s="176" t="s">
        <v>940</v>
      </c>
      <c r="O240" s="181" t="s">
        <v>168</v>
      </c>
    </row>
    <row r="241" spans="1:15">
      <c r="A241" s="175">
        <v>6933</v>
      </c>
      <c r="B241" s="176" t="s">
        <v>933</v>
      </c>
      <c r="C241" s="176" t="s">
        <v>161</v>
      </c>
      <c r="D241" s="175" t="s">
        <v>162</v>
      </c>
      <c r="E241" s="175">
        <v>4518644</v>
      </c>
      <c r="F241" s="176" t="s">
        <v>941</v>
      </c>
      <c r="G241" s="177" t="s">
        <v>942</v>
      </c>
      <c r="H241" s="183"/>
      <c r="I241" s="183"/>
      <c r="J241" s="183"/>
      <c r="K241" s="183"/>
      <c r="L241" s="180">
        <v>41341</v>
      </c>
      <c r="M241" s="176" t="s">
        <v>166</v>
      </c>
      <c r="N241" s="176" t="s">
        <v>943</v>
      </c>
      <c r="O241" s="181" t="s">
        <v>168</v>
      </c>
    </row>
    <row r="242" spans="1:15">
      <c r="A242" s="175">
        <v>9259</v>
      </c>
      <c r="B242" s="176" t="s">
        <v>944</v>
      </c>
      <c r="C242" s="176" t="s">
        <v>161</v>
      </c>
      <c r="D242" s="175" t="s">
        <v>162</v>
      </c>
      <c r="E242" s="175">
        <v>5819821</v>
      </c>
      <c r="F242" s="176" t="s">
        <v>945</v>
      </c>
      <c r="G242" s="177" t="s">
        <v>946</v>
      </c>
      <c r="H242" s="183"/>
      <c r="I242" s="183"/>
      <c r="J242" s="183"/>
      <c r="K242" s="183"/>
      <c r="L242" s="180">
        <v>42185</v>
      </c>
      <c r="M242" s="176" t="s">
        <v>211</v>
      </c>
      <c r="N242" s="176" t="s">
        <v>211</v>
      </c>
      <c r="O242" s="181" t="s">
        <v>168</v>
      </c>
    </row>
    <row r="243" spans="1:15">
      <c r="A243" s="175">
        <v>9259</v>
      </c>
      <c r="B243" s="176" t="s">
        <v>944</v>
      </c>
      <c r="C243" s="176" t="s">
        <v>161</v>
      </c>
      <c r="D243" s="175" t="s">
        <v>162</v>
      </c>
      <c r="E243" s="175">
        <v>5177531</v>
      </c>
      <c r="F243" s="176" t="s">
        <v>947</v>
      </c>
      <c r="G243" s="177" t="s">
        <v>543</v>
      </c>
      <c r="H243" s="183"/>
      <c r="I243" s="183"/>
      <c r="J243" s="183"/>
      <c r="K243" s="183"/>
      <c r="L243" s="180">
        <v>42606</v>
      </c>
      <c r="M243" s="176" t="s">
        <v>211</v>
      </c>
      <c r="N243" s="176" t="s">
        <v>948</v>
      </c>
      <c r="O243" s="181" t="s">
        <v>168</v>
      </c>
    </row>
    <row r="244" spans="1:15">
      <c r="A244" s="175">
        <v>6922</v>
      </c>
      <c r="B244" s="176" t="s">
        <v>949</v>
      </c>
      <c r="C244" s="176" t="s">
        <v>161</v>
      </c>
      <c r="D244" s="175" t="s">
        <v>162</v>
      </c>
      <c r="E244" s="175">
        <v>6025391</v>
      </c>
      <c r="F244" s="176" t="s">
        <v>950</v>
      </c>
      <c r="G244" s="177" t="s">
        <v>951</v>
      </c>
      <c r="H244" s="183"/>
      <c r="I244" s="183"/>
      <c r="J244" s="183"/>
      <c r="K244" s="183"/>
      <c r="L244" s="180">
        <v>42431</v>
      </c>
      <c r="M244" s="176" t="s">
        <v>952</v>
      </c>
      <c r="N244" s="176" t="s">
        <v>953</v>
      </c>
      <c r="O244" s="181" t="s">
        <v>168</v>
      </c>
    </row>
    <row r="245" spans="1:15">
      <c r="A245" s="175">
        <v>6922</v>
      </c>
      <c r="B245" s="176" t="s">
        <v>949</v>
      </c>
      <c r="C245" s="176" t="s">
        <v>161</v>
      </c>
      <c r="D245" s="175" t="s">
        <v>162</v>
      </c>
      <c r="E245" s="175">
        <v>5167790</v>
      </c>
      <c r="F245" s="176" t="s">
        <v>954</v>
      </c>
      <c r="G245" s="177" t="s">
        <v>955</v>
      </c>
      <c r="H245" s="183"/>
      <c r="I245" s="183"/>
      <c r="J245" s="183"/>
      <c r="K245" s="183"/>
      <c r="L245" s="180">
        <v>42402</v>
      </c>
      <c r="M245" s="176" t="s">
        <v>284</v>
      </c>
      <c r="N245" s="176" t="s">
        <v>956</v>
      </c>
      <c r="O245" s="181" t="s">
        <v>168</v>
      </c>
    </row>
    <row r="246" spans="1:15">
      <c r="A246" s="175">
        <v>9384</v>
      </c>
      <c r="B246" s="176" t="s">
        <v>957</v>
      </c>
      <c r="C246" s="176" t="s">
        <v>161</v>
      </c>
      <c r="D246" s="175" t="s">
        <v>162</v>
      </c>
      <c r="E246" s="175">
        <v>4483646</v>
      </c>
      <c r="F246" s="176" t="s">
        <v>958</v>
      </c>
      <c r="G246" s="177" t="s">
        <v>959</v>
      </c>
      <c r="H246" s="184">
        <v>42907</v>
      </c>
      <c r="I246" s="185">
        <v>470</v>
      </c>
      <c r="J246" s="185">
        <v>15.666666666666666</v>
      </c>
      <c r="K246" s="185" t="s">
        <v>192</v>
      </c>
      <c r="L246" s="180">
        <v>41709</v>
      </c>
      <c r="M246" s="176" t="s">
        <v>261</v>
      </c>
      <c r="N246" s="176" t="s">
        <v>960</v>
      </c>
      <c r="O246" s="181" t="s">
        <v>168</v>
      </c>
    </row>
    <row r="247" spans="1:15">
      <c r="A247" s="175">
        <v>9384</v>
      </c>
      <c r="B247" s="176" t="s">
        <v>957</v>
      </c>
      <c r="C247" s="176" t="s">
        <v>161</v>
      </c>
      <c r="D247" s="175" t="s">
        <v>162</v>
      </c>
      <c r="E247" s="175">
        <v>4807812</v>
      </c>
      <c r="F247" s="176" t="s">
        <v>961</v>
      </c>
      <c r="G247" s="177" t="s">
        <v>962</v>
      </c>
      <c r="H247" s="184">
        <v>42907</v>
      </c>
      <c r="I247" s="185">
        <v>953</v>
      </c>
      <c r="J247" s="185">
        <v>31.766666666666666</v>
      </c>
      <c r="K247" s="185" t="s">
        <v>165</v>
      </c>
      <c r="L247" s="180">
        <v>42027</v>
      </c>
      <c r="M247" s="176" t="s">
        <v>366</v>
      </c>
      <c r="N247" s="176" t="s">
        <v>963</v>
      </c>
      <c r="O247" s="181" t="s">
        <v>168</v>
      </c>
    </row>
    <row r="248" spans="1:15">
      <c r="A248" s="175">
        <v>9384</v>
      </c>
      <c r="B248" s="176" t="s">
        <v>957</v>
      </c>
      <c r="C248" s="176" t="s">
        <v>161</v>
      </c>
      <c r="D248" s="175" t="s">
        <v>162</v>
      </c>
      <c r="E248" s="175">
        <v>5521865</v>
      </c>
      <c r="F248" s="176" t="s">
        <v>964</v>
      </c>
      <c r="G248" s="177" t="s">
        <v>965</v>
      </c>
      <c r="H248" s="183"/>
      <c r="I248" s="183"/>
      <c r="J248" s="183"/>
      <c r="K248" s="183"/>
      <c r="L248" s="180">
        <v>42818</v>
      </c>
      <c r="M248" s="176" t="s">
        <v>193</v>
      </c>
      <c r="N248" s="176" t="s">
        <v>966</v>
      </c>
      <c r="O248" s="181" t="s">
        <v>168</v>
      </c>
    </row>
    <row r="249" spans="1:15">
      <c r="A249" s="175">
        <v>9384</v>
      </c>
      <c r="B249" s="176" t="s">
        <v>957</v>
      </c>
      <c r="C249" s="176" t="s">
        <v>161</v>
      </c>
      <c r="D249" s="175" t="s">
        <v>162</v>
      </c>
      <c r="E249" s="175">
        <v>5013061</v>
      </c>
      <c r="F249" s="176" t="s">
        <v>967</v>
      </c>
      <c r="G249" s="177" t="s">
        <v>968</v>
      </c>
      <c r="H249" s="183"/>
      <c r="I249" s="183"/>
      <c r="J249" s="183"/>
      <c r="K249" s="183"/>
      <c r="L249" s="180">
        <v>42131</v>
      </c>
      <c r="M249" s="176" t="s">
        <v>180</v>
      </c>
      <c r="N249" s="176" t="s">
        <v>969</v>
      </c>
      <c r="O249" s="181" t="s">
        <v>173</v>
      </c>
    </row>
    <row r="250" spans="1:15">
      <c r="A250" s="175">
        <v>9384</v>
      </c>
      <c r="B250" s="176" t="s">
        <v>957</v>
      </c>
      <c r="C250" s="176" t="s">
        <v>161</v>
      </c>
      <c r="D250" s="175" t="s">
        <v>162</v>
      </c>
      <c r="E250" s="175">
        <v>4391810</v>
      </c>
      <c r="F250" s="176" t="s">
        <v>970</v>
      </c>
      <c r="G250" s="177" t="s">
        <v>971</v>
      </c>
      <c r="H250" s="183"/>
      <c r="I250" s="183"/>
      <c r="J250" s="183"/>
      <c r="K250" s="183"/>
      <c r="L250" s="180">
        <v>41372</v>
      </c>
      <c r="M250" s="176" t="s">
        <v>198</v>
      </c>
      <c r="N250" s="176" t="s">
        <v>198</v>
      </c>
      <c r="O250" s="181" t="s">
        <v>168</v>
      </c>
    </row>
    <row r="251" spans="1:15">
      <c r="A251" s="175">
        <v>9384</v>
      </c>
      <c r="B251" s="176" t="s">
        <v>957</v>
      </c>
      <c r="C251" s="176" t="s">
        <v>161</v>
      </c>
      <c r="D251" s="175" t="s">
        <v>162</v>
      </c>
      <c r="E251" s="175">
        <v>4734370</v>
      </c>
      <c r="F251" s="176" t="s">
        <v>972</v>
      </c>
      <c r="G251" s="177" t="s">
        <v>973</v>
      </c>
      <c r="H251" s="183"/>
      <c r="I251" s="183"/>
      <c r="J251" s="183"/>
      <c r="K251" s="183"/>
      <c r="L251" s="180">
        <v>42172</v>
      </c>
      <c r="M251" s="176" t="s">
        <v>974</v>
      </c>
      <c r="N251" s="176" t="s">
        <v>975</v>
      </c>
      <c r="O251" s="181" t="s">
        <v>168</v>
      </c>
    </row>
    <row r="252" spans="1:15">
      <c r="A252" s="175">
        <v>9384</v>
      </c>
      <c r="B252" s="176" t="s">
        <v>957</v>
      </c>
      <c r="C252" s="176" t="s">
        <v>161</v>
      </c>
      <c r="D252" s="175" t="s">
        <v>162</v>
      </c>
      <c r="E252" s="175">
        <v>4978597</v>
      </c>
      <c r="F252" s="176" t="s">
        <v>976</v>
      </c>
      <c r="G252" s="177" t="s">
        <v>977</v>
      </c>
      <c r="H252" s="183"/>
      <c r="I252" s="183"/>
      <c r="J252" s="183"/>
      <c r="K252" s="183"/>
      <c r="L252" s="180">
        <v>42531</v>
      </c>
      <c r="M252" s="176" t="s">
        <v>709</v>
      </c>
      <c r="N252" s="176" t="s">
        <v>978</v>
      </c>
      <c r="O252" s="181" t="s">
        <v>173</v>
      </c>
    </row>
    <row r="253" spans="1:15">
      <c r="A253" s="175">
        <v>9384</v>
      </c>
      <c r="B253" s="176" t="s">
        <v>957</v>
      </c>
      <c r="C253" s="176" t="s">
        <v>161</v>
      </c>
      <c r="D253" s="175" t="s">
        <v>162</v>
      </c>
      <c r="E253" s="175">
        <v>4722698</v>
      </c>
      <c r="F253" s="176" t="s">
        <v>979</v>
      </c>
      <c r="G253" s="177" t="s">
        <v>980</v>
      </c>
      <c r="H253" s="183"/>
      <c r="I253" s="183"/>
      <c r="J253" s="183"/>
      <c r="K253" s="183"/>
      <c r="L253" s="180">
        <v>42055</v>
      </c>
      <c r="M253" s="176" t="s">
        <v>271</v>
      </c>
      <c r="N253" s="176" t="s">
        <v>333</v>
      </c>
      <c r="O253" s="181" t="s">
        <v>168</v>
      </c>
    </row>
    <row r="254" spans="1:15">
      <c r="A254" s="175">
        <v>6928</v>
      </c>
      <c r="B254" s="176" t="s">
        <v>981</v>
      </c>
      <c r="C254" s="176" t="s">
        <v>161</v>
      </c>
      <c r="D254" s="175" t="s">
        <v>162</v>
      </c>
      <c r="E254" s="175">
        <v>4880942</v>
      </c>
      <c r="F254" s="176" t="s">
        <v>982</v>
      </c>
      <c r="G254" s="177" t="s">
        <v>983</v>
      </c>
      <c r="H254" s="183"/>
      <c r="I254" s="183"/>
      <c r="J254" s="183"/>
      <c r="K254" s="183"/>
      <c r="L254" s="180">
        <v>42590</v>
      </c>
      <c r="M254" s="176" t="s">
        <v>984</v>
      </c>
      <c r="N254" s="176" t="s">
        <v>985</v>
      </c>
      <c r="O254" s="181" t="s">
        <v>168</v>
      </c>
    </row>
    <row r="255" spans="1:15">
      <c r="A255" s="175">
        <v>6928</v>
      </c>
      <c r="B255" s="176" t="s">
        <v>981</v>
      </c>
      <c r="C255" s="176" t="s">
        <v>161</v>
      </c>
      <c r="D255" s="175" t="s">
        <v>162</v>
      </c>
      <c r="E255" s="175">
        <v>2522177</v>
      </c>
      <c r="F255" s="176" t="s">
        <v>986</v>
      </c>
      <c r="G255" s="177" t="s">
        <v>987</v>
      </c>
      <c r="H255" s="183"/>
      <c r="I255" s="183"/>
      <c r="J255" s="183"/>
      <c r="K255" s="183"/>
      <c r="L255" s="180">
        <v>41124</v>
      </c>
      <c r="M255" s="176" t="s">
        <v>988</v>
      </c>
      <c r="N255" s="176" t="s">
        <v>988</v>
      </c>
      <c r="O255" s="181" t="s">
        <v>173</v>
      </c>
    </row>
    <row r="256" spans="1:15">
      <c r="A256" s="175">
        <v>6924</v>
      </c>
      <c r="B256" s="176" t="s">
        <v>989</v>
      </c>
      <c r="C256" s="176" t="s">
        <v>161</v>
      </c>
      <c r="D256" s="175" t="s">
        <v>162</v>
      </c>
      <c r="E256" s="175">
        <v>4756349</v>
      </c>
      <c r="F256" s="176" t="s">
        <v>990</v>
      </c>
      <c r="G256" s="177" t="s">
        <v>991</v>
      </c>
      <c r="H256" s="183"/>
      <c r="I256" s="183"/>
      <c r="J256" s="183"/>
      <c r="K256" s="183"/>
      <c r="L256" s="180">
        <v>41257</v>
      </c>
      <c r="M256" s="176" t="s">
        <v>261</v>
      </c>
      <c r="N256" s="176" t="s">
        <v>992</v>
      </c>
      <c r="O256" s="181" t="s">
        <v>168</v>
      </c>
    </row>
    <row r="257" spans="1:15">
      <c r="A257" s="175">
        <v>8823</v>
      </c>
      <c r="B257" s="176" t="s">
        <v>993</v>
      </c>
      <c r="C257" s="176" t="s">
        <v>161</v>
      </c>
      <c r="D257" s="175" t="s">
        <v>162</v>
      </c>
      <c r="E257" s="175">
        <v>5699428</v>
      </c>
      <c r="F257" s="176" t="s">
        <v>994</v>
      </c>
      <c r="G257" s="177" t="s">
        <v>995</v>
      </c>
      <c r="H257" s="184">
        <v>42907</v>
      </c>
      <c r="I257" s="185">
        <v>1520</v>
      </c>
      <c r="J257" s="185">
        <v>50.666666666666664</v>
      </c>
      <c r="K257" s="185" t="s">
        <v>210</v>
      </c>
      <c r="L257" s="180">
        <v>42597</v>
      </c>
      <c r="M257" s="176" t="s">
        <v>180</v>
      </c>
      <c r="N257" s="176" t="s">
        <v>996</v>
      </c>
      <c r="O257" s="181" t="s">
        <v>173</v>
      </c>
    </row>
    <row r="258" spans="1:15">
      <c r="A258" s="175">
        <v>8823</v>
      </c>
      <c r="B258" s="176" t="s">
        <v>993</v>
      </c>
      <c r="C258" s="176" t="s">
        <v>161</v>
      </c>
      <c r="D258" s="175" t="s">
        <v>162</v>
      </c>
      <c r="E258" s="175">
        <v>4224242</v>
      </c>
      <c r="F258" s="176" t="s">
        <v>997</v>
      </c>
      <c r="G258" s="177" t="s">
        <v>998</v>
      </c>
      <c r="H258" s="183"/>
      <c r="I258" s="183"/>
      <c r="J258" s="183"/>
      <c r="K258" s="183"/>
      <c r="L258" s="180">
        <v>42145</v>
      </c>
      <c r="M258" s="176" t="s">
        <v>211</v>
      </c>
      <c r="N258" s="176" t="s">
        <v>999</v>
      </c>
      <c r="O258" s="181" t="s">
        <v>168</v>
      </c>
    </row>
    <row r="259" spans="1:15">
      <c r="A259" s="175">
        <v>8823</v>
      </c>
      <c r="B259" s="176" t="s">
        <v>993</v>
      </c>
      <c r="C259" s="176" t="s">
        <v>161</v>
      </c>
      <c r="D259" s="175" t="s">
        <v>162</v>
      </c>
      <c r="E259" s="175">
        <v>5713320</v>
      </c>
      <c r="F259" s="176" t="s">
        <v>1000</v>
      </c>
      <c r="G259" s="177" t="s">
        <v>1001</v>
      </c>
      <c r="H259" s="183"/>
      <c r="I259" s="183"/>
      <c r="J259" s="183"/>
      <c r="K259" s="183"/>
      <c r="L259" s="180">
        <v>42803</v>
      </c>
      <c r="M259" s="176" t="s">
        <v>166</v>
      </c>
      <c r="N259" s="176" t="s">
        <v>327</v>
      </c>
      <c r="O259" s="181" t="s">
        <v>168</v>
      </c>
    </row>
    <row r="260" spans="1:15">
      <c r="A260" s="175">
        <v>8823</v>
      </c>
      <c r="B260" s="176" t="s">
        <v>993</v>
      </c>
      <c r="C260" s="176" t="s">
        <v>161</v>
      </c>
      <c r="D260" s="175" t="s">
        <v>162</v>
      </c>
      <c r="E260" s="175">
        <v>6481782</v>
      </c>
      <c r="F260" s="176" t="s">
        <v>1002</v>
      </c>
      <c r="G260" s="177" t="s">
        <v>1003</v>
      </c>
      <c r="H260" s="183"/>
      <c r="I260" s="183"/>
      <c r="J260" s="183"/>
      <c r="K260" s="183"/>
      <c r="L260" s="180">
        <v>42559</v>
      </c>
      <c r="M260" s="176" t="s">
        <v>193</v>
      </c>
      <c r="N260" s="176" t="s">
        <v>377</v>
      </c>
      <c r="O260" s="181" t="s">
        <v>168</v>
      </c>
    </row>
    <row r="261" spans="1:15">
      <c r="A261" s="175">
        <v>8823</v>
      </c>
      <c r="B261" s="176" t="s">
        <v>993</v>
      </c>
      <c r="C261" s="176" t="s">
        <v>161</v>
      </c>
      <c r="D261" s="175" t="s">
        <v>162</v>
      </c>
      <c r="E261" s="175">
        <v>5698990</v>
      </c>
      <c r="F261" s="176" t="s">
        <v>1004</v>
      </c>
      <c r="G261" s="177" t="s">
        <v>1005</v>
      </c>
      <c r="H261" s="183"/>
      <c r="I261" s="183"/>
      <c r="J261" s="183"/>
      <c r="K261" s="183"/>
      <c r="L261" s="180">
        <v>42810</v>
      </c>
      <c r="M261" s="176" t="s">
        <v>180</v>
      </c>
      <c r="N261" s="176" t="s">
        <v>1006</v>
      </c>
      <c r="O261" s="181" t="s">
        <v>168</v>
      </c>
    </row>
    <row r="262" spans="1:15">
      <c r="A262" s="175">
        <v>8823</v>
      </c>
      <c r="B262" s="176" t="s">
        <v>993</v>
      </c>
      <c r="C262" s="176" t="s">
        <v>161</v>
      </c>
      <c r="D262" s="175" t="s">
        <v>162</v>
      </c>
      <c r="E262" s="175">
        <v>5600579</v>
      </c>
      <c r="F262" s="176" t="s">
        <v>1007</v>
      </c>
      <c r="G262" s="177" t="s">
        <v>1008</v>
      </c>
      <c r="H262" s="183"/>
      <c r="I262" s="183"/>
      <c r="J262" s="183"/>
      <c r="K262" s="183"/>
      <c r="L262" s="180">
        <v>42487</v>
      </c>
      <c r="M262" s="176" t="s">
        <v>984</v>
      </c>
      <c r="N262" s="176" t="s">
        <v>1009</v>
      </c>
      <c r="O262" s="181" t="s">
        <v>168</v>
      </c>
    </row>
    <row r="263" spans="1:15">
      <c r="A263" s="175">
        <v>8823</v>
      </c>
      <c r="B263" s="176" t="s">
        <v>993</v>
      </c>
      <c r="C263" s="176" t="s">
        <v>161</v>
      </c>
      <c r="D263" s="175" t="s">
        <v>162</v>
      </c>
      <c r="E263" s="175">
        <v>6481784</v>
      </c>
      <c r="F263" s="176" t="s">
        <v>1010</v>
      </c>
      <c r="G263" s="177" t="s">
        <v>1011</v>
      </c>
      <c r="H263" s="183"/>
      <c r="I263" s="183"/>
      <c r="J263" s="183"/>
      <c r="K263" s="183"/>
      <c r="L263" s="180">
        <v>42543</v>
      </c>
      <c r="M263" s="176" t="s">
        <v>180</v>
      </c>
      <c r="N263" s="176" t="s">
        <v>1012</v>
      </c>
      <c r="O263" s="181" t="s">
        <v>168</v>
      </c>
    </row>
    <row r="264" spans="1:15">
      <c r="A264" s="175">
        <v>8823</v>
      </c>
      <c r="B264" s="176" t="s">
        <v>993</v>
      </c>
      <c r="C264" s="176" t="s">
        <v>161</v>
      </c>
      <c r="D264" s="175" t="s">
        <v>162</v>
      </c>
      <c r="E264" s="175">
        <v>4224230</v>
      </c>
      <c r="F264" s="176" t="s">
        <v>1013</v>
      </c>
      <c r="G264" s="177" t="s">
        <v>998</v>
      </c>
      <c r="H264" s="183"/>
      <c r="I264" s="183"/>
      <c r="J264" s="183"/>
      <c r="K264" s="183"/>
      <c r="L264" s="180">
        <v>42143</v>
      </c>
      <c r="M264" s="176" t="s">
        <v>211</v>
      </c>
      <c r="N264" s="176" t="s">
        <v>211</v>
      </c>
      <c r="O264" s="181" t="s">
        <v>168</v>
      </c>
    </row>
    <row r="265" spans="1:15">
      <c r="A265" s="175">
        <v>8823</v>
      </c>
      <c r="B265" s="176" t="s">
        <v>993</v>
      </c>
      <c r="C265" s="176" t="s">
        <v>161</v>
      </c>
      <c r="D265" s="175" t="s">
        <v>162</v>
      </c>
      <c r="E265" s="175">
        <v>6769882</v>
      </c>
      <c r="F265" s="176" t="s">
        <v>1014</v>
      </c>
      <c r="G265" s="177" t="s">
        <v>1015</v>
      </c>
      <c r="H265" s="183"/>
      <c r="I265" s="183"/>
      <c r="J265" s="183"/>
      <c r="K265" s="183"/>
      <c r="L265" s="180">
        <v>42884</v>
      </c>
      <c r="M265" s="176" t="s">
        <v>1016</v>
      </c>
      <c r="N265" s="176" t="s">
        <v>1016</v>
      </c>
      <c r="O265" s="181" t="s">
        <v>173</v>
      </c>
    </row>
    <row r="266" spans="1:15">
      <c r="A266" s="175">
        <v>8823</v>
      </c>
      <c r="B266" s="176" t="s">
        <v>993</v>
      </c>
      <c r="C266" s="176" t="s">
        <v>161</v>
      </c>
      <c r="D266" s="175" t="s">
        <v>162</v>
      </c>
      <c r="E266" s="175">
        <v>4751984</v>
      </c>
      <c r="F266" s="176" t="s">
        <v>1017</v>
      </c>
      <c r="G266" s="177" t="s">
        <v>1018</v>
      </c>
      <c r="H266" s="183"/>
      <c r="I266" s="183"/>
      <c r="J266" s="183"/>
      <c r="K266" s="183"/>
      <c r="L266" s="180">
        <v>41241</v>
      </c>
      <c r="M266" s="176" t="s">
        <v>211</v>
      </c>
      <c r="N266" s="176" t="s">
        <v>211</v>
      </c>
      <c r="O266" s="181" t="s">
        <v>168</v>
      </c>
    </row>
    <row r="267" spans="1:15">
      <c r="A267" s="175">
        <v>6929</v>
      </c>
      <c r="B267" s="176" t="s">
        <v>1019</v>
      </c>
      <c r="C267" s="176" t="s">
        <v>161</v>
      </c>
      <c r="D267" s="175" t="s">
        <v>162</v>
      </c>
      <c r="E267" s="175">
        <v>5725946</v>
      </c>
      <c r="F267" s="176" t="s">
        <v>1020</v>
      </c>
      <c r="G267" s="177" t="s">
        <v>876</v>
      </c>
      <c r="H267" s="183"/>
      <c r="I267" s="183"/>
      <c r="J267" s="183"/>
      <c r="K267" s="183"/>
      <c r="L267" s="180">
        <v>42247</v>
      </c>
      <c r="M267" s="176" t="s">
        <v>261</v>
      </c>
      <c r="N267" s="176" t="s">
        <v>1021</v>
      </c>
      <c r="O267" s="181" t="s">
        <v>168</v>
      </c>
    </row>
    <row r="268" spans="1:15">
      <c r="A268" s="175">
        <v>6929</v>
      </c>
      <c r="B268" s="176" t="s">
        <v>1019</v>
      </c>
      <c r="C268" s="176" t="s">
        <v>161</v>
      </c>
      <c r="D268" s="175" t="s">
        <v>162</v>
      </c>
      <c r="E268" s="175">
        <v>4951143</v>
      </c>
      <c r="F268" s="176" t="s">
        <v>1022</v>
      </c>
      <c r="G268" s="177" t="s">
        <v>1023</v>
      </c>
      <c r="H268" s="183"/>
      <c r="I268" s="183"/>
      <c r="J268" s="183"/>
      <c r="K268" s="183"/>
      <c r="L268" s="180">
        <v>42487</v>
      </c>
      <c r="M268" s="176" t="s">
        <v>1024</v>
      </c>
      <c r="N268" s="176" t="s">
        <v>1025</v>
      </c>
      <c r="O268" s="181" t="s">
        <v>168</v>
      </c>
    </row>
    <row r="269" spans="1:15">
      <c r="A269" s="175">
        <v>6929</v>
      </c>
      <c r="B269" s="176" t="s">
        <v>1019</v>
      </c>
      <c r="C269" s="176" t="s">
        <v>161</v>
      </c>
      <c r="D269" s="175" t="s">
        <v>162</v>
      </c>
      <c r="E269" s="175">
        <v>5585260</v>
      </c>
      <c r="F269" s="176" t="s">
        <v>1026</v>
      </c>
      <c r="G269" s="177" t="s">
        <v>1027</v>
      </c>
      <c r="H269" s="183"/>
      <c r="I269" s="183"/>
      <c r="J269" s="183"/>
      <c r="K269" s="183"/>
      <c r="L269" s="180">
        <v>42780</v>
      </c>
      <c r="M269" s="176" t="s">
        <v>547</v>
      </c>
      <c r="N269" s="176" t="s">
        <v>1028</v>
      </c>
      <c r="O269" s="181" t="s">
        <v>248</v>
      </c>
    </row>
    <row r="270" spans="1:15">
      <c r="A270" s="175">
        <v>6936</v>
      </c>
      <c r="B270" s="176" t="s">
        <v>1029</v>
      </c>
      <c r="C270" s="176" t="s">
        <v>161</v>
      </c>
      <c r="D270" s="175" t="s">
        <v>162</v>
      </c>
      <c r="E270" s="175">
        <v>5562518</v>
      </c>
      <c r="F270" s="176" t="s">
        <v>1030</v>
      </c>
      <c r="G270" s="177" t="s">
        <v>1031</v>
      </c>
      <c r="H270" s="183"/>
      <c r="I270" s="183"/>
      <c r="J270" s="183"/>
      <c r="K270" s="183"/>
      <c r="L270" s="180">
        <v>42072</v>
      </c>
      <c r="M270" s="176" t="s">
        <v>198</v>
      </c>
      <c r="N270" s="176" t="s">
        <v>198</v>
      </c>
      <c r="O270" s="181" t="s">
        <v>168</v>
      </c>
    </row>
    <row r="271" spans="1:15">
      <c r="A271" s="175">
        <v>6936</v>
      </c>
      <c r="B271" s="176" t="s">
        <v>1029</v>
      </c>
      <c r="C271" s="176" t="s">
        <v>161</v>
      </c>
      <c r="D271" s="175" t="s">
        <v>162</v>
      </c>
      <c r="E271" s="175">
        <v>4932964</v>
      </c>
      <c r="F271" s="176" t="s">
        <v>1032</v>
      </c>
      <c r="G271" s="177" t="s">
        <v>1033</v>
      </c>
      <c r="H271" s="183"/>
      <c r="I271" s="183"/>
      <c r="J271" s="183"/>
      <c r="K271" s="183"/>
      <c r="L271" s="180">
        <v>42153</v>
      </c>
      <c r="M271" s="176" t="s">
        <v>1034</v>
      </c>
      <c r="N271" s="176" t="s">
        <v>1035</v>
      </c>
      <c r="O271" s="181" t="s">
        <v>168</v>
      </c>
    </row>
    <row r="272" spans="1:15">
      <c r="A272" s="175">
        <v>8482</v>
      </c>
      <c r="B272" s="176" t="s">
        <v>1036</v>
      </c>
      <c r="C272" s="176" t="s">
        <v>161</v>
      </c>
      <c r="D272" s="175" t="s">
        <v>162</v>
      </c>
      <c r="E272" s="175">
        <v>4432091</v>
      </c>
      <c r="F272" s="176" t="s">
        <v>1037</v>
      </c>
      <c r="G272" s="177" t="s">
        <v>754</v>
      </c>
      <c r="H272" s="184">
        <v>42907</v>
      </c>
      <c r="I272" s="185">
        <v>1234</v>
      </c>
      <c r="J272" s="185">
        <v>41.133333333333333</v>
      </c>
      <c r="K272" s="185" t="s">
        <v>165</v>
      </c>
      <c r="L272" s="180">
        <v>41344</v>
      </c>
      <c r="M272" s="176" t="s">
        <v>1038</v>
      </c>
      <c r="N272" s="176" t="s">
        <v>1039</v>
      </c>
      <c r="O272" s="181" t="s">
        <v>168</v>
      </c>
    </row>
    <row r="273" spans="1:15">
      <c r="A273" s="175">
        <v>8482</v>
      </c>
      <c r="B273" s="176" t="s">
        <v>1036</v>
      </c>
      <c r="C273" s="176" t="s">
        <v>161</v>
      </c>
      <c r="D273" s="175" t="s">
        <v>162</v>
      </c>
      <c r="E273" s="175">
        <v>5127101</v>
      </c>
      <c r="F273" s="176" t="s">
        <v>1040</v>
      </c>
      <c r="G273" s="177" t="s">
        <v>1041</v>
      </c>
      <c r="H273" s="183"/>
      <c r="I273" s="183"/>
      <c r="J273" s="183"/>
      <c r="K273" s="183"/>
      <c r="L273" s="180">
        <v>42865</v>
      </c>
      <c r="M273" s="176" t="s">
        <v>366</v>
      </c>
      <c r="N273" s="176" t="s">
        <v>366</v>
      </c>
      <c r="O273" s="181" t="s">
        <v>168</v>
      </c>
    </row>
    <row r="274" spans="1:15">
      <c r="A274" s="175">
        <v>8482</v>
      </c>
      <c r="B274" s="176" t="s">
        <v>1036</v>
      </c>
      <c r="C274" s="176" t="s">
        <v>161</v>
      </c>
      <c r="D274" s="175" t="s">
        <v>162</v>
      </c>
      <c r="E274" s="175">
        <v>4476131</v>
      </c>
      <c r="F274" s="176" t="s">
        <v>1042</v>
      </c>
      <c r="G274" s="177" t="s">
        <v>1043</v>
      </c>
      <c r="H274" s="183"/>
      <c r="I274" s="183"/>
      <c r="J274" s="183"/>
      <c r="K274" s="183"/>
      <c r="L274" s="180">
        <v>42095</v>
      </c>
      <c r="M274" s="176" t="s">
        <v>275</v>
      </c>
      <c r="N274" s="176" t="s">
        <v>1044</v>
      </c>
      <c r="O274" s="181" t="s">
        <v>173</v>
      </c>
    </row>
    <row r="275" spans="1:15">
      <c r="A275" s="175">
        <v>8482</v>
      </c>
      <c r="B275" s="176" t="s">
        <v>1036</v>
      </c>
      <c r="C275" s="176" t="s">
        <v>161</v>
      </c>
      <c r="D275" s="175" t="s">
        <v>162</v>
      </c>
      <c r="E275" s="175">
        <v>5582907</v>
      </c>
      <c r="F275" s="176" t="s">
        <v>1045</v>
      </c>
      <c r="G275" s="177" t="s">
        <v>1046</v>
      </c>
      <c r="H275" s="183"/>
      <c r="I275" s="183"/>
      <c r="J275" s="183"/>
      <c r="K275" s="183"/>
      <c r="L275" s="180">
        <v>42865</v>
      </c>
      <c r="M275" s="176" t="s">
        <v>366</v>
      </c>
      <c r="N275" s="176" t="s">
        <v>366</v>
      </c>
      <c r="O275" s="181" t="s">
        <v>168</v>
      </c>
    </row>
    <row r="276" spans="1:15">
      <c r="A276" s="175">
        <v>8482</v>
      </c>
      <c r="B276" s="176" t="s">
        <v>1036</v>
      </c>
      <c r="C276" s="176" t="s">
        <v>161</v>
      </c>
      <c r="D276" s="175" t="s">
        <v>162</v>
      </c>
      <c r="E276" s="175">
        <v>4631628</v>
      </c>
      <c r="F276" s="176" t="s">
        <v>1047</v>
      </c>
      <c r="G276" s="177" t="s">
        <v>1048</v>
      </c>
      <c r="H276" s="183"/>
      <c r="I276" s="183"/>
      <c r="J276" s="183"/>
      <c r="K276" s="183"/>
      <c r="L276" s="180">
        <v>41212</v>
      </c>
      <c r="M276" s="176" t="s">
        <v>1038</v>
      </c>
      <c r="N276" s="176" t="s">
        <v>1039</v>
      </c>
      <c r="O276" s="181" t="s">
        <v>168</v>
      </c>
    </row>
    <row r="277" spans="1:15">
      <c r="A277" s="175">
        <v>8849</v>
      </c>
      <c r="B277" s="176" t="s">
        <v>1049</v>
      </c>
      <c r="C277" s="176" t="s">
        <v>161</v>
      </c>
      <c r="D277" s="175" t="s">
        <v>162</v>
      </c>
      <c r="E277" s="175">
        <v>4218365</v>
      </c>
      <c r="F277" s="176" t="s">
        <v>1050</v>
      </c>
      <c r="G277" s="177" t="s">
        <v>1051</v>
      </c>
      <c r="H277" s="183"/>
      <c r="I277" s="183"/>
      <c r="J277" s="183"/>
      <c r="K277" s="183"/>
      <c r="L277" s="180">
        <v>41691</v>
      </c>
      <c r="M277" s="176" t="s">
        <v>211</v>
      </c>
      <c r="N277" s="176" t="s">
        <v>211</v>
      </c>
      <c r="O277" s="181" t="s">
        <v>168</v>
      </c>
    </row>
    <row r="278" spans="1:15">
      <c r="A278" s="175">
        <v>8849</v>
      </c>
      <c r="B278" s="176" t="s">
        <v>1049</v>
      </c>
      <c r="C278" s="176" t="s">
        <v>161</v>
      </c>
      <c r="D278" s="175" t="s">
        <v>162</v>
      </c>
      <c r="E278" s="175">
        <v>4602830</v>
      </c>
      <c r="F278" s="176" t="s">
        <v>1052</v>
      </c>
      <c r="G278" s="177" t="s">
        <v>1053</v>
      </c>
      <c r="H278" s="183"/>
      <c r="I278" s="183"/>
      <c r="J278" s="183"/>
      <c r="K278" s="183"/>
      <c r="L278" s="180">
        <v>41871</v>
      </c>
      <c r="M278" s="176" t="s">
        <v>709</v>
      </c>
      <c r="N278" s="176" t="s">
        <v>1054</v>
      </c>
      <c r="O278" s="181" t="s">
        <v>168</v>
      </c>
    </row>
    <row r="279" spans="1:15">
      <c r="A279" s="175">
        <v>12607</v>
      </c>
      <c r="B279" s="176" t="s">
        <v>1055</v>
      </c>
      <c r="C279" s="176" t="s">
        <v>161</v>
      </c>
      <c r="D279" s="175" t="s">
        <v>162</v>
      </c>
      <c r="E279" s="175">
        <v>5493651</v>
      </c>
      <c r="F279" s="176" t="s">
        <v>1056</v>
      </c>
      <c r="G279" s="177" t="s">
        <v>1057</v>
      </c>
      <c r="H279" s="184">
        <v>42907</v>
      </c>
      <c r="I279" s="185">
        <v>1086</v>
      </c>
      <c r="J279" s="185">
        <v>36.200000000000003</v>
      </c>
      <c r="K279" s="185" t="s">
        <v>165</v>
      </c>
      <c r="L279" s="180">
        <v>42446</v>
      </c>
      <c r="M279" s="176" t="s">
        <v>198</v>
      </c>
      <c r="N279" s="176" t="s">
        <v>1058</v>
      </c>
      <c r="O279" s="181" t="s">
        <v>168</v>
      </c>
    </row>
    <row r="280" spans="1:15">
      <c r="A280" s="175">
        <v>12607</v>
      </c>
      <c r="B280" s="176" t="s">
        <v>1055</v>
      </c>
      <c r="C280" s="176" t="s">
        <v>161</v>
      </c>
      <c r="D280" s="175" t="s">
        <v>162</v>
      </c>
      <c r="E280" s="175">
        <v>5121515</v>
      </c>
      <c r="F280" s="176" t="s">
        <v>1059</v>
      </c>
      <c r="G280" s="177" t="s">
        <v>1060</v>
      </c>
      <c r="H280" s="183"/>
      <c r="I280" s="183"/>
      <c r="J280" s="183"/>
      <c r="K280" s="183"/>
      <c r="L280" s="180">
        <v>42458</v>
      </c>
      <c r="M280" s="176" t="s">
        <v>366</v>
      </c>
      <c r="N280" s="176" t="s">
        <v>1061</v>
      </c>
      <c r="O280" s="181" t="s">
        <v>168</v>
      </c>
    </row>
    <row r="281" spans="1:15">
      <c r="A281" s="175">
        <v>12607</v>
      </c>
      <c r="B281" s="176" t="s">
        <v>1055</v>
      </c>
      <c r="C281" s="176" t="s">
        <v>161</v>
      </c>
      <c r="D281" s="175" t="s">
        <v>162</v>
      </c>
      <c r="E281" s="175">
        <v>5121526</v>
      </c>
      <c r="F281" s="176" t="s">
        <v>1062</v>
      </c>
      <c r="G281" s="177" t="s">
        <v>1063</v>
      </c>
      <c r="H281" s="183"/>
      <c r="I281" s="183"/>
      <c r="J281" s="183"/>
      <c r="K281" s="183"/>
      <c r="L281" s="180">
        <v>42753</v>
      </c>
      <c r="M281" s="176" t="s">
        <v>193</v>
      </c>
      <c r="N281" s="176" t="s">
        <v>637</v>
      </c>
      <c r="O281" s="181" t="s">
        <v>168</v>
      </c>
    </row>
    <row r="282" spans="1:15">
      <c r="A282" s="175">
        <v>12607</v>
      </c>
      <c r="B282" s="176" t="s">
        <v>1055</v>
      </c>
      <c r="C282" s="176" t="s">
        <v>161</v>
      </c>
      <c r="D282" s="175" t="s">
        <v>162</v>
      </c>
      <c r="E282" s="175">
        <v>6173258</v>
      </c>
      <c r="F282" s="176" t="s">
        <v>1064</v>
      </c>
      <c r="G282" s="177" t="s">
        <v>1065</v>
      </c>
      <c r="H282" s="183"/>
      <c r="I282" s="183"/>
      <c r="J282" s="183"/>
      <c r="K282" s="183"/>
      <c r="L282" s="180">
        <v>42779</v>
      </c>
      <c r="M282" s="176" t="s">
        <v>261</v>
      </c>
      <c r="N282" s="176" t="s">
        <v>631</v>
      </c>
      <c r="O282" s="181" t="s">
        <v>168</v>
      </c>
    </row>
    <row r="283" spans="1:15">
      <c r="A283" s="175">
        <v>12607</v>
      </c>
      <c r="B283" s="176" t="s">
        <v>1055</v>
      </c>
      <c r="C283" s="176" t="s">
        <v>161</v>
      </c>
      <c r="D283" s="175" t="s">
        <v>162</v>
      </c>
      <c r="E283" s="175">
        <v>5730363</v>
      </c>
      <c r="F283" s="176" t="s">
        <v>1066</v>
      </c>
      <c r="G283" s="177" t="s">
        <v>1067</v>
      </c>
      <c r="H283" s="183"/>
      <c r="I283" s="183"/>
      <c r="J283" s="183"/>
      <c r="K283" s="183"/>
      <c r="L283" s="180">
        <v>42776</v>
      </c>
      <c r="M283" s="176" t="s">
        <v>193</v>
      </c>
      <c r="N283" s="176" t="s">
        <v>1068</v>
      </c>
      <c r="O283" s="181" t="s">
        <v>168</v>
      </c>
    </row>
    <row r="284" spans="1:15">
      <c r="A284" s="175">
        <v>9478</v>
      </c>
      <c r="B284" s="176" t="s">
        <v>1069</v>
      </c>
      <c r="C284" s="176" t="s">
        <v>161</v>
      </c>
      <c r="D284" s="175" t="s">
        <v>162</v>
      </c>
      <c r="E284" s="175">
        <v>5151017</v>
      </c>
      <c r="F284" s="176" t="s">
        <v>1070</v>
      </c>
      <c r="G284" s="177" t="s">
        <v>1071</v>
      </c>
      <c r="H284" s="184">
        <v>42907</v>
      </c>
      <c r="I284" s="185">
        <v>496</v>
      </c>
      <c r="J284" s="185">
        <v>16.533333333333335</v>
      </c>
      <c r="K284" s="185" t="s">
        <v>192</v>
      </c>
      <c r="L284" s="180">
        <v>42592</v>
      </c>
      <c r="M284" s="176" t="s">
        <v>465</v>
      </c>
      <c r="N284" s="176" t="s">
        <v>1072</v>
      </c>
      <c r="O284" s="181" t="s">
        <v>168</v>
      </c>
    </row>
    <row r="285" spans="1:15">
      <c r="A285" s="175">
        <v>9478</v>
      </c>
      <c r="B285" s="176" t="s">
        <v>1069</v>
      </c>
      <c r="C285" s="176" t="s">
        <v>161</v>
      </c>
      <c r="D285" s="175" t="s">
        <v>162</v>
      </c>
      <c r="E285" s="175">
        <v>5879341</v>
      </c>
      <c r="F285" s="176" t="s">
        <v>1073</v>
      </c>
      <c r="G285" s="177" t="s">
        <v>1074</v>
      </c>
      <c r="H285" s="184">
        <v>42907</v>
      </c>
      <c r="I285" s="185">
        <v>876</v>
      </c>
      <c r="J285" s="185">
        <v>29.2</v>
      </c>
      <c r="K285" s="185" t="s">
        <v>165</v>
      </c>
      <c r="L285" s="180">
        <v>42745</v>
      </c>
      <c r="M285" s="176" t="s">
        <v>802</v>
      </c>
      <c r="N285" s="176" t="s">
        <v>1075</v>
      </c>
      <c r="O285" s="181" t="s">
        <v>168</v>
      </c>
    </row>
    <row r="286" spans="1:15">
      <c r="A286" s="175">
        <v>9478</v>
      </c>
      <c r="B286" s="176" t="s">
        <v>1069</v>
      </c>
      <c r="C286" s="176" t="s">
        <v>161</v>
      </c>
      <c r="D286" s="175" t="s">
        <v>162</v>
      </c>
      <c r="E286" s="175">
        <v>5734520</v>
      </c>
      <c r="F286" s="176" t="s">
        <v>1076</v>
      </c>
      <c r="G286" s="177" t="s">
        <v>1077</v>
      </c>
      <c r="H286" s="183"/>
      <c r="I286" s="183"/>
      <c r="J286" s="183"/>
      <c r="K286" s="183"/>
      <c r="L286" s="180">
        <v>42795</v>
      </c>
      <c r="M286" s="176" t="s">
        <v>187</v>
      </c>
      <c r="N286" s="176" t="s">
        <v>187</v>
      </c>
      <c r="O286" s="181" t="s">
        <v>168</v>
      </c>
    </row>
    <row r="287" spans="1:15">
      <c r="A287" s="175">
        <v>9478</v>
      </c>
      <c r="B287" s="176" t="s">
        <v>1069</v>
      </c>
      <c r="C287" s="176" t="s">
        <v>161</v>
      </c>
      <c r="D287" s="175" t="s">
        <v>162</v>
      </c>
      <c r="E287" s="175">
        <v>5954859</v>
      </c>
      <c r="F287" s="176" t="s">
        <v>1078</v>
      </c>
      <c r="G287" s="177" t="s">
        <v>1079</v>
      </c>
      <c r="H287" s="183"/>
      <c r="I287" s="183"/>
      <c r="J287" s="183"/>
      <c r="K287" s="183"/>
      <c r="L287" s="180">
        <v>42842</v>
      </c>
      <c r="M287" s="176" t="s">
        <v>166</v>
      </c>
      <c r="N287" s="176" t="s">
        <v>327</v>
      </c>
      <c r="O287" s="181" t="s">
        <v>168</v>
      </c>
    </row>
    <row r="288" spans="1:15">
      <c r="A288" s="175">
        <v>9478</v>
      </c>
      <c r="B288" s="176" t="s">
        <v>1069</v>
      </c>
      <c r="C288" s="176" t="s">
        <v>161</v>
      </c>
      <c r="D288" s="175" t="s">
        <v>162</v>
      </c>
      <c r="E288" s="175">
        <v>6204066</v>
      </c>
      <c r="F288" s="176" t="s">
        <v>1080</v>
      </c>
      <c r="G288" s="177" t="s">
        <v>1081</v>
      </c>
      <c r="H288" s="183"/>
      <c r="I288" s="183"/>
      <c r="J288" s="183"/>
      <c r="K288" s="183"/>
      <c r="L288" s="180">
        <v>42789</v>
      </c>
      <c r="M288" s="176" t="s">
        <v>1082</v>
      </c>
      <c r="N288" s="176" t="s">
        <v>1083</v>
      </c>
      <c r="O288" s="181" t="s">
        <v>173</v>
      </c>
    </row>
    <row r="289" spans="1:15">
      <c r="A289" s="175">
        <v>9478</v>
      </c>
      <c r="B289" s="176" t="s">
        <v>1069</v>
      </c>
      <c r="C289" s="176" t="s">
        <v>161</v>
      </c>
      <c r="D289" s="175" t="s">
        <v>162</v>
      </c>
      <c r="E289" s="175">
        <v>5652156</v>
      </c>
      <c r="F289" s="176" t="s">
        <v>1084</v>
      </c>
      <c r="G289" s="177" t="s">
        <v>1085</v>
      </c>
      <c r="H289" s="183"/>
      <c r="I289" s="183"/>
      <c r="J289" s="183"/>
      <c r="K289" s="183"/>
      <c r="L289" s="180">
        <v>42593</v>
      </c>
      <c r="M289" s="176" t="s">
        <v>580</v>
      </c>
      <c r="N289" s="176" t="s">
        <v>1086</v>
      </c>
      <c r="O289" s="181" t="s">
        <v>248</v>
      </c>
    </row>
    <row r="290" spans="1:15">
      <c r="A290" s="175">
        <v>9478</v>
      </c>
      <c r="B290" s="176" t="s">
        <v>1069</v>
      </c>
      <c r="C290" s="176" t="s">
        <v>161</v>
      </c>
      <c r="D290" s="175" t="s">
        <v>162</v>
      </c>
      <c r="E290" s="175">
        <v>6734463</v>
      </c>
      <c r="F290" s="176" t="s">
        <v>1087</v>
      </c>
      <c r="G290" s="177" t="s">
        <v>1088</v>
      </c>
      <c r="H290" s="183"/>
      <c r="I290" s="183"/>
      <c r="J290" s="183"/>
      <c r="K290" s="183"/>
      <c r="L290" s="180">
        <v>42850</v>
      </c>
      <c r="M290" s="176" t="s">
        <v>193</v>
      </c>
      <c r="N290" s="176" t="s">
        <v>1089</v>
      </c>
      <c r="O290" s="181" t="s">
        <v>168</v>
      </c>
    </row>
    <row r="291" spans="1:15">
      <c r="A291" s="175">
        <v>9478</v>
      </c>
      <c r="B291" s="176" t="s">
        <v>1069</v>
      </c>
      <c r="C291" s="176" t="s">
        <v>161</v>
      </c>
      <c r="D291" s="175" t="s">
        <v>162</v>
      </c>
      <c r="E291" s="175">
        <v>5792844</v>
      </c>
      <c r="F291" s="176" t="s">
        <v>1090</v>
      </c>
      <c r="G291" s="177" t="s">
        <v>1091</v>
      </c>
      <c r="H291" s="183"/>
      <c r="I291" s="183"/>
      <c r="J291" s="183"/>
      <c r="K291" s="183"/>
      <c r="L291" s="180">
        <v>42746</v>
      </c>
      <c r="M291" s="176" t="s">
        <v>166</v>
      </c>
      <c r="N291" s="176" t="s">
        <v>296</v>
      </c>
      <c r="O291" s="181" t="s">
        <v>168</v>
      </c>
    </row>
    <row r="292" spans="1:15">
      <c r="A292" s="175">
        <v>9478</v>
      </c>
      <c r="B292" s="176" t="s">
        <v>1069</v>
      </c>
      <c r="C292" s="176" t="s">
        <v>161</v>
      </c>
      <c r="D292" s="175" t="s">
        <v>162</v>
      </c>
      <c r="E292" s="175">
        <v>6270052</v>
      </c>
      <c r="F292" s="176" t="s">
        <v>1092</v>
      </c>
      <c r="G292" s="177" t="s">
        <v>1093</v>
      </c>
      <c r="H292" s="183"/>
      <c r="I292" s="183"/>
      <c r="J292" s="183"/>
      <c r="K292" s="183"/>
      <c r="L292" s="180">
        <v>42592</v>
      </c>
      <c r="M292" s="176" t="s">
        <v>166</v>
      </c>
      <c r="N292" s="176" t="s">
        <v>344</v>
      </c>
      <c r="O292" s="181" t="s">
        <v>168</v>
      </c>
    </row>
    <row r="293" spans="1:15">
      <c r="A293" s="175">
        <v>9478</v>
      </c>
      <c r="B293" s="176" t="s">
        <v>1069</v>
      </c>
      <c r="C293" s="176" t="s">
        <v>161</v>
      </c>
      <c r="D293" s="175" t="s">
        <v>162</v>
      </c>
      <c r="E293" s="175">
        <v>5724798</v>
      </c>
      <c r="F293" s="176" t="s">
        <v>1094</v>
      </c>
      <c r="G293" s="177" t="s">
        <v>626</v>
      </c>
      <c r="H293" s="183"/>
      <c r="I293" s="183"/>
      <c r="J293" s="183"/>
      <c r="K293" s="183"/>
      <c r="L293" s="180">
        <v>42592</v>
      </c>
      <c r="M293" s="176" t="s">
        <v>366</v>
      </c>
      <c r="N293" s="176" t="s">
        <v>1095</v>
      </c>
      <c r="O293" s="181" t="s">
        <v>168</v>
      </c>
    </row>
    <row r="294" spans="1:15">
      <c r="A294" s="175">
        <v>6593</v>
      </c>
      <c r="B294" s="176" t="s">
        <v>1096</v>
      </c>
      <c r="C294" s="176" t="s">
        <v>161</v>
      </c>
      <c r="D294" s="175" t="s">
        <v>162</v>
      </c>
      <c r="E294" s="175">
        <v>5922580</v>
      </c>
      <c r="F294" s="176" t="s">
        <v>1097</v>
      </c>
      <c r="G294" s="177" t="s">
        <v>1098</v>
      </c>
      <c r="H294" s="184">
        <v>42907</v>
      </c>
      <c r="I294" s="185">
        <v>1536</v>
      </c>
      <c r="J294" s="185">
        <v>51.2</v>
      </c>
      <c r="K294" s="185" t="s">
        <v>210</v>
      </c>
      <c r="L294" s="180">
        <v>42851</v>
      </c>
      <c r="M294" s="176" t="s">
        <v>198</v>
      </c>
      <c r="N294" s="176" t="s">
        <v>198</v>
      </c>
      <c r="O294" s="181" t="s">
        <v>168</v>
      </c>
    </row>
    <row r="295" spans="1:15">
      <c r="A295" s="175">
        <v>6593</v>
      </c>
      <c r="B295" s="176" t="s">
        <v>1096</v>
      </c>
      <c r="C295" s="176" t="s">
        <v>161</v>
      </c>
      <c r="D295" s="175" t="s">
        <v>162</v>
      </c>
      <c r="E295" s="175">
        <v>5690229</v>
      </c>
      <c r="F295" s="176" t="s">
        <v>1099</v>
      </c>
      <c r="G295" s="177" t="s">
        <v>1100</v>
      </c>
      <c r="H295" s="184">
        <v>42907</v>
      </c>
      <c r="I295" s="185">
        <v>995</v>
      </c>
      <c r="J295" s="185">
        <v>33.166666666666664</v>
      </c>
      <c r="K295" s="185" t="s">
        <v>165</v>
      </c>
      <c r="L295" s="180">
        <v>42800</v>
      </c>
      <c r="M295" s="176" t="s">
        <v>670</v>
      </c>
      <c r="N295" s="176" t="s">
        <v>671</v>
      </c>
      <c r="O295" s="181" t="s">
        <v>173</v>
      </c>
    </row>
    <row r="296" spans="1:15">
      <c r="A296" s="175">
        <v>6593</v>
      </c>
      <c r="B296" s="176" t="s">
        <v>1096</v>
      </c>
      <c r="C296" s="176" t="s">
        <v>161</v>
      </c>
      <c r="D296" s="175" t="s">
        <v>162</v>
      </c>
      <c r="E296" s="175">
        <v>6079506</v>
      </c>
      <c r="F296" s="176" t="s">
        <v>1101</v>
      </c>
      <c r="G296" s="177" t="s">
        <v>1102</v>
      </c>
      <c r="H296" s="184">
        <v>42907</v>
      </c>
      <c r="I296" s="185">
        <v>1507</v>
      </c>
      <c r="J296" s="185">
        <v>50.233333333333334</v>
      </c>
      <c r="K296" s="185" t="s">
        <v>210</v>
      </c>
      <c r="L296" s="180">
        <v>42800</v>
      </c>
      <c r="M296" s="176" t="s">
        <v>271</v>
      </c>
      <c r="N296" s="176" t="s">
        <v>333</v>
      </c>
      <c r="O296" s="181" t="s">
        <v>168</v>
      </c>
    </row>
    <row r="297" spans="1:15">
      <c r="A297" s="175">
        <v>6593</v>
      </c>
      <c r="B297" s="176" t="s">
        <v>1096</v>
      </c>
      <c r="C297" s="176" t="s">
        <v>161</v>
      </c>
      <c r="D297" s="175" t="s">
        <v>162</v>
      </c>
      <c r="E297" s="175">
        <v>6284472</v>
      </c>
      <c r="F297" s="176" t="s">
        <v>1103</v>
      </c>
      <c r="G297" s="177" t="s">
        <v>1104</v>
      </c>
      <c r="H297" s="184">
        <v>42907</v>
      </c>
      <c r="I297" s="185">
        <v>1209</v>
      </c>
      <c r="J297" s="185">
        <v>40.299999999999997</v>
      </c>
      <c r="K297" s="185" t="s">
        <v>165</v>
      </c>
      <c r="L297" s="180">
        <v>42865</v>
      </c>
      <c r="M297" s="176" t="s">
        <v>1082</v>
      </c>
      <c r="N297" s="176" t="s">
        <v>1105</v>
      </c>
      <c r="O297" s="181" t="s">
        <v>173</v>
      </c>
    </row>
    <row r="298" spans="1:15">
      <c r="A298" s="175">
        <v>6593</v>
      </c>
      <c r="B298" s="176" t="s">
        <v>1096</v>
      </c>
      <c r="C298" s="176" t="s">
        <v>161</v>
      </c>
      <c r="D298" s="175" t="s">
        <v>162</v>
      </c>
      <c r="E298" s="175">
        <v>6359902</v>
      </c>
      <c r="F298" s="176" t="s">
        <v>1106</v>
      </c>
      <c r="G298" s="177" t="s">
        <v>1107</v>
      </c>
      <c r="H298" s="183"/>
      <c r="I298" s="183"/>
      <c r="J298" s="183"/>
      <c r="K298" s="183"/>
      <c r="L298" s="180">
        <v>42612</v>
      </c>
      <c r="M298" s="176" t="s">
        <v>1108</v>
      </c>
      <c r="N298" s="176" t="s">
        <v>1109</v>
      </c>
      <c r="O298" s="181" t="s">
        <v>248</v>
      </c>
    </row>
    <row r="299" spans="1:15">
      <c r="A299" s="175">
        <v>6583</v>
      </c>
      <c r="B299" s="176" t="s">
        <v>1110</v>
      </c>
      <c r="C299" s="176" t="s">
        <v>161</v>
      </c>
      <c r="D299" s="175" t="s">
        <v>162</v>
      </c>
      <c r="E299" s="175">
        <v>5723473</v>
      </c>
      <c r="F299" s="176" t="s">
        <v>1111</v>
      </c>
      <c r="G299" s="177" t="s">
        <v>1112</v>
      </c>
      <c r="H299" s="184">
        <v>42907</v>
      </c>
      <c r="I299" s="185">
        <v>1518</v>
      </c>
      <c r="J299" s="185">
        <v>50.6</v>
      </c>
      <c r="K299" s="185" t="s">
        <v>210</v>
      </c>
      <c r="L299" s="180">
        <v>42816</v>
      </c>
      <c r="M299" s="176" t="s">
        <v>301</v>
      </c>
      <c r="N299" s="176" t="s">
        <v>1113</v>
      </c>
      <c r="O299" s="181" t="s">
        <v>168</v>
      </c>
    </row>
    <row r="300" spans="1:15">
      <c r="A300" s="175">
        <v>6583</v>
      </c>
      <c r="B300" s="176" t="s">
        <v>1110</v>
      </c>
      <c r="C300" s="176" t="s">
        <v>161</v>
      </c>
      <c r="D300" s="175" t="s">
        <v>162</v>
      </c>
      <c r="E300" s="175">
        <v>5748875</v>
      </c>
      <c r="F300" s="176" t="s">
        <v>1114</v>
      </c>
      <c r="G300" s="177" t="s">
        <v>1115</v>
      </c>
      <c r="H300" s="184">
        <v>42907</v>
      </c>
      <c r="I300" s="185">
        <v>1248</v>
      </c>
      <c r="J300" s="185">
        <v>41.6</v>
      </c>
      <c r="K300" s="185" t="s">
        <v>165</v>
      </c>
      <c r="L300" s="180">
        <v>42879</v>
      </c>
      <c r="M300" s="176" t="s">
        <v>211</v>
      </c>
      <c r="N300" s="176" t="s">
        <v>909</v>
      </c>
      <c r="O300" s="181" t="s">
        <v>168</v>
      </c>
    </row>
    <row r="301" spans="1:15">
      <c r="A301" s="175">
        <v>6583</v>
      </c>
      <c r="B301" s="176" t="s">
        <v>1110</v>
      </c>
      <c r="C301" s="176" t="s">
        <v>161</v>
      </c>
      <c r="D301" s="175" t="s">
        <v>162</v>
      </c>
      <c r="E301" s="175">
        <v>6415389</v>
      </c>
      <c r="F301" s="176" t="s">
        <v>1116</v>
      </c>
      <c r="G301" s="177" t="s">
        <v>1117</v>
      </c>
      <c r="H301" s="183"/>
      <c r="I301" s="183"/>
      <c r="J301" s="183"/>
      <c r="K301" s="183"/>
      <c r="L301" s="180">
        <v>42860</v>
      </c>
      <c r="M301" s="176" t="s">
        <v>465</v>
      </c>
      <c r="N301" s="176" t="s">
        <v>1118</v>
      </c>
      <c r="O301" s="181" t="s">
        <v>168</v>
      </c>
    </row>
    <row r="302" spans="1:15">
      <c r="A302" s="175">
        <v>13517</v>
      </c>
      <c r="B302" s="176" t="s">
        <v>1119</v>
      </c>
      <c r="C302" s="176" t="s">
        <v>161</v>
      </c>
      <c r="D302" s="175" t="s">
        <v>162</v>
      </c>
      <c r="E302" s="175">
        <v>5905936</v>
      </c>
      <c r="F302" s="176" t="s">
        <v>1120</v>
      </c>
      <c r="G302" s="177" t="s">
        <v>1121</v>
      </c>
      <c r="H302" s="184">
        <v>42907</v>
      </c>
      <c r="I302" s="185">
        <v>1488</v>
      </c>
      <c r="J302" s="185">
        <v>49.6</v>
      </c>
      <c r="K302" s="185" t="s">
        <v>210</v>
      </c>
      <c r="L302" s="180">
        <v>42850</v>
      </c>
      <c r="M302" s="176" t="s">
        <v>887</v>
      </c>
      <c r="N302" s="176" t="s">
        <v>888</v>
      </c>
      <c r="O302" s="181" t="s">
        <v>168</v>
      </c>
    </row>
    <row r="303" spans="1:15">
      <c r="A303" s="175">
        <v>13517</v>
      </c>
      <c r="B303" s="176" t="s">
        <v>1119</v>
      </c>
      <c r="C303" s="176" t="s">
        <v>161</v>
      </c>
      <c r="D303" s="175" t="s">
        <v>162</v>
      </c>
      <c r="E303" s="175">
        <v>6070864</v>
      </c>
      <c r="F303" s="176" t="s">
        <v>1122</v>
      </c>
      <c r="G303" s="177" t="s">
        <v>1123</v>
      </c>
      <c r="H303" s="183"/>
      <c r="I303" s="183"/>
      <c r="J303" s="183"/>
      <c r="K303" s="183"/>
      <c r="L303" s="180">
        <v>42870</v>
      </c>
      <c r="M303" s="176" t="s">
        <v>1124</v>
      </c>
      <c r="N303" s="176" t="s">
        <v>1125</v>
      </c>
      <c r="O303" s="181" t="s">
        <v>168</v>
      </c>
    </row>
    <row r="304" spans="1:15">
      <c r="A304" s="175">
        <v>13517</v>
      </c>
      <c r="B304" s="176" t="s">
        <v>1119</v>
      </c>
      <c r="C304" s="176" t="s">
        <v>161</v>
      </c>
      <c r="D304" s="175" t="s">
        <v>162</v>
      </c>
      <c r="E304" s="175">
        <v>5861815</v>
      </c>
      <c r="F304" s="176" t="s">
        <v>1126</v>
      </c>
      <c r="G304" s="177" t="s">
        <v>1127</v>
      </c>
      <c r="H304" s="183"/>
      <c r="I304" s="183"/>
      <c r="J304" s="183"/>
      <c r="K304" s="183"/>
      <c r="L304" s="180">
        <v>42863</v>
      </c>
      <c r="M304" s="176" t="s">
        <v>193</v>
      </c>
      <c r="N304" s="176" t="s">
        <v>472</v>
      </c>
      <c r="O304" s="181" t="s">
        <v>168</v>
      </c>
    </row>
    <row r="305" spans="1:15">
      <c r="A305" s="175">
        <v>13517</v>
      </c>
      <c r="B305" s="176" t="s">
        <v>1119</v>
      </c>
      <c r="C305" s="176" t="s">
        <v>161</v>
      </c>
      <c r="D305" s="175" t="s">
        <v>162</v>
      </c>
      <c r="E305" s="175">
        <v>5847539</v>
      </c>
      <c r="F305" s="176" t="s">
        <v>1128</v>
      </c>
      <c r="G305" s="177" t="s">
        <v>1129</v>
      </c>
      <c r="H305" s="183"/>
      <c r="I305" s="183"/>
      <c r="J305" s="183"/>
      <c r="K305" s="183"/>
      <c r="L305" s="180">
        <v>42850</v>
      </c>
      <c r="M305" s="176" t="s">
        <v>1130</v>
      </c>
      <c r="N305" s="176" t="s">
        <v>1131</v>
      </c>
      <c r="O305" s="181" t="s">
        <v>248</v>
      </c>
    </row>
    <row r="306" spans="1:15">
      <c r="A306" s="175">
        <v>13517</v>
      </c>
      <c r="B306" s="176" t="s">
        <v>1119</v>
      </c>
      <c r="C306" s="176" t="s">
        <v>161</v>
      </c>
      <c r="D306" s="175" t="s">
        <v>162</v>
      </c>
      <c r="E306" s="175">
        <v>6797684</v>
      </c>
      <c r="F306" s="176" t="s">
        <v>1132</v>
      </c>
      <c r="G306" s="177" t="s">
        <v>1133</v>
      </c>
      <c r="H306" s="183"/>
      <c r="I306" s="183"/>
      <c r="J306" s="183"/>
      <c r="K306" s="183"/>
      <c r="L306" s="180">
        <v>42874</v>
      </c>
      <c r="M306" s="176" t="s">
        <v>193</v>
      </c>
      <c r="N306" s="176" t="s">
        <v>194</v>
      </c>
      <c r="O306" s="181" t="s">
        <v>168</v>
      </c>
    </row>
    <row r="307" spans="1:15">
      <c r="A307" s="175">
        <v>6581</v>
      </c>
      <c r="B307" s="176" t="s">
        <v>1134</v>
      </c>
      <c r="C307" s="176" t="s">
        <v>161</v>
      </c>
      <c r="D307" s="175" t="s">
        <v>162</v>
      </c>
      <c r="E307" s="175">
        <v>6031150</v>
      </c>
      <c r="F307" s="176" t="s">
        <v>1135</v>
      </c>
      <c r="G307" s="177" t="s">
        <v>1136</v>
      </c>
      <c r="H307" s="183"/>
      <c r="I307" s="183"/>
      <c r="J307" s="183"/>
      <c r="K307" s="183"/>
      <c r="L307" s="180">
        <v>42802</v>
      </c>
      <c r="M307" s="176" t="s">
        <v>261</v>
      </c>
      <c r="N307" s="176" t="s">
        <v>631</v>
      </c>
      <c r="O307" s="181" t="s">
        <v>168</v>
      </c>
    </row>
    <row r="308" spans="1:15">
      <c r="A308" s="175">
        <v>6581</v>
      </c>
      <c r="B308" s="176" t="s">
        <v>1134</v>
      </c>
      <c r="C308" s="176" t="s">
        <v>161</v>
      </c>
      <c r="D308" s="175" t="s">
        <v>162</v>
      </c>
      <c r="E308" s="175">
        <v>5616840</v>
      </c>
      <c r="F308" s="176" t="s">
        <v>1137</v>
      </c>
      <c r="G308" s="177" t="s">
        <v>1138</v>
      </c>
      <c r="H308" s="183"/>
      <c r="I308" s="183"/>
      <c r="J308" s="183"/>
      <c r="K308" s="183"/>
      <c r="L308" s="180">
        <v>42340</v>
      </c>
      <c r="M308" s="176" t="s">
        <v>211</v>
      </c>
      <c r="N308" s="176" t="s">
        <v>1139</v>
      </c>
      <c r="O308" s="181" t="s">
        <v>168</v>
      </c>
    </row>
    <row r="309" spans="1:15">
      <c r="A309" s="175">
        <v>6581</v>
      </c>
      <c r="B309" s="176" t="s">
        <v>1134</v>
      </c>
      <c r="C309" s="176" t="s">
        <v>161</v>
      </c>
      <c r="D309" s="175" t="s">
        <v>162</v>
      </c>
      <c r="E309" s="175">
        <v>5538795</v>
      </c>
      <c r="F309" s="176" t="s">
        <v>1140</v>
      </c>
      <c r="G309" s="177" t="s">
        <v>1141</v>
      </c>
      <c r="H309" s="183"/>
      <c r="I309" s="183"/>
      <c r="J309" s="183"/>
      <c r="K309" s="183"/>
      <c r="L309" s="180">
        <v>41729</v>
      </c>
      <c r="M309" s="176" t="s">
        <v>802</v>
      </c>
      <c r="N309" s="176" t="s">
        <v>1142</v>
      </c>
      <c r="O309" s="181" t="s">
        <v>168</v>
      </c>
    </row>
    <row r="310" spans="1:15">
      <c r="A310" s="175">
        <v>6582</v>
      </c>
      <c r="B310" s="176" t="s">
        <v>1143</v>
      </c>
      <c r="C310" s="176" t="s">
        <v>161</v>
      </c>
      <c r="D310" s="175" t="s">
        <v>162</v>
      </c>
      <c r="E310" s="175">
        <v>5638413</v>
      </c>
      <c r="F310" s="176" t="s">
        <v>1144</v>
      </c>
      <c r="G310" s="177" t="s">
        <v>1145</v>
      </c>
      <c r="H310" s="184">
        <v>42907</v>
      </c>
      <c r="I310" s="185">
        <v>860</v>
      </c>
      <c r="J310" s="185">
        <v>28.666666666666668</v>
      </c>
      <c r="K310" s="185" t="s">
        <v>165</v>
      </c>
      <c r="L310" s="180">
        <v>42857</v>
      </c>
      <c r="M310" s="176" t="s">
        <v>193</v>
      </c>
      <c r="N310" s="176" t="s">
        <v>194</v>
      </c>
      <c r="O310" s="181" t="s">
        <v>168</v>
      </c>
    </row>
    <row r="311" spans="1:15">
      <c r="A311" s="175">
        <v>6582</v>
      </c>
      <c r="B311" s="176" t="s">
        <v>1143</v>
      </c>
      <c r="C311" s="176" t="s">
        <v>161</v>
      </c>
      <c r="D311" s="175" t="s">
        <v>162</v>
      </c>
      <c r="E311" s="175">
        <v>6306095</v>
      </c>
      <c r="F311" s="176" t="s">
        <v>1146</v>
      </c>
      <c r="G311" s="177" t="s">
        <v>1147</v>
      </c>
      <c r="H311" s="183"/>
      <c r="I311" s="183"/>
      <c r="J311" s="183"/>
      <c r="K311" s="183"/>
      <c r="L311" s="180">
        <v>42844</v>
      </c>
      <c r="M311" s="176" t="s">
        <v>275</v>
      </c>
      <c r="N311" s="176" t="s">
        <v>1148</v>
      </c>
      <c r="O311" s="181" t="s">
        <v>173</v>
      </c>
    </row>
    <row r="312" spans="1:15">
      <c r="A312" s="175">
        <v>6582</v>
      </c>
      <c r="B312" s="176" t="s">
        <v>1143</v>
      </c>
      <c r="C312" s="176" t="s">
        <v>161</v>
      </c>
      <c r="D312" s="175" t="s">
        <v>162</v>
      </c>
      <c r="E312" s="175">
        <v>5737636</v>
      </c>
      <c r="F312" s="176" t="s">
        <v>1149</v>
      </c>
      <c r="G312" s="177" t="s">
        <v>1150</v>
      </c>
      <c r="H312" s="183"/>
      <c r="I312" s="183"/>
      <c r="J312" s="183"/>
      <c r="K312" s="183"/>
      <c r="L312" s="180">
        <v>42446</v>
      </c>
      <c r="M312" s="176" t="s">
        <v>166</v>
      </c>
      <c r="N312" s="176" t="s">
        <v>1151</v>
      </c>
      <c r="O312" s="181" t="s">
        <v>168</v>
      </c>
    </row>
    <row r="313" spans="1:15">
      <c r="A313" s="175">
        <v>6582</v>
      </c>
      <c r="B313" s="176" t="s">
        <v>1143</v>
      </c>
      <c r="C313" s="176" t="s">
        <v>161</v>
      </c>
      <c r="D313" s="175" t="s">
        <v>162</v>
      </c>
      <c r="E313" s="175">
        <v>5719358</v>
      </c>
      <c r="F313" s="176" t="s">
        <v>1152</v>
      </c>
      <c r="G313" s="177" t="s">
        <v>1100</v>
      </c>
      <c r="H313" s="183"/>
      <c r="I313" s="183"/>
      <c r="J313" s="183"/>
      <c r="K313" s="183"/>
      <c r="L313" s="180">
        <v>42487</v>
      </c>
      <c r="M313" s="176" t="s">
        <v>180</v>
      </c>
      <c r="N313" s="176" t="s">
        <v>1153</v>
      </c>
      <c r="O313" s="181" t="s">
        <v>173</v>
      </c>
    </row>
    <row r="314" spans="1:15">
      <c r="A314" s="175">
        <v>6582</v>
      </c>
      <c r="B314" s="176" t="s">
        <v>1143</v>
      </c>
      <c r="C314" s="176" t="s">
        <v>161</v>
      </c>
      <c r="D314" s="175" t="s">
        <v>162</v>
      </c>
      <c r="E314" s="175">
        <v>5616988</v>
      </c>
      <c r="F314" s="176" t="s">
        <v>1154</v>
      </c>
      <c r="G314" s="177" t="s">
        <v>1155</v>
      </c>
      <c r="H314" s="183"/>
      <c r="I314" s="183"/>
      <c r="J314" s="183"/>
      <c r="K314" s="183"/>
      <c r="L314" s="180">
        <v>42788</v>
      </c>
      <c r="M314" s="176" t="s">
        <v>198</v>
      </c>
      <c r="N314" s="176" t="s">
        <v>198</v>
      </c>
      <c r="O314" s="181" t="s">
        <v>168</v>
      </c>
    </row>
    <row r="315" spans="1:15">
      <c r="A315" s="175">
        <v>6589</v>
      </c>
      <c r="B315" s="176" t="s">
        <v>1156</v>
      </c>
      <c r="C315" s="176" t="s">
        <v>161</v>
      </c>
      <c r="D315" s="175" t="s">
        <v>162</v>
      </c>
      <c r="E315" s="175">
        <v>5709303</v>
      </c>
      <c r="F315" s="176" t="s">
        <v>1157</v>
      </c>
      <c r="G315" s="177" t="s">
        <v>1158</v>
      </c>
      <c r="H315" s="184">
        <v>42907</v>
      </c>
      <c r="I315" s="185">
        <v>1101</v>
      </c>
      <c r="J315" s="185">
        <v>36.700000000000003</v>
      </c>
      <c r="K315" s="185" t="s">
        <v>165</v>
      </c>
      <c r="L315" s="180">
        <v>42123</v>
      </c>
      <c r="M315" s="176" t="s">
        <v>1159</v>
      </c>
      <c r="N315" s="176" t="s">
        <v>1160</v>
      </c>
      <c r="O315" s="181" t="s">
        <v>173</v>
      </c>
    </row>
    <row r="316" spans="1:15">
      <c r="A316" s="175">
        <v>6589</v>
      </c>
      <c r="B316" s="176" t="s">
        <v>1156</v>
      </c>
      <c r="C316" s="176" t="s">
        <v>161</v>
      </c>
      <c r="D316" s="175" t="s">
        <v>162</v>
      </c>
      <c r="E316" s="175">
        <v>5599460</v>
      </c>
      <c r="F316" s="176" t="s">
        <v>1161</v>
      </c>
      <c r="G316" s="177" t="s">
        <v>1162</v>
      </c>
      <c r="H316" s="183"/>
      <c r="I316" s="183"/>
      <c r="J316" s="183"/>
      <c r="K316" s="183"/>
      <c r="L316" s="180">
        <v>42789</v>
      </c>
      <c r="M316" s="176" t="s">
        <v>366</v>
      </c>
      <c r="N316" s="176" t="s">
        <v>366</v>
      </c>
      <c r="O316" s="181" t="s">
        <v>168</v>
      </c>
    </row>
    <row r="317" spans="1:15">
      <c r="A317" s="175">
        <v>6589</v>
      </c>
      <c r="B317" s="176" t="s">
        <v>1156</v>
      </c>
      <c r="C317" s="176" t="s">
        <v>161</v>
      </c>
      <c r="D317" s="175" t="s">
        <v>162</v>
      </c>
      <c r="E317" s="175">
        <v>6234242</v>
      </c>
      <c r="F317" s="176" t="s">
        <v>1163</v>
      </c>
      <c r="G317" s="177" t="s">
        <v>1164</v>
      </c>
      <c r="H317" s="183"/>
      <c r="I317" s="183"/>
      <c r="J317" s="183"/>
      <c r="K317" s="183"/>
      <c r="L317" s="180">
        <v>42508</v>
      </c>
      <c r="M317" s="176" t="s">
        <v>1038</v>
      </c>
      <c r="N317" s="176" t="s">
        <v>1165</v>
      </c>
      <c r="O317" s="181" t="s">
        <v>168</v>
      </c>
    </row>
    <row r="318" spans="1:15">
      <c r="A318" s="175">
        <v>6590</v>
      </c>
      <c r="B318" s="176" t="s">
        <v>1166</v>
      </c>
      <c r="C318" s="176" t="s">
        <v>161</v>
      </c>
      <c r="D318" s="175" t="s">
        <v>162</v>
      </c>
      <c r="E318" s="175">
        <v>6468042</v>
      </c>
      <c r="F318" s="176" t="s">
        <v>1167</v>
      </c>
      <c r="G318" s="177" t="s">
        <v>1168</v>
      </c>
      <c r="H318" s="184">
        <v>42907</v>
      </c>
      <c r="I318" s="185">
        <v>1046</v>
      </c>
      <c r="J318" s="185">
        <v>34.866666666666667</v>
      </c>
      <c r="K318" s="185" t="s">
        <v>165</v>
      </c>
      <c r="L318" s="180">
        <v>42487</v>
      </c>
      <c r="M318" s="176" t="s">
        <v>166</v>
      </c>
      <c r="N318" s="176" t="s">
        <v>1169</v>
      </c>
      <c r="O318" s="181" t="s">
        <v>168</v>
      </c>
    </row>
    <row r="319" spans="1:15">
      <c r="A319" s="175">
        <v>6590</v>
      </c>
      <c r="B319" s="176" t="s">
        <v>1166</v>
      </c>
      <c r="C319" s="176" t="s">
        <v>161</v>
      </c>
      <c r="D319" s="175" t="s">
        <v>162</v>
      </c>
      <c r="E319" s="175">
        <v>5858638</v>
      </c>
      <c r="F319" s="176" t="s">
        <v>1170</v>
      </c>
      <c r="G319" s="177" t="s">
        <v>1171</v>
      </c>
      <c r="H319" s="183"/>
      <c r="I319" s="183"/>
      <c r="J319" s="183"/>
      <c r="K319" s="183"/>
      <c r="L319" s="180">
        <v>42779</v>
      </c>
      <c r="M319" s="176" t="s">
        <v>802</v>
      </c>
      <c r="N319" s="176" t="s">
        <v>1172</v>
      </c>
      <c r="O319" s="181" t="s">
        <v>168</v>
      </c>
    </row>
    <row r="320" spans="1:15">
      <c r="A320" s="175">
        <v>6590</v>
      </c>
      <c r="B320" s="176" t="s">
        <v>1166</v>
      </c>
      <c r="C320" s="176" t="s">
        <v>161</v>
      </c>
      <c r="D320" s="175" t="s">
        <v>162</v>
      </c>
      <c r="E320" s="175">
        <v>6468980</v>
      </c>
      <c r="F320" s="176" t="s">
        <v>1173</v>
      </c>
      <c r="G320" s="177" t="s">
        <v>1174</v>
      </c>
      <c r="H320" s="183"/>
      <c r="I320" s="183"/>
      <c r="J320" s="183"/>
      <c r="K320" s="183"/>
      <c r="L320" s="180">
        <v>42468</v>
      </c>
      <c r="M320" s="176" t="s">
        <v>1175</v>
      </c>
      <c r="N320" s="176" t="s">
        <v>1176</v>
      </c>
      <c r="O320" s="181" t="s">
        <v>168</v>
      </c>
    </row>
    <row r="321" spans="1:15">
      <c r="A321" s="175">
        <v>6585</v>
      </c>
      <c r="B321" s="176" t="s">
        <v>1177</v>
      </c>
      <c r="C321" s="176" t="s">
        <v>161</v>
      </c>
      <c r="D321" s="175" t="s">
        <v>162</v>
      </c>
      <c r="E321" s="175">
        <v>5140999</v>
      </c>
      <c r="F321" s="176" t="s">
        <v>1178</v>
      </c>
      <c r="G321" s="177" t="s">
        <v>1179</v>
      </c>
      <c r="H321" s="184">
        <v>42907</v>
      </c>
      <c r="I321" s="185">
        <v>1343</v>
      </c>
      <c r="J321" s="185">
        <v>44.766666666666666</v>
      </c>
      <c r="K321" s="185" t="s">
        <v>165</v>
      </c>
      <c r="L321" s="180">
        <v>42696</v>
      </c>
      <c r="M321" s="176" t="s">
        <v>198</v>
      </c>
      <c r="N321" s="176" t="s">
        <v>198</v>
      </c>
      <c r="O321" s="181" t="s">
        <v>168</v>
      </c>
    </row>
    <row r="322" spans="1:15">
      <c r="A322" s="175">
        <v>6585</v>
      </c>
      <c r="B322" s="176" t="s">
        <v>1177</v>
      </c>
      <c r="C322" s="176" t="s">
        <v>161</v>
      </c>
      <c r="D322" s="175" t="s">
        <v>162</v>
      </c>
      <c r="E322" s="175">
        <v>5841097</v>
      </c>
      <c r="F322" s="176" t="s">
        <v>1180</v>
      </c>
      <c r="G322" s="177" t="s">
        <v>1181</v>
      </c>
      <c r="H322" s="184">
        <v>42907</v>
      </c>
      <c r="I322" s="185">
        <v>799</v>
      </c>
      <c r="J322" s="185">
        <v>26.633333333333333</v>
      </c>
      <c r="K322" s="185" t="s">
        <v>165</v>
      </c>
      <c r="L322" s="180">
        <v>42555</v>
      </c>
      <c r="M322" s="176" t="s">
        <v>1182</v>
      </c>
      <c r="N322" s="176" t="s">
        <v>1183</v>
      </c>
      <c r="O322" s="181" t="s">
        <v>173</v>
      </c>
    </row>
    <row r="323" spans="1:15">
      <c r="A323" s="175">
        <v>6585</v>
      </c>
      <c r="B323" s="176" t="s">
        <v>1177</v>
      </c>
      <c r="C323" s="176" t="s">
        <v>161</v>
      </c>
      <c r="D323" s="175" t="s">
        <v>162</v>
      </c>
      <c r="E323" s="175">
        <v>6815155</v>
      </c>
      <c r="F323" s="176" t="s">
        <v>1184</v>
      </c>
      <c r="G323" s="177" t="s">
        <v>1185</v>
      </c>
      <c r="H323" s="184">
        <v>42907</v>
      </c>
      <c r="I323" s="185">
        <v>1824</v>
      </c>
      <c r="J323" s="185">
        <v>60.8</v>
      </c>
      <c r="K323" s="185" t="s">
        <v>210</v>
      </c>
      <c r="L323" s="180">
        <v>42864</v>
      </c>
      <c r="M323" s="176" t="s">
        <v>1186</v>
      </c>
      <c r="N323" s="176" t="s">
        <v>1187</v>
      </c>
      <c r="O323" s="181" t="s">
        <v>248</v>
      </c>
    </row>
    <row r="324" spans="1:15">
      <c r="A324" s="175">
        <v>6585</v>
      </c>
      <c r="B324" s="176" t="s">
        <v>1177</v>
      </c>
      <c r="C324" s="176" t="s">
        <v>161</v>
      </c>
      <c r="D324" s="175" t="s">
        <v>162</v>
      </c>
      <c r="E324" s="175">
        <v>5185189</v>
      </c>
      <c r="F324" s="176" t="s">
        <v>1188</v>
      </c>
      <c r="G324" s="177" t="s">
        <v>1189</v>
      </c>
      <c r="H324" s="183"/>
      <c r="I324" s="183"/>
      <c r="J324" s="183"/>
      <c r="K324" s="183"/>
      <c r="L324" s="180">
        <v>42670</v>
      </c>
      <c r="M324" s="176" t="s">
        <v>1190</v>
      </c>
      <c r="N324" s="176" t="s">
        <v>1191</v>
      </c>
      <c r="O324" s="181" t="s">
        <v>168</v>
      </c>
    </row>
    <row r="325" spans="1:15">
      <c r="A325" s="175">
        <v>6585</v>
      </c>
      <c r="B325" s="176" t="s">
        <v>1177</v>
      </c>
      <c r="C325" s="176" t="s">
        <v>161</v>
      </c>
      <c r="D325" s="175" t="s">
        <v>162</v>
      </c>
      <c r="E325" s="175">
        <v>6011658</v>
      </c>
      <c r="F325" s="176" t="s">
        <v>1192</v>
      </c>
      <c r="G325" s="177" t="s">
        <v>1193</v>
      </c>
      <c r="H325" s="183"/>
      <c r="I325" s="183"/>
      <c r="J325" s="183"/>
      <c r="K325" s="183"/>
      <c r="L325" s="180">
        <v>42559</v>
      </c>
      <c r="M325" s="176" t="s">
        <v>193</v>
      </c>
      <c r="N325" s="176" t="s">
        <v>536</v>
      </c>
      <c r="O325" s="181" t="s">
        <v>168</v>
      </c>
    </row>
    <row r="326" spans="1:15">
      <c r="A326" s="175">
        <v>9914</v>
      </c>
      <c r="B326" s="176" t="s">
        <v>1194</v>
      </c>
      <c r="C326" s="176" t="s">
        <v>161</v>
      </c>
      <c r="D326" s="175" t="s">
        <v>162</v>
      </c>
      <c r="E326" s="175">
        <v>5721996</v>
      </c>
      <c r="F326" s="176" t="s">
        <v>1195</v>
      </c>
      <c r="G326" s="177" t="s">
        <v>214</v>
      </c>
      <c r="H326" s="184">
        <v>42907</v>
      </c>
      <c r="I326" s="185">
        <v>1195</v>
      </c>
      <c r="J326" s="185">
        <v>39.833333333333336</v>
      </c>
      <c r="K326" s="185" t="s">
        <v>165</v>
      </c>
      <c r="L326" s="180">
        <v>42814</v>
      </c>
      <c r="M326" s="176" t="s">
        <v>180</v>
      </c>
      <c r="N326" s="176" t="s">
        <v>1196</v>
      </c>
      <c r="O326" s="181" t="s">
        <v>173</v>
      </c>
    </row>
    <row r="327" spans="1:15">
      <c r="A327" s="175">
        <v>9914</v>
      </c>
      <c r="B327" s="176" t="s">
        <v>1194</v>
      </c>
      <c r="C327" s="176" t="s">
        <v>161</v>
      </c>
      <c r="D327" s="175" t="s">
        <v>162</v>
      </c>
      <c r="E327" s="175">
        <v>5847590</v>
      </c>
      <c r="F327" s="176" t="s">
        <v>1197</v>
      </c>
      <c r="G327" s="177" t="s">
        <v>1198</v>
      </c>
      <c r="H327" s="183"/>
      <c r="I327" s="183"/>
      <c r="J327" s="183"/>
      <c r="K327" s="183"/>
      <c r="L327" s="180">
        <v>42800</v>
      </c>
      <c r="M327" s="176" t="s">
        <v>219</v>
      </c>
      <c r="N327" s="176" t="s">
        <v>220</v>
      </c>
      <c r="O327" s="181" t="s">
        <v>173</v>
      </c>
    </row>
    <row r="328" spans="1:15">
      <c r="A328" s="175">
        <v>9914</v>
      </c>
      <c r="B328" s="176" t="s">
        <v>1194</v>
      </c>
      <c r="C328" s="176" t="s">
        <v>161</v>
      </c>
      <c r="D328" s="175" t="s">
        <v>162</v>
      </c>
      <c r="E328" s="175">
        <v>5710307</v>
      </c>
      <c r="F328" s="176" t="s">
        <v>1199</v>
      </c>
      <c r="G328" s="177" t="s">
        <v>1200</v>
      </c>
      <c r="H328" s="183"/>
      <c r="I328" s="183"/>
      <c r="J328" s="183"/>
      <c r="K328" s="183"/>
      <c r="L328" s="180">
        <v>42830</v>
      </c>
      <c r="M328" s="176" t="s">
        <v>180</v>
      </c>
      <c r="N328" s="176" t="s">
        <v>1201</v>
      </c>
      <c r="O328" s="181" t="s">
        <v>173</v>
      </c>
    </row>
    <row r="329" spans="1:15">
      <c r="A329" s="175">
        <v>13372</v>
      </c>
      <c r="B329" s="176" t="s">
        <v>1202</v>
      </c>
      <c r="C329" s="176" t="s">
        <v>161</v>
      </c>
      <c r="D329" s="175" t="s">
        <v>162</v>
      </c>
      <c r="E329" s="175">
        <v>5945677</v>
      </c>
      <c r="F329" s="176" t="s">
        <v>1203</v>
      </c>
      <c r="G329" s="177" t="s">
        <v>1204</v>
      </c>
      <c r="H329" s="184">
        <v>42907</v>
      </c>
      <c r="I329" s="185">
        <v>1136</v>
      </c>
      <c r="J329" s="185">
        <v>37.866666666666667</v>
      </c>
      <c r="K329" s="185" t="s">
        <v>165</v>
      </c>
      <c r="L329" s="180">
        <v>42864</v>
      </c>
      <c r="M329" s="176" t="s">
        <v>1205</v>
      </c>
      <c r="N329" s="176" t="s">
        <v>1205</v>
      </c>
      <c r="O329" s="181" t="s">
        <v>168</v>
      </c>
    </row>
    <row r="330" spans="1:15">
      <c r="A330" s="175">
        <v>13372</v>
      </c>
      <c r="B330" s="176" t="s">
        <v>1202</v>
      </c>
      <c r="C330" s="176" t="s">
        <v>161</v>
      </c>
      <c r="D330" s="175" t="s">
        <v>162</v>
      </c>
      <c r="E330" s="175">
        <v>5137659</v>
      </c>
      <c r="F330" s="176" t="s">
        <v>1206</v>
      </c>
      <c r="G330" s="177" t="s">
        <v>1207</v>
      </c>
      <c r="H330" s="183"/>
      <c r="I330" s="183"/>
      <c r="J330" s="183"/>
      <c r="K330" s="183"/>
      <c r="L330" s="180">
        <v>42810</v>
      </c>
      <c r="M330" s="176" t="s">
        <v>1208</v>
      </c>
      <c r="N330" s="176" t="s">
        <v>1209</v>
      </c>
      <c r="O330" s="181" t="s">
        <v>248</v>
      </c>
    </row>
    <row r="331" spans="1:15">
      <c r="A331" s="175">
        <v>13372</v>
      </c>
      <c r="B331" s="176" t="s">
        <v>1202</v>
      </c>
      <c r="C331" s="176" t="s">
        <v>161</v>
      </c>
      <c r="D331" s="175" t="s">
        <v>162</v>
      </c>
      <c r="E331" s="175">
        <v>5929704</v>
      </c>
      <c r="F331" s="176" t="s">
        <v>1210</v>
      </c>
      <c r="G331" s="177" t="s">
        <v>1211</v>
      </c>
      <c r="H331" s="183"/>
      <c r="I331" s="183"/>
      <c r="J331" s="183"/>
      <c r="K331" s="183"/>
      <c r="L331" s="180">
        <v>42529</v>
      </c>
      <c r="M331" s="176" t="s">
        <v>465</v>
      </c>
      <c r="N331" s="176" t="s">
        <v>553</v>
      </c>
      <c r="O331" s="181" t="s">
        <v>168</v>
      </c>
    </row>
    <row r="332" spans="1:15">
      <c r="A332" s="175">
        <v>13378</v>
      </c>
      <c r="B332" s="176" t="s">
        <v>1212</v>
      </c>
      <c r="C332" s="176" t="s">
        <v>161</v>
      </c>
      <c r="D332" s="175" t="s">
        <v>162</v>
      </c>
      <c r="E332" s="175">
        <v>5873440</v>
      </c>
      <c r="F332" s="176" t="s">
        <v>1213</v>
      </c>
      <c r="G332" s="177" t="s">
        <v>1214</v>
      </c>
      <c r="H332" s="184">
        <v>42907</v>
      </c>
      <c r="I332" s="185">
        <v>1052</v>
      </c>
      <c r="J332" s="185">
        <v>35.06666666666667</v>
      </c>
      <c r="K332" s="185" t="s">
        <v>165</v>
      </c>
      <c r="L332" s="180">
        <v>42583</v>
      </c>
      <c r="M332" s="176" t="s">
        <v>1215</v>
      </c>
      <c r="N332" s="176" t="s">
        <v>1216</v>
      </c>
      <c r="O332" s="181" t="s">
        <v>168</v>
      </c>
    </row>
    <row r="333" spans="1:15">
      <c r="A333" s="175">
        <v>13378</v>
      </c>
      <c r="B333" s="176" t="s">
        <v>1212</v>
      </c>
      <c r="C333" s="176" t="s">
        <v>161</v>
      </c>
      <c r="D333" s="175" t="s">
        <v>162</v>
      </c>
      <c r="E333" s="175">
        <v>5697987</v>
      </c>
      <c r="F333" s="176" t="s">
        <v>1217</v>
      </c>
      <c r="G333" s="177" t="s">
        <v>1218</v>
      </c>
      <c r="H333" s="183"/>
      <c r="I333" s="183"/>
      <c r="J333" s="183"/>
      <c r="K333" s="183"/>
      <c r="L333" s="180">
        <v>42649</v>
      </c>
      <c r="M333" s="176" t="s">
        <v>261</v>
      </c>
      <c r="N333" s="176" t="s">
        <v>262</v>
      </c>
      <c r="O333" s="181" t="s">
        <v>168</v>
      </c>
    </row>
    <row r="334" spans="1:15">
      <c r="A334" s="175">
        <v>13378</v>
      </c>
      <c r="B334" s="176" t="s">
        <v>1212</v>
      </c>
      <c r="C334" s="176" t="s">
        <v>161</v>
      </c>
      <c r="D334" s="175" t="s">
        <v>162</v>
      </c>
      <c r="E334" s="175">
        <v>6094626</v>
      </c>
      <c r="F334" s="176" t="s">
        <v>1219</v>
      </c>
      <c r="G334" s="177" t="s">
        <v>1220</v>
      </c>
      <c r="H334" s="183"/>
      <c r="I334" s="183"/>
      <c r="J334" s="183"/>
      <c r="K334" s="183"/>
      <c r="L334" s="180">
        <v>42811</v>
      </c>
      <c r="M334" s="176" t="s">
        <v>166</v>
      </c>
      <c r="N334" s="176" t="s">
        <v>296</v>
      </c>
      <c r="O334" s="181" t="s">
        <v>168</v>
      </c>
    </row>
    <row r="335" spans="1:15">
      <c r="A335" s="175">
        <v>13378</v>
      </c>
      <c r="B335" s="176" t="s">
        <v>1212</v>
      </c>
      <c r="C335" s="176" t="s">
        <v>161</v>
      </c>
      <c r="D335" s="175" t="s">
        <v>162</v>
      </c>
      <c r="E335" s="175">
        <v>5789410</v>
      </c>
      <c r="F335" s="176" t="s">
        <v>1221</v>
      </c>
      <c r="G335" s="177" t="s">
        <v>1222</v>
      </c>
      <c r="H335" s="183"/>
      <c r="I335" s="183"/>
      <c r="J335" s="183"/>
      <c r="K335" s="183"/>
      <c r="L335" s="180">
        <v>42801</v>
      </c>
      <c r="M335" s="176" t="s">
        <v>261</v>
      </c>
      <c r="N335" s="176" t="s">
        <v>631</v>
      </c>
      <c r="O335" s="181" t="s">
        <v>168</v>
      </c>
    </row>
    <row r="336" spans="1:15">
      <c r="A336" s="175">
        <v>13378</v>
      </c>
      <c r="B336" s="176" t="s">
        <v>1212</v>
      </c>
      <c r="C336" s="176" t="s">
        <v>161</v>
      </c>
      <c r="D336" s="175" t="s">
        <v>162</v>
      </c>
      <c r="E336" s="175">
        <v>5719351</v>
      </c>
      <c r="F336" s="176" t="s">
        <v>1223</v>
      </c>
      <c r="G336" s="177" t="s">
        <v>1224</v>
      </c>
      <c r="H336" s="183"/>
      <c r="I336" s="183"/>
      <c r="J336" s="183"/>
      <c r="K336" s="183"/>
      <c r="L336" s="180">
        <v>42787</v>
      </c>
      <c r="M336" s="176" t="s">
        <v>366</v>
      </c>
      <c r="N336" s="176" t="s">
        <v>366</v>
      </c>
      <c r="O336" s="181" t="s">
        <v>168</v>
      </c>
    </row>
    <row r="337" spans="1:15">
      <c r="A337" s="175">
        <v>13378</v>
      </c>
      <c r="B337" s="176" t="s">
        <v>1212</v>
      </c>
      <c r="C337" s="176" t="s">
        <v>161</v>
      </c>
      <c r="D337" s="175" t="s">
        <v>162</v>
      </c>
      <c r="E337" s="175">
        <v>5744707</v>
      </c>
      <c r="F337" s="176" t="s">
        <v>1225</v>
      </c>
      <c r="G337" s="177" t="s">
        <v>1226</v>
      </c>
      <c r="H337" s="183"/>
      <c r="I337" s="183"/>
      <c r="J337" s="183"/>
      <c r="K337" s="183"/>
      <c r="L337" s="180">
        <v>42873</v>
      </c>
      <c r="M337" s="176" t="s">
        <v>784</v>
      </c>
      <c r="N337" s="176" t="s">
        <v>873</v>
      </c>
      <c r="O337" s="181" t="s">
        <v>168</v>
      </c>
    </row>
    <row r="338" spans="1:15">
      <c r="A338" s="175">
        <v>13378</v>
      </c>
      <c r="B338" s="176" t="s">
        <v>1212</v>
      </c>
      <c r="C338" s="176" t="s">
        <v>161</v>
      </c>
      <c r="D338" s="175" t="s">
        <v>162</v>
      </c>
      <c r="E338" s="175">
        <v>5969556</v>
      </c>
      <c r="F338" s="176" t="s">
        <v>1227</v>
      </c>
      <c r="G338" s="177" t="s">
        <v>1204</v>
      </c>
      <c r="H338" s="183"/>
      <c r="I338" s="183"/>
      <c r="J338" s="183"/>
      <c r="K338" s="183"/>
      <c r="L338" s="180">
        <v>42801</v>
      </c>
      <c r="M338" s="176" t="s">
        <v>166</v>
      </c>
      <c r="N338" s="176" t="s">
        <v>327</v>
      </c>
      <c r="O338" s="181" t="s">
        <v>168</v>
      </c>
    </row>
    <row r="339" spans="1:15">
      <c r="A339" s="175">
        <v>13378</v>
      </c>
      <c r="B339" s="176" t="s">
        <v>1212</v>
      </c>
      <c r="C339" s="176" t="s">
        <v>161</v>
      </c>
      <c r="D339" s="175" t="s">
        <v>162</v>
      </c>
      <c r="E339" s="175">
        <v>6085501</v>
      </c>
      <c r="F339" s="176" t="s">
        <v>1228</v>
      </c>
      <c r="G339" s="177" t="s">
        <v>1229</v>
      </c>
      <c r="H339" s="183"/>
      <c r="I339" s="183"/>
      <c r="J339" s="183"/>
      <c r="K339" s="183"/>
      <c r="L339" s="180">
        <v>42583</v>
      </c>
      <c r="M339" s="176" t="s">
        <v>193</v>
      </c>
      <c r="N339" s="176" t="s">
        <v>536</v>
      </c>
      <c r="O339" s="181" t="s">
        <v>168</v>
      </c>
    </row>
    <row r="340" spans="1:15">
      <c r="A340" s="175">
        <v>13378</v>
      </c>
      <c r="B340" s="176" t="s">
        <v>1212</v>
      </c>
      <c r="C340" s="176" t="s">
        <v>161</v>
      </c>
      <c r="D340" s="175" t="s">
        <v>162</v>
      </c>
      <c r="E340" s="175">
        <v>6311200</v>
      </c>
      <c r="F340" s="176" t="s">
        <v>1230</v>
      </c>
      <c r="G340" s="177" t="s">
        <v>1231</v>
      </c>
      <c r="H340" s="183"/>
      <c r="I340" s="183"/>
      <c r="J340" s="183"/>
      <c r="K340" s="183"/>
      <c r="L340" s="180">
        <v>42611</v>
      </c>
      <c r="M340" s="176" t="s">
        <v>219</v>
      </c>
      <c r="N340" s="176" t="s">
        <v>506</v>
      </c>
      <c r="O340" s="181" t="s">
        <v>173</v>
      </c>
    </row>
    <row r="341" spans="1:15">
      <c r="A341" s="175">
        <v>13378</v>
      </c>
      <c r="B341" s="176" t="s">
        <v>1212</v>
      </c>
      <c r="C341" s="176" t="s">
        <v>161</v>
      </c>
      <c r="D341" s="175" t="s">
        <v>162</v>
      </c>
      <c r="E341" s="175">
        <v>6361473</v>
      </c>
      <c r="F341" s="176" t="s">
        <v>1232</v>
      </c>
      <c r="G341" s="177" t="s">
        <v>1207</v>
      </c>
      <c r="H341" s="183"/>
      <c r="I341" s="183"/>
      <c r="J341" s="183"/>
      <c r="K341" s="183"/>
      <c r="L341" s="180">
        <v>42475</v>
      </c>
      <c r="M341" s="176" t="s">
        <v>313</v>
      </c>
      <c r="N341" s="176" t="s">
        <v>1233</v>
      </c>
      <c r="O341" s="181" t="s">
        <v>173</v>
      </c>
    </row>
    <row r="342" spans="1:15">
      <c r="A342" s="175">
        <v>13378</v>
      </c>
      <c r="B342" s="176" t="s">
        <v>1212</v>
      </c>
      <c r="C342" s="176" t="s">
        <v>161</v>
      </c>
      <c r="D342" s="175" t="s">
        <v>162</v>
      </c>
      <c r="E342" s="175">
        <v>5957650</v>
      </c>
      <c r="F342" s="176" t="s">
        <v>1234</v>
      </c>
      <c r="G342" s="177" t="s">
        <v>1235</v>
      </c>
      <c r="H342" s="183"/>
      <c r="I342" s="183"/>
      <c r="J342" s="183"/>
      <c r="K342" s="183"/>
      <c r="L342" s="180">
        <v>42787</v>
      </c>
      <c r="M342" s="176" t="s">
        <v>193</v>
      </c>
      <c r="N342" s="176" t="s">
        <v>194</v>
      </c>
      <c r="O342" s="181" t="s">
        <v>168</v>
      </c>
    </row>
    <row r="343" spans="1:15">
      <c r="A343" s="175">
        <v>13378</v>
      </c>
      <c r="B343" s="176" t="s">
        <v>1212</v>
      </c>
      <c r="C343" s="176" t="s">
        <v>161</v>
      </c>
      <c r="D343" s="175" t="s">
        <v>162</v>
      </c>
      <c r="E343" s="175">
        <v>5659818</v>
      </c>
      <c r="F343" s="176" t="s">
        <v>1236</v>
      </c>
      <c r="G343" s="177" t="s">
        <v>820</v>
      </c>
      <c r="H343" s="183"/>
      <c r="I343" s="183"/>
      <c r="J343" s="183"/>
      <c r="K343" s="183"/>
      <c r="L343" s="180">
        <v>42475</v>
      </c>
      <c r="M343" s="176" t="s">
        <v>984</v>
      </c>
      <c r="N343" s="176" t="s">
        <v>1237</v>
      </c>
      <c r="O343" s="181" t="s">
        <v>168</v>
      </c>
    </row>
    <row r="344" spans="1:15">
      <c r="A344" s="175">
        <v>13378</v>
      </c>
      <c r="B344" s="176" t="s">
        <v>1212</v>
      </c>
      <c r="C344" s="176" t="s">
        <v>161</v>
      </c>
      <c r="D344" s="175" t="s">
        <v>162</v>
      </c>
      <c r="E344" s="175">
        <v>6021717</v>
      </c>
      <c r="F344" s="176" t="s">
        <v>1238</v>
      </c>
      <c r="G344" s="177" t="s">
        <v>1239</v>
      </c>
      <c r="H344" s="183"/>
      <c r="I344" s="183"/>
      <c r="J344" s="183"/>
      <c r="K344" s="183"/>
      <c r="L344" s="180">
        <v>42870</v>
      </c>
      <c r="M344" s="176" t="s">
        <v>366</v>
      </c>
      <c r="N344" s="176" t="s">
        <v>366</v>
      </c>
      <c r="O344" s="181" t="s">
        <v>168</v>
      </c>
    </row>
    <row r="345" spans="1:15">
      <c r="A345" s="175">
        <v>12068</v>
      </c>
      <c r="B345" s="176" t="s">
        <v>1240</v>
      </c>
      <c r="C345" s="176" t="s">
        <v>161</v>
      </c>
      <c r="D345" s="175" t="s">
        <v>162</v>
      </c>
      <c r="E345" s="175">
        <v>6277502</v>
      </c>
      <c r="F345" s="176" t="s">
        <v>1241</v>
      </c>
      <c r="G345" s="177" t="s">
        <v>1129</v>
      </c>
      <c r="H345" s="183"/>
      <c r="I345" s="183"/>
      <c r="J345" s="183"/>
      <c r="K345" s="183"/>
      <c r="L345" s="180">
        <v>42851</v>
      </c>
      <c r="M345" s="176" t="s">
        <v>1242</v>
      </c>
      <c r="N345" s="176" t="s">
        <v>1243</v>
      </c>
      <c r="O345" s="181" t="s">
        <v>168</v>
      </c>
    </row>
    <row r="346" spans="1:15">
      <c r="A346" s="175">
        <v>12068</v>
      </c>
      <c r="B346" s="176" t="s">
        <v>1240</v>
      </c>
      <c r="C346" s="176" t="s">
        <v>161</v>
      </c>
      <c r="D346" s="175" t="s">
        <v>162</v>
      </c>
      <c r="E346" s="175">
        <v>6264416</v>
      </c>
      <c r="F346" s="176" t="s">
        <v>1244</v>
      </c>
      <c r="G346" s="177" t="s">
        <v>1245</v>
      </c>
      <c r="H346" s="183"/>
      <c r="I346" s="183"/>
      <c r="J346" s="183"/>
      <c r="K346" s="183"/>
      <c r="L346" s="180">
        <v>42803</v>
      </c>
      <c r="M346" s="176" t="s">
        <v>547</v>
      </c>
      <c r="N346" s="176" t="s">
        <v>936</v>
      </c>
      <c r="O346" s="181" t="s">
        <v>248</v>
      </c>
    </row>
    <row r="347" spans="1:15">
      <c r="A347" s="175">
        <v>12068</v>
      </c>
      <c r="B347" s="176" t="s">
        <v>1240</v>
      </c>
      <c r="C347" s="176" t="s">
        <v>161</v>
      </c>
      <c r="D347" s="175" t="s">
        <v>162</v>
      </c>
      <c r="E347" s="175">
        <v>6249531</v>
      </c>
      <c r="F347" s="176" t="s">
        <v>1246</v>
      </c>
      <c r="G347" s="177" t="s">
        <v>1247</v>
      </c>
      <c r="H347" s="183"/>
      <c r="I347" s="183"/>
      <c r="J347" s="183"/>
      <c r="K347" s="183"/>
      <c r="L347" s="180">
        <v>42857</v>
      </c>
      <c r="M347" s="176" t="s">
        <v>349</v>
      </c>
      <c r="N347" s="176" t="s">
        <v>1248</v>
      </c>
      <c r="O347" s="181" t="s">
        <v>168</v>
      </c>
    </row>
    <row r="348" spans="1:15">
      <c r="A348" s="175">
        <v>12068</v>
      </c>
      <c r="B348" s="176" t="s">
        <v>1240</v>
      </c>
      <c r="C348" s="176" t="s">
        <v>161</v>
      </c>
      <c r="D348" s="175" t="s">
        <v>162</v>
      </c>
      <c r="E348" s="175">
        <v>6056201</v>
      </c>
      <c r="F348" s="176" t="s">
        <v>1249</v>
      </c>
      <c r="G348" s="177" t="s">
        <v>1250</v>
      </c>
      <c r="H348" s="183"/>
      <c r="I348" s="183"/>
      <c r="J348" s="183"/>
      <c r="K348" s="183"/>
      <c r="L348" s="180">
        <v>42480</v>
      </c>
      <c r="M348" s="176" t="s">
        <v>275</v>
      </c>
      <c r="N348" s="176" t="s">
        <v>1251</v>
      </c>
      <c r="O348" s="181" t="s">
        <v>173</v>
      </c>
    </row>
    <row r="349" spans="1:15">
      <c r="A349" s="175">
        <v>12068</v>
      </c>
      <c r="B349" s="176" t="s">
        <v>1240</v>
      </c>
      <c r="C349" s="176" t="s">
        <v>161</v>
      </c>
      <c r="D349" s="175" t="s">
        <v>162</v>
      </c>
      <c r="E349" s="175">
        <v>6135661</v>
      </c>
      <c r="F349" s="176" t="s">
        <v>1252</v>
      </c>
      <c r="G349" s="177" t="s">
        <v>1253</v>
      </c>
      <c r="H349" s="183"/>
      <c r="I349" s="183"/>
      <c r="J349" s="183"/>
      <c r="K349" s="183"/>
      <c r="L349" s="180">
        <v>42803</v>
      </c>
      <c r="M349" s="176" t="s">
        <v>366</v>
      </c>
      <c r="N349" s="176" t="s">
        <v>366</v>
      </c>
      <c r="O349" s="181" t="s">
        <v>168</v>
      </c>
    </row>
    <row r="350" spans="1:15">
      <c r="A350" s="175">
        <v>12068</v>
      </c>
      <c r="B350" s="176" t="s">
        <v>1240</v>
      </c>
      <c r="C350" s="176" t="s">
        <v>161</v>
      </c>
      <c r="D350" s="175" t="s">
        <v>162</v>
      </c>
      <c r="E350" s="175">
        <v>6091702</v>
      </c>
      <c r="F350" s="176" t="s">
        <v>1254</v>
      </c>
      <c r="G350" s="177" t="s">
        <v>1255</v>
      </c>
      <c r="H350" s="183"/>
      <c r="I350" s="183"/>
      <c r="J350" s="183"/>
      <c r="K350" s="183"/>
      <c r="L350" s="180">
        <v>42606</v>
      </c>
      <c r="M350" s="176" t="s">
        <v>193</v>
      </c>
      <c r="N350" s="176" t="s">
        <v>1256</v>
      </c>
      <c r="O350" s="181" t="s">
        <v>168</v>
      </c>
    </row>
    <row r="351" spans="1:15">
      <c r="A351" s="175">
        <v>9195</v>
      </c>
      <c r="B351" s="176" t="s">
        <v>1257</v>
      </c>
      <c r="C351" s="176" t="s">
        <v>161</v>
      </c>
      <c r="D351" s="175" t="s">
        <v>162</v>
      </c>
      <c r="E351" s="175">
        <v>5962653</v>
      </c>
      <c r="F351" s="176" t="s">
        <v>1258</v>
      </c>
      <c r="G351" s="177" t="s">
        <v>1259</v>
      </c>
      <c r="H351" s="184">
        <v>42907</v>
      </c>
      <c r="I351" s="185">
        <v>1604</v>
      </c>
      <c r="J351" s="185">
        <v>53.466666666666669</v>
      </c>
      <c r="K351" s="185" t="s">
        <v>210</v>
      </c>
      <c r="L351" s="180">
        <v>42795</v>
      </c>
      <c r="M351" s="176" t="s">
        <v>674</v>
      </c>
      <c r="N351" s="176" t="s">
        <v>1260</v>
      </c>
      <c r="O351" s="181" t="s">
        <v>173</v>
      </c>
    </row>
    <row r="352" spans="1:15">
      <c r="A352" s="175">
        <v>9195</v>
      </c>
      <c r="B352" s="176" t="s">
        <v>1257</v>
      </c>
      <c r="C352" s="176" t="s">
        <v>161</v>
      </c>
      <c r="D352" s="175" t="s">
        <v>162</v>
      </c>
      <c r="E352" s="175">
        <v>5895959</v>
      </c>
      <c r="F352" s="176" t="s">
        <v>1261</v>
      </c>
      <c r="G352" s="177" t="s">
        <v>1262</v>
      </c>
      <c r="H352" s="183"/>
      <c r="I352" s="183"/>
      <c r="J352" s="183"/>
      <c r="K352" s="183"/>
      <c r="L352" s="180">
        <v>42843</v>
      </c>
      <c r="M352" s="176" t="s">
        <v>1263</v>
      </c>
      <c r="N352" s="176" t="s">
        <v>1264</v>
      </c>
      <c r="O352" s="181" t="s">
        <v>173</v>
      </c>
    </row>
    <row r="353" spans="1:15">
      <c r="A353" s="175">
        <v>9195</v>
      </c>
      <c r="B353" s="176" t="s">
        <v>1257</v>
      </c>
      <c r="C353" s="176" t="s">
        <v>161</v>
      </c>
      <c r="D353" s="175" t="s">
        <v>162</v>
      </c>
      <c r="E353" s="175">
        <v>5691562</v>
      </c>
      <c r="F353" s="176" t="s">
        <v>1265</v>
      </c>
      <c r="G353" s="177" t="s">
        <v>1266</v>
      </c>
      <c r="H353" s="183"/>
      <c r="I353" s="183"/>
      <c r="J353" s="183"/>
      <c r="K353" s="183"/>
      <c r="L353" s="180">
        <v>42780</v>
      </c>
      <c r="M353" s="176" t="s">
        <v>193</v>
      </c>
      <c r="N353" s="176" t="s">
        <v>194</v>
      </c>
      <c r="O353" s="181" t="s">
        <v>168</v>
      </c>
    </row>
    <row r="354" spans="1:15">
      <c r="A354" s="175">
        <v>9195</v>
      </c>
      <c r="B354" s="176" t="s">
        <v>1257</v>
      </c>
      <c r="C354" s="176" t="s">
        <v>161</v>
      </c>
      <c r="D354" s="175" t="s">
        <v>162</v>
      </c>
      <c r="E354" s="175">
        <v>6174411</v>
      </c>
      <c r="F354" s="176" t="s">
        <v>1267</v>
      </c>
      <c r="G354" s="177" t="s">
        <v>1268</v>
      </c>
      <c r="H354" s="183"/>
      <c r="I354" s="183"/>
      <c r="J354" s="183"/>
      <c r="K354" s="183"/>
      <c r="L354" s="180">
        <v>42858</v>
      </c>
      <c r="M354" s="176" t="s">
        <v>1269</v>
      </c>
      <c r="N354" s="176" t="s">
        <v>1270</v>
      </c>
      <c r="O354" s="181" t="s">
        <v>168</v>
      </c>
    </row>
    <row r="355" spans="1:15">
      <c r="A355" s="175">
        <v>9195</v>
      </c>
      <c r="B355" s="176" t="s">
        <v>1257</v>
      </c>
      <c r="C355" s="176" t="s">
        <v>161</v>
      </c>
      <c r="D355" s="175" t="s">
        <v>162</v>
      </c>
      <c r="E355" s="175">
        <v>5960650</v>
      </c>
      <c r="F355" s="176" t="s">
        <v>1271</v>
      </c>
      <c r="G355" s="177" t="s">
        <v>1272</v>
      </c>
      <c r="H355" s="183"/>
      <c r="I355" s="183"/>
      <c r="J355" s="183"/>
      <c r="K355" s="183"/>
      <c r="L355" s="180">
        <v>42779</v>
      </c>
      <c r="M355" s="176" t="s">
        <v>193</v>
      </c>
      <c r="N355" s="176" t="s">
        <v>637</v>
      </c>
      <c r="O355" s="181" t="s">
        <v>168</v>
      </c>
    </row>
    <row r="356" spans="1:15">
      <c r="A356" s="175">
        <v>6594</v>
      </c>
      <c r="B356" s="176" t="s">
        <v>1273</v>
      </c>
      <c r="C356" s="176" t="s">
        <v>161</v>
      </c>
      <c r="D356" s="175" t="s">
        <v>162</v>
      </c>
      <c r="E356" s="175">
        <v>6436678</v>
      </c>
      <c r="F356" s="176" t="s">
        <v>1274</v>
      </c>
      <c r="G356" s="177" t="s">
        <v>1275</v>
      </c>
      <c r="H356" s="184">
        <v>42907</v>
      </c>
      <c r="I356" s="185">
        <v>1152</v>
      </c>
      <c r="J356" s="185">
        <v>38.4</v>
      </c>
      <c r="K356" s="185" t="s">
        <v>165</v>
      </c>
      <c r="L356" s="180">
        <v>42787</v>
      </c>
      <c r="M356" s="176" t="s">
        <v>166</v>
      </c>
      <c r="N356" s="176" t="s">
        <v>327</v>
      </c>
      <c r="O356" s="181" t="s">
        <v>168</v>
      </c>
    </row>
    <row r="357" spans="1:15">
      <c r="A357" s="175">
        <v>6594</v>
      </c>
      <c r="B357" s="176" t="s">
        <v>1273</v>
      </c>
      <c r="C357" s="176" t="s">
        <v>161</v>
      </c>
      <c r="D357" s="175" t="s">
        <v>162</v>
      </c>
      <c r="E357" s="175">
        <v>6350256</v>
      </c>
      <c r="F357" s="176" t="s">
        <v>1276</v>
      </c>
      <c r="G357" s="177" t="s">
        <v>1277</v>
      </c>
      <c r="H357" s="184">
        <v>42907</v>
      </c>
      <c r="I357" s="185">
        <v>1539</v>
      </c>
      <c r="J357" s="185">
        <v>51.3</v>
      </c>
      <c r="K357" s="185" t="s">
        <v>210</v>
      </c>
      <c r="L357" s="180">
        <v>42858</v>
      </c>
      <c r="M357" s="176" t="s">
        <v>301</v>
      </c>
      <c r="N357" s="176" t="s">
        <v>1113</v>
      </c>
      <c r="O357" s="181" t="s">
        <v>168</v>
      </c>
    </row>
    <row r="358" spans="1:15">
      <c r="A358" s="175">
        <v>6594</v>
      </c>
      <c r="B358" s="176" t="s">
        <v>1273</v>
      </c>
      <c r="C358" s="176" t="s">
        <v>161</v>
      </c>
      <c r="D358" s="175" t="s">
        <v>162</v>
      </c>
      <c r="E358" s="175">
        <v>6188807</v>
      </c>
      <c r="F358" s="176" t="s">
        <v>1278</v>
      </c>
      <c r="G358" s="177" t="s">
        <v>1279</v>
      </c>
      <c r="H358" s="183"/>
      <c r="I358" s="183"/>
      <c r="J358" s="183"/>
      <c r="K358" s="183"/>
      <c r="L358" s="180">
        <v>42809</v>
      </c>
      <c r="M358" s="176" t="s">
        <v>802</v>
      </c>
      <c r="N358" s="176" t="s">
        <v>1172</v>
      </c>
      <c r="O358" s="181" t="s">
        <v>168</v>
      </c>
    </row>
    <row r="359" spans="1:15">
      <c r="A359" s="175">
        <v>6594</v>
      </c>
      <c r="B359" s="176" t="s">
        <v>1273</v>
      </c>
      <c r="C359" s="176" t="s">
        <v>161</v>
      </c>
      <c r="D359" s="175" t="s">
        <v>162</v>
      </c>
      <c r="E359" s="175">
        <v>5982576</v>
      </c>
      <c r="F359" s="176" t="s">
        <v>1280</v>
      </c>
      <c r="G359" s="177" t="s">
        <v>1281</v>
      </c>
      <c r="H359" s="183"/>
      <c r="I359" s="183"/>
      <c r="J359" s="183"/>
      <c r="K359" s="183"/>
      <c r="L359" s="180">
        <v>42622</v>
      </c>
      <c r="M359" s="176" t="s">
        <v>198</v>
      </c>
      <c r="N359" s="176" t="s">
        <v>198</v>
      </c>
      <c r="O359" s="181" t="s">
        <v>168</v>
      </c>
    </row>
    <row r="360" spans="1:15">
      <c r="A360" s="175">
        <v>6594</v>
      </c>
      <c r="B360" s="176" t="s">
        <v>1273</v>
      </c>
      <c r="C360" s="176" t="s">
        <v>161</v>
      </c>
      <c r="D360" s="175" t="s">
        <v>162</v>
      </c>
      <c r="E360" s="175">
        <v>5887807</v>
      </c>
      <c r="F360" s="176" t="s">
        <v>1282</v>
      </c>
      <c r="G360" s="177" t="s">
        <v>1283</v>
      </c>
      <c r="H360" s="183"/>
      <c r="I360" s="183"/>
      <c r="J360" s="183"/>
      <c r="K360" s="183"/>
      <c r="L360" s="180">
        <v>42858</v>
      </c>
      <c r="M360" s="176" t="s">
        <v>198</v>
      </c>
      <c r="N360" s="176" t="s">
        <v>198</v>
      </c>
      <c r="O360" s="181" t="s">
        <v>168</v>
      </c>
    </row>
    <row r="361" spans="1:15">
      <c r="A361" s="175">
        <v>6594</v>
      </c>
      <c r="B361" s="176" t="s">
        <v>1273</v>
      </c>
      <c r="C361" s="176" t="s">
        <v>161</v>
      </c>
      <c r="D361" s="175" t="s">
        <v>162</v>
      </c>
      <c r="E361" s="175">
        <v>5866883</v>
      </c>
      <c r="F361" s="176" t="s">
        <v>1284</v>
      </c>
      <c r="G361" s="177" t="s">
        <v>1285</v>
      </c>
      <c r="H361" s="183"/>
      <c r="I361" s="183"/>
      <c r="J361" s="183"/>
      <c r="K361" s="183"/>
      <c r="L361" s="180">
        <v>42858</v>
      </c>
      <c r="M361" s="176" t="s">
        <v>301</v>
      </c>
      <c r="N361" s="176" t="s">
        <v>1113</v>
      </c>
      <c r="O361" s="181" t="s">
        <v>168</v>
      </c>
    </row>
    <row r="362" spans="1:15">
      <c r="A362" s="175">
        <v>6584</v>
      </c>
      <c r="B362" s="176" t="s">
        <v>1286</v>
      </c>
      <c r="C362" s="176" t="s">
        <v>161</v>
      </c>
      <c r="D362" s="175" t="s">
        <v>162</v>
      </c>
      <c r="E362" s="175">
        <v>5867297</v>
      </c>
      <c r="F362" s="176" t="s">
        <v>1287</v>
      </c>
      <c r="G362" s="177" t="s">
        <v>1155</v>
      </c>
      <c r="H362" s="184">
        <v>42907</v>
      </c>
      <c r="I362" s="185">
        <v>1800</v>
      </c>
      <c r="J362" s="185">
        <v>60</v>
      </c>
      <c r="K362" s="185" t="s">
        <v>210</v>
      </c>
      <c r="L362" s="180">
        <v>42872</v>
      </c>
      <c r="M362" s="176" t="s">
        <v>802</v>
      </c>
      <c r="N362" s="176" t="s">
        <v>1075</v>
      </c>
      <c r="O362" s="181" t="s">
        <v>168</v>
      </c>
    </row>
    <row r="363" spans="1:15">
      <c r="A363" s="175">
        <v>6584</v>
      </c>
      <c r="B363" s="176" t="s">
        <v>1286</v>
      </c>
      <c r="C363" s="176" t="s">
        <v>161</v>
      </c>
      <c r="D363" s="175" t="s">
        <v>162</v>
      </c>
      <c r="E363" s="175">
        <v>5614000</v>
      </c>
      <c r="F363" s="176" t="s">
        <v>1288</v>
      </c>
      <c r="G363" s="177" t="s">
        <v>1289</v>
      </c>
      <c r="H363" s="184">
        <v>42907</v>
      </c>
      <c r="I363" s="185">
        <v>672</v>
      </c>
      <c r="J363" s="185">
        <v>22.4</v>
      </c>
      <c r="K363" s="185" t="s">
        <v>192</v>
      </c>
      <c r="L363" s="180">
        <v>42598</v>
      </c>
      <c r="M363" s="176" t="s">
        <v>514</v>
      </c>
      <c r="N363" s="176" t="s">
        <v>1290</v>
      </c>
      <c r="O363" s="181" t="s">
        <v>168</v>
      </c>
    </row>
    <row r="364" spans="1:15">
      <c r="A364" s="175">
        <v>6584</v>
      </c>
      <c r="B364" s="176" t="s">
        <v>1286</v>
      </c>
      <c r="C364" s="176" t="s">
        <v>161</v>
      </c>
      <c r="D364" s="175" t="s">
        <v>162</v>
      </c>
      <c r="E364" s="175">
        <v>5759060</v>
      </c>
      <c r="F364" s="176" t="s">
        <v>1291</v>
      </c>
      <c r="G364" s="177" t="s">
        <v>1292</v>
      </c>
      <c r="H364" s="184">
        <v>42907</v>
      </c>
      <c r="I364" s="185">
        <v>1280</v>
      </c>
      <c r="J364" s="185">
        <v>42.666666666666664</v>
      </c>
      <c r="K364" s="185" t="s">
        <v>165</v>
      </c>
      <c r="L364" s="180">
        <v>42779</v>
      </c>
      <c r="M364" s="176" t="s">
        <v>514</v>
      </c>
      <c r="N364" s="176" t="s">
        <v>1293</v>
      </c>
      <c r="O364" s="181" t="s">
        <v>168</v>
      </c>
    </row>
    <row r="365" spans="1:15">
      <c r="A365" s="175">
        <v>6584</v>
      </c>
      <c r="B365" s="176" t="s">
        <v>1286</v>
      </c>
      <c r="C365" s="176" t="s">
        <v>161</v>
      </c>
      <c r="D365" s="175" t="s">
        <v>162</v>
      </c>
      <c r="E365" s="175">
        <v>5610468</v>
      </c>
      <c r="F365" s="176" t="s">
        <v>1294</v>
      </c>
      <c r="G365" s="177" t="s">
        <v>1295</v>
      </c>
      <c r="H365" s="183"/>
      <c r="I365" s="183"/>
      <c r="J365" s="183"/>
      <c r="K365" s="183"/>
      <c r="L365" s="180">
        <v>42438</v>
      </c>
      <c r="M365" s="176" t="s">
        <v>187</v>
      </c>
      <c r="N365" s="176" t="s">
        <v>187</v>
      </c>
      <c r="O365" s="181" t="s">
        <v>168</v>
      </c>
    </row>
    <row r="366" spans="1:15">
      <c r="A366" s="175">
        <v>9427</v>
      </c>
      <c r="B366" s="176" t="s">
        <v>1296</v>
      </c>
      <c r="C366" s="176" t="s">
        <v>161</v>
      </c>
      <c r="D366" s="175" t="s">
        <v>162</v>
      </c>
      <c r="E366" s="175">
        <v>5779965</v>
      </c>
      <c r="F366" s="176" t="s">
        <v>1297</v>
      </c>
      <c r="G366" s="177" t="s">
        <v>1298</v>
      </c>
      <c r="H366" s="184">
        <v>42907</v>
      </c>
      <c r="I366" s="185">
        <v>1371</v>
      </c>
      <c r="J366" s="185">
        <v>45.7</v>
      </c>
      <c r="K366" s="185" t="s">
        <v>165</v>
      </c>
      <c r="L366" s="180">
        <v>42810</v>
      </c>
      <c r="M366" s="176" t="s">
        <v>366</v>
      </c>
      <c r="N366" s="176" t="s">
        <v>366</v>
      </c>
      <c r="O366" s="181" t="s">
        <v>168</v>
      </c>
    </row>
    <row r="367" spans="1:15">
      <c r="A367" s="175">
        <v>9427</v>
      </c>
      <c r="B367" s="176" t="s">
        <v>1296</v>
      </c>
      <c r="C367" s="176" t="s">
        <v>161</v>
      </c>
      <c r="D367" s="175" t="s">
        <v>162</v>
      </c>
      <c r="E367" s="175">
        <v>6188619</v>
      </c>
      <c r="F367" s="176" t="s">
        <v>1299</v>
      </c>
      <c r="G367" s="177" t="s">
        <v>1300</v>
      </c>
      <c r="H367" s="184">
        <v>42907</v>
      </c>
      <c r="I367" s="185">
        <v>1210</v>
      </c>
      <c r="J367" s="185">
        <v>40.333333333333336</v>
      </c>
      <c r="K367" s="185" t="s">
        <v>165</v>
      </c>
      <c r="L367" s="180">
        <v>42810</v>
      </c>
      <c r="M367" s="176" t="s">
        <v>193</v>
      </c>
      <c r="N367" s="176" t="s">
        <v>194</v>
      </c>
      <c r="O367" s="181" t="s">
        <v>168</v>
      </c>
    </row>
    <row r="368" spans="1:15">
      <c r="A368" s="175">
        <v>9427</v>
      </c>
      <c r="B368" s="176" t="s">
        <v>1296</v>
      </c>
      <c r="C368" s="176" t="s">
        <v>161</v>
      </c>
      <c r="D368" s="175" t="s">
        <v>162</v>
      </c>
      <c r="E368" s="175">
        <v>5600025</v>
      </c>
      <c r="F368" s="176" t="s">
        <v>1301</v>
      </c>
      <c r="G368" s="177" t="s">
        <v>1302</v>
      </c>
      <c r="H368" s="183"/>
      <c r="I368" s="183"/>
      <c r="J368" s="183"/>
      <c r="K368" s="183"/>
      <c r="L368" s="180">
        <v>42555</v>
      </c>
      <c r="M368" s="176" t="s">
        <v>261</v>
      </c>
      <c r="N368" s="176" t="s">
        <v>262</v>
      </c>
      <c r="O368" s="181" t="s">
        <v>168</v>
      </c>
    </row>
    <row r="369" spans="1:15">
      <c r="A369" s="175">
        <v>9427</v>
      </c>
      <c r="B369" s="176" t="s">
        <v>1296</v>
      </c>
      <c r="C369" s="176" t="s">
        <v>161</v>
      </c>
      <c r="D369" s="175" t="s">
        <v>162</v>
      </c>
      <c r="E369" s="175">
        <v>5586302</v>
      </c>
      <c r="F369" s="176" t="s">
        <v>1303</v>
      </c>
      <c r="G369" s="177" t="s">
        <v>1304</v>
      </c>
      <c r="H369" s="183"/>
      <c r="I369" s="183"/>
      <c r="J369" s="183"/>
      <c r="K369" s="183"/>
      <c r="L369" s="180">
        <v>42555</v>
      </c>
      <c r="M369" s="176" t="s">
        <v>1305</v>
      </c>
      <c r="N369" s="176" t="s">
        <v>1306</v>
      </c>
      <c r="O369" s="181" t="s">
        <v>168</v>
      </c>
    </row>
    <row r="370" spans="1:15">
      <c r="A370" s="175">
        <v>6591</v>
      </c>
      <c r="B370" s="176" t="s">
        <v>1307</v>
      </c>
      <c r="C370" s="176" t="s">
        <v>161</v>
      </c>
      <c r="D370" s="175" t="s">
        <v>162</v>
      </c>
      <c r="E370" s="175">
        <v>6104858</v>
      </c>
      <c r="F370" s="176" t="s">
        <v>1308</v>
      </c>
      <c r="G370" s="177" t="s">
        <v>1189</v>
      </c>
      <c r="H370" s="184">
        <v>42907</v>
      </c>
      <c r="I370" s="185">
        <v>1241</v>
      </c>
      <c r="J370" s="185">
        <v>41.366666666666667</v>
      </c>
      <c r="K370" s="185" t="s">
        <v>165</v>
      </c>
      <c r="L370" s="180">
        <v>42653</v>
      </c>
      <c r="M370" s="176" t="s">
        <v>366</v>
      </c>
      <c r="N370" s="176" t="s">
        <v>366</v>
      </c>
      <c r="O370" s="181" t="s">
        <v>168</v>
      </c>
    </row>
    <row r="371" spans="1:15">
      <c r="A371" s="175">
        <v>6591</v>
      </c>
      <c r="B371" s="176" t="s">
        <v>1307</v>
      </c>
      <c r="C371" s="176" t="s">
        <v>161</v>
      </c>
      <c r="D371" s="175" t="s">
        <v>162</v>
      </c>
      <c r="E371" s="175">
        <v>5750868</v>
      </c>
      <c r="F371" s="176" t="s">
        <v>1309</v>
      </c>
      <c r="G371" s="177" t="s">
        <v>1310</v>
      </c>
      <c r="H371" s="184">
        <v>42907</v>
      </c>
      <c r="I371" s="185">
        <v>1000</v>
      </c>
      <c r="J371" s="185">
        <v>33.333333333333336</v>
      </c>
      <c r="K371" s="185" t="s">
        <v>165</v>
      </c>
      <c r="L371" s="180">
        <v>42779</v>
      </c>
      <c r="M371" s="176" t="s">
        <v>1311</v>
      </c>
      <c r="N371" s="176" t="s">
        <v>1312</v>
      </c>
      <c r="O371" s="181" t="s">
        <v>173</v>
      </c>
    </row>
    <row r="372" spans="1:15">
      <c r="A372" s="175">
        <v>6591</v>
      </c>
      <c r="B372" s="176" t="s">
        <v>1307</v>
      </c>
      <c r="C372" s="176" t="s">
        <v>161</v>
      </c>
      <c r="D372" s="175" t="s">
        <v>162</v>
      </c>
      <c r="E372" s="175">
        <v>5611792</v>
      </c>
      <c r="F372" s="176" t="s">
        <v>1313</v>
      </c>
      <c r="G372" s="177" t="s">
        <v>1314</v>
      </c>
      <c r="H372" s="183"/>
      <c r="I372" s="183"/>
      <c r="J372" s="183"/>
      <c r="K372" s="183"/>
      <c r="L372" s="180">
        <v>42446</v>
      </c>
      <c r="M372" s="176" t="s">
        <v>271</v>
      </c>
      <c r="N372" s="176" t="s">
        <v>1315</v>
      </c>
      <c r="O372" s="181" t="s">
        <v>168</v>
      </c>
    </row>
    <row r="373" spans="1:15">
      <c r="A373" s="175">
        <v>6591</v>
      </c>
      <c r="B373" s="176" t="s">
        <v>1307</v>
      </c>
      <c r="C373" s="176" t="s">
        <v>161</v>
      </c>
      <c r="D373" s="175" t="s">
        <v>162</v>
      </c>
      <c r="E373" s="175">
        <v>5654553</v>
      </c>
      <c r="F373" s="176" t="s">
        <v>1316</v>
      </c>
      <c r="G373" s="177" t="s">
        <v>1317</v>
      </c>
      <c r="H373" s="183"/>
      <c r="I373" s="183"/>
      <c r="J373" s="183"/>
      <c r="K373" s="183"/>
      <c r="L373" s="180">
        <v>42741</v>
      </c>
      <c r="M373" s="176" t="s">
        <v>166</v>
      </c>
      <c r="N373" s="176" t="s">
        <v>296</v>
      </c>
      <c r="O373" s="181" t="s">
        <v>168</v>
      </c>
    </row>
    <row r="374" spans="1:15">
      <c r="A374" s="175">
        <v>6591</v>
      </c>
      <c r="B374" s="176" t="s">
        <v>1307</v>
      </c>
      <c r="C374" s="176" t="s">
        <v>161</v>
      </c>
      <c r="D374" s="175" t="s">
        <v>162</v>
      </c>
      <c r="E374" s="175">
        <v>5111169</v>
      </c>
      <c r="F374" s="176" t="s">
        <v>1318</v>
      </c>
      <c r="G374" s="177" t="s">
        <v>1319</v>
      </c>
      <c r="H374" s="183"/>
      <c r="I374" s="183"/>
      <c r="J374" s="183"/>
      <c r="K374" s="183"/>
      <c r="L374" s="180">
        <v>42073</v>
      </c>
      <c r="M374" s="176" t="s">
        <v>219</v>
      </c>
      <c r="N374" s="176" t="s">
        <v>506</v>
      </c>
      <c r="O374" s="181" t="s">
        <v>173</v>
      </c>
    </row>
    <row r="375" spans="1:15">
      <c r="A375" s="175">
        <v>6591</v>
      </c>
      <c r="B375" s="176" t="s">
        <v>1307</v>
      </c>
      <c r="C375" s="176" t="s">
        <v>161</v>
      </c>
      <c r="D375" s="175" t="s">
        <v>162</v>
      </c>
      <c r="E375" s="175">
        <v>4951866</v>
      </c>
      <c r="F375" s="176" t="s">
        <v>1320</v>
      </c>
      <c r="G375" s="177" t="s">
        <v>1321</v>
      </c>
      <c r="H375" s="183"/>
      <c r="I375" s="183"/>
      <c r="J375" s="183"/>
      <c r="K375" s="183"/>
      <c r="L375" s="180">
        <v>41967</v>
      </c>
      <c r="M375" s="176" t="s">
        <v>1322</v>
      </c>
      <c r="N375" s="176" t="s">
        <v>1323</v>
      </c>
      <c r="O375" s="181" t="s">
        <v>168</v>
      </c>
    </row>
    <row r="376" spans="1:15">
      <c r="A376" s="175">
        <v>6592</v>
      </c>
      <c r="B376" s="176" t="s">
        <v>1324</v>
      </c>
      <c r="C376" s="176" t="s">
        <v>161</v>
      </c>
      <c r="D376" s="175" t="s">
        <v>162</v>
      </c>
      <c r="E376" s="175">
        <v>5919862</v>
      </c>
      <c r="F376" s="176" t="s">
        <v>1325</v>
      </c>
      <c r="G376" s="177" t="s">
        <v>1326</v>
      </c>
      <c r="H376" s="184">
        <v>42907</v>
      </c>
      <c r="I376" s="185">
        <v>1652</v>
      </c>
      <c r="J376" s="185">
        <v>55.06666666666667</v>
      </c>
      <c r="K376" s="185" t="s">
        <v>210</v>
      </c>
      <c r="L376" s="180">
        <v>42467</v>
      </c>
      <c r="M376" s="176" t="s">
        <v>198</v>
      </c>
      <c r="N376" s="176" t="s">
        <v>1327</v>
      </c>
      <c r="O376" s="181" t="s">
        <v>168</v>
      </c>
    </row>
    <row r="377" spans="1:15">
      <c r="A377" s="175">
        <v>6592</v>
      </c>
      <c r="B377" s="176" t="s">
        <v>1324</v>
      </c>
      <c r="C377" s="176" t="s">
        <v>161</v>
      </c>
      <c r="D377" s="175" t="s">
        <v>162</v>
      </c>
      <c r="E377" s="175">
        <v>6049241</v>
      </c>
      <c r="F377" s="176" t="s">
        <v>1328</v>
      </c>
      <c r="G377" s="177" t="s">
        <v>1329</v>
      </c>
      <c r="H377" s="183"/>
      <c r="I377" s="183"/>
      <c r="J377" s="183"/>
      <c r="K377" s="183"/>
      <c r="L377" s="180">
        <v>42801</v>
      </c>
      <c r="M377" s="176" t="s">
        <v>1182</v>
      </c>
      <c r="N377" s="176" t="s">
        <v>1330</v>
      </c>
      <c r="O377" s="181" t="s">
        <v>173</v>
      </c>
    </row>
    <row r="378" spans="1:15">
      <c r="A378" s="175">
        <v>6592</v>
      </c>
      <c r="B378" s="176" t="s">
        <v>1324</v>
      </c>
      <c r="C378" s="176" t="s">
        <v>161</v>
      </c>
      <c r="D378" s="175" t="s">
        <v>162</v>
      </c>
      <c r="E378" s="175">
        <v>5887789</v>
      </c>
      <c r="F378" s="176" t="s">
        <v>1331</v>
      </c>
      <c r="G378" s="177" t="s">
        <v>1332</v>
      </c>
      <c r="H378" s="183"/>
      <c r="I378" s="183"/>
      <c r="J378" s="183"/>
      <c r="K378" s="183"/>
      <c r="L378" s="180">
        <v>42797</v>
      </c>
      <c r="M378" s="176" t="s">
        <v>1124</v>
      </c>
      <c r="N378" s="176" t="s">
        <v>1333</v>
      </c>
      <c r="O378" s="181" t="s">
        <v>168</v>
      </c>
    </row>
    <row r="379" spans="1:15">
      <c r="A379" s="175">
        <v>6592</v>
      </c>
      <c r="B379" s="176" t="s">
        <v>1324</v>
      </c>
      <c r="C379" s="176" t="s">
        <v>161</v>
      </c>
      <c r="D379" s="175" t="s">
        <v>162</v>
      </c>
      <c r="E379" s="175">
        <v>6199549</v>
      </c>
      <c r="F379" s="176" t="s">
        <v>1334</v>
      </c>
      <c r="G379" s="177" t="s">
        <v>1335</v>
      </c>
      <c r="H379" s="183"/>
      <c r="I379" s="183"/>
      <c r="J379" s="183"/>
      <c r="K379" s="183"/>
      <c r="L379" s="180">
        <v>42685</v>
      </c>
      <c r="M379" s="176" t="s">
        <v>751</v>
      </c>
      <c r="N379" s="176" t="s">
        <v>752</v>
      </c>
      <c r="O379" s="181" t="s">
        <v>173</v>
      </c>
    </row>
    <row r="380" spans="1:15">
      <c r="A380" s="175">
        <v>6587</v>
      </c>
      <c r="B380" s="176" t="s">
        <v>1336</v>
      </c>
      <c r="C380" s="176" t="s">
        <v>161</v>
      </c>
      <c r="D380" s="175" t="s">
        <v>162</v>
      </c>
      <c r="E380" s="175">
        <v>6084725</v>
      </c>
      <c r="F380" s="176" t="s">
        <v>1337</v>
      </c>
      <c r="G380" s="177" t="s">
        <v>1338</v>
      </c>
      <c r="H380" s="184">
        <v>42907</v>
      </c>
      <c r="I380" s="185">
        <v>577</v>
      </c>
      <c r="J380" s="185">
        <v>19.233333333333334</v>
      </c>
      <c r="K380" s="185" t="s">
        <v>192</v>
      </c>
      <c r="L380" s="180">
        <v>42598</v>
      </c>
      <c r="M380" s="176" t="s">
        <v>1339</v>
      </c>
      <c r="N380" s="176" t="s">
        <v>1340</v>
      </c>
      <c r="O380" s="181" t="s">
        <v>168</v>
      </c>
    </row>
    <row r="381" spans="1:15">
      <c r="A381" s="175">
        <v>6587</v>
      </c>
      <c r="B381" s="176" t="s">
        <v>1336</v>
      </c>
      <c r="C381" s="176" t="s">
        <v>161</v>
      </c>
      <c r="D381" s="175" t="s">
        <v>162</v>
      </c>
      <c r="E381" s="175">
        <v>5673440</v>
      </c>
      <c r="F381" s="176" t="s">
        <v>1341</v>
      </c>
      <c r="G381" s="177" t="s">
        <v>1342</v>
      </c>
      <c r="H381" s="184">
        <v>42907</v>
      </c>
      <c r="I381" s="185">
        <v>1159</v>
      </c>
      <c r="J381" s="185">
        <v>38.633333333333333</v>
      </c>
      <c r="K381" s="185" t="s">
        <v>165</v>
      </c>
      <c r="L381" s="180">
        <v>42485</v>
      </c>
      <c r="M381" s="176" t="s">
        <v>301</v>
      </c>
      <c r="N381" s="176" t="s">
        <v>1343</v>
      </c>
      <c r="O381" s="181" t="s">
        <v>173</v>
      </c>
    </row>
    <row r="382" spans="1:15">
      <c r="A382" s="175">
        <v>6587</v>
      </c>
      <c r="B382" s="176" t="s">
        <v>1336</v>
      </c>
      <c r="C382" s="176" t="s">
        <v>161</v>
      </c>
      <c r="D382" s="175" t="s">
        <v>162</v>
      </c>
      <c r="E382" s="175">
        <v>5783127</v>
      </c>
      <c r="F382" s="176" t="s">
        <v>1344</v>
      </c>
      <c r="G382" s="177" t="s">
        <v>1345</v>
      </c>
      <c r="H382" s="183"/>
      <c r="I382" s="183"/>
      <c r="J382" s="183"/>
      <c r="K382" s="183"/>
      <c r="L382" s="180">
        <v>42485</v>
      </c>
      <c r="M382" s="176" t="s">
        <v>465</v>
      </c>
      <c r="N382" s="176" t="s">
        <v>1346</v>
      </c>
      <c r="O382" s="181" t="s">
        <v>168</v>
      </c>
    </row>
    <row r="383" spans="1:15">
      <c r="A383" s="175">
        <v>6587</v>
      </c>
      <c r="B383" s="176" t="s">
        <v>1336</v>
      </c>
      <c r="C383" s="176" t="s">
        <v>161</v>
      </c>
      <c r="D383" s="175" t="s">
        <v>162</v>
      </c>
      <c r="E383" s="175">
        <v>6294174</v>
      </c>
      <c r="F383" s="176" t="s">
        <v>1347</v>
      </c>
      <c r="G383" s="177" t="s">
        <v>1348</v>
      </c>
      <c r="H383" s="183"/>
      <c r="I383" s="183"/>
      <c r="J383" s="183"/>
      <c r="K383" s="183"/>
      <c r="L383" s="180">
        <v>42816</v>
      </c>
      <c r="M383" s="176" t="s">
        <v>219</v>
      </c>
      <c r="N383" s="176" t="s">
        <v>220</v>
      </c>
      <c r="O383" s="181" t="s">
        <v>173</v>
      </c>
    </row>
    <row r="384" spans="1:15">
      <c r="A384" s="175">
        <v>9476</v>
      </c>
      <c r="B384" s="176" t="s">
        <v>1349</v>
      </c>
      <c r="C384" s="176" t="s">
        <v>161</v>
      </c>
      <c r="D384" s="175" t="s">
        <v>162</v>
      </c>
      <c r="E384" s="175">
        <v>5645617</v>
      </c>
      <c r="F384" s="176" t="s">
        <v>1350</v>
      </c>
      <c r="G384" s="177" t="s">
        <v>1351</v>
      </c>
      <c r="H384" s="183"/>
      <c r="I384" s="183"/>
      <c r="J384" s="183"/>
      <c r="K384" s="183"/>
      <c r="L384" s="180">
        <v>42697</v>
      </c>
      <c r="M384" s="176" t="s">
        <v>366</v>
      </c>
      <c r="N384" s="176" t="s">
        <v>366</v>
      </c>
      <c r="O384" s="181" t="s">
        <v>168</v>
      </c>
    </row>
    <row r="385" spans="1:15">
      <c r="A385" s="175">
        <v>9476</v>
      </c>
      <c r="B385" s="176" t="s">
        <v>1349</v>
      </c>
      <c r="C385" s="176" t="s">
        <v>161</v>
      </c>
      <c r="D385" s="175" t="s">
        <v>162</v>
      </c>
      <c r="E385" s="175">
        <v>6391158</v>
      </c>
      <c r="F385" s="176" t="s">
        <v>1352</v>
      </c>
      <c r="G385" s="177" t="s">
        <v>1353</v>
      </c>
      <c r="H385" s="183"/>
      <c r="I385" s="183"/>
      <c r="J385" s="183"/>
      <c r="K385" s="183"/>
      <c r="L385" s="180">
        <v>42795</v>
      </c>
      <c r="M385" s="176" t="s">
        <v>366</v>
      </c>
      <c r="N385" s="176" t="s">
        <v>366</v>
      </c>
      <c r="O385" s="181" t="s">
        <v>168</v>
      </c>
    </row>
    <row r="386" spans="1:15">
      <c r="A386" s="175">
        <v>12265</v>
      </c>
      <c r="B386" s="176" t="s">
        <v>1354</v>
      </c>
      <c r="C386" s="176" t="s">
        <v>161</v>
      </c>
      <c r="D386" s="175" t="s">
        <v>162</v>
      </c>
      <c r="E386" s="175">
        <v>6333894</v>
      </c>
      <c r="F386" s="176" t="s">
        <v>1355</v>
      </c>
      <c r="G386" s="177" t="s">
        <v>1356</v>
      </c>
      <c r="H386" s="184">
        <v>42907</v>
      </c>
      <c r="I386" s="185">
        <v>508</v>
      </c>
      <c r="J386" s="185">
        <v>16.933333333333334</v>
      </c>
      <c r="K386" s="185" t="s">
        <v>192</v>
      </c>
      <c r="L386" s="180">
        <v>42480</v>
      </c>
      <c r="M386" s="176" t="s">
        <v>193</v>
      </c>
      <c r="N386" s="176" t="s">
        <v>429</v>
      </c>
      <c r="O386" s="181" t="s">
        <v>168</v>
      </c>
    </row>
    <row r="387" spans="1:15">
      <c r="A387" s="175">
        <v>12265</v>
      </c>
      <c r="B387" s="176" t="s">
        <v>1354</v>
      </c>
      <c r="C387" s="176" t="s">
        <v>161</v>
      </c>
      <c r="D387" s="175" t="s">
        <v>162</v>
      </c>
      <c r="E387" s="175">
        <v>5622333</v>
      </c>
      <c r="F387" s="176" t="s">
        <v>1357</v>
      </c>
      <c r="G387" s="177" t="s">
        <v>1281</v>
      </c>
      <c r="H387" s="184">
        <v>42907</v>
      </c>
      <c r="I387" s="185">
        <v>881</v>
      </c>
      <c r="J387" s="185">
        <v>29.366666666666667</v>
      </c>
      <c r="K387" s="185" t="s">
        <v>165</v>
      </c>
      <c r="L387" s="180">
        <v>42543</v>
      </c>
      <c r="M387" s="176" t="s">
        <v>1358</v>
      </c>
      <c r="N387" s="176" t="s">
        <v>1359</v>
      </c>
      <c r="O387" s="181" t="s">
        <v>168</v>
      </c>
    </row>
    <row r="388" spans="1:15">
      <c r="A388" s="175">
        <v>12265</v>
      </c>
      <c r="B388" s="176" t="s">
        <v>1354</v>
      </c>
      <c r="C388" s="176" t="s">
        <v>161</v>
      </c>
      <c r="D388" s="175" t="s">
        <v>162</v>
      </c>
      <c r="E388" s="175">
        <v>5822860</v>
      </c>
      <c r="F388" s="176" t="s">
        <v>1360</v>
      </c>
      <c r="G388" s="177" t="s">
        <v>1361</v>
      </c>
      <c r="H388" s="183"/>
      <c r="I388" s="183"/>
      <c r="J388" s="183"/>
      <c r="K388" s="183"/>
      <c r="L388" s="180">
        <v>42776</v>
      </c>
      <c r="M388" s="176" t="s">
        <v>1362</v>
      </c>
      <c r="N388" s="176" t="s">
        <v>1363</v>
      </c>
      <c r="O388" s="181" t="s">
        <v>248</v>
      </c>
    </row>
    <row r="389" spans="1:15">
      <c r="A389" s="175">
        <v>12265</v>
      </c>
      <c r="B389" s="176" t="s">
        <v>1354</v>
      </c>
      <c r="C389" s="176" t="s">
        <v>161</v>
      </c>
      <c r="D389" s="175" t="s">
        <v>162</v>
      </c>
      <c r="E389" s="175">
        <v>6192059</v>
      </c>
      <c r="F389" s="176" t="s">
        <v>1364</v>
      </c>
      <c r="G389" s="177" t="s">
        <v>1365</v>
      </c>
      <c r="H389" s="183"/>
      <c r="I389" s="183"/>
      <c r="J389" s="183"/>
      <c r="K389" s="183"/>
      <c r="L389" s="180">
        <v>42670</v>
      </c>
      <c r="M389" s="176" t="s">
        <v>1366</v>
      </c>
      <c r="N389" s="176" t="s">
        <v>1367</v>
      </c>
      <c r="O389" s="181" t="s">
        <v>168</v>
      </c>
    </row>
    <row r="390" spans="1:15">
      <c r="A390" s="175">
        <v>9837</v>
      </c>
      <c r="B390" s="176" t="s">
        <v>1368</v>
      </c>
      <c r="C390" s="176" t="s">
        <v>161</v>
      </c>
      <c r="D390" s="175" t="s">
        <v>162</v>
      </c>
      <c r="E390" s="175">
        <v>5767924</v>
      </c>
      <c r="F390" s="176" t="s">
        <v>1369</v>
      </c>
      <c r="G390" s="177" t="s">
        <v>1370</v>
      </c>
      <c r="H390" s="183"/>
      <c r="I390" s="183"/>
      <c r="J390" s="183"/>
      <c r="K390" s="183"/>
      <c r="L390" s="180">
        <v>42781</v>
      </c>
      <c r="M390" s="176" t="s">
        <v>366</v>
      </c>
      <c r="N390" s="176" t="s">
        <v>366</v>
      </c>
      <c r="O390" s="181" t="s">
        <v>168</v>
      </c>
    </row>
    <row r="391" spans="1:15">
      <c r="A391" s="175">
        <v>9837</v>
      </c>
      <c r="B391" s="176" t="s">
        <v>1368</v>
      </c>
      <c r="C391" s="176" t="s">
        <v>161</v>
      </c>
      <c r="D391" s="175" t="s">
        <v>162</v>
      </c>
      <c r="E391" s="175">
        <v>5652665</v>
      </c>
      <c r="F391" s="176" t="s">
        <v>1371</v>
      </c>
      <c r="G391" s="177" t="s">
        <v>1372</v>
      </c>
      <c r="H391" s="183"/>
      <c r="I391" s="183"/>
      <c r="J391" s="183"/>
      <c r="K391" s="183"/>
      <c r="L391" s="180">
        <v>42600</v>
      </c>
      <c r="M391" s="176" t="s">
        <v>166</v>
      </c>
      <c r="N391" s="176" t="s">
        <v>344</v>
      </c>
      <c r="O391" s="181" t="s">
        <v>168</v>
      </c>
    </row>
    <row r="392" spans="1:15">
      <c r="A392" s="175">
        <v>10769</v>
      </c>
      <c r="B392" s="176" t="s">
        <v>1373</v>
      </c>
      <c r="C392" s="176" t="s">
        <v>161</v>
      </c>
      <c r="D392" s="175" t="s">
        <v>162</v>
      </c>
      <c r="E392" s="175">
        <v>5868988</v>
      </c>
      <c r="F392" s="176" t="s">
        <v>1374</v>
      </c>
      <c r="G392" s="177" t="s">
        <v>1375</v>
      </c>
      <c r="H392" s="183"/>
      <c r="I392" s="183"/>
      <c r="J392" s="183"/>
      <c r="K392" s="183"/>
      <c r="L392" s="180">
        <v>42632</v>
      </c>
      <c r="M392" s="176" t="s">
        <v>1376</v>
      </c>
      <c r="N392" s="176" t="s">
        <v>1377</v>
      </c>
      <c r="O392" s="181" t="s">
        <v>168</v>
      </c>
    </row>
    <row r="393" spans="1:15">
      <c r="A393" s="175">
        <v>9477</v>
      </c>
      <c r="B393" s="176" t="s">
        <v>1378</v>
      </c>
      <c r="C393" s="176" t="s">
        <v>161</v>
      </c>
      <c r="D393" s="175" t="s">
        <v>162</v>
      </c>
      <c r="E393" s="175">
        <v>6254846</v>
      </c>
      <c r="F393" s="176" t="s">
        <v>1379</v>
      </c>
      <c r="G393" s="177" t="s">
        <v>1077</v>
      </c>
      <c r="H393" s="184">
        <v>42907</v>
      </c>
      <c r="I393" s="185">
        <v>1687</v>
      </c>
      <c r="J393" s="185">
        <v>56.233333333333334</v>
      </c>
      <c r="K393" s="185" t="s">
        <v>210</v>
      </c>
      <c r="L393" s="180">
        <v>42796</v>
      </c>
      <c r="M393" s="176" t="s">
        <v>166</v>
      </c>
      <c r="N393" s="176" t="s">
        <v>327</v>
      </c>
      <c r="O393" s="181" t="s">
        <v>168</v>
      </c>
    </row>
    <row r="394" spans="1:15">
      <c r="A394" s="175">
        <v>9477</v>
      </c>
      <c r="B394" s="176" t="s">
        <v>1378</v>
      </c>
      <c r="C394" s="176" t="s">
        <v>161</v>
      </c>
      <c r="D394" s="175" t="s">
        <v>162</v>
      </c>
      <c r="E394" s="175">
        <v>6273345</v>
      </c>
      <c r="F394" s="176" t="s">
        <v>1380</v>
      </c>
      <c r="G394" s="177" t="s">
        <v>1133</v>
      </c>
      <c r="H394" s="184">
        <v>42907</v>
      </c>
      <c r="I394" s="185">
        <v>1322</v>
      </c>
      <c r="J394" s="185">
        <v>44.06666666666667</v>
      </c>
      <c r="K394" s="185" t="s">
        <v>165</v>
      </c>
      <c r="L394" s="180">
        <v>42779</v>
      </c>
      <c r="M394" s="176" t="s">
        <v>193</v>
      </c>
      <c r="N394" s="176" t="s">
        <v>1381</v>
      </c>
      <c r="O394" s="181" t="s">
        <v>168</v>
      </c>
    </row>
    <row r="395" spans="1:15">
      <c r="A395" s="175">
        <v>9477</v>
      </c>
      <c r="B395" s="176" t="s">
        <v>1378</v>
      </c>
      <c r="C395" s="176" t="s">
        <v>161</v>
      </c>
      <c r="D395" s="175" t="s">
        <v>162</v>
      </c>
      <c r="E395" s="175">
        <v>5709804</v>
      </c>
      <c r="F395" s="176" t="s">
        <v>1382</v>
      </c>
      <c r="G395" s="177" t="s">
        <v>1383</v>
      </c>
      <c r="H395" s="183"/>
      <c r="I395" s="183"/>
      <c r="J395" s="183"/>
      <c r="K395" s="183"/>
      <c r="L395" s="180">
        <v>42485</v>
      </c>
      <c r="M395" s="176" t="s">
        <v>193</v>
      </c>
      <c r="N395" s="176" t="s">
        <v>1384</v>
      </c>
      <c r="O395" s="181" t="s">
        <v>168</v>
      </c>
    </row>
    <row r="396" spans="1:15">
      <c r="A396" s="175">
        <v>9477</v>
      </c>
      <c r="B396" s="176" t="s">
        <v>1378</v>
      </c>
      <c r="C396" s="176" t="s">
        <v>161</v>
      </c>
      <c r="D396" s="175" t="s">
        <v>162</v>
      </c>
      <c r="E396" s="175">
        <v>5706690</v>
      </c>
      <c r="F396" s="176" t="s">
        <v>1385</v>
      </c>
      <c r="G396" s="177" t="s">
        <v>1386</v>
      </c>
      <c r="H396" s="183"/>
      <c r="I396" s="183"/>
      <c r="J396" s="183"/>
      <c r="K396" s="183"/>
      <c r="L396" s="180">
        <v>42486</v>
      </c>
      <c r="M396" s="176" t="s">
        <v>1387</v>
      </c>
      <c r="N396" s="176" t="s">
        <v>1388</v>
      </c>
      <c r="O396" s="181" t="s">
        <v>168</v>
      </c>
    </row>
    <row r="397" spans="1:15">
      <c r="A397" s="175">
        <v>9477</v>
      </c>
      <c r="B397" s="176" t="s">
        <v>1378</v>
      </c>
      <c r="C397" s="176" t="s">
        <v>161</v>
      </c>
      <c r="D397" s="175" t="s">
        <v>162</v>
      </c>
      <c r="E397" s="175">
        <v>6212787</v>
      </c>
      <c r="F397" s="176" t="s">
        <v>1389</v>
      </c>
      <c r="G397" s="177" t="s">
        <v>1390</v>
      </c>
      <c r="H397" s="183"/>
      <c r="I397" s="183"/>
      <c r="J397" s="183"/>
      <c r="K397" s="183"/>
      <c r="L397" s="180">
        <v>42744</v>
      </c>
      <c r="M397" s="176" t="s">
        <v>1391</v>
      </c>
      <c r="N397" s="176" t="s">
        <v>1392</v>
      </c>
      <c r="O397" s="181" t="s">
        <v>248</v>
      </c>
    </row>
    <row r="398" spans="1:15">
      <c r="A398" s="175">
        <v>9477</v>
      </c>
      <c r="B398" s="176" t="s">
        <v>1378</v>
      </c>
      <c r="C398" s="176" t="s">
        <v>161</v>
      </c>
      <c r="D398" s="175" t="s">
        <v>162</v>
      </c>
      <c r="E398" s="175">
        <v>6164512</v>
      </c>
      <c r="F398" s="176" t="s">
        <v>1393</v>
      </c>
      <c r="G398" s="177" t="s">
        <v>1394</v>
      </c>
      <c r="H398" s="183"/>
      <c r="I398" s="183"/>
      <c r="J398" s="183"/>
      <c r="K398" s="183"/>
      <c r="L398" s="180">
        <v>42485</v>
      </c>
      <c r="M398" s="176" t="s">
        <v>271</v>
      </c>
      <c r="N398" s="176" t="s">
        <v>1395</v>
      </c>
      <c r="O398" s="181" t="s">
        <v>168</v>
      </c>
    </row>
    <row r="399" spans="1:15">
      <c r="A399" s="175">
        <v>6588</v>
      </c>
      <c r="B399" s="176" t="s">
        <v>1396</v>
      </c>
      <c r="C399" s="176" t="s">
        <v>161</v>
      </c>
      <c r="D399" s="175" t="s">
        <v>162</v>
      </c>
      <c r="E399" s="175">
        <v>5702678</v>
      </c>
      <c r="F399" s="176" t="s">
        <v>1397</v>
      </c>
      <c r="G399" s="177" t="s">
        <v>1398</v>
      </c>
      <c r="H399" s="184">
        <v>42907</v>
      </c>
      <c r="I399" s="185">
        <v>1116</v>
      </c>
      <c r="J399" s="185">
        <v>37.200000000000003</v>
      </c>
      <c r="K399" s="185" t="s">
        <v>165</v>
      </c>
      <c r="L399" s="180">
        <v>42628</v>
      </c>
      <c r="M399" s="176" t="s">
        <v>166</v>
      </c>
      <c r="N399" s="176" t="s">
        <v>344</v>
      </c>
      <c r="O399" s="181" t="s">
        <v>168</v>
      </c>
    </row>
    <row r="400" spans="1:15">
      <c r="A400" s="175">
        <v>6588</v>
      </c>
      <c r="B400" s="176" t="s">
        <v>1396</v>
      </c>
      <c r="C400" s="176" t="s">
        <v>161</v>
      </c>
      <c r="D400" s="175" t="s">
        <v>162</v>
      </c>
      <c r="E400" s="175">
        <v>5705543</v>
      </c>
      <c r="F400" s="176" t="s">
        <v>1399</v>
      </c>
      <c r="G400" s="177" t="s">
        <v>1400</v>
      </c>
      <c r="H400" s="184">
        <v>42907</v>
      </c>
      <c r="I400" s="185">
        <v>742</v>
      </c>
      <c r="J400" s="185">
        <v>24.733333333333334</v>
      </c>
      <c r="K400" s="185" t="s">
        <v>165</v>
      </c>
      <c r="L400" s="180">
        <v>42857</v>
      </c>
      <c r="M400" s="176" t="s">
        <v>193</v>
      </c>
      <c r="N400" s="176" t="s">
        <v>194</v>
      </c>
      <c r="O400" s="181" t="s">
        <v>168</v>
      </c>
    </row>
    <row r="401" spans="1:15">
      <c r="A401" s="175">
        <v>6588</v>
      </c>
      <c r="B401" s="176" t="s">
        <v>1396</v>
      </c>
      <c r="C401" s="176" t="s">
        <v>161</v>
      </c>
      <c r="D401" s="175" t="s">
        <v>162</v>
      </c>
      <c r="E401" s="175">
        <v>5977801</v>
      </c>
      <c r="F401" s="176" t="s">
        <v>1401</v>
      </c>
      <c r="G401" s="177" t="s">
        <v>1402</v>
      </c>
      <c r="H401" s="183"/>
      <c r="I401" s="183"/>
      <c r="J401" s="183"/>
      <c r="K401" s="183"/>
      <c r="L401" s="180">
        <v>42843</v>
      </c>
      <c r="M401" s="176" t="s">
        <v>1403</v>
      </c>
      <c r="N401" s="176" t="s">
        <v>1404</v>
      </c>
      <c r="O401" s="181" t="s">
        <v>168</v>
      </c>
    </row>
    <row r="402" spans="1:15">
      <c r="A402" s="175">
        <v>6588</v>
      </c>
      <c r="B402" s="176" t="s">
        <v>1396</v>
      </c>
      <c r="C402" s="176" t="s">
        <v>161</v>
      </c>
      <c r="D402" s="175" t="s">
        <v>162</v>
      </c>
      <c r="E402" s="175">
        <v>5817564</v>
      </c>
      <c r="F402" s="176" t="s">
        <v>1405</v>
      </c>
      <c r="G402" s="177" t="s">
        <v>1406</v>
      </c>
      <c r="H402" s="183"/>
      <c r="I402" s="183"/>
      <c r="J402" s="183"/>
      <c r="K402" s="183"/>
      <c r="L402" s="180">
        <v>42810</v>
      </c>
      <c r="M402" s="176" t="s">
        <v>193</v>
      </c>
      <c r="N402" s="176" t="s">
        <v>194</v>
      </c>
      <c r="O402" s="181" t="s">
        <v>168</v>
      </c>
    </row>
    <row r="403" spans="1:15">
      <c r="A403" s="175">
        <v>6588</v>
      </c>
      <c r="B403" s="176" t="s">
        <v>1396</v>
      </c>
      <c r="C403" s="176" t="s">
        <v>161</v>
      </c>
      <c r="D403" s="175" t="s">
        <v>162</v>
      </c>
      <c r="E403" s="175">
        <v>5942508</v>
      </c>
      <c r="F403" s="176" t="s">
        <v>1407</v>
      </c>
      <c r="G403" s="177" t="s">
        <v>1408</v>
      </c>
      <c r="H403" s="183"/>
      <c r="I403" s="183"/>
      <c r="J403" s="183"/>
      <c r="K403" s="183"/>
      <c r="L403" s="180">
        <v>42628</v>
      </c>
      <c r="M403" s="176" t="s">
        <v>366</v>
      </c>
      <c r="N403" s="176" t="s">
        <v>1409</v>
      </c>
      <c r="O403" s="181" t="s">
        <v>168</v>
      </c>
    </row>
    <row r="404" spans="1:15">
      <c r="A404" s="175">
        <v>12606</v>
      </c>
      <c r="B404" s="176" t="s">
        <v>1410</v>
      </c>
      <c r="C404" s="176" t="s">
        <v>161</v>
      </c>
      <c r="D404" s="175" t="s">
        <v>162</v>
      </c>
      <c r="E404" s="175">
        <v>5307243</v>
      </c>
      <c r="F404" s="176" t="s">
        <v>1411</v>
      </c>
      <c r="G404" s="177" t="s">
        <v>1412</v>
      </c>
      <c r="H404" s="183"/>
      <c r="I404" s="183"/>
      <c r="J404" s="183"/>
      <c r="K404" s="183"/>
      <c r="L404" s="180">
        <v>41409</v>
      </c>
      <c r="M404" s="176" t="s">
        <v>193</v>
      </c>
      <c r="N404" s="176" t="s">
        <v>228</v>
      </c>
      <c r="O404" s="181" t="s">
        <v>168</v>
      </c>
    </row>
    <row r="405" spans="1:15">
      <c r="A405" s="175">
        <v>12606</v>
      </c>
      <c r="B405" s="176" t="s">
        <v>1410</v>
      </c>
      <c r="C405" s="176" t="s">
        <v>161</v>
      </c>
      <c r="D405" s="175" t="s">
        <v>162</v>
      </c>
      <c r="E405" s="175">
        <v>4923024</v>
      </c>
      <c r="F405" s="176" t="s">
        <v>1413</v>
      </c>
      <c r="G405" s="177" t="s">
        <v>1414</v>
      </c>
      <c r="H405" s="183"/>
      <c r="I405" s="183"/>
      <c r="J405" s="183"/>
      <c r="K405" s="183"/>
      <c r="L405" s="180">
        <v>42269</v>
      </c>
      <c r="M405" s="176" t="s">
        <v>166</v>
      </c>
      <c r="N405" s="176" t="s">
        <v>184</v>
      </c>
      <c r="O405" s="181" t="s">
        <v>168</v>
      </c>
    </row>
    <row r="406" spans="1:15">
      <c r="A406" s="175">
        <v>12606</v>
      </c>
      <c r="B406" s="176" t="s">
        <v>1410</v>
      </c>
      <c r="C406" s="176" t="s">
        <v>161</v>
      </c>
      <c r="D406" s="175" t="s">
        <v>162</v>
      </c>
      <c r="E406" s="175">
        <v>5975047</v>
      </c>
      <c r="F406" s="176" t="s">
        <v>1415</v>
      </c>
      <c r="G406" s="177" t="s">
        <v>669</v>
      </c>
      <c r="H406" s="183"/>
      <c r="I406" s="183"/>
      <c r="J406" s="183"/>
      <c r="K406" s="183"/>
      <c r="L406" s="180">
        <v>42723</v>
      </c>
      <c r="M406" s="176" t="s">
        <v>166</v>
      </c>
      <c r="N406" s="176" t="s">
        <v>327</v>
      </c>
      <c r="O406" s="181" t="s">
        <v>168</v>
      </c>
    </row>
    <row r="407" spans="1:15">
      <c r="A407" s="175">
        <v>12755</v>
      </c>
      <c r="B407" s="176" t="s">
        <v>1416</v>
      </c>
      <c r="C407" s="176" t="s">
        <v>161</v>
      </c>
      <c r="D407" s="175" t="s">
        <v>162</v>
      </c>
      <c r="E407" s="175">
        <v>5606419</v>
      </c>
      <c r="F407" s="176" t="s">
        <v>1417</v>
      </c>
      <c r="G407" s="177" t="s">
        <v>1418</v>
      </c>
      <c r="H407" s="184">
        <v>42907</v>
      </c>
      <c r="I407" s="185">
        <v>1232</v>
      </c>
      <c r="J407" s="185">
        <v>41.06666666666667</v>
      </c>
      <c r="K407" s="185" t="s">
        <v>165</v>
      </c>
      <c r="L407" s="180">
        <v>42486</v>
      </c>
      <c r="M407" s="176" t="s">
        <v>1419</v>
      </c>
      <c r="N407" s="176" t="s">
        <v>1420</v>
      </c>
      <c r="O407" s="181" t="s">
        <v>168</v>
      </c>
    </row>
    <row r="408" spans="1:15">
      <c r="A408" s="175">
        <v>12755</v>
      </c>
      <c r="B408" s="176" t="s">
        <v>1416</v>
      </c>
      <c r="C408" s="176" t="s">
        <v>161</v>
      </c>
      <c r="D408" s="175" t="s">
        <v>162</v>
      </c>
      <c r="E408" s="175">
        <v>6183428</v>
      </c>
      <c r="F408" s="176" t="s">
        <v>1421</v>
      </c>
      <c r="G408" s="177" t="s">
        <v>1422</v>
      </c>
      <c r="H408" s="184">
        <v>42907</v>
      </c>
      <c r="I408" s="185">
        <v>1618</v>
      </c>
      <c r="J408" s="185">
        <v>53.93333333333333</v>
      </c>
      <c r="K408" s="185" t="s">
        <v>210</v>
      </c>
      <c r="L408" s="180">
        <v>42779</v>
      </c>
      <c r="M408" s="176" t="s">
        <v>193</v>
      </c>
      <c r="N408" s="176" t="s">
        <v>637</v>
      </c>
      <c r="O408" s="181" t="s">
        <v>168</v>
      </c>
    </row>
    <row r="409" spans="1:15">
      <c r="A409" s="175">
        <v>12755</v>
      </c>
      <c r="B409" s="176" t="s">
        <v>1416</v>
      </c>
      <c r="C409" s="176" t="s">
        <v>161</v>
      </c>
      <c r="D409" s="175" t="s">
        <v>162</v>
      </c>
      <c r="E409" s="175">
        <v>5674670</v>
      </c>
      <c r="F409" s="176" t="s">
        <v>1423</v>
      </c>
      <c r="G409" s="177" t="s">
        <v>1424</v>
      </c>
      <c r="H409" s="184">
        <v>42907</v>
      </c>
      <c r="I409" s="185">
        <v>1644</v>
      </c>
      <c r="J409" s="185">
        <v>54.8</v>
      </c>
      <c r="K409" s="185" t="s">
        <v>210</v>
      </c>
      <c r="L409" s="180">
        <v>42727</v>
      </c>
      <c r="M409" s="176" t="s">
        <v>1425</v>
      </c>
      <c r="N409" s="176" t="s">
        <v>1426</v>
      </c>
      <c r="O409" s="181" t="s">
        <v>248</v>
      </c>
    </row>
    <row r="410" spans="1:15">
      <c r="A410" s="175">
        <v>12755</v>
      </c>
      <c r="B410" s="176" t="s">
        <v>1416</v>
      </c>
      <c r="C410" s="176" t="s">
        <v>161</v>
      </c>
      <c r="D410" s="175" t="s">
        <v>162</v>
      </c>
      <c r="E410" s="175">
        <v>4960459</v>
      </c>
      <c r="F410" s="176" t="s">
        <v>1427</v>
      </c>
      <c r="G410" s="177" t="s">
        <v>1428</v>
      </c>
      <c r="H410" s="183"/>
      <c r="I410" s="183"/>
      <c r="J410" s="183"/>
      <c r="K410" s="183"/>
      <c r="L410" s="180">
        <v>42446</v>
      </c>
      <c r="M410" s="176" t="s">
        <v>193</v>
      </c>
      <c r="N410" s="176" t="s">
        <v>1429</v>
      </c>
      <c r="O410" s="181" t="s">
        <v>168</v>
      </c>
    </row>
    <row r="411" spans="1:15">
      <c r="A411" s="175">
        <v>12755</v>
      </c>
      <c r="B411" s="176" t="s">
        <v>1416</v>
      </c>
      <c r="C411" s="176" t="s">
        <v>161</v>
      </c>
      <c r="D411" s="175" t="s">
        <v>162</v>
      </c>
      <c r="E411" s="175">
        <v>6457011</v>
      </c>
      <c r="F411" s="176" t="s">
        <v>1430</v>
      </c>
      <c r="G411" s="177" t="s">
        <v>1431</v>
      </c>
      <c r="H411" s="183"/>
      <c r="I411" s="183"/>
      <c r="J411" s="183"/>
      <c r="K411" s="183"/>
      <c r="L411" s="180">
        <v>42779</v>
      </c>
      <c r="M411" s="176" t="s">
        <v>1432</v>
      </c>
      <c r="N411" s="176" t="s">
        <v>1433</v>
      </c>
      <c r="O411" s="181" t="s">
        <v>173</v>
      </c>
    </row>
    <row r="412" spans="1:15">
      <c r="A412" s="175">
        <v>12755</v>
      </c>
      <c r="B412" s="176" t="s">
        <v>1416</v>
      </c>
      <c r="C412" s="176" t="s">
        <v>161</v>
      </c>
      <c r="D412" s="175" t="s">
        <v>162</v>
      </c>
      <c r="E412" s="175">
        <v>5733214</v>
      </c>
      <c r="F412" s="176" t="s">
        <v>1434</v>
      </c>
      <c r="G412" s="177" t="s">
        <v>1435</v>
      </c>
      <c r="H412" s="183"/>
      <c r="I412" s="183"/>
      <c r="J412" s="183"/>
      <c r="K412" s="183"/>
      <c r="L412" s="180">
        <v>42578</v>
      </c>
      <c r="M412" s="176" t="s">
        <v>193</v>
      </c>
      <c r="N412" s="176" t="s">
        <v>637</v>
      </c>
      <c r="O412" s="181" t="s">
        <v>168</v>
      </c>
    </row>
    <row r="413" spans="1:15">
      <c r="A413" s="175">
        <v>12755</v>
      </c>
      <c r="B413" s="176" t="s">
        <v>1416</v>
      </c>
      <c r="C413" s="176" t="s">
        <v>161</v>
      </c>
      <c r="D413" s="175" t="s">
        <v>162</v>
      </c>
      <c r="E413" s="175">
        <v>5153972</v>
      </c>
      <c r="F413" s="176" t="s">
        <v>1436</v>
      </c>
      <c r="G413" s="177" t="s">
        <v>1437</v>
      </c>
      <c r="H413" s="183"/>
      <c r="I413" s="183"/>
      <c r="J413" s="183"/>
      <c r="K413" s="183"/>
      <c r="L413" s="180">
        <v>42614</v>
      </c>
      <c r="M413" s="176" t="s">
        <v>1438</v>
      </c>
      <c r="N413" s="176" t="s">
        <v>1439</v>
      </c>
      <c r="O413" s="181" t="s">
        <v>168</v>
      </c>
    </row>
    <row r="414" spans="1:15">
      <c r="A414" s="175">
        <v>12755</v>
      </c>
      <c r="B414" s="176" t="s">
        <v>1416</v>
      </c>
      <c r="C414" s="176" t="s">
        <v>161</v>
      </c>
      <c r="D414" s="175" t="s">
        <v>162</v>
      </c>
      <c r="E414" s="175">
        <v>5984471</v>
      </c>
      <c r="F414" s="176" t="s">
        <v>1440</v>
      </c>
      <c r="G414" s="177" t="s">
        <v>1441</v>
      </c>
      <c r="H414" s="183"/>
      <c r="I414" s="183"/>
      <c r="J414" s="183"/>
      <c r="K414" s="183"/>
      <c r="L414" s="180">
        <v>42752</v>
      </c>
      <c r="M414" s="176" t="s">
        <v>271</v>
      </c>
      <c r="N414" s="176" t="s">
        <v>1442</v>
      </c>
      <c r="O414" s="181" t="s">
        <v>168</v>
      </c>
    </row>
    <row r="415" spans="1:15">
      <c r="A415" s="175">
        <v>12755</v>
      </c>
      <c r="B415" s="176" t="s">
        <v>1416</v>
      </c>
      <c r="C415" s="176" t="s">
        <v>161</v>
      </c>
      <c r="D415" s="175" t="s">
        <v>162</v>
      </c>
      <c r="E415" s="175">
        <v>5996495</v>
      </c>
      <c r="F415" s="176" t="s">
        <v>1443</v>
      </c>
      <c r="G415" s="177" t="s">
        <v>1444</v>
      </c>
      <c r="H415" s="183"/>
      <c r="I415" s="183"/>
      <c r="J415" s="183"/>
      <c r="K415" s="183"/>
      <c r="L415" s="180">
        <v>42174</v>
      </c>
      <c r="M415" s="176" t="s">
        <v>1445</v>
      </c>
      <c r="N415" s="176" t="s">
        <v>1446</v>
      </c>
      <c r="O415" s="181" t="s">
        <v>168</v>
      </c>
    </row>
    <row r="416" spans="1:15">
      <c r="A416" s="175">
        <v>12755</v>
      </c>
      <c r="B416" s="176" t="s">
        <v>1416</v>
      </c>
      <c r="C416" s="176" t="s">
        <v>161</v>
      </c>
      <c r="D416" s="175" t="s">
        <v>162</v>
      </c>
      <c r="E416" s="175">
        <v>5859421</v>
      </c>
      <c r="F416" s="176" t="s">
        <v>1447</v>
      </c>
      <c r="G416" s="177" t="s">
        <v>1448</v>
      </c>
      <c r="H416" s="183"/>
      <c r="I416" s="183"/>
      <c r="J416" s="183"/>
      <c r="K416" s="183"/>
      <c r="L416" s="180">
        <v>42803</v>
      </c>
      <c r="M416" s="176" t="s">
        <v>465</v>
      </c>
      <c r="N416" s="176" t="s">
        <v>466</v>
      </c>
      <c r="O416" s="181" t="s">
        <v>168</v>
      </c>
    </row>
    <row r="417" spans="1:15">
      <c r="A417" s="175">
        <v>12755</v>
      </c>
      <c r="B417" s="176" t="s">
        <v>1416</v>
      </c>
      <c r="C417" s="176" t="s">
        <v>161</v>
      </c>
      <c r="D417" s="175" t="s">
        <v>162</v>
      </c>
      <c r="E417" s="175">
        <v>5152867</v>
      </c>
      <c r="F417" s="176" t="s">
        <v>1449</v>
      </c>
      <c r="G417" s="177" t="s">
        <v>1450</v>
      </c>
      <c r="H417" s="183"/>
      <c r="I417" s="183"/>
      <c r="J417" s="183"/>
      <c r="K417" s="183"/>
      <c r="L417" s="180">
        <v>42783</v>
      </c>
      <c r="M417" s="176" t="s">
        <v>198</v>
      </c>
      <c r="N417" s="176" t="s">
        <v>198</v>
      </c>
      <c r="O417" s="181" t="s">
        <v>168</v>
      </c>
    </row>
    <row r="418" spans="1:15">
      <c r="A418" s="175">
        <v>6580</v>
      </c>
      <c r="B418" s="176" t="s">
        <v>1451</v>
      </c>
      <c r="C418" s="176" t="s">
        <v>161</v>
      </c>
      <c r="D418" s="175" t="s">
        <v>162</v>
      </c>
      <c r="E418" s="175">
        <v>5791086</v>
      </c>
      <c r="F418" s="176" t="s">
        <v>1452</v>
      </c>
      <c r="G418" s="177" t="s">
        <v>1453</v>
      </c>
      <c r="H418" s="183"/>
      <c r="I418" s="183"/>
      <c r="J418" s="183"/>
      <c r="K418" s="183"/>
      <c r="L418" s="180">
        <v>42809</v>
      </c>
      <c r="M418" s="176" t="s">
        <v>366</v>
      </c>
      <c r="N418" s="176" t="s">
        <v>366</v>
      </c>
      <c r="O418" s="181" t="s">
        <v>168</v>
      </c>
    </row>
    <row r="419" spans="1:15">
      <c r="A419" s="175">
        <v>6580</v>
      </c>
      <c r="B419" s="176" t="s">
        <v>1451</v>
      </c>
      <c r="C419" s="176" t="s">
        <v>161</v>
      </c>
      <c r="D419" s="175" t="s">
        <v>162</v>
      </c>
      <c r="E419" s="175">
        <v>5978119</v>
      </c>
      <c r="F419" s="176" t="s">
        <v>1454</v>
      </c>
      <c r="G419" s="177" t="s">
        <v>1455</v>
      </c>
      <c r="H419" s="183"/>
      <c r="I419" s="183"/>
      <c r="J419" s="183"/>
      <c r="K419" s="183"/>
      <c r="L419" s="180">
        <v>42773</v>
      </c>
      <c r="M419" s="176" t="s">
        <v>1456</v>
      </c>
      <c r="N419" s="176" t="s">
        <v>1457</v>
      </c>
      <c r="O419" s="181" t="s">
        <v>168</v>
      </c>
    </row>
    <row r="420" spans="1:15">
      <c r="A420" s="175">
        <v>6580</v>
      </c>
      <c r="B420" s="176" t="s">
        <v>1451</v>
      </c>
      <c r="C420" s="176" t="s">
        <v>161</v>
      </c>
      <c r="D420" s="175" t="s">
        <v>162</v>
      </c>
      <c r="E420" s="175">
        <v>5621185</v>
      </c>
      <c r="F420" s="176" t="s">
        <v>1458</v>
      </c>
      <c r="G420" s="177" t="s">
        <v>1459</v>
      </c>
      <c r="H420" s="183"/>
      <c r="I420" s="183"/>
      <c r="J420" s="183"/>
      <c r="K420" s="183"/>
      <c r="L420" s="180">
        <v>42474</v>
      </c>
      <c r="M420" s="176" t="s">
        <v>166</v>
      </c>
      <c r="N420" s="176" t="s">
        <v>243</v>
      </c>
      <c r="O420" s="181" t="s">
        <v>168</v>
      </c>
    </row>
    <row r="421" spans="1:15">
      <c r="A421" s="175">
        <v>6586</v>
      </c>
      <c r="B421" s="176" t="s">
        <v>1460</v>
      </c>
      <c r="C421" s="176" t="s">
        <v>161</v>
      </c>
      <c r="D421" s="175" t="s">
        <v>162</v>
      </c>
      <c r="E421" s="175">
        <v>5665355</v>
      </c>
      <c r="F421" s="176" t="s">
        <v>1461</v>
      </c>
      <c r="G421" s="177" t="s">
        <v>1462</v>
      </c>
      <c r="H421" s="183"/>
      <c r="I421" s="183"/>
      <c r="J421" s="183"/>
      <c r="K421" s="183"/>
      <c r="L421" s="180">
        <v>42873</v>
      </c>
      <c r="M421" s="176" t="s">
        <v>1463</v>
      </c>
      <c r="N421" s="176" t="s">
        <v>1464</v>
      </c>
      <c r="O421" s="181" t="s">
        <v>248</v>
      </c>
    </row>
    <row r="422" spans="1:15">
      <c r="A422" s="175">
        <v>6586</v>
      </c>
      <c r="B422" s="176" t="s">
        <v>1460</v>
      </c>
      <c r="C422" s="176" t="s">
        <v>161</v>
      </c>
      <c r="D422" s="175" t="s">
        <v>162</v>
      </c>
      <c r="E422" s="175">
        <v>6178133</v>
      </c>
      <c r="F422" s="176" t="s">
        <v>1465</v>
      </c>
      <c r="G422" s="177" t="s">
        <v>1466</v>
      </c>
      <c r="H422" s="183"/>
      <c r="I422" s="183"/>
      <c r="J422" s="183"/>
      <c r="K422" s="183"/>
      <c r="L422" s="180">
        <v>42795</v>
      </c>
      <c r="M422" s="176" t="s">
        <v>349</v>
      </c>
      <c r="N422" s="176" t="s">
        <v>1467</v>
      </c>
      <c r="O422" s="181" t="s">
        <v>173</v>
      </c>
    </row>
    <row r="423" spans="1:15">
      <c r="A423" s="175">
        <v>6586</v>
      </c>
      <c r="B423" s="176" t="s">
        <v>1460</v>
      </c>
      <c r="C423" s="176" t="s">
        <v>161</v>
      </c>
      <c r="D423" s="175" t="s">
        <v>162</v>
      </c>
      <c r="E423" s="175">
        <v>5968544</v>
      </c>
      <c r="F423" s="176" t="s">
        <v>1468</v>
      </c>
      <c r="G423" s="177" t="s">
        <v>1469</v>
      </c>
      <c r="H423" s="183"/>
      <c r="I423" s="183"/>
      <c r="J423" s="183"/>
      <c r="K423" s="183"/>
      <c r="L423" s="180">
        <v>42138</v>
      </c>
      <c r="M423" s="176" t="s">
        <v>1470</v>
      </c>
      <c r="N423" s="176" t="s">
        <v>1471</v>
      </c>
      <c r="O423" s="181" t="s">
        <v>248</v>
      </c>
    </row>
    <row r="424" spans="1:15">
      <c r="A424" s="175">
        <v>6586</v>
      </c>
      <c r="B424" s="176" t="s">
        <v>1460</v>
      </c>
      <c r="C424" s="176" t="s">
        <v>161</v>
      </c>
      <c r="D424" s="175" t="s">
        <v>162</v>
      </c>
      <c r="E424" s="175">
        <v>5746701</v>
      </c>
      <c r="F424" s="176" t="s">
        <v>1472</v>
      </c>
      <c r="G424" s="177" t="s">
        <v>1473</v>
      </c>
      <c r="H424" s="183"/>
      <c r="I424" s="183"/>
      <c r="J424" s="183"/>
      <c r="K424" s="183"/>
      <c r="L424" s="180">
        <v>42884</v>
      </c>
      <c r="M424" s="176" t="s">
        <v>465</v>
      </c>
      <c r="N424" s="176" t="s">
        <v>466</v>
      </c>
      <c r="O424" s="181" t="s">
        <v>168</v>
      </c>
    </row>
    <row r="425" spans="1:15">
      <c r="A425" s="175">
        <v>6586</v>
      </c>
      <c r="B425" s="176" t="s">
        <v>1460</v>
      </c>
      <c r="C425" s="176" t="s">
        <v>161</v>
      </c>
      <c r="D425" s="175" t="s">
        <v>162</v>
      </c>
      <c r="E425" s="175">
        <v>5766808</v>
      </c>
      <c r="F425" s="176" t="s">
        <v>1474</v>
      </c>
      <c r="G425" s="177" t="s">
        <v>1181</v>
      </c>
      <c r="H425" s="183"/>
      <c r="I425" s="183"/>
      <c r="J425" s="183"/>
      <c r="K425" s="183"/>
      <c r="L425" s="180">
        <v>42795</v>
      </c>
      <c r="M425" s="176" t="s">
        <v>198</v>
      </c>
      <c r="N425" s="176" t="s">
        <v>1475</v>
      </c>
      <c r="O425" s="181" t="s">
        <v>173</v>
      </c>
    </row>
    <row r="426" spans="1:15">
      <c r="A426" s="175">
        <v>6586</v>
      </c>
      <c r="B426" s="176" t="s">
        <v>1460</v>
      </c>
      <c r="C426" s="176" t="s">
        <v>161</v>
      </c>
      <c r="D426" s="175" t="s">
        <v>162</v>
      </c>
      <c r="E426" s="175">
        <v>5786212</v>
      </c>
      <c r="F426" s="176" t="s">
        <v>1476</v>
      </c>
      <c r="G426" s="177" t="s">
        <v>1477</v>
      </c>
      <c r="H426" s="183"/>
      <c r="I426" s="183"/>
      <c r="J426" s="183"/>
      <c r="K426" s="183"/>
      <c r="L426" s="180">
        <v>42641</v>
      </c>
      <c r="M426" s="176" t="s">
        <v>1478</v>
      </c>
      <c r="N426" s="176" t="s">
        <v>1479</v>
      </c>
      <c r="O426" s="181" t="s">
        <v>168</v>
      </c>
    </row>
    <row r="427" spans="1:15">
      <c r="A427" s="175">
        <v>6586</v>
      </c>
      <c r="B427" s="176" t="s">
        <v>1460</v>
      </c>
      <c r="C427" s="176" t="s">
        <v>161</v>
      </c>
      <c r="D427" s="175" t="s">
        <v>162</v>
      </c>
      <c r="E427" s="175">
        <v>6181855</v>
      </c>
      <c r="F427" s="176" t="s">
        <v>1480</v>
      </c>
      <c r="G427" s="177" t="s">
        <v>1481</v>
      </c>
      <c r="H427" s="183"/>
      <c r="I427" s="183"/>
      <c r="J427" s="183"/>
      <c r="K427" s="183"/>
      <c r="L427" s="180">
        <v>42606</v>
      </c>
      <c r="M427" s="176" t="s">
        <v>193</v>
      </c>
      <c r="N427" s="176" t="s">
        <v>637</v>
      </c>
      <c r="O427" s="181" t="s">
        <v>168</v>
      </c>
    </row>
    <row r="428" spans="1:15">
      <c r="A428" s="175">
        <v>6586</v>
      </c>
      <c r="B428" s="176" t="s">
        <v>1460</v>
      </c>
      <c r="C428" s="176" t="s">
        <v>161</v>
      </c>
      <c r="D428" s="175" t="s">
        <v>162</v>
      </c>
      <c r="E428" s="175">
        <v>5551424</v>
      </c>
      <c r="F428" s="176" t="s">
        <v>1482</v>
      </c>
      <c r="G428" s="177" t="s">
        <v>1483</v>
      </c>
      <c r="H428" s="183"/>
      <c r="I428" s="183"/>
      <c r="J428" s="183"/>
      <c r="K428" s="183"/>
      <c r="L428" s="180">
        <v>42072</v>
      </c>
      <c r="M428" s="176" t="s">
        <v>193</v>
      </c>
      <c r="N428" s="176" t="s">
        <v>377</v>
      </c>
      <c r="O428" s="181" t="s">
        <v>168</v>
      </c>
    </row>
  </sheetData>
  <customSheetViews>
    <customSheetView guid="{A4151E33-58C6-41F5-BA81-6DF0478FCCB4}" state="veryHidden" topLeftCell="N397">
      <selection sqref="A1:O428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K4779"/>
  <sheetViews>
    <sheetView topLeftCell="D1" workbookViewId="0">
      <pane ySplit="1" topLeftCell="A38" activePane="bottomLeft" state="frozen"/>
      <selection pane="bottomLeft" sqref="A1:XFD1048576"/>
    </sheetView>
  </sheetViews>
  <sheetFormatPr baseColWidth="10" defaultColWidth="8.83203125" defaultRowHeight="15"/>
  <cols>
    <col min="1" max="1" width="7.5" customWidth="1"/>
    <col min="2" max="2" width="14.33203125" hidden="1" customWidth="1"/>
    <col min="3" max="3" width="13.83203125" customWidth="1"/>
    <col min="4" max="4" width="62" customWidth="1"/>
    <col min="5" max="5" width="13.83203125" customWidth="1"/>
    <col min="6" max="6" width="39.5" customWidth="1"/>
    <col min="7" max="7" width="19" hidden="1" customWidth="1"/>
    <col min="8" max="8" width="18.5" hidden="1" customWidth="1"/>
    <col min="9" max="9" width="40.5" customWidth="1"/>
    <col min="10" max="10" width="50.1640625" hidden="1" customWidth="1"/>
    <col min="11" max="11" width="13.83203125" customWidth="1"/>
  </cols>
  <sheetData>
    <row r="1" spans="1:11">
      <c r="A1" s="342" t="s">
        <v>6</v>
      </c>
      <c r="B1" s="342" t="s">
        <v>148</v>
      </c>
      <c r="C1" s="342" t="s">
        <v>146</v>
      </c>
      <c r="D1" s="342" t="s">
        <v>147</v>
      </c>
      <c r="E1" s="342" t="s">
        <v>149</v>
      </c>
      <c r="F1" s="342" t="s">
        <v>150</v>
      </c>
      <c r="G1" s="342" t="s">
        <v>151</v>
      </c>
      <c r="H1" s="342" t="s">
        <v>156</v>
      </c>
      <c r="I1" s="342" t="s">
        <v>157</v>
      </c>
      <c r="J1" s="342" t="s">
        <v>158</v>
      </c>
      <c r="K1" s="342" t="s">
        <v>159</v>
      </c>
    </row>
    <row r="2" spans="1:11" ht="26.25" customHeight="1">
      <c r="A2" s="343" t="s">
        <v>161</v>
      </c>
      <c r="B2" s="344" t="s">
        <v>162</v>
      </c>
      <c r="C2" s="344">
        <v>9384</v>
      </c>
      <c r="D2" s="343" t="s">
        <v>957</v>
      </c>
      <c r="E2" s="344">
        <v>4722698</v>
      </c>
      <c r="F2" s="343" t="s">
        <v>979</v>
      </c>
      <c r="G2" s="360" t="s">
        <v>980</v>
      </c>
      <c r="H2" s="361">
        <v>42055</v>
      </c>
      <c r="I2" s="343" t="s">
        <v>271</v>
      </c>
      <c r="J2" s="343" t="s">
        <v>333</v>
      </c>
      <c r="K2" s="343" t="s">
        <v>168</v>
      </c>
    </row>
    <row r="3" spans="1:11" ht="26.25" customHeight="1">
      <c r="A3" s="343" t="s">
        <v>161</v>
      </c>
      <c r="B3" s="344" t="s">
        <v>162</v>
      </c>
      <c r="C3" s="344">
        <v>9337</v>
      </c>
      <c r="D3" s="343" t="s">
        <v>884</v>
      </c>
      <c r="E3" s="344">
        <v>4729528</v>
      </c>
      <c r="F3" s="343" t="s">
        <v>894</v>
      </c>
      <c r="G3" s="360" t="s">
        <v>895</v>
      </c>
      <c r="H3" s="361">
        <v>42149</v>
      </c>
      <c r="I3" s="343" t="s">
        <v>896</v>
      </c>
      <c r="J3" s="343" t="s">
        <v>897</v>
      </c>
      <c r="K3" s="343" t="s">
        <v>168</v>
      </c>
    </row>
    <row r="4" spans="1:11" ht="26.25" customHeight="1">
      <c r="A4" s="343" t="s">
        <v>161</v>
      </c>
      <c r="B4" s="344" t="s">
        <v>162</v>
      </c>
      <c r="C4" s="344">
        <v>6934</v>
      </c>
      <c r="D4" s="343" t="s">
        <v>842</v>
      </c>
      <c r="E4" s="344">
        <v>4672554</v>
      </c>
      <c r="F4" s="343" t="s">
        <v>850</v>
      </c>
      <c r="G4" s="360" t="s">
        <v>851</v>
      </c>
      <c r="H4" s="361">
        <v>42333</v>
      </c>
      <c r="I4" s="343" t="s">
        <v>366</v>
      </c>
      <c r="J4" s="343" t="s">
        <v>852</v>
      </c>
      <c r="K4" s="343" t="s">
        <v>168</v>
      </c>
    </row>
    <row r="5" spans="1:11" ht="26.25" customHeight="1">
      <c r="A5" s="343" t="s">
        <v>161</v>
      </c>
      <c r="B5" s="344" t="s">
        <v>162</v>
      </c>
      <c r="C5" s="344">
        <v>6929</v>
      </c>
      <c r="D5" s="343" t="s">
        <v>1019</v>
      </c>
      <c r="E5" s="344">
        <v>5725946</v>
      </c>
      <c r="F5" s="343" t="s">
        <v>1020</v>
      </c>
      <c r="G5" s="360" t="s">
        <v>876</v>
      </c>
      <c r="H5" s="361">
        <v>42247</v>
      </c>
      <c r="I5" s="343" t="s">
        <v>261</v>
      </c>
      <c r="J5" s="343" t="s">
        <v>1021</v>
      </c>
      <c r="K5" s="343" t="s">
        <v>168</v>
      </c>
    </row>
    <row r="6" spans="1:11" ht="26.25" customHeight="1">
      <c r="A6" s="343" t="s">
        <v>161</v>
      </c>
      <c r="B6" s="344" t="s">
        <v>162</v>
      </c>
      <c r="C6" s="344">
        <v>12243</v>
      </c>
      <c r="D6" s="343" t="s">
        <v>699</v>
      </c>
      <c r="E6" s="344">
        <v>4848511</v>
      </c>
      <c r="F6" s="343" t="s">
        <v>704</v>
      </c>
      <c r="G6" s="360" t="s">
        <v>705</v>
      </c>
      <c r="H6" s="361">
        <v>42221</v>
      </c>
      <c r="I6" s="343" t="s">
        <v>580</v>
      </c>
      <c r="J6" s="343" t="s">
        <v>706</v>
      </c>
      <c r="K6" s="343" t="s">
        <v>248</v>
      </c>
    </row>
    <row r="7" spans="1:11" ht="26.25" customHeight="1">
      <c r="A7" s="343" t="s">
        <v>161</v>
      </c>
      <c r="B7" s="344" t="s">
        <v>162</v>
      </c>
      <c r="C7" s="344">
        <v>9857</v>
      </c>
      <c r="D7" s="343" t="s">
        <v>537</v>
      </c>
      <c r="E7" s="344">
        <v>5022269</v>
      </c>
      <c r="F7" s="343" t="s">
        <v>538</v>
      </c>
      <c r="G7" s="360" t="s">
        <v>539</v>
      </c>
      <c r="H7" s="361">
        <v>42205</v>
      </c>
      <c r="I7" s="343" t="s">
        <v>193</v>
      </c>
      <c r="J7" s="343" t="s">
        <v>377</v>
      </c>
      <c r="K7" s="343" t="s">
        <v>168</v>
      </c>
    </row>
    <row r="8" spans="1:11" ht="26.25" customHeight="1">
      <c r="A8" s="343" t="s">
        <v>161</v>
      </c>
      <c r="B8" s="344" t="s">
        <v>162</v>
      </c>
      <c r="C8" s="344">
        <v>9384</v>
      </c>
      <c r="D8" s="343" t="s">
        <v>957</v>
      </c>
      <c r="E8" s="344">
        <v>4807812</v>
      </c>
      <c r="F8" s="343" t="s">
        <v>961</v>
      </c>
      <c r="G8" s="360" t="s">
        <v>962</v>
      </c>
      <c r="H8" s="361">
        <v>42027</v>
      </c>
      <c r="I8" s="343" t="s">
        <v>366</v>
      </c>
      <c r="J8" s="343" t="s">
        <v>963</v>
      </c>
      <c r="K8" s="343" t="s">
        <v>168</v>
      </c>
    </row>
    <row r="9" spans="1:11" ht="26.25" customHeight="1">
      <c r="A9" s="343" t="s">
        <v>161</v>
      </c>
      <c r="B9" s="344" t="s">
        <v>162</v>
      </c>
      <c r="C9" s="344">
        <v>9857</v>
      </c>
      <c r="D9" s="343" t="s">
        <v>537</v>
      </c>
      <c r="E9" s="344">
        <v>4947398</v>
      </c>
      <c r="F9" s="343" t="s">
        <v>551</v>
      </c>
      <c r="G9" s="360" t="s">
        <v>552</v>
      </c>
      <c r="H9" s="361">
        <v>42027</v>
      </c>
      <c r="I9" s="343" t="s">
        <v>465</v>
      </c>
      <c r="J9" s="343" t="s">
        <v>553</v>
      </c>
      <c r="K9" s="343" t="s">
        <v>168</v>
      </c>
    </row>
    <row r="10" spans="1:11" ht="26.25" customHeight="1">
      <c r="A10" s="343" t="s">
        <v>161</v>
      </c>
      <c r="B10" s="344" t="s">
        <v>162</v>
      </c>
      <c r="C10" s="344">
        <v>12157</v>
      </c>
      <c r="D10" s="343" t="s">
        <v>791</v>
      </c>
      <c r="E10" s="344">
        <v>4955688</v>
      </c>
      <c r="F10" s="343" t="s">
        <v>804</v>
      </c>
      <c r="G10" s="360" t="s">
        <v>805</v>
      </c>
      <c r="H10" s="361">
        <v>42299</v>
      </c>
      <c r="I10" s="343" t="s">
        <v>806</v>
      </c>
      <c r="J10" s="343" t="s">
        <v>807</v>
      </c>
      <c r="K10" s="343" t="s">
        <v>168</v>
      </c>
    </row>
    <row r="11" spans="1:11" ht="26.25" customHeight="1">
      <c r="A11" s="343" t="s">
        <v>161</v>
      </c>
      <c r="B11" s="344" t="s">
        <v>162</v>
      </c>
      <c r="C11" s="344">
        <v>9259</v>
      </c>
      <c r="D11" s="343" t="s">
        <v>944</v>
      </c>
      <c r="E11" s="344">
        <v>5819821</v>
      </c>
      <c r="F11" s="343" t="s">
        <v>945</v>
      </c>
      <c r="G11" s="360" t="s">
        <v>946</v>
      </c>
      <c r="H11" s="361">
        <v>42185</v>
      </c>
      <c r="I11" s="343" t="s">
        <v>211</v>
      </c>
      <c r="J11" s="343" t="s">
        <v>211</v>
      </c>
      <c r="K11" s="343" t="s">
        <v>168</v>
      </c>
    </row>
    <row r="12" spans="1:11" ht="26.25" customHeight="1">
      <c r="A12" s="343" t="s">
        <v>161</v>
      </c>
      <c r="B12" s="344" t="s">
        <v>162</v>
      </c>
      <c r="C12" s="344">
        <v>8450</v>
      </c>
      <c r="D12" s="343" t="s">
        <v>289</v>
      </c>
      <c r="E12" s="344">
        <v>6143966</v>
      </c>
      <c r="F12" s="343" t="s">
        <v>299</v>
      </c>
      <c r="G12" s="360" t="s">
        <v>300</v>
      </c>
      <c r="H12" s="361">
        <v>42059</v>
      </c>
      <c r="I12" s="343" t="s">
        <v>301</v>
      </c>
      <c r="J12" s="343" t="s">
        <v>302</v>
      </c>
      <c r="K12" s="343" t="s">
        <v>168</v>
      </c>
    </row>
    <row r="13" spans="1:11" ht="26.25" customHeight="1">
      <c r="A13" s="343" t="s">
        <v>161</v>
      </c>
      <c r="B13" s="344" t="s">
        <v>162</v>
      </c>
      <c r="C13" s="344">
        <v>9384</v>
      </c>
      <c r="D13" s="343" t="s">
        <v>957</v>
      </c>
      <c r="E13" s="344">
        <v>4734370</v>
      </c>
      <c r="F13" s="343" t="s">
        <v>972</v>
      </c>
      <c r="G13" s="360" t="s">
        <v>973</v>
      </c>
      <c r="H13" s="361">
        <v>42172</v>
      </c>
      <c r="I13" s="343" t="s">
        <v>974</v>
      </c>
      <c r="J13" s="343" t="s">
        <v>975</v>
      </c>
      <c r="K13" s="343" t="s">
        <v>168</v>
      </c>
    </row>
    <row r="14" spans="1:11" ht="26.25" customHeight="1">
      <c r="A14" s="343" t="s">
        <v>161</v>
      </c>
      <c r="B14" s="344" t="s">
        <v>162</v>
      </c>
      <c r="C14" s="344">
        <v>12076</v>
      </c>
      <c r="D14" s="343" t="s">
        <v>735</v>
      </c>
      <c r="E14" s="344">
        <v>4886408</v>
      </c>
      <c r="F14" s="343" t="s">
        <v>757</v>
      </c>
      <c r="G14" s="360" t="s">
        <v>758</v>
      </c>
      <c r="H14" s="361">
        <v>42158</v>
      </c>
      <c r="I14" s="343" t="s">
        <v>193</v>
      </c>
      <c r="J14" s="343" t="s">
        <v>759</v>
      </c>
      <c r="K14" s="343" t="s">
        <v>168</v>
      </c>
    </row>
    <row r="15" spans="1:11" ht="26.25" customHeight="1">
      <c r="A15" s="343" t="s">
        <v>161</v>
      </c>
      <c r="B15" s="344" t="s">
        <v>162</v>
      </c>
      <c r="C15" s="344">
        <v>6923</v>
      </c>
      <c r="D15" s="343" t="s">
        <v>874</v>
      </c>
      <c r="E15" s="344">
        <v>5123799</v>
      </c>
      <c r="F15" s="343" t="s">
        <v>875</v>
      </c>
      <c r="G15" s="360" t="s">
        <v>876</v>
      </c>
      <c r="H15" s="361">
        <v>42166</v>
      </c>
      <c r="I15" s="343" t="s">
        <v>193</v>
      </c>
      <c r="J15" s="343" t="s">
        <v>377</v>
      </c>
      <c r="K15" s="343" t="s">
        <v>168</v>
      </c>
    </row>
    <row r="16" spans="1:11" ht="26.25" customHeight="1">
      <c r="A16" s="343" t="s">
        <v>161</v>
      </c>
      <c r="B16" s="344" t="s">
        <v>162</v>
      </c>
      <c r="C16" s="344">
        <v>9917</v>
      </c>
      <c r="D16" s="343" t="s">
        <v>479</v>
      </c>
      <c r="E16" s="344">
        <v>6105099</v>
      </c>
      <c r="F16" s="343" t="s">
        <v>504</v>
      </c>
      <c r="G16" s="360" t="s">
        <v>505</v>
      </c>
      <c r="H16" s="361">
        <v>42073</v>
      </c>
      <c r="I16" s="343" t="s">
        <v>219</v>
      </c>
      <c r="J16" s="343" t="s">
        <v>506</v>
      </c>
      <c r="K16" s="343" t="s">
        <v>173</v>
      </c>
    </row>
    <row r="17" spans="1:11" ht="26.25" customHeight="1">
      <c r="A17" s="343" t="s">
        <v>161</v>
      </c>
      <c r="B17" s="344" t="s">
        <v>162</v>
      </c>
      <c r="C17" s="344">
        <v>6936</v>
      </c>
      <c r="D17" s="343" t="s">
        <v>1029</v>
      </c>
      <c r="E17" s="344">
        <v>5562518</v>
      </c>
      <c r="F17" s="343" t="s">
        <v>1030</v>
      </c>
      <c r="G17" s="360" t="s">
        <v>1031</v>
      </c>
      <c r="H17" s="361">
        <v>42072</v>
      </c>
      <c r="I17" s="343" t="s">
        <v>198</v>
      </c>
      <c r="J17" s="343" t="s">
        <v>198</v>
      </c>
      <c r="K17" s="343" t="s">
        <v>168</v>
      </c>
    </row>
    <row r="18" spans="1:11" ht="26.25" customHeight="1">
      <c r="A18" s="343" t="s">
        <v>161</v>
      </c>
      <c r="B18" s="344" t="s">
        <v>162</v>
      </c>
      <c r="C18" s="344">
        <v>6925</v>
      </c>
      <c r="D18" s="343" t="s">
        <v>811</v>
      </c>
      <c r="E18" s="344">
        <v>3552377</v>
      </c>
      <c r="F18" s="343" t="s">
        <v>816</v>
      </c>
      <c r="G18" s="360" t="s">
        <v>817</v>
      </c>
      <c r="H18" s="361">
        <v>42151</v>
      </c>
      <c r="I18" s="343" t="s">
        <v>806</v>
      </c>
      <c r="J18" s="343" t="s">
        <v>818</v>
      </c>
      <c r="K18" s="343" t="s">
        <v>168</v>
      </c>
    </row>
    <row r="19" spans="1:11" ht="26.25" customHeight="1">
      <c r="A19" s="343" t="s">
        <v>161</v>
      </c>
      <c r="B19" s="344" t="s">
        <v>162</v>
      </c>
      <c r="C19" s="344">
        <v>12076</v>
      </c>
      <c r="D19" s="343" t="s">
        <v>735</v>
      </c>
      <c r="E19" s="344">
        <v>4608350</v>
      </c>
      <c r="F19" s="343" t="s">
        <v>768</v>
      </c>
      <c r="G19" s="360" t="s">
        <v>769</v>
      </c>
      <c r="H19" s="361">
        <v>42149</v>
      </c>
      <c r="I19" s="343" t="s">
        <v>198</v>
      </c>
      <c r="J19" s="343" t="s">
        <v>198</v>
      </c>
      <c r="K19" s="343" t="s">
        <v>168</v>
      </c>
    </row>
    <row r="20" spans="1:11" ht="26.25" customHeight="1">
      <c r="A20" s="343" t="s">
        <v>161</v>
      </c>
      <c r="B20" s="344" t="s">
        <v>162</v>
      </c>
      <c r="C20" s="344">
        <v>8823</v>
      </c>
      <c r="D20" s="343" t="s">
        <v>993</v>
      </c>
      <c r="E20" s="344">
        <v>4224242</v>
      </c>
      <c r="F20" s="343" t="s">
        <v>997</v>
      </c>
      <c r="G20" s="360" t="s">
        <v>998</v>
      </c>
      <c r="H20" s="361">
        <v>42145</v>
      </c>
      <c r="I20" s="343" t="s">
        <v>211</v>
      </c>
      <c r="J20" s="343" t="s">
        <v>999</v>
      </c>
      <c r="K20" s="343" t="s">
        <v>168</v>
      </c>
    </row>
    <row r="21" spans="1:11" ht="26.25" customHeight="1">
      <c r="A21" s="343" t="s">
        <v>161</v>
      </c>
      <c r="B21" s="344" t="s">
        <v>162</v>
      </c>
      <c r="C21" s="344">
        <v>8823</v>
      </c>
      <c r="D21" s="343" t="s">
        <v>993</v>
      </c>
      <c r="E21" s="344">
        <v>4224230</v>
      </c>
      <c r="F21" s="343" t="s">
        <v>1013</v>
      </c>
      <c r="G21" s="360" t="s">
        <v>998</v>
      </c>
      <c r="H21" s="361">
        <v>42143</v>
      </c>
      <c r="I21" s="343" t="s">
        <v>211</v>
      </c>
      <c r="J21" s="343" t="s">
        <v>211</v>
      </c>
      <c r="K21" s="343" t="s">
        <v>168</v>
      </c>
    </row>
    <row r="22" spans="1:11" ht="26.25" customHeight="1">
      <c r="A22" s="343" t="s">
        <v>161</v>
      </c>
      <c r="B22" s="344" t="s">
        <v>162</v>
      </c>
      <c r="C22" s="344">
        <v>9384</v>
      </c>
      <c r="D22" s="343" t="s">
        <v>957</v>
      </c>
      <c r="E22" s="344">
        <v>5013061</v>
      </c>
      <c r="F22" s="343" t="s">
        <v>967</v>
      </c>
      <c r="G22" s="360" t="s">
        <v>968</v>
      </c>
      <c r="H22" s="361">
        <v>42131</v>
      </c>
      <c r="I22" s="343" t="s">
        <v>180</v>
      </c>
      <c r="J22" s="343" t="s">
        <v>969</v>
      </c>
      <c r="K22" s="343" t="s">
        <v>173</v>
      </c>
    </row>
    <row r="23" spans="1:11" ht="26.25" customHeight="1">
      <c r="A23" s="343" t="s">
        <v>161</v>
      </c>
      <c r="B23" s="344" t="s">
        <v>162</v>
      </c>
      <c r="C23" s="344">
        <v>8482</v>
      </c>
      <c r="D23" s="343" t="s">
        <v>1036</v>
      </c>
      <c r="E23" s="344">
        <v>4476131</v>
      </c>
      <c r="F23" s="343" t="s">
        <v>1042</v>
      </c>
      <c r="G23" s="360" t="s">
        <v>1043</v>
      </c>
      <c r="H23" s="361">
        <v>42095</v>
      </c>
      <c r="I23" s="343" t="s">
        <v>275</v>
      </c>
      <c r="J23" s="343" t="s">
        <v>1044</v>
      </c>
      <c r="K23" s="343" t="s">
        <v>173</v>
      </c>
    </row>
    <row r="24" spans="1:11" ht="26.25" customHeight="1">
      <c r="A24" s="343" t="s">
        <v>161</v>
      </c>
      <c r="B24" s="344" t="s">
        <v>162</v>
      </c>
      <c r="C24" s="344">
        <v>6922</v>
      </c>
      <c r="D24" s="343" t="s">
        <v>949</v>
      </c>
      <c r="E24" s="344">
        <v>5167790</v>
      </c>
      <c r="F24" s="343" t="s">
        <v>954</v>
      </c>
      <c r="G24" s="360" t="s">
        <v>955</v>
      </c>
      <c r="H24" s="361">
        <v>42402</v>
      </c>
      <c r="I24" s="343" t="s">
        <v>284</v>
      </c>
      <c r="J24" s="343" t="s">
        <v>956</v>
      </c>
      <c r="K24" s="343" t="s">
        <v>168</v>
      </c>
    </row>
    <row r="25" spans="1:11" ht="26.25" customHeight="1">
      <c r="A25" s="343" t="s">
        <v>161</v>
      </c>
      <c r="B25" s="344" t="s">
        <v>162</v>
      </c>
      <c r="C25" s="344">
        <v>6922</v>
      </c>
      <c r="D25" s="343" t="s">
        <v>949</v>
      </c>
      <c r="E25" s="344">
        <v>6025391</v>
      </c>
      <c r="F25" s="343" t="s">
        <v>950</v>
      </c>
      <c r="G25" s="360" t="s">
        <v>951</v>
      </c>
      <c r="H25" s="361">
        <v>42431</v>
      </c>
      <c r="I25" s="343" t="s">
        <v>952</v>
      </c>
      <c r="J25" s="343" t="s">
        <v>953</v>
      </c>
      <c r="K25" s="343" t="s">
        <v>168</v>
      </c>
    </row>
    <row r="26" spans="1:11" ht="26.25" customHeight="1">
      <c r="A26" s="343" t="s">
        <v>161</v>
      </c>
      <c r="B26" s="344" t="s">
        <v>162</v>
      </c>
      <c r="C26" s="344">
        <v>9634</v>
      </c>
      <c r="D26" s="343" t="s">
        <v>901</v>
      </c>
      <c r="E26" s="344">
        <v>4498147</v>
      </c>
      <c r="F26" s="343" t="s">
        <v>914</v>
      </c>
      <c r="G26" s="360" t="s">
        <v>915</v>
      </c>
      <c r="H26" s="361">
        <v>42432</v>
      </c>
      <c r="I26" s="343" t="s">
        <v>211</v>
      </c>
      <c r="J26" s="343" t="s">
        <v>916</v>
      </c>
      <c r="K26" s="343" t="s">
        <v>168</v>
      </c>
    </row>
    <row r="27" spans="1:11" ht="26.25" customHeight="1">
      <c r="A27" s="343" t="s">
        <v>161</v>
      </c>
      <c r="B27" s="344" t="s">
        <v>162</v>
      </c>
      <c r="C27" s="344">
        <v>6934</v>
      </c>
      <c r="D27" s="343" t="s">
        <v>842</v>
      </c>
      <c r="E27" s="344">
        <v>6482511</v>
      </c>
      <c r="F27" s="343" t="s">
        <v>843</v>
      </c>
      <c r="G27" s="360" t="s">
        <v>844</v>
      </c>
      <c r="H27" s="361">
        <v>42432</v>
      </c>
      <c r="I27" s="343" t="s">
        <v>271</v>
      </c>
      <c r="J27" s="343" t="s">
        <v>845</v>
      </c>
      <c r="K27" s="343" t="s">
        <v>168</v>
      </c>
    </row>
    <row r="28" spans="1:11" ht="26.25" customHeight="1">
      <c r="A28" s="343" t="s">
        <v>161</v>
      </c>
      <c r="B28" s="344" t="s">
        <v>162</v>
      </c>
      <c r="C28" s="344">
        <v>9857</v>
      </c>
      <c r="D28" s="343" t="s">
        <v>537</v>
      </c>
      <c r="E28" s="344">
        <v>4606902</v>
      </c>
      <c r="F28" s="343" t="s">
        <v>545</v>
      </c>
      <c r="G28" s="360" t="s">
        <v>546</v>
      </c>
      <c r="H28" s="361">
        <v>42446</v>
      </c>
      <c r="I28" s="343" t="s">
        <v>547</v>
      </c>
      <c r="J28" s="343" t="s">
        <v>548</v>
      </c>
      <c r="K28" s="343" t="s">
        <v>248</v>
      </c>
    </row>
    <row r="29" spans="1:11" ht="26.25" customHeight="1">
      <c r="A29" s="343" t="s">
        <v>161</v>
      </c>
      <c r="B29" s="344" t="s">
        <v>162</v>
      </c>
      <c r="C29" s="344">
        <v>12607</v>
      </c>
      <c r="D29" s="343" t="s">
        <v>1055</v>
      </c>
      <c r="E29" s="344">
        <v>5493651</v>
      </c>
      <c r="F29" s="343" t="s">
        <v>1056</v>
      </c>
      <c r="G29" s="360" t="s">
        <v>1057</v>
      </c>
      <c r="H29" s="361">
        <v>42446</v>
      </c>
      <c r="I29" s="343" t="s">
        <v>198</v>
      </c>
      <c r="J29" s="343" t="s">
        <v>1058</v>
      </c>
      <c r="K29" s="343" t="s">
        <v>168</v>
      </c>
    </row>
    <row r="30" spans="1:11" ht="26.25" customHeight="1">
      <c r="A30" s="343" t="s">
        <v>161</v>
      </c>
      <c r="B30" s="344" t="s">
        <v>162</v>
      </c>
      <c r="C30" s="344">
        <v>7442</v>
      </c>
      <c r="D30" s="343" t="s">
        <v>382</v>
      </c>
      <c r="E30" s="344">
        <v>6293644</v>
      </c>
      <c r="F30" s="343" t="s">
        <v>383</v>
      </c>
      <c r="G30" s="360" t="s">
        <v>384</v>
      </c>
      <c r="H30" s="361">
        <v>42459</v>
      </c>
      <c r="I30" s="343" t="s">
        <v>166</v>
      </c>
      <c r="J30" s="343" t="s">
        <v>385</v>
      </c>
      <c r="K30" s="343" t="s">
        <v>248</v>
      </c>
    </row>
    <row r="31" spans="1:11" ht="26.25" customHeight="1">
      <c r="A31" s="343" t="s">
        <v>161</v>
      </c>
      <c r="B31" s="344" t="s">
        <v>162</v>
      </c>
      <c r="C31" s="344">
        <v>12607</v>
      </c>
      <c r="D31" s="343" t="s">
        <v>1055</v>
      </c>
      <c r="E31" s="344">
        <v>5121515</v>
      </c>
      <c r="F31" s="343" t="s">
        <v>1059</v>
      </c>
      <c r="G31" s="360" t="s">
        <v>1060</v>
      </c>
      <c r="H31" s="361">
        <v>42458</v>
      </c>
      <c r="I31" s="343" t="s">
        <v>366</v>
      </c>
      <c r="J31" s="343" t="s">
        <v>1061</v>
      </c>
      <c r="K31" s="343" t="s">
        <v>168</v>
      </c>
    </row>
    <row r="32" spans="1:11" ht="26.25" customHeight="1">
      <c r="A32" s="343" t="s">
        <v>161</v>
      </c>
      <c r="B32" s="344" t="s">
        <v>162</v>
      </c>
      <c r="C32" s="344">
        <v>9855</v>
      </c>
      <c r="D32" s="343" t="s">
        <v>411</v>
      </c>
      <c r="E32" s="344">
        <v>6490921</v>
      </c>
      <c r="F32" s="343" t="s">
        <v>430</v>
      </c>
      <c r="G32" s="360" t="s">
        <v>431</v>
      </c>
      <c r="H32" s="361">
        <v>42472</v>
      </c>
      <c r="I32" s="343" t="s">
        <v>284</v>
      </c>
      <c r="J32" s="343" t="s">
        <v>432</v>
      </c>
      <c r="K32" s="343" t="s">
        <v>168</v>
      </c>
    </row>
    <row r="33" spans="1:11" ht="26.25" customHeight="1">
      <c r="A33" s="343" t="s">
        <v>161</v>
      </c>
      <c r="B33" s="344" t="s">
        <v>162</v>
      </c>
      <c r="C33" s="344">
        <v>6930</v>
      </c>
      <c r="D33" s="343" t="s">
        <v>829</v>
      </c>
      <c r="E33" s="344">
        <v>3873347</v>
      </c>
      <c r="F33" s="343" t="s">
        <v>837</v>
      </c>
      <c r="G33" s="360" t="s">
        <v>838</v>
      </c>
      <c r="H33" s="361">
        <v>42465</v>
      </c>
      <c r="I33" s="343" t="s">
        <v>465</v>
      </c>
      <c r="J33" s="343" t="s">
        <v>553</v>
      </c>
      <c r="K33" s="343" t="s">
        <v>168</v>
      </c>
    </row>
    <row r="34" spans="1:11" ht="26.25" customHeight="1">
      <c r="A34" s="343" t="s">
        <v>161</v>
      </c>
      <c r="B34" s="344" t="s">
        <v>162</v>
      </c>
      <c r="C34" s="344">
        <v>9917</v>
      </c>
      <c r="D34" s="343" t="s">
        <v>479</v>
      </c>
      <c r="E34" s="344">
        <v>6271954</v>
      </c>
      <c r="F34" s="343" t="s">
        <v>480</v>
      </c>
      <c r="G34" s="360" t="s">
        <v>481</v>
      </c>
      <c r="H34" s="361">
        <v>42461</v>
      </c>
      <c r="I34" s="343" t="s">
        <v>261</v>
      </c>
      <c r="J34" s="343" t="s">
        <v>262</v>
      </c>
      <c r="K34" s="343" t="s">
        <v>168</v>
      </c>
    </row>
    <row r="35" spans="1:11" ht="26.25" customHeight="1">
      <c r="A35" s="343" t="s">
        <v>161</v>
      </c>
      <c r="B35" s="344" t="s">
        <v>162</v>
      </c>
      <c r="C35" s="344">
        <v>6582</v>
      </c>
      <c r="D35" s="343" t="s">
        <v>1143</v>
      </c>
      <c r="E35" s="344">
        <v>5719358</v>
      </c>
      <c r="F35" s="343" t="s">
        <v>1152</v>
      </c>
      <c r="G35" s="360" t="s">
        <v>1100</v>
      </c>
      <c r="H35" s="361">
        <v>42487</v>
      </c>
      <c r="I35" s="343" t="s">
        <v>180</v>
      </c>
      <c r="J35" s="343" t="s">
        <v>1153</v>
      </c>
      <c r="K35" s="343" t="s">
        <v>173</v>
      </c>
    </row>
    <row r="36" spans="1:11" ht="26.25" customHeight="1">
      <c r="A36" s="343" t="s">
        <v>161</v>
      </c>
      <c r="B36" s="344" t="s">
        <v>162</v>
      </c>
      <c r="C36" s="344">
        <v>9744</v>
      </c>
      <c r="D36" s="343" t="s">
        <v>711</v>
      </c>
      <c r="E36" s="344">
        <v>6565326</v>
      </c>
      <c r="F36" s="343" t="s">
        <v>715</v>
      </c>
      <c r="G36" s="360" t="s">
        <v>716</v>
      </c>
      <c r="H36" s="361">
        <v>42474</v>
      </c>
      <c r="I36" s="343" t="s">
        <v>193</v>
      </c>
      <c r="J36" s="343" t="s">
        <v>429</v>
      </c>
      <c r="K36" s="343" t="s">
        <v>168</v>
      </c>
    </row>
    <row r="37" spans="1:11" ht="26.25" customHeight="1">
      <c r="A37" s="343" t="s">
        <v>161</v>
      </c>
      <c r="B37" s="344" t="s">
        <v>162</v>
      </c>
      <c r="C37" s="344">
        <v>6930</v>
      </c>
      <c r="D37" s="343" t="s">
        <v>829</v>
      </c>
      <c r="E37" s="344">
        <v>4710090</v>
      </c>
      <c r="F37" s="343" t="s">
        <v>834</v>
      </c>
      <c r="G37" s="360" t="s">
        <v>835</v>
      </c>
      <c r="H37" s="361">
        <v>42474</v>
      </c>
      <c r="I37" s="343" t="s">
        <v>211</v>
      </c>
      <c r="J37" s="343" t="s">
        <v>836</v>
      </c>
      <c r="K37" s="343" t="s">
        <v>168</v>
      </c>
    </row>
    <row r="38" spans="1:11" ht="26.25" customHeight="1">
      <c r="A38" s="343" t="s">
        <v>161</v>
      </c>
      <c r="B38" s="344" t="s">
        <v>162</v>
      </c>
      <c r="C38" s="344">
        <v>13378</v>
      </c>
      <c r="D38" s="343" t="s">
        <v>1212</v>
      </c>
      <c r="E38" s="344">
        <v>6361473</v>
      </c>
      <c r="F38" s="343" t="s">
        <v>1232</v>
      </c>
      <c r="G38" s="360" t="s">
        <v>1207</v>
      </c>
      <c r="H38" s="361">
        <v>42475</v>
      </c>
      <c r="I38" s="343" t="s">
        <v>313</v>
      </c>
      <c r="J38" s="343" t="s">
        <v>1233</v>
      </c>
      <c r="K38" s="343" t="s">
        <v>173</v>
      </c>
    </row>
    <row r="39" spans="1:11" ht="26.25" customHeight="1">
      <c r="A39" s="343" t="s">
        <v>161</v>
      </c>
      <c r="B39" s="344" t="s">
        <v>162</v>
      </c>
      <c r="C39" s="344">
        <v>9917</v>
      </c>
      <c r="D39" s="343" t="s">
        <v>479</v>
      </c>
      <c r="E39" s="344">
        <v>6156847</v>
      </c>
      <c r="F39" s="343" t="s">
        <v>512</v>
      </c>
      <c r="G39" s="360" t="s">
        <v>513</v>
      </c>
      <c r="H39" s="361">
        <v>42489</v>
      </c>
      <c r="I39" s="343" t="s">
        <v>514</v>
      </c>
      <c r="J39" s="343" t="s">
        <v>515</v>
      </c>
      <c r="K39" s="343" t="s">
        <v>168</v>
      </c>
    </row>
    <row r="40" spans="1:11" ht="26.25" customHeight="1">
      <c r="A40" s="343" t="s">
        <v>161</v>
      </c>
      <c r="B40" s="344" t="s">
        <v>162</v>
      </c>
      <c r="C40" s="344">
        <v>12070</v>
      </c>
      <c r="D40" s="343" t="s">
        <v>462</v>
      </c>
      <c r="E40" s="344">
        <v>6220022</v>
      </c>
      <c r="F40" s="343" t="s">
        <v>473</v>
      </c>
      <c r="G40" s="360" t="s">
        <v>474</v>
      </c>
      <c r="H40" s="361">
        <v>42480</v>
      </c>
      <c r="I40" s="343" t="s">
        <v>166</v>
      </c>
      <c r="J40" s="343" t="s">
        <v>475</v>
      </c>
      <c r="K40" s="343" t="s">
        <v>168</v>
      </c>
    </row>
    <row r="41" spans="1:11" ht="26.25" customHeight="1">
      <c r="A41" s="343" t="s">
        <v>161</v>
      </c>
      <c r="B41" s="344" t="s">
        <v>162</v>
      </c>
      <c r="C41" s="344">
        <v>12071</v>
      </c>
      <c r="D41" s="343" t="s">
        <v>721</v>
      </c>
      <c r="E41" s="344">
        <v>3106341</v>
      </c>
      <c r="F41" s="343" t="s">
        <v>732</v>
      </c>
      <c r="G41" s="360" t="s">
        <v>733</v>
      </c>
      <c r="H41" s="361">
        <v>42489</v>
      </c>
      <c r="I41" s="343" t="s">
        <v>211</v>
      </c>
      <c r="J41" s="343" t="s">
        <v>734</v>
      </c>
      <c r="K41" s="343" t="s">
        <v>168</v>
      </c>
    </row>
    <row r="42" spans="1:11" ht="26.25" customHeight="1">
      <c r="A42" s="343" t="s">
        <v>161</v>
      </c>
      <c r="B42" s="344" t="s">
        <v>162</v>
      </c>
      <c r="C42" s="344">
        <v>6929</v>
      </c>
      <c r="D42" s="343" t="s">
        <v>1019</v>
      </c>
      <c r="E42" s="344">
        <v>4951143</v>
      </c>
      <c r="F42" s="343" t="s">
        <v>1022</v>
      </c>
      <c r="G42" s="360" t="s">
        <v>1023</v>
      </c>
      <c r="H42" s="361">
        <v>42487</v>
      </c>
      <c r="I42" s="343" t="s">
        <v>1024</v>
      </c>
      <c r="J42" s="343" t="s">
        <v>1025</v>
      </c>
      <c r="K42" s="343" t="s">
        <v>168</v>
      </c>
    </row>
    <row r="43" spans="1:11" ht="26.25" customHeight="1">
      <c r="A43" s="343" t="s">
        <v>161</v>
      </c>
      <c r="B43" s="344" t="s">
        <v>162</v>
      </c>
      <c r="C43" s="344">
        <v>8823</v>
      </c>
      <c r="D43" s="343" t="s">
        <v>993</v>
      </c>
      <c r="E43" s="344">
        <v>5600579</v>
      </c>
      <c r="F43" s="343" t="s">
        <v>1007</v>
      </c>
      <c r="G43" s="360" t="s">
        <v>1008</v>
      </c>
      <c r="H43" s="361">
        <v>42487</v>
      </c>
      <c r="I43" s="343" t="s">
        <v>984</v>
      </c>
      <c r="J43" s="343" t="s">
        <v>1009</v>
      </c>
      <c r="K43" s="343" t="s">
        <v>168</v>
      </c>
    </row>
    <row r="44" spans="1:11" ht="26.25" customHeight="1">
      <c r="A44" s="343" t="s">
        <v>161</v>
      </c>
      <c r="B44" s="344" t="s">
        <v>162</v>
      </c>
      <c r="C44" s="344">
        <v>6587</v>
      </c>
      <c r="D44" s="343" t="s">
        <v>1336</v>
      </c>
      <c r="E44" s="344">
        <v>5673440</v>
      </c>
      <c r="F44" s="343" t="s">
        <v>1341</v>
      </c>
      <c r="G44" s="360" t="s">
        <v>1342</v>
      </c>
      <c r="H44" s="361">
        <v>42485</v>
      </c>
      <c r="I44" s="343" t="s">
        <v>301</v>
      </c>
      <c r="J44" s="343" t="s">
        <v>1343</v>
      </c>
      <c r="K44" s="343" t="s">
        <v>173</v>
      </c>
    </row>
    <row r="45" spans="1:11" ht="26.25" customHeight="1">
      <c r="A45" s="343" t="s">
        <v>161</v>
      </c>
      <c r="B45" s="344" t="s">
        <v>162</v>
      </c>
      <c r="C45" s="344">
        <v>12071</v>
      </c>
      <c r="D45" s="343" t="s">
        <v>721</v>
      </c>
      <c r="E45" s="344">
        <v>4751957</v>
      </c>
      <c r="F45" s="343" t="s">
        <v>729</v>
      </c>
      <c r="G45" s="360" t="s">
        <v>730</v>
      </c>
      <c r="H45" s="361">
        <v>42485</v>
      </c>
      <c r="I45" s="343" t="s">
        <v>709</v>
      </c>
      <c r="J45" s="343" t="s">
        <v>731</v>
      </c>
      <c r="K45" s="343" t="s">
        <v>173</v>
      </c>
    </row>
    <row r="46" spans="1:11" ht="26.25" customHeight="1">
      <c r="A46" s="343" t="s">
        <v>161</v>
      </c>
      <c r="B46" s="344" t="s">
        <v>162</v>
      </c>
      <c r="C46" s="344">
        <v>6587</v>
      </c>
      <c r="D46" s="343" t="s">
        <v>1336</v>
      </c>
      <c r="E46" s="344">
        <v>5783127</v>
      </c>
      <c r="F46" s="343" t="s">
        <v>1344</v>
      </c>
      <c r="G46" s="360" t="s">
        <v>1345</v>
      </c>
      <c r="H46" s="361">
        <v>42485</v>
      </c>
      <c r="I46" s="343" t="s">
        <v>465</v>
      </c>
      <c r="J46" s="343" t="s">
        <v>1346</v>
      </c>
      <c r="K46" s="343" t="s">
        <v>168</v>
      </c>
    </row>
    <row r="47" spans="1:11" ht="26.25" customHeight="1">
      <c r="A47" s="343" t="s">
        <v>161</v>
      </c>
      <c r="B47" s="344" t="s">
        <v>162</v>
      </c>
      <c r="C47" s="344">
        <v>9592</v>
      </c>
      <c r="D47" s="343" t="s">
        <v>307</v>
      </c>
      <c r="E47" s="344">
        <v>6381674</v>
      </c>
      <c r="F47" s="343" t="s">
        <v>311</v>
      </c>
      <c r="G47" s="360" t="s">
        <v>312</v>
      </c>
      <c r="H47" s="361">
        <v>42499</v>
      </c>
      <c r="I47" s="343" t="s">
        <v>313</v>
      </c>
      <c r="J47" s="343" t="s">
        <v>314</v>
      </c>
      <c r="K47" s="343" t="s">
        <v>173</v>
      </c>
    </row>
    <row r="48" spans="1:11" ht="26.25" customHeight="1">
      <c r="A48" s="343" t="s">
        <v>161</v>
      </c>
      <c r="B48" s="344" t="s">
        <v>162</v>
      </c>
      <c r="C48" s="344">
        <v>6935</v>
      </c>
      <c r="D48" s="343" t="s">
        <v>854</v>
      </c>
      <c r="E48" s="344">
        <v>4741596</v>
      </c>
      <c r="F48" s="343" t="s">
        <v>855</v>
      </c>
      <c r="G48" s="360" t="s">
        <v>856</v>
      </c>
      <c r="H48" s="361">
        <v>42502</v>
      </c>
      <c r="I48" s="343" t="s">
        <v>857</v>
      </c>
      <c r="J48" s="343" t="s">
        <v>858</v>
      </c>
      <c r="K48" s="343" t="s">
        <v>168</v>
      </c>
    </row>
    <row r="49" spans="1:11" ht="26.25" customHeight="1">
      <c r="A49" s="343" t="s">
        <v>161</v>
      </c>
      <c r="B49" s="344" t="s">
        <v>162</v>
      </c>
      <c r="C49" s="344">
        <v>13372</v>
      </c>
      <c r="D49" s="343" t="s">
        <v>1202</v>
      </c>
      <c r="E49" s="344">
        <v>5929704</v>
      </c>
      <c r="F49" s="343" t="s">
        <v>1210</v>
      </c>
      <c r="G49" s="360" t="s">
        <v>1211</v>
      </c>
      <c r="H49" s="361">
        <v>42529</v>
      </c>
      <c r="I49" s="343" t="s">
        <v>465</v>
      </c>
      <c r="J49" s="343" t="s">
        <v>553</v>
      </c>
      <c r="K49" s="343" t="s">
        <v>168</v>
      </c>
    </row>
    <row r="50" spans="1:11" ht="26.25" customHeight="1">
      <c r="A50" s="343" t="s">
        <v>161</v>
      </c>
      <c r="B50" s="344" t="s">
        <v>162</v>
      </c>
      <c r="C50" s="344">
        <v>9916</v>
      </c>
      <c r="D50" s="343" t="s">
        <v>439</v>
      </c>
      <c r="E50" s="344">
        <v>6297327</v>
      </c>
      <c r="F50" s="343" t="s">
        <v>446</v>
      </c>
      <c r="G50" s="360" t="s">
        <v>447</v>
      </c>
      <c r="H50" s="361">
        <v>42508</v>
      </c>
      <c r="I50" s="343" t="s">
        <v>349</v>
      </c>
      <c r="J50" s="343" t="s">
        <v>448</v>
      </c>
      <c r="K50" s="343" t="s">
        <v>168</v>
      </c>
    </row>
    <row r="51" spans="1:11" ht="26.25" customHeight="1">
      <c r="A51" s="343" t="s">
        <v>161</v>
      </c>
      <c r="B51" s="344" t="s">
        <v>162</v>
      </c>
      <c r="C51" s="344">
        <v>8823</v>
      </c>
      <c r="D51" s="343" t="s">
        <v>993</v>
      </c>
      <c r="E51" s="344">
        <v>6481784</v>
      </c>
      <c r="F51" s="343" t="s">
        <v>1010</v>
      </c>
      <c r="G51" s="360" t="s">
        <v>1011</v>
      </c>
      <c r="H51" s="361">
        <v>42543</v>
      </c>
      <c r="I51" s="343" t="s">
        <v>180</v>
      </c>
      <c r="J51" s="343" t="s">
        <v>1012</v>
      </c>
      <c r="K51" s="343" t="s">
        <v>168</v>
      </c>
    </row>
    <row r="52" spans="1:11" ht="26.25" customHeight="1">
      <c r="A52" s="343" t="s">
        <v>161</v>
      </c>
      <c r="B52" s="344" t="s">
        <v>162</v>
      </c>
      <c r="C52" s="344">
        <v>7459</v>
      </c>
      <c r="D52" s="343" t="s">
        <v>351</v>
      </c>
      <c r="E52" s="344">
        <v>6204248</v>
      </c>
      <c r="F52" s="343" t="s">
        <v>360</v>
      </c>
      <c r="G52" s="360" t="s">
        <v>361</v>
      </c>
      <c r="H52" s="361">
        <v>42513</v>
      </c>
      <c r="I52" s="343" t="s">
        <v>362</v>
      </c>
      <c r="J52" s="343" t="s">
        <v>363</v>
      </c>
      <c r="K52" s="343" t="s">
        <v>168</v>
      </c>
    </row>
    <row r="53" spans="1:11" ht="26.25" customHeight="1">
      <c r="A53" s="343" t="s">
        <v>161</v>
      </c>
      <c r="B53" s="344" t="s">
        <v>162</v>
      </c>
      <c r="C53" s="344">
        <v>9911</v>
      </c>
      <c r="D53" s="343" t="s">
        <v>563</v>
      </c>
      <c r="E53" s="344">
        <v>5840197</v>
      </c>
      <c r="F53" s="343" t="s">
        <v>572</v>
      </c>
      <c r="G53" s="360" t="s">
        <v>573</v>
      </c>
      <c r="H53" s="361">
        <v>42513</v>
      </c>
      <c r="I53" s="343" t="s">
        <v>301</v>
      </c>
      <c r="J53" s="343" t="s">
        <v>302</v>
      </c>
      <c r="K53" s="343" t="s">
        <v>168</v>
      </c>
    </row>
    <row r="54" spans="1:11" ht="26.25" customHeight="1">
      <c r="A54" s="343" t="s">
        <v>161</v>
      </c>
      <c r="B54" s="344" t="s">
        <v>162</v>
      </c>
      <c r="C54" s="344">
        <v>9917</v>
      </c>
      <c r="D54" s="343" t="s">
        <v>479</v>
      </c>
      <c r="E54" s="344">
        <v>6429786</v>
      </c>
      <c r="F54" s="343" t="s">
        <v>482</v>
      </c>
      <c r="G54" s="360" t="s">
        <v>483</v>
      </c>
      <c r="H54" s="361">
        <v>42520</v>
      </c>
      <c r="I54" s="343" t="s">
        <v>484</v>
      </c>
      <c r="J54" s="343" t="s">
        <v>485</v>
      </c>
      <c r="K54" s="343" t="s">
        <v>168</v>
      </c>
    </row>
    <row r="55" spans="1:11" ht="26.25" customHeight="1">
      <c r="A55" s="343" t="s">
        <v>161</v>
      </c>
      <c r="B55" s="344" t="s">
        <v>162</v>
      </c>
      <c r="C55" s="344">
        <v>12071</v>
      </c>
      <c r="D55" s="343" t="s">
        <v>721</v>
      </c>
      <c r="E55" s="344">
        <v>5297399</v>
      </c>
      <c r="F55" s="343" t="s">
        <v>722</v>
      </c>
      <c r="G55" s="360" t="s">
        <v>723</v>
      </c>
      <c r="H55" s="361">
        <v>42551</v>
      </c>
      <c r="I55" s="343" t="s">
        <v>580</v>
      </c>
      <c r="J55" s="343" t="s">
        <v>724</v>
      </c>
      <c r="K55" s="343" t="s">
        <v>248</v>
      </c>
    </row>
    <row r="56" spans="1:11" ht="26.25" customHeight="1">
      <c r="A56" s="343" t="s">
        <v>161</v>
      </c>
      <c r="B56" s="344" t="s">
        <v>162</v>
      </c>
      <c r="C56" s="344">
        <v>9855</v>
      </c>
      <c r="D56" s="343" t="s">
        <v>411</v>
      </c>
      <c r="E56" s="344">
        <v>6435061</v>
      </c>
      <c r="F56" s="343" t="s">
        <v>427</v>
      </c>
      <c r="G56" s="360" t="s">
        <v>428</v>
      </c>
      <c r="H56" s="361">
        <v>42524</v>
      </c>
      <c r="I56" s="343" t="s">
        <v>193</v>
      </c>
      <c r="J56" s="343" t="s">
        <v>429</v>
      </c>
      <c r="K56" s="343" t="s">
        <v>168</v>
      </c>
    </row>
    <row r="57" spans="1:11" ht="26.25" customHeight="1">
      <c r="A57" s="343" t="s">
        <v>161</v>
      </c>
      <c r="B57" s="344" t="s">
        <v>162</v>
      </c>
      <c r="C57" s="344">
        <v>6927</v>
      </c>
      <c r="D57" s="343" t="s">
        <v>919</v>
      </c>
      <c r="E57" s="344">
        <v>3715111</v>
      </c>
      <c r="F57" s="343" t="s">
        <v>929</v>
      </c>
      <c r="G57" s="360" t="s">
        <v>930</v>
      </c>
      <c r="H57" s="361">
        <v>42550</v>
      </c>
      <c r="I57" s="343" t="s">
        <v>211</v>
      </c>
      <c r="J57" s="343" t="s">
        <v>211</v>
      </c>
      <c r="K57" s="343" t="s">
        <v>168</v>
      </c>
    </row>
    <row r="58" spans="1:11" ht="26.25" customHeight="1">
      <c r="A58" s="343" t="s">
        <v>161</v>
      </c>
      <c r="B58" s="344" t="s">
        <v>162</v>
      </c>
      <c r="C58" s="344">
        <v>8823</v>
      </c>
      <c r="D58" s="343" t="s">
        <v>993</v>
      </c>
      <c r="E58" s="344">
        <v>6481782</v>
      </c>
      <c r="F58" s="343" t="s">
        <v>1002</v>
      </c>
      <c r="G58" s="360" t="s">
        <v>1003</v>
      </c>
      <c r="H58" s="361">
        <v>42559</v>
      </c>
      <c r="I58" s="343" t="s">
        <v>193</v>
      </c>
      <c r="J58" s="343" t="s">
        <v>377</v>
      </c>
      <c r="K58" s="343" t="s">
        <v>168</v>
      </c>
    </row>
    <row r="59" spans="1:11" ht="26.25" customHeight="1">
      <c r="A59" s="343" t="s">
        <v>161</v>
      </c>
      <c r="B59" s="344" t="s">
        <v>162</v>
      </c>
      <c r="C59" s="344">
        <v>9744</v>
      </c>
      <c r="D59" s="343" t="s">
        <v>711</v>
      </c>
      <c r="E59" s="344">
        <v>4765391</v>
      </c>
      <c r="F59" s="343" t="s">
        <v>717</v>
      </c>
      <c r="G59" s="360" t="s">
        <v>718</v>
      </c>
      <c r="H59" s="361">
        <v>42569</v>
      </c>
      <c r="I59" s="343" t="s">
        <v>719</v>
      </c>
      <c r="J59" s="343" t="s">
        <v>720</v>
      </c>
      <c r="K59" s="343" t="s">
        <v>168</v>
      </c>
    </row>
    <row r="60" spans="1:11" ht="26.25" customHeight="1">
      <c r="A60" s="343" t="s">
        <v>161</v>
      </c>
      <c r="B60" s="344" t="s">
        <v>162</v>
      </c>
      <c r="C60" s="344">
        <v>12072</v>
      </c>
      <c r="D60" s="343" t="s">
        <v>867</v>
      </c>
      <c r="E60" s="344">
        <v>6597312</v>
      </c>
      <c r="F60" s="343" t="s">
        <v>871</v>
      </c>
      <c r="G60" s="360" t="s">
        <v>872</v>
      </c>
      <c r="H60" s="361">
        <v>42583</v>
      </c>
      <c r="I60" s="343" t="s">
        <v>784</v>
      </c>
      <c r="J60" s="343" t="s">
        <v>873</v>
      </c>
      <c r="K60" s="343" t="s">
        <v>173</v>
      </c>
    </row>
    <row r="61" spans="1:11" ht="26.25" customHeight="1">
      <c r="A61" s="343" t="s">
        <v>161</v>
      </c>
      <c r="B61" s="344" t="s">
        <v>162</v>
      </c>
      <c r="C61" s="344">
        <v>9384</v>
      </c>
      <c r="D61" s="343" t="s">
        <v>957</v>
      </c>
      <c r="E61" s="344">
        <v>4978597</v>
      </c>
      <c r="F61" s="343" t="s">
        <v>976</v>
      </c>
      <c r="G61" s="360" t="s">
        <v>977</v>
      </c>
      <c r="H61" s="361">
        <v>42531</v>
      </c>
      <c r="I61" s="343" t="s">
        <v>709</v>
      </c>
      <c r="J61" s="343" t="s">
        <v>978</v>
      </c>
      <c r="K61" s="343" t="s">
        <v>173</v>
      </c>
    </row>
    <row r="62" spans="1:11" ht="26.25" customHeight="1">
      <c r="A62" s="343" t="s">
        <v>161</v>
      </c>
      <c r="B62" s="344" t="s">
        <v>162</v>
      </c>
      <c r="C62" s="344">
        <v>6928</v>
      </c>
      <c r="D62" s="343" t="s">
        <v>981</v>
      </c>
      <c r="E62" s="344">
        <v>4880942</v>
      </c>
      <c r="F62" s="343" t="s">
        <v>982</v>
      </c>
      <c r="G62" s="360" t="s">
        <v>983</v>
      </c>
      <c r="H62" s="361">
        <v>42590</v>
      </c>
      <c r="I62" s="343" t="s">
        <v>984</v>
      </c>
      <c r="J62" s="343" t="s">
        <v>985</v>
      </c>
      <c r="K62" s="343" t="s">
        <v>168</v>
      </c>
    </row>
    <row r="63" spans="1:11" ht="26.25" customHeight="1">
      <c r="A63" s="343" t="s">
        <v>161</v>
      </c>
      <c r="B63" s="344" t="s">
        <v>162</v>
      </c>
      <c r="C63" s="344">
        <v>9259</v>
      </c>
      <c r="D63" s="343" t="s">
        <v>944</v>
      </c>
      <c r="E63" s="344">
        <v>5177531</v>
      </c>
      <c r="F63" s="343" t="s">
        <v>947</v>
      </c>
      <c r="G63" s="360" t="s">
        <v>543</v>
      </c>
      <c r="H63" s="361">
        <v>42606</v>
      </c>
      <c r="I63" s="343" t="s">
        <v>211</v>
      </c>
      <c r="J63" s="343" t="s">
        <v>948</v>
      </c>
      <c r="K63" s="343" t="s">
        <v>168</v>
      </c>
    </row>
    <row r="64" spans="1:11" ht="26.25" customHeight="1">
      <c r="A64" s="343" t="s">
        <v>161</v>
      </c>
      <c r="B64" s="344" t="s">
        <v>162</v>
      </c>
      <c r="C64" s="344">
        <v>13378</v>
      </c>
      <c r="D64" s="343" t="s">
        <v>1212</v>
      </c>
      <c r="E64" s="344">
        <v>6311200</v>
      </c>
      <c r="F64" s="343" t="s">
        <v>1230</v>
      </c>
      <c r="G64" s="360" t="s">
        <v>1231</v>
      </c>
      <c r="H64" s="361">
        <v>42611</v>
      </c>
      <c r="I64" s="343" t="s">
        <v>219</v>
      </c>
      <c r="J64" s="343" t="s">
        <v>506</v>
      </c>
      <c r="K64" s="343" t="s">
        <v>173</v>
      </c>
    </row>
    <row r="65" spans="1:11" ht="26.25" customHeight="1">
      <c r="A65" s="343" t="s">
        <v>161</v>
      </c>
      <c r="B65" s="344" t="s">
        <v>162</v>
      </c>
      <c r="C65" s="344">
        <v>6594</v>
      </c>
      <c r="D65" s="343" t="s">
        <v>1273</v>
      </c>
      <c r="E65" s="344">
        <v>5982576</v>
      </c>
      <c r="F65" s="343" t="s">
        <v>1280</v>
      </c>
      <c r="G65" s="360" t="s">
        <v>1281</v>
      </c>
      <c r="H65" s="361">
        <v>42622</v>
      </c>
      <c r="I65" s="343" t="s">
        <v>198</v>
      </c>
      <c r="J65" s="343" t="s">
        <v>198</v>
      </c>
      <c r="K65" s="343" t="s">
        <v>168</v>
      </c>
    </row>
    <row r="66" spans="1:11" ht="26.25" customHeight="1">
      <c r="A66" s="343" t="s">
        <v>161</v>
      </c>
      <c r="B66" s="344" t="s">
        <v>162</v>
      </c>
      <c r="C66" s="344">
        <v>12076</v>
      </c>
      <c r="D66" s="343" t="s">
        <v>735</v>
      </c>
      <c r="E66" s="344">
        <v>4875368</v>
      </c>
      <c r="F66" s="343" t="s">
        <v>753</v>
      </c>
      <c r="G66" s="360" t="s">
        <v>754</v>
      </c>
      <c r="H66" s="361">
        <v>42628</v>
      </c>
      <c r="I66" s="343" t="s">
        <v>193</v>
      </c>
      <c r="J66" s="343" t="s">
        <v>637</v>
      </c>
      <c r="K66" s="343" t="s">
        <v>168</v>
      </c>
    </row>
    <row r="67" spans="1:11" ht="26.25" customHeight="1">
      <c r="A67" s="343" t="s">
        <v>161</v>
      </c>
      <c r="B67" s="344" t="s">
        <v>162</v>
      </c>
      <c r="C67" s="344">
        <v>11085</v>
      </c>
      <c r="D67" s="343" t="s">
        <v>520</v>
      </c>
      <c r="E67" s="344">
        <v>6225273</v>
      </c>
      <c r="F67" s="343" t="s">
        <v>534</v>
      </c>
      <c r="G67" s="360" t="s">
        <v>535</v>
      </c>
      <c r="H67" s="361">
        <v>42646</v>
      </c>
      <c r="I67" s="343" t="s">
        <v>193</v>
      </c>
      <c r="J67" s="343" t="s">
        <v>536</v>
      </c>
      <c r="K67" s="343" t="s">
        <v>168</v>
      </c>
    </row>
    <row r="68" spans="1:11" ht="26.25" customHeight="1">
      <c r="A68" s="343" t="s">
        <v>161</v>
      </c>
      <c r="B68" s="344" t="s">
        <v>162</v>
      </c>
      <c r="C68" s="344">
        <v>12076</v>
      </c>
      <c r="D68" s="343" t="s">
        <v>735</v>
      </c>
      <c r="E68" s="344">
        <v>5150675</v>
      </c>
      <c r="F68" s="343" t="s">
        <v>749</v>
      </c>
      <c r="G68" s="360" t="s">
        <v>750</v>
      </c>
      <c r="H68" s="361">
        <v>42653</v>
      </c>
      <c r="I68" s="343" t="s">
        <v>751</v>
      </c>
      <c r="J68" s="343" t="s">
        <v>752</v>
      </c>
      <c r="K68" s="343" t="s">
        <v>173</v>
      </c>
    </row>
    <row r="69" spans="1:11" ht="26.25" customHeight="1">
      <c r="A69" s="343" t="s">
        <v>161</v>
      </c>
      <c r="B69" s="344" t="s">
        <v>162</v>
      </c>
      <c r="C69" s="344">
        <v>9744</v>
      </c>
      <c r="D69" s="343" t="s">
        <v>711</v>
      </c>
      <c r="E69" s="344">
        <v>5234689</v>
      </c>
      <c r="F69" s="343" t="s">
        <v>712</v>
      </c>
      <c r="G69" s="360" t="s">
        <v>713</v>
      </c>
      <c r="H69" s="361">
        <v>42704</v>
      </c>
      <c r="I69" s="343" t="s">
        <v>580</v>
      </c>
      <c r="J69" s="343" t="s">
        <v>714</v>
      </c>
      <c r="K69" s="343" t="s">
        <v>248</v>
      </c>
    </row>
    <row r="70" spans="1:11" ht="26.25" customHeight="1">
      <c r="A70" s="343" t="s">
        <v>161</v>
      </c>
      <c r="B70" s="344" t="s">
        <v>162</v>
      </c>
      <c r="C70" s="344">
        <v>6930</v>
      </c>
      <c r="D70" s="343" t="s">
        <v>829</v>
      </c>
      <c r="E70" s="344">
        <v>4593078</v>
      </c>
      <c r="F70" s="343" t="s">
        <v>839</v>
      </c>
      <c r="G70" s="360" t="s">
        <v>840</v>
      </c>
      <c r="H70" s="361">
        <v>40259</v>
      </c>
      <c r="I70" s="343" t="s">
        <v>261</v>
      </c>
      <c r="J70" s="343" t="s">
        <v>841</v>
      </c>
      <c r="K70" s="343" t="s">
        <v>168</v>
      </c>
    </row>
    <row r="71" spans="1:11" ht="26.25" customHeight="1">
      <c r="A71" s="343" t="s">
        <v>161</v>
      </c>
      <c r="B71" s="344" t="s">
        <v>162</v>
      </c>
      <c r="C71" s="344">
        <v>12076</v>
      </c>
      <c r="D71" s="343" t="s">
        <v>735</v>
      </c>
      <c r="E71" s="344">
        <v>4976106</v>
      </c>
      <c r="F71" s="343" t="s">
        <v>782</v>
      </c>
      <c r="G71" s="360" t="s">
        <v>783</v>
      </c>
      <c r="H71" s="361">
        <v>41949</v>
      </c>
      <c r="I71" s="343" t="s">
        <v>784</v>
      </c>
      <c r="J71" s="343" t="s">
        <v>784</v>
      </c>
      <c r="K71" s="343" t="s">
        <v>168</v>
      </c>
    </row>
    <row r="72" spans="1:11" ht="26.25" customHeight="1">
      <c r="A72" s="343" t="s">
        <v>161</v>
      </c>
      <c r="B72" s="344" t="s">
        <v>162</v>
      </c>
      <c r="C72" s="344">
        <v>6927</v>
      </c>
      <c r="D72" s="343" t="s">
        <v>919</v>
      </c>
      <c r="E72" s="344">
        <v>3744582</v>
      </c>
      <c r="F72" s="343" t="s">
        <v>923</v>
      </c>
      <c r="G72" s="360" t="s">
        <v>924</v>
      </c>
      <c r="H72" s="361">
        <v>41933</v>
      </c>
      <c r="I72" s="343" t="s">
        <v>709</v>
      </c>
      <c r="J72" s="343" t="s">
        <v>925</v>
      </c>
      <c r="K72" s="343" t="s">
        <v>168</v>
      </c>
    </row>
    <row r="73" spans="1:11" ht="26.25" customHeight="1">
      <c r="A73" s="343" t="s">
        <v>161</v>
      </c>
      <c r="B73" s="344" t="s">
        <v>162</v>
      </c>
      <c r="C73" s="344">
        <v>9062</v>
      </c>
      <c r="D73" s="343" t="s">
        <v>862</v>
      </c>
      <c r="E73" s="344">
        <v>4207014</v>
      </c>
      <c r="F73" s="343" t="s">
        <v>865</v>
      </c>
      <c r="G73" s="360" t="s">
        <v>866</v>
      </c>
      <c r="H73" s="361">
        <v>40659</v>
      </c>
      <c r="I73" s="343" t="s">
        <v>211</v>
      </c>
      <c r="J73" s="343" t="s">
        <v>211</v>
      </c>
      <c r="K73" s="343" t="s">
        <v>168</v>
      </c>
    </row>
    <row r="74" spans="1:11" ht="26.25" customHeight="1">
      <c r="A74" s="343" t="s">
        <v>161</v>
      </c>
      <c r="B74" s="344" t="s">
        <v>162</v>
      </c>
      <c r="C74" s="344">
        <v>9634</v>
      </c>
      <c r="D74" s="343" t="s">
        <v>901</v>
      </c>
      <c r="E74" s="344">
        <v>3755414</v>
      </c>
      <c r="F74" s="343" t="s">
        <v>907</v>
      </c>
      <c r="G74" s="360" t="s">
        <v>908</v>
      </c>
      <c r="H74" s="361">
        <v>40956</v>
      </c>
      <c r="I74" s="343" t="s">
        <v>211</v>
      </c>
      <c r="J74" s="343" t="s">
        <v>909</v>
      </c>
      <c r="K74" s="343" t="s">
        <v>168</v>
      </c>
    </row>
    <row r="75" spans="1:11" ht="26.25" customHeight="1">
      <c r="A75" s="343" t="s">
        <v>161</v>
      </c>
      <c r="B75" s="344" t="s">
        <v>162</v>
      </c>
      <c r="C75" s="344">
        <v>8823</v>
      </c>
      <c r="D75" s="343" t="s">
        <v>993</v>
      </c>
      <c r="E75" s="344">
        <v>4751984</v>
      </c>
      <c r="F75" s="343" t="s">
        <v>1017</v>
      </c>
      <c r="G75" s="360" t="s">
        <v>1018</v>
      </c>
      <c r="H75" s="361">
        <v>41241</v>
      </c>
      <c r="I75" s="343" t="s">
        <v>211</v>
      </c>
      <c r="J75" s="343" t="s">
        <v>211</v>
      </c>
      <c r="K75" s="343" t="s">
        <v>168</v>
      </c>
    </row>
    <row r="76" spans="1:11" ht="26.25" customHeight="1">
      <c r="A76" s="343" t="s">
        <v>161</v>
      </c>
      <c r="B76" s="344" t="s">
        <v>162</v>
      </c>
      <c r="C76" s="344">
        <v>8482</v>
      </c>
      <c r="D76" s="343" t="s">
        <v>1036</v>
      </c>
      <c r="E76" s="344">
        <v>4631628</v>
      </c>
      <c r="F76" s="343" t="s">
        <v>1047</v>
      </c>
      <c r="G76" s="360" t="s">
        <v>1048</v>
      </c>
      <c r="H76" s="361">
        <v>41212</v>
      </c>
      <c r="I76" s="343" t="s">
        <v>1038</v>
      </c>
      <c r="J76" s="343" t="s">
        <v>1039</v>
      </c>
      <c r="K76" s="343" t="s">
        <v>168</v>
      </c>
    </row>
    <row r="77" spans="1:11" ht="26.25" customHeight="1">
      <c r="A77" s="343" t="s">
        <v>161</v>
      </c>
      <c r="B77" s="344" t="s">
        <v>162</v>
      </c>
      <c r="C77" s="344">
        <v>12076</v>
      </c>
      <c r="D77" s="343" t="s">
        <v>735</v>
      </c>
      <c r="E77" s="344">
        <v>5297779</v>
      </c>
      <c r="F77" s="343" t="s">
        <v>755</v>
      </c>
      <c r="G77" s="360" t="s">
        <v>756</v>
      </c>
      <c r="H77" s="361">
        <v>41207</v>
      </c>
      <c r="I77" s="343" t="s">
        <v>211</v>
      </c>
      <c r="J77" s="343" t="s">
        <v>211</v>
      </c>
      <c r="K77" s="343" t="s">
        <v>168</v>
      </c>
    </row>
    <row r="78" spans="1:11" ht="26.25" customHeight="1">
      <c r="A78" s="343" t="s">
        <v>161</v>
      </c>
      <c r="B78" s="344" t="s">
        <v>162</v>
      </c>
      <c r="C78" s="344">
        <v>9857</v>
      </c>
      <c r="D78" s="343" t="s">
        <v>537</v>
      </c>
      <c r="E78" s="344">
        <v>4843771</v>
      </c>
      <c r="F78" s="343" t="s">
        <v>554</v>
      </c>
      <c r="G78" s="360" t="s">
        <v>555</v>
      </c>
      <c r="H78" s="361">
        <v>41304</v>
      </c>
      <c r="I78" s="343" t="s">
        <v>366</v>
      </c>
      <c r="J78" s="343" t="s">
        <v>366</v>
      </c>
      <c r="K78" s="343" t="s">
        <v>168</v>
      </c>
    </row>
    <row r="79" spans="1:11" ht="26.25" customHeight="1">
      <c r="A79" s="343" t="s">
        <v>161</v>
      </c>
      <c r="B79" s="344" t="s">
        <v>162</v>
      </c>
      <c r="C79" s="344">
        <v>9911</v>
      </c>
      <c r="D79" s="343" t="s">
        <v>563</v>
      </c>
      <c r="E79" s="344">
        <v>3800022</v>
      </c>
      <c r="F79" s="343" t="s">
        <v>568</v>
      </c>
      <c r="G79" s="360" t="s">
        <v>569</v>
      </c>
      <c r="H79" s="361">
        <v>41621</v>
      </c>
      <c r="I79" s="343" t="s">
        <v>570</v>
      </c>
      <c r="J79" s="343" t="s">
        <v>571</v>
      </c>
      <c r="K79" s="343" t="s">
        <v>248</v>
      </c>
    </row>
    <row r="80" spans="1:11" ht="26.25" customHeight="1">
      <c r="A80" s="343" t="s">
        <v>161</v>
      </c>
      <c r="B80" s="344" t="s">
        <v>162</v>
      </c>
      <c r="C80" s="344">
        <v>9062</v>
      </c>
      <c r="D80" s="343" t="s">
        <v>862</v>
      </c>
      <c r="E80" s="344">
        <v>4673325</v>
      </c>
      <c r="F80" s="343" t="s">
        <v>863</v>
      </c>
      <c r="G80" s="360" t="s">
        <v>864</v>
      </c>
      <c r="H80" s="361">
        <v>41325</v>
      </c>
      <c r="I80" s="343" t="s">
        <v>211</v>
      </c>
      <c r="J80" s="343" t="s">
        <v>211</v>
      </c>
      <c r="K80" s="343" t="s">
        <v>168</v>
      </c>
    </row>
    <row r="81" spans="1:11" ht="26.25" customHeight="1">
      <c r="A81" s="343" t="s">
        <v>161</v>
      </c>
      <c r="B81" s="344" t="s">
        <v>162</v>
      </c>
      <c r="C81" s="344">
        <v>8849</v>
      </c>
      <c r="D81" s="343" t="s">
        <v>1049</v>
      </c>
      <c r="E81" s="344">
        <v>4218365</v>
      </c>
      <c r="F81" s="343" t="s">
        <v>1050</v>
      </c>
      <c r="G81" s="360" t="s">
        <v>1051</v>
      </c>
      <c r="H81" s="361">
        <v>41691</v>
      </c>
      <c r="I81" s="343" t="s">
        <v>211</v>
      </c>
      <c r="J81" s="343" t="s">
        <v>211</v>
      </c>
      <c r="K81" s="343" t="s">
        <v>168</v>
      </c>
    </row>
    <row r="82" spans="1:11" ht="26.25" customHeight="1">
      <c r="A82" s="343" t="s">
        <v>161</v>
      </c>
      <c r="B82" s="344" t="s">
        <v>162</v>
      </c>
      <c r="C82" s="344">
        <v>12157</v>
      </c>
      <c r="D82" s="343" t="s">
        <v>791</v>
      </c>
      <c r="E82" s="344">
        <v>5135106</v>
      </c>
      <c r="F82" s="343" t="s">
        <v>797</v>
      </c>
      <c r="G82" s="360" t="s">
        <v>798</v>
      </c>
      <c r="H82" s="361">
        <v>41331</v>
      </c>
      <c r="I82" s="343" t="s">
        <v>166</v>
      </c>
      <c r="J82" s="343" t="s">
        <v>799</v>
      </c>
      <c r="K82" s="343" t="s">
        <v>168</v>
      </c>
    </row>
    <row r="83" spans="1:11" ht="26.25" customHeight="1">
      <c r="A83" s="343" t="s">
        <v>161</v>
      </c>
      <c r="B83" s="344" t="s">
        <v>162</v>
      </c>
      <c r="C83" s="344">
        <v>12157</v>
      </c>
      <c r="D83" s="343" t="s">
        <v>791</v>
      </c>
      <c r="E83" s="344">
        <v>4520157</v>
      </c>
      <c r="F83" s="343" t="s">
        <v>795</v>
      </c>
      <c r="G83" s="360" t="s">
        <v>796</v>
      </c>
      <c r="H83" s="361">
        <v>41884</v>
      </c>
      <c r="I83" s="343" t="s">
        <v>211</v>
      </c>
      <c r="J83" s="343" t="s">
        <v>211</v>
      </c>
      <c r="K83" s="343" t="s">
        <v>168</v>
      </c>
    </row>
    <row r="84" spans="1:11" ht="26.25" customHeight="1">
      <c r="A84" s="343" t="s">
        <v>161</v>
      </c>
      <c r="B84" s="344" t="s">
        <v>162</v>
      </c>
      <c r="C84" s="344">
        <v>8482</v>
      </c>
      <c r="D84" s="343" t="s">
        <v>1036</v>
      </c>
      <c r="E84" s="344">
        <v>4432091</v>
      </c>
      <c r="F84" s="343" t="s">
        <v>1037</v>
      </c>
      <c r="G84" s="360" t="s">
        <v>754</v>
      </c>
      <c r="H84" s="361">
        <v>41344</v>
      </c>
      <c r="I84" s="343" t="s">
        <v>1038</v>
      </c>
      <c r="J84" s="343" t="s">
        <v>1039</v>
      </c>
      <c r="K84" s="343" t="s">
        <v>168</v>
      </c>
    </row>
    <row r="85" spans="1:11" ht="26.25" customHeight="1">
      <c r="A85" s="343" t="s">
        <v>161</v>
      </c>
      <c r="B85" s="344" t="s">
        <v>162</v>
      </c>
      <c r="C85" s="344">
        <v>12076</v>
      </c>
      <c r="D85" s="343" t="s">
        <v>735</v>
      </c>
      <c r="E85" s="344">
        <v>4773032</v>
      </c>
      <c r="F85" s="343" t="s">
        <v>778</v>
      </c>
      <c r="G85" s="360" t="s">
        <v>779</v>
      </c>
      <c r="H85" s="361">
        <v>41814</v>
      </c>
      <c r="I85" s="343" t="s">
        <v>780</v>
      </c>
      <c r="J85" s="343" t="s">
        <v>781</v>
      </c>
      <c r="K85" s="343" t="s">
        <v>168</v>
      </c>
    </row>
    <row r="86" spans="1:11" ht="26.25" customHeight="1">
      <c r="A86" s="343" t="s">
        <v>161</v>
      </c>
      <c r="B86" s="344" t="s">
        <v>162</v>
      </c>
      <c r="C86" s="344">
        <v>6935</v>
      </c>
      <c r="D86" s="343" t="s">
        <v>854</v>
      </c>
      <c r="E86" s="344">
        <v>4265312</v>
      </c>
      <c r="F86" s="343" t="s">
        <v>859</v>
      </c>
      <c r="G86" s="360" t="s">
        <v>860</v>
      </c>
      <c r="H86" s="361">
        <v>41507</v>
      </c>
      <c r="I86" s="343" t="s">
        <v>301</v>
      </c>
      <c r="J86" s="343" t="s">
        <v>861</v>
      </c>
      <c r="K86" s="343" t="s">
        <v>168</v>
      </c>
    </row>
    <row r="87" spans="1:11" ht="26.25" customHeight="1">
      <c r="A87" s="343" t="s">
        <v>161</v>
      </c>
      <c r="B87" s="344" t="s">
        <v>162</v>
      </c>
      <c r="C87" s="344">
        <v>12076</v>
      </c>
      <c r="D87" s="343" t="s">
        <v>735</v>
      </c>
      <c r="E87" s="344">
        <v>4203130</v>
      </c>
      <c r="F87" s="343" t="s">
        <v>785</v>
      </c>
      <c r="G87" s="360" t="s">
        <v>786</v>
      </c>
      <c r="H87" s="361">
        <v>41390</v>
      </c>
      <c r="I87" s="343" t="s">
        <v>211</v>
      </c>
      <c r="J87" s="343" t="s">
        <v>211</v>
      </c>
      <c r="K87" s="343" t="s">
        <v>168</v>
      </c>
    </row>
    <row r="88" spans="1:11" ht="26.25" customHeight="1">
      <c r="A88" s="343" t="s">
        <v>161</v>
      </c>
      <c r="B88" s="344" t="s">
        <v>162</v>
      </c>
      <c r="C88" s="344">
        <v>12157</v>
      </c>
      <c r="D88" s="343" t="s">
        <v>791</v>
      </c>
      <c r="E88" s="344">
        <v>5025210</v>
      </c>
      <c r="F88" s="343" t="s">
        <v>792</v>
      </c>
      <c r="G88" s="360" t="s">
        <v>793</v>
      </c>
      <c r="H88" s="361">
        <v>41465</v>
      </c>
      <c r="I88" s="343" t="s">
        <v>166</v>
      </c>
      <c r="J88" s="343" t="s">
        <v>794</v>
      </c>
      <c r="K88" s="343" t="s">
        <v>168</v>
      </c>
    </row>
    <row r="89" spans="1:11" ht="26.25" customHeight="1">
      <c r="A89" s="343" t="s">
        <v>161</v>
      </c>
      <c r="B89" s="344" t="s">
        <v>162</v>
      </c>
      <c r="C89" s="344">
        <v>6925</v>
      </c>
      <c r="D89" s="343" t="s">
        <v>811</v>
      </c>
      <c r="E89" s="344">
        <v>4206145</v>
      </c>
      <c r="F89" s="343" t="s">
        <v>821</v>
      </c>
      <c r="G89" s="360" t="s">
        <v>822</v>
      </c>
      <c r="H89" s="361">
        <v>41393</v>
      </c>
      <c r="I89" s="343" t="s">
        <v>166</v>
      </c>
      <c r="J89" s="343" t="s">
        <v>823</v>
      </c>
      <c r="K89" s="343" t="s">
        <v>168</v>
      </c>
    </row>
    <row r="90" spans="1:11" ht="26.25" customHeight="1">
      <c r="A90" s="343" t="s">
        <v>161</v>
      </c>
      <c r="B90" s="344" t="s">
        <v>162</v>
      </c>
      <c r="C90" s="344">
        <v>6927</v>
      </c>
      <c r="D90" s="343" t="s">
        <v>919</v>
      </c>
      <c r="E90" s="344">
        <v>4312797</v>
      </c>
      <c r="F90" s="343" t="s">
        <v>931</v>
      </c>
      <c r="G90" s="360" t="s">
        <v>932</v>
      </c>
      <c r="H90" s="361">
        <v>41430</v>
      </c>
      <c r="I90" s="343" t="s">
        <v>198</v>
      </c>
      <c r="J90" s="343" t="s">
        <v>577</v>
      </c>
      <c r="K90" s="343" t="s">
        <v>168</v>
      </c>
    </row>
    <row r="91" spans="1:11" ht="26.25" customHeight="1">
      <c r="A91" s="343" t="s">
        <v>161</v>
      </c>
      <c r="B91" s="344" t="s">
        <v>162</v>
      </c>
      <c r="C91" s="344">
        <v>9384</v>
      </c>
      <c r="D91" s="343" t="s">
        <v>957</v>
      </c>
      <c r="E91" s="344">
        <v>4483646</v>
      </c>
      <c r="F91" s="343" t="s">
        <v>958</v>
      </c>
      <c r="G91" s="360" t="s">
        <v>959</v>
      </c>
      <c r="H91" s="361">
        <v>41709</v>
      </c>
      <c r="I91" s="343" t="s">
        <v>261</v>
      </c>
      <c r="J91" s="343" t="s">
        <v>960</v>
      </c>
      <c r="K91" s="343" t="s">
        <v>168</v>
      </c>
    </row>
    <row r="92" spans="1:11" ht="26.25" customHeight="1">
      <c r="A92" s="343" t="s">
        <v>161</v>
      </c>
      <c r="B92" s="344" t="s">
        <v>162</v>
      </c>
      <c r="C92" s="344">
        <v>9911</v>
      </c>
      <c r="D92" s="343" t="s">
        <v>563</v>
      </c>
      <c r="E92" s="344">
        <v>3701277</v>
      </c>
      <c r="F92" s="343" t="s">
        <v>564</v>
      </c>
      <c r="G92" s="360" t="s">
        <v>565</v>
      </c>
      <c r="H92" s="361">
        <v>41709</v>
      </c>
      <c r="I92" s="343" t="s">
        <v>566</v>
      </c>
      <c r="J92" s="343" t="s">
        <v>567</v>
      </c>
      <c r="K92" s="343" t="s">
        <v>168</v>
      </c>
    </row>
    <row r="93" spans="1:11" ht="26.25" customHeight="1">
      <c r="A93" s="343" t="s">
        <v>161</v>
      </c>
      <c r="B93" s="344" t="s">
        <v>162</v>
      </c>
      <c r="C93" s="344">
        <v>11099</v>
      </c>
      <c r="D93" s="343" t="s">
        <v>574</v>
      </c>
      <c r="E93" s="344">
        <v>5718446</v>
      </c>
      <c r="F93" s="343" t="s">
        <v>590</v>
      </c>
      <c r="G93" s="360" t="s">
        <v>591</v>
      </c>
      <c r="H93" s="361">
        <v>41771</v>
      </c>
      <c r="I93" s="343" t="s">
        <v>261</v>
      </c>
      <c r="J93" s="343" t="s">
        <v>592</v>
      </c>
      <c r="K93" s="343" t="s">
        <v>168</v>
      </c>
    </row>
    <row r="94" spans="1:11" ht="26.25" customHeight="1">
      <c r="A94" s="343" t="s">
        <v>161</v>
      </c>
      <c r="B94" s="344" t="s">
        <v>162</v>
      </c>
      <c r="C94" s="344">
        <v>6927</v>
      </c>
      <c r="D94" s="343" t="s">
        <v>919</v>
      </c>
      <c r="E94" s="344">
        <v>5044121</v>
      </c>
      <c r="F94" s="343" t="s">
        <v>920</v>
      </c>
      <c r="G94" s="360" t="s">
        <v>921</v>
      </c>
      <c r="H94" s="361">
        <v>41750</v>
      </c>
      <c r="I94" s="343" t="s">
        <v>166</v>
      </c>
      <c r="J94" s="343" t="s">
        <v>922</v>
      </c>
      <c r="K94" s="343" t="s">
        <v>168</v>
      </c>
    </row>
    <row r="95" spans="1:11" ht="26.25" customHeight="1">
      <c r="A95" s="343" t="s">
        <v>161</v>
      </c>
      <c r="B95" s="344" t="s">
        <v>162</v>
      </c>
      <c r="C95" s="344">
        <v>6925</v>
      </c>
      <c r="D95" s="343" t="s">
        <v>811</v>
      </c>
      <c r="E95" s="344">
        <v>5256472</v>
      </c>
      <c r="F95" s="343" t="s">
        <v>812</v>
      </c>
      <c r="G95" s="360" t="s">
        <v>813</v>
      </c>
      <c r="H95" s="361">
        <v>41156</v>
      </c>
      <c r="I95" s="343" t="s">
        <v>211</v>
      </c>
      <c r="J95" s="343" t="s">
        <v>211</v>
      </c>
      <c r="K95" s="343" t="s">
        <v>168</v>
      </c>
    </row>
    <row r="96" spans="1:11" ht="26.25" customHeight="1">
      <c r="A96" s="343" t="s">
        <v>161</v>
      </c>
      <c r="B96" s="344" t="s">
        <v>162</v>
      </c>
      <c r="C96" s="344">
        <v>12606</v>
      </c>
      <c r="D96" s="343" t="s">
        <v>1410</v>
      </c>
      <c r="E96" s="344">
        <v>5975047</v>
      </c>
      <c r="F96" s="343" t="s">
        <v>1415</v>
      </c>
      <c r="G96" s="360" t="s">
        <v>669</v>
      </c>
      <c r="H96" s="361">
        <v>42723</v>
      </c>
      <c r="I96" s="343" t="s">
        <v>166</v>
      </c>
      <c r="J96" s="343" t="s">
        <v>327</v>
      </c>
      <c r="K96" s="343" t="s">
        <v>168</v>
      </c>
    </row>
    <row r="97" spans="1:11" ht="26.25" customHeight="1">
      <c r="A97" s="343" t="s">
        <v>161</v>
      </c>
      <c r="B97" s="344" t="s">
        <v>162</v>
      </c>
      <c r="C97" s="344">
        <v>12076</v>
      </c>
      <c r="D97" s="343" t="s">
        <v>735</v>
      </c>
      <c r="E97" s="344">
        <v>5304084</v>
      </c>
      <c r="F97" s="343" t="s">
        <v>743</v>
      </c>
      <c r="G97" s="360" t="s">
        <v>744</v>
      </c>
      <c r="H97" s="361">
        <v>42726</v>
      </c>
      <c r="I97" s="343" t="s">
        <v>193</v>
      </c>
      <c r="J97" s="343" t="s">
        <v>637</v>
      </c>
      <c r="K97" s="343" t="s">
        <v>168</v>
      </c>
    </row>
    <row r="98" spans="1:11" ht="26.25" customHeight="1">
      <c r="A98" s="343" t="s">
        <v>161</v>
      </c>
      <c r="B98" s="344" t="s">
        <v>162</v>
      </c>
      <c r="C98" s="344">
        <v>12071</v>
      </c>
      <c r="D98" s="343" t="s">
        <v>721</v>
      </c>
      <c r="E98" s="344">
        <v>4902894</v>
      </c>
      <c r="F98" s="343" t="s">
        <v>725</v>
      </c>
      <c r="G98" s="360" t="s">
        <v>726</v>
      </c>
      <c r="H98" s="361">
        <v>42744</v>
      </c>
      <c r="I98" s="343" t="s">
        <v>193</v>
      </c>
      <c r="J98" s="343" t="s">
        <v>637</v>
      </c>
      <c r="K98" s="343" t="s">
        <v>168</v>
      </c>
    </row>
    <row r="99" spans="1:11" ht="26.25" customHeight="1">
      <c r="A99" s="343" t="s">
        <v>161</v>
      </c>
      <c r="B99" s="344" t="s">
        <v>162</v>
      </c>
      <c r="C99" s="344">
        <v>8450</v>
      </c>
      <c r="D99" s="343" t="s">
        <v>289</v>
      </c>
      <c r="E99" s="344">
        <v>6321842</v>
      </c>
      <c r="F99" s="343" t="s">
        <v>294</v>
      </c>
      <c r="G99" s="360" t="s">
        <v>295</v>
      </c>
      <c r="H99" s="361">
        <v>42744</v>
      </c>
      <c r="I99" s="343" t="s">
        <v>166</v>
      </c>
      <c r="J99" s="343" t="s">
        <v>296</v>
      </c>
      <c r="K99" s="343" t="s">
        <v>168</v>
      </c>
    </row>
    <row r="100" spans="1:11" ht="26.25" customHeight="1">
      <c r="A100" s="343" t="s">
        <v>161</v>
      </c>
      <c r="B100" s="344" t="s">
        <v>162</v>
      </c>
      <c r="C100" s="344">
        <v>6927</v>
      </c>
      <c r="D100" s="343" t="s">
        <v>919</v>
      </c>
      <c r="E100" s="344">
        <v>3740033</v>
      </c>
      <c r="F100" s="343" t="s">
        <v>926</v>
      </c>
      <c r="G100" s="360" t="s">
        <v>927</v>
      </c>
      <c r="H100" s="361">
        <v>42744</v>
      </c>
      <c r="I100" s="343" t="s">
        <v>193</v>
      </c>
      <c r="J100" s="343" t="s">
        <v>928</v>
      </c>
      <c r="K100" s="343" t="s">
        <v>248</v>
      </c>
    </row>
    <row r="101" spans="1:11" ht="26.25" customHeight="1">
      <c r="A101" s="343" t="s">
        <v>161</v>
      </c>
      <c r="B101" s="344" t="s">
        <v>162</v>
      </c>
      <c r="C101" s="344">
        <v>7444</v>
      </c>
      <c r="D101" s="343" t="s">
        <v>367</v>
      </c>
      <c r="E101" s="344">
        <v>6335886</v>
      </c>
      <c r="F101" s="343" t="s">
        <v>368</v>
      </c>
      <c r="G101" s="360" t="s">
        <v>9358</v>
      </c>
      <c r="H101" s="361">
        <v>42745</v>
      </c>
      <c r="I101" s="343" t="s">
        <v>166</v>
      </c>
      <c r="J101" s="343" t="s">
        <v>296</v>
      </c>
      <c r="K101" s="343" t="s">
        <v>168</v>
      </c>
    </row>
    <row r="102" spans="1:11" ht="26.25" customHeight="1">
      <c r="A102" s="343" t="s">
        <v>161</v>
      </c>
      <c r="B102" s="344" t="s">
        <v>162</v>
      </c>
      <c r="C102" s="344">
        <v>12069</v>
      </c>
      <c r="D102" s="343" t="s">
        <v>617</v>
      </c>
      <c r="E102" s="344">
        <v>5675400</v>
      </c>
      <c r="F102" s="343" t="s">
        <v>618</v>
      </c>
      <c r="G102" s="360" t="s">
        <v>619</v>
      </c>
      <c r="H102" s="361">
        <v>42745</v>
      </c>
      <c r="I102" s="343" t="s">
        <v>620</v>
      </c>
      <c r="J102" s="343" t="s">
        <v>621</v>
      </c>
      <c r="K102" s="343" t="s">
        <v>168</v>
      </c>
    </row>
    <row r="103" spans="1:11" ht="26.25" customHeight="1">
      <c r="A103" s="343" t="s">
        <v>161</v>
      </c>
      <c r="B103" s="344" t="s">
        <v>162</v>
      </c>
      <c r="C103" s="344">
        <v>9478</v>
      </c>
      <c r="D103" s="343" t="s">
        <v>1069</v>
      </c>
      <c r="E103" s="344">
        <v>5879341</v>
      </c>
      <c r="F103" s="343" t="s">
        <v>1073</v>
      </c>
      <c r="G103" s="360" t="s">
        <v>1074</v>
      </c>
      <c r="H103" s="361">
        <v>42745</v>
      </c>
      <c r="I103" s="343" t="s">
        <v>802</v>
      </c>
      <c r="J103" s="343" t="s">
        <v>1075</v>
      </c>
      <c r="K103" s="343" t="s">
        <v>168</v>
      </c>
    </row>
    <row r="104" spans="1:11" ht="26.25" customHeight="1">
      <c r="A104" s="343" t="s">
        <v>161</v>
      </c>
      <c r="B104" s="344" t="s">
        <v>162</v>
      </c>
      <c r="C104" s="344">
        <v>9478</v>
      </c>
      <c r="D104" s="343" t="s">
        <v>1069</v>
      </c>
      <c r="E104" s="344">
        <v>5792844</v>
      </c>
      <c r="F104" s="343" t="s">
        <v>1090</v>
      </c>
      <c r="G104" s="360" t="s">
        <v>1091</v>
      </c>
      <c r="H104" s="361">
        <v>42746</v>
      </c>
      <c r="I104" s="343" t="s">
        <v>166</v>
      </c>
      <c r="J104" s="343" t="s">
        <v>296</v>
      </c>
      <c r="K104" s="343" t="s">
        <v>168</v>
      </c>
    </row>
    <row r="105" spans="1:11" ht="26.25" customHeight="1">
      <c r="A105" s="343" t="s">
        <v>161</v>
      </c>
      <c r="B105" s="344" t="s">
        <v>162</v>
      </c>
      <c r="C105" s="344">
        <v>12755</v>
      </c>
      <c r="D105" s="343" t="s">
        <v>1416</v>
      </c>
      <c r="E105" s="344">
        <v>5984471</v>
      </c>
      <c r="F105" s="343" t="s">
        <v>1440</v>
      </c>
      <c r="G105" s="360" t="s">
        <v>1441</v>
      </c>
      <c r="H105" s="361">
        <v>42752</v>
      </c>
      <c r="I105" s="343" t="s">
        <v>271</v>
      </c>
      <c r="J105" s="343" t="s">
        <v>1442</v>
      </c>
      <c r="K105" s="343" t="s">
        <v>168</v>
      </c>
    </row>
    <row r="106" spans="1:11" ht="26.25" customHeight="1">
      <c r="A106" s="343" t="s">
        <v>161</v>
      </c>
      <c r="B106" s="344" t="s">
        <v>162</v>
      </c>
      <c r="C106" s="344">
        <v>11098</v>
      </c>
      <c r="D106" s="343" t="s">
        <v>683</v>
      </c>
      <c r="E106" s="344">
        <v>5829919</v>
      </c>
      <c r="F106" s="343" t="s">
        <v>697</v>
      </c>
      <c r="G106" s="360" t="s">
        <v>639</v>
      </c>
      <c r="H106" s="361">
        <v>42765</v>
      </c>
      <c r="I106" s="343" t="s">
        <v>580</v>
      </c>
      <c r="J106" s="343" t="s">
        <v>698</v>
      </c>
      <c r="K106" s="343" t="s">
        <v>248</v>
      </c>
    </row>
    <row r="107" spans="1:11" ht="26.25" customHeight="1">
      <c r="A107" s="343" t="s">
        <v>161</v>
      </c>
      <c r="B107" s="344" t="s">
        <v>162</v>
      </c>
      <c r="C107" s="344">
        <v>9916</v>
      </c>
      <c r="D107" s="343" t="s">
        <v>439</v>
      </c>
      <c r="E107" s="344">
        <v>6508694</v>
      </c>
      <c r="F107" s="343" t="s">
        <v>442</v>
      </c>
      <c r="G107" s="360" t="s">
        <v>443</v>
      </c>
      <c r="H107" s="361">
        <v>42765</v>
      </c>
      <c r="I107" s="343" t="s">
        <v>166</v>
      </c>
      <c r="J107" s="343" t="s">
        <v>327</v>
      </c>
      <c r="K107" s="343" t="s">
        <v>168</v>
      </c>
    </row>
    <row r="108" spans="1:11" ht="26.25" customHeight="1">
      <c r="A108" s="343" t="s">
        <v>161</v>
      </c>
      <c r="B108" s="344" t="s">
        <v>162</v>
      </c>
      <c r="C108" s="344">
        <v>9855</v>
      </c>
      <c r="D108" s="343" t="s">
        <v>411</v>
      </c>
      <c r="E108" s="344">
        <v>6362209</v>
      </c>
      <c r="F108" s="343" t="s">
        <v>425</v>
      </c>
      <c r="G108" s="360" t="s">
        <v>426</v>
      </c>
      <c r="H108" s="361">
        <v>42766</v>
      </c>
      <c r="I108" s="343" t="s">
        <v>166</v>
      </c>
      <c r="J108" s="343" t="s">
        <v>327</v>
      </c>
      <c r="K108" s="343" t="s">
        <v>168</v>
      </c>
    </row>
    <row r="109" spans="1:11" ht="26.25" customHeight="1">
      <c r="A109" s="343" t="s">
        <v>161</v>
      </c>
      <c r="B109" s="344" t="s">
        <v>162</v>
      </c>
      <c r="C109" s="344">
        <v>9903</v>
      </c>
      <c r="D109" s="343" t="s">
        <v>597</v>
      </c>
      <c r="E109" s="344">
        <v>6232759</v>
      </c>
      <c r="F109" s="343" t="s">
        <v>601</v>
      </c>
      <c r="G109" s="360" t="s">
        <v>602</v>
      </c>
      <c r="H109" s="361">
        <v>42765</v>
      </c>
      <c r="I109" s="343" t="s">
        <v>193</v>
      </c>
      <c r="J109" s="343" t="s">
        <v>603</v>
      </c>
      <c r="K109" s="343" t="s">
        <v>168</v>
      </c>
    </row>
    <row r="110" spans="1:11" ht="26.25" customHeight="1">
      <c r="A110" s="343" t="s">
        <v>161</v>
      </c>
      <c r="B110" s="344" t="s">
        <v>162</v>
      </c>
      <c r="C110" s="344">
        <v>11098</v>
      </c>
      <c r="D110" s="343" t="s">
        <v>683</v>
      </c>
      <c r="E110" s="344">
        <v>5957739</v>
      </c>
      <c r="F110" s="343" t="s">
        <v>684</v>
      </c>
      <c r="G110" s="360" t="s">
        <v>685</v>
      </c>
      <c r="H110" s="361">
        <v>42765</v>
      </c>
      <c r="I110" s="343" t="s">
        <v>166</v>
      </c>
      <c r="J110" s="343" t="s">
        <v>327</v>
      </c>
      <c r="K110" s="343" t="s">
        <v>168</v>
      </c>
    </row>
    <row r="111" spans="1:11" ht="26.25" customHeight="1">
      <c r="A111" s="343" t="s">
        <v>161</v>
      </c>
      <c r="B111" s="344" t="s">
        <v>162</v>
      </c>
      <c r="C111" s="344">
        <v>7446</v>
      </c>
      <c r="D111" s="343" t="s">
        <v>318</v>
      </c>
      <c r="E111" s="344">
        <v>6523887</v>
      </c>
      <c r="F111" s="343" t="s">
        <v>321</v>
      </c>
      <c r="G111" s="360" t="s">
        <v>322</v>
      </c>
      <c r="H111" s="361">
        <v>42765</v>
      </c>
      <c r="I111" s="343" t="s">
        <v>323</v>
      </c>
      <c r="J111" s="343" t="s">
        <v>324</v>
      </c>
      <c r="K111" s="343" t="s">
        <v>168</v>
      </c>
    </row>
    <row r="112" spans="1:11" ht="26.25" customHeight="1">
      <c r="A112" s="343" t="s">
        <v>161</v>
      </c>
      <c r="B112" s="344" t="s">
        <v>162</v>
      </c>
      <c r="C112" s="344">
        <v>6923</v>
      </c>
      <c r="D112" s="343" t="s">
        <v>874</v>
      </c>
      <c r="E112" s="344">
        <v>5530101</v>
      </c>
      <c r="F112" s="343" t="s">
        <v>879</v>
      </c>
      <c r="G112" s="360" t="s">
        <v>880</v>
      </c>
      <c r="H112" s="361">
        <v>42765</v>
      </c>
      <c r="I112" s="343" t="s">
        <v>349</v>
      </c>
      <c r="J112" s="343" t="s">
        <v>881</v>
      </c>
      <c r="K112" s="343" t="s">
        <v>168</v>
      </c>
    </row>
    <row r="113" spans="1:11" ht="26.25" customHeight="1">
      <c r="A113" s="343" t="s">
        <v>161</v>
      </c>
      <c r="B113" s="344" t="s">
        <v>162</v>
      </c>
      <c r="C113" s="344">
        <v>11085</v>
      </c>
      <c r="D113" s="343" t="s">
        <v>520</v>
      </c>
      <c r="E113" s="344">
        <v>6426550</v>
      </c>
      <c r="F113" s="343" t="s">
        <v>524</v>
      </c>
      <c r="G113" s="360" t="s">
        <v>525</v>
      </c>
      <c r="H113" s="361">
        <v>42765</v>
      </c>
      <c r="I113" s="343" t="s">
        <v>7270</v>
      </c>
      <c r="J113" s="343" t="s">
        <v>527</v>
      </c>
      <c r="K113" s="343" t="s">
        <v>173</v>
      </c>
    </row>
    <row r="114" spans="1:11" ht="26.25" customHeight="1">
      <c r="A114" s="343" t="s">
        <v>161</v>
      </c>
      <c r="B114" s="344" t="s">
        <v>162</v>
      </c>
      <c r="C114" s="344">
        <v>12076</v>
      </c>
      <c r="D114" s="343" t="s">
        <v>735</v>
      </c>
      <c r="E114" s="344">
        <v>6231911</v>
      </c>
      <c r="F114" s="343" t="s">
        <v>770</v>
      </c>
      <c r="G114" s="360" t="s">
        <v>771</v>
      </c>
      <c r="H114" s="361">
        <v>42776</v>
      </c>
      <c r="I114" s="343" t="s">
        <v>166</v>
      </c>
      <c r="J114" s="343" t="s">
        <v>296</v>
      </c>
      <c r="K114" s="343" t="s">
        <v>168</v>
      </c>
    </row>
    <row r="115" spans="1:11" ht="26.25" customHeight="1">
      <c r="A115" s="343" t="s">
        <v>161</v>
      </c>
      <c r="B115" s="344" t="s">
        <v>162</v>
      </c>
      <c r="C115" s="344">
        <v>6590</v>
      </c>
      <c r="D115" s="343" t="s">
        <v>1166</v>
      </c>
      <c r="E115" s="344">
        <v>5858638</v>
      </c>
      <c r="F115" s="343" t="s">
        <v>1170</v>
      </c>
      <c r="G115" s="360" t="s">
        <v>1171</v>
      </c>
      <c r="H115" s="361">
        <v>42779</v>
      </c>
      <c r="I115" s="343" t="s">
        <v>802</v>
      </c>
      <c r="J115" s="343" t="s">
        <v>1172</v>
      </c>
      <c r="K115" s="343" t="s">
        <v>168</v>
      </c>
    </row>
    <row r="116" spans="1:11" ht="26.25" customHeight="1">
      <c r="A116" s="343" t="s">
        <v>161</v>
      </c>
      <c r="B116" s="344" t="s">
        <v>162</v>
      </c>
      <c r="C116" s="344">
        <v>6584</v>
      </c>
      <c r="D116" s="343" t="s">
        <v>1286</v>
      </c>
      <c r="E116" s="344">
        <v>5759060</v>
      </c>
      <c r="F116" s="343" t="s">
        <v>1291</v>
      </c>
      <c r="G116" s="360" t="s">
        <v>1292</v>
      </c>
      <c r="H116" s="361">
        <v>42779</v>
      </c>
      <c r="I116" s="343" t="s">
        <v>514</v>
      </c>
      <c r="J116" s="343" t="s">
        <v>1293</v>
      </c>
      <c r="K116" s="343" t="s">
        <v>168</v>
      </c>
    </row>
    <row r="117" spans="1:11" ht="26.25" customHeight="1">
      <c r="A117" s="343" t="s">
        <v>161</v>
      </c>
      <c r="B117" s="344" t="s">
        <v>162</v>
      </c>
      <c r="C117" s="344">
        <v>9855</v>
      </c>
      <c r="D117" s="343" t="s">
        <v>411</v>
      </c>
      <c r="E117" s="344">
        <v>6264457</v>
      </c>
      <c r="F117" s="343" t="s">
        <v>435</v>
      </c>
      <c r="G117" s="360" t="s">
        <v>436</v>
      </c>
      <c r="H117" s="361">
        <v>42779</v>
      </c>
      <c r="I117" s="343" t="s">
        <v>437</v>
      </c>
      <c r="J117" s="343" t="s">
        <v>438</v>
      </c>
      <c r="K117" s="343" t="s">
        <v>173</v>
      </c>
    </row>
    <row r="118" spans="1:11" ht="26.25" customHeight="1">
      <c r="A118" s="343" t="s">
        <v>161</v>
      </c>
      <c r="B118" s="344" t="s">
        <v>162</v>
      </c>
      <c r="C118" s="344">
        <v>12607</v>
      </c>
      <c r="D118" s="343" t="s">
        <v>1055</v>
      </c>
      <c r="E118" s="344">
        <v>6173258</v>
      </c>
      <c r="F118" s="343" t="s">
        <v>1064</v>
      </c>
      <c r="G118" s="360" t="s">
        <v>1065</v>
      </c>
      <c r="H118" s="361">
        <v>42779</v>
      </c>
      <c r="I118" s="343" t="s">
        <v>261</v>
      </c>
      <c r="J118" s="343" t="s">
        <v>631</v>
      </c>
      <c r="K118" s="343" t="s">
        <v>168</v>
      </c>
    </row>
    <row r="119" spans="1:11" ht="26.25" customHeight="1">
      <c r="A119" s="343" t="s">
        <v>161</v>
      </c>
      <c r="B119" s="344" t="s">
        <v>162</v>
      </c>
      <c r="C119" s="344">
        <v>6923</v>
      </c>
      <c r="D119" s="343" t="s">
        <v>874</v>
      </c>
      <c r="E119" s="344">
        <v>5670825</v>
      </c>
      <c r="F119" s="343" t="s">
        <v>882</v>
      </c>
      <c r="G119" s="360" t="s">
        <v>883</v>
      </c>
      <c r="H119" s="361">
        <v>42779</v>
      </c>
      <c r="I119" s="343" t="s">
        <v>166</v>
      </c>
      <c r="J119" s="343" t="s">
        <v>327</v>
      </c>
      <c r="K119" s="343" t="s">
        <v>168</v>
      </c>
    </row>
    <row r="120" spans="1:11" ht="26.25" customHeight="1">
      <c r="A120" s="343" t="s">
        <v>161</v>
      </c>
      <c r="B120" s="344" t="s">
        <v>162</v>
      </c>
      <c r="C120" s="344">
        <v>9195</v>
      </c>
      <c r="D120" s="343" t="s">
        <v>1257</v>
      </c>
      <c r="E120" s="344">
        <v>5960650</v>
      </c>
      <c r="F120" s="343" t="s">
        <v>1271</v>
      </c>
      <c r="G120" s="360" t="s">
        <v>1272</v>
      </c>
      <c r="H120" s="361">
        <v>42779</v>
      </c>
      <c r="I120" s="343" t="s">
        <v>193</v>
      </c>
      <c r="J120" s="343" t="s">
        <v>637</v>
      </c>
      <c r="K120" s="343" t="s">
        <v>168</v>
      </c>
    </row>
    <row r="121" spans="1:11" ht="26.25" customHeight="1">
      <c r="A121" s="343" t="s">
        <v>161</v>
      </c>
      <c r="B121" s="344" t="s">
        <v>162</v>
      </c>
      <c r="C121" s="344">
        <v>12755</v>
      </c>
      <c r="D121" s="343" t="s">
        <v>1416</v>
      </c>
      <c r="E121" s="344">
        <v>6183428</v>
      </c>
      <c r="F121" s="343" t="s">
        <v>1421</v>
      </c>
      <c r="G121" s="360" t="s">
        <v>1422</v>
      </c>
      <c r="H121" s="361">
        <v>42779</v>
      </c>
      <c r="I121" s="343" t="s">
        <v>193</v>
      </c>
      <c r="J121" s="343" t="s">
        <v>637</v>
      </c>
      <c r="K121" s="343" t="s">
        <v>168</v>
      </c>
    </row>
    <row r="122" spans="1:11" ht="26.25" customHeight="1">
      <c r="A122" s="343" t="s">
        <v>161</v>
      </c>
      <c r="B122" s="344" t="s">
        <v>162</v>
      </c>
      <c r="C122" s="344">
        <v>12607</v>
      </c>
      <c r="D122" s="343" t="s">
        <v>1055</v>
      </c>
      <c r="E122" s="344">
        <v>5730363</v>
      </c>
      <c r="F122" s="343" t="s">
        <v>1066</v>
      </c>
      <c r="G122" s="360" t="s">
        <v>1067</v>
      </c>
      <c r="H122" s="361">
        <v>42776</v>
      </c>
      <c r="I122" s="343" t="s">
        <v>193</v>
      </c>
      <c r="J122" s="343" t="s">
        <v>1068</v>
      </c>
      <c r="K122" s="343" t="s">
        <v>168</v>
      </c>
    </row>
    <row r="123" spans="1:11" ht="26.25" customHeight="1">
      <c r="A123" s="343" t="s">
        <v>161</v>
      </c>
      <c r="B123" s="344" t="s">
        <v>162</v>
      </c>
      <c r="C123" s="344">
        <v>7446</v>
      </c>
      <c r="D123" s="343" t="s">
        <v>318</v>
      </c>
      <c r="E123" s="344">
        <v>6630113</v>
      </c>
      <c r="F123" s="343" t="s">
        <v>325</v>
      </c>
      <c r="G123" s="360" t="s">
        <v>326</v>
      </c>
      <c r="H123" s="361">
        <v>42776</v>
      </c>
      <c r="I123" s="343" t="s">
        <v>166</v>
      </c>
      <c r="J123" s="343" t="s">
        <v>327</v>
      </c>
      <c r="K123" s="343" t="s">
        <v>168</v>
      </c>
    </row>
    <row r="124" spans="1:11" ht="26.25" customHeight="1">
      <c r="A124" s="343" t="s">
        <v>161</v>
      </c>
      <c r="B124" s="344" t="s">
        <v>162</v>
      </c>
      <c r="C124" s="344">
        <v>9910</v>
      </c>
      <c r="D124" s="343" t="s">
        <v>664</v>
      </c>
      <c r="E124" s="344">
        <v>6337726</v>
      </c>
      <c r="F124" s="343" t="s">
        <v>676</v>
      </c>
      <c r="G124" s="360" t="s">
        <v>677</v>
      </c>
      <c r="H124" s="361">
        <v>42779</v>
      </c>
      <c r="I124" s="343" t="s">
        <v>198</v>
      </c>
      <c r="J124" s="343" t="s">
        <v>198</v>
      </c>
      <c r="K124" s="343" t="s">
        <v>168</v>
      </c>
    </row>
    <row r="125" spans="1:11" ht="26.25" customHeight="1">
      <c r="A125" s="343" t="s">
        <v>161</v>
      </c>
      <c r="B125" s="344" t="s">
        <v>162</v>
      </c>
      <c r="C125" s="344">
        <v>9910</v>
      </c>
      <c r="D125" s="343" t="s">
        <v>664</v>
      </c>
      <c r="E125" s="344">
        <v>6188057</v>
      </c>
      <c r="F125" s="343" t="s">
        <v>680</v>
      </c>
      <c r="G125" s="360" t="s">
        <v>681</v>
      </c>
      <c r="H125" s="361">
        <v>42779</v>
      </c>
      <c r="I125" s="343" t="s">
        <v>166</v>
      </c>
      <c r="J125" s="343" t="s">
        <v>682</v>
      </c>
      <c r="K125" s="343" t="s">
        <v>168</v>
      </c>
    </row>
    <row r="126" spans="1:11" ht="26.25" customHeight="1">
      <c r="A126" s="343" t="s">
        <v>161</v>
      </c>
      <c r="B126" s="344" t="s">
        <v>162</v>
      </c>
      <c r="C126" s="344">
        <v>9910</v>
      </c>
      <c r="D126" s="343" t="s">
        <v>664</v>
      </c>
      <c r="E126" s="344">
        <v>5786092</v>
      </c>
      <c r="F126" s="343" t="s">
        <v>678</v>
      </c>
      <c r="G126" s="360" t="s">
        <v>679</v>
      </c>
      <c r="H126" s="361">
        <v>42779</v>
      </c>
      <c r="I126" s="343" t="s">
        <v>193</v>
      </c>
      <c r="J126" s="343" t="s">
        <v>194</v>
      </c>
      <c r="K126" s="343" t="s">
        <v>168</v>
      </c>
    </row>
    <row r="127" spans="1:11" ht="26.25" customHeight="1">
      <c r="A127" s="343" t="s">
        <v>161</v>
      </c>
      <c r="B127" s="344" t="s">
        <v>162</v>
      </c>
      <c r="C127" s="344">
        <v>9910</v>
      </c>
      <c r="D127" s="343" t="s">
        <v>664</v>
      </c>
      <c r="E127" s="344">
        <v>6063624</v>
      </c>
      <c r="F127" s="343" t="s">
        <v>665</v>
      </c>
      <c r="G127" s="360" t="s">
        <v>666</v>
      </c>
      <c r="H127" s="361">
        <v>42779</v>
      </c>
      <c r="I127" s="343" t="s">
        <v>490</v>
      </c>
      <c r="J127" s="343" t="s">
        <v>667</v>
      </c>
      <c r="K127" s="343" t="s">
        <v>168</v>
      </c>
    </row>
    <row r="128" spans="1:11" ht="26.25" customHeight="1">
      <c r="A128" s="343" t="s">
        <v>161</v>
      </c>
      <c r="B128" s="344" t="s">
        <v>162</v>
      </c>
      <c r="C128" s="344">
        <v>9910</v>
      </c>
      <c r="D128" s="343" t="s">
        <v>664</v>
      </c>
      <c r="E128" s="344">
        <v>5753454</v>
      </c>
      <c r="F128" s="343" t="s">
        <v>668</v>
      </c>
      <c r="G128" s="360" t="s">
        <v>669</v>
      </c>
      <c r="H128" s="361">
        <v>42779</v>
      </c>
      <c r="I128" s="343" t="s">
        <v>670</v>
      </c>
      <c r="J128" s="343" t="s">
        <v>671</v>
      </c>
      <c r="K128" s="343" t="s">
        <v>173</v>
      </c>
    </row>
    <row r="129" spans="1:11" ht="26.25" customHeight="1">
      <c r="A129" s="343" t="s">
        <v>161</v>
      </c>
      <c r="B129" s="344" t="s">
        <v>162</v>
      </c>
      <c r="C129" s="344">
        <v>6929</v>
      </c>
      <c r="D129" s="343" t="s">
        <v>1019</v>
      </c>
      <c r="E129" s="344">
        <v>5585260</v>
      </c>
      <c r="F129" s="343" t="s">
        <v>1026</v>
      </c>
      <c r="G129" s="360" t="s">
        <v>1027</v>
      </c>
      <c r="H129" s="361">
        <v>42780</v>
      </c>
      <c r="I129" s="343" t="s">
        <v>547</v>
      </c>
      <c r="J129" s="343" t="s">
        <v>1028</v>
      </c>
      <c r="K129" s="343" t="s">
        <v>248</v>
      </c>
    </row>
    <row r="130" spans="1:11" ht="26.25" customHeight="1">
      <c r="A130" s="343" t="s">
        <v>161</v>
      </c>
      <c r="B130" s="344" t="s">
        <v>162</v>
      </c>
      <c r="C130" s="344">
        <v>7451</v>
      </c>
      <c r="D130" s="343" t="s">
        <v>225</v>
      </c>
      <c r="E130" s="344">
        <v>6548776</v>
      </c>
      <c r="F130" s="343" t="s">
        <v>229</v>
      </c>
      <c r="G130" s="360" t="s">
        <v>230</v>
      </c>
      <c r="H130" s="361">
        <v>42780</v>
      </c>
      <c r="I130" s="343" t="s">
        <v>193</v>
      </c>
      <c r="J130" s="343" t="s">
        <v>194</v>
      </c>
      <c r="K130" s="343" t="s">
        <v>168</v>
      </c>
    </row>
    <row r="131" spans="1:11" ht="26.25" customHeight="1">
      <c r="A131" s="343" t="s">
        <v>161</v>
      </c>
      <c r="B131" s="344" t="s">
        <v>162</v>
      </c>
      <c r="C131" s="344">
        <v>12069</v>
      </c>
      <c r="D131" s="343" t="s">
        <v>617</v>
      </c>
      <c r="E131" s="344">
        <v>5807098</v>
      </c>
      <c r="F131" s="343" t="s">
        <v>634</v>
      </c>
      <c r="G131" s="360" t="s">
        <v>635</v>
      </c>
      <c r="H131" s="361">
        <v>42780</v>
      </c>
      <c r="I131" s="343" t="s">
        <v>193</v>
      </c>
      <c r="J131" s="343" t="s">
        <v>637</v>
      </c>
      <c r="K131" s="343" t="s">
        <v>168</v>
      </c>
    </row>
    <row r="132" spans="1:11" ht="26.25" customHeight="1">
      <c r="A132" s="343" t="s">
        <v>161</v>
      </c>
      <c r="B132" s="344" t="s">
        <v>162</v>
      </c>
      <c r="C132" s="344">
        <v>9917</v>
      </c>
      <c r="D132" s="343" t="s">
        <v>479</v>
      </c>
      <c r="E132" s="344">
        <v>6363165</v>
      </c>
      <c r="F132" s="343" t="s">
        <v>516</v>
      </c>
      <c r="G132" s="360" t="s">
        <v>517</v>
      </c>
      <c r="H132" s="361">
        <v>42781</v>
      </c>
      <c r="I132" s="343" t="s">
        <v>518</v>
      </c>
      <c r="J132" s="343" t="s">
        <v>519</v>
      </c>
      <c r="K132" s="343" t="s">
        <v>168</v>
      </c>
    </row>
    <row r="133" spans="1:11" ht="26.25" customHeight="1">
      <c r="A133" s="343" t="s">
        <v>161</v>
      </c>
      <c r="B133" s="344" t="s">
        <v>162</v>
      </c>
      <c r="C133" s="344">
        <v>7462</v>
      </c>
      <c r="D133" s="343" t="s">
        <v>195</v>
      </c>
      <c r="E133" s="344">
        <v>6621434</v>
      </c>
      <c r="F133" s="343" t="s">
        <v>199</v>
      </c>
      <c r="G133" s="360" t="s">
        <v>200</v>
      </c>
      <c r="H133" s="361">
        <v>42781</v>
      </c>
      <c r="I133" s="343" t="s">
        <v>193</v>
      </c>
      <c r="J133" s="343" t="s">
        <v>201</v>
      </c>
      <c r="K133" s="343" t="s">
        <v>168</v>
      </c>
    </row>
    <row r="134" spans="1:11" ht="26.25" customHeight="1">
      <c r="A134" s="343" t="s">
        <v>161</v>
      </c>
      <c r="B134" s="344" t="s">
        <v>162</v>
      </c>
      <c r="C134" s="344">
        <v>9477</v>
      </c>
      <c r="D134" s="343" t="s">
        <v>1378</v>
      </c>
      <c r="E134" s="344">
        <v>6254846</v>
      </c>
      <c r="F134" s="343" t="s">
        <v>1379</v>
      </c>
      <c r="G134" s="360" t="s">
        <v>1077</v>
      </c>
      <c r="H134" s="361">
        <v>42796</v>
      </c>
      <c r="I134" s="343" t="s">
        <v>166</v>
      </c>
      <c r="J134" s="343" t="s">
        <v>327</v>
      </c>
      <c r="K134" s="343" t="s">
        <v>168</v>
      </c>
    </row>
    <row r="135" spans="1:11" ht="26.25" customHeight="1">
      <c r="A135" s="343" t="s">
        <v>161</v>
      </c>
      <c r="B135" s="344" t="s">
        <v>162</v>
      </c>
      <c r="C135" s="344">
        <v>9856</v>
      </c>
      <c r="D135" s="343" t="s">
        <v>641</v>
      </c>
      <c r="E135" s="344">
        <v>5948488</v>
      </c>
      <c r="F135" s="343" t="s">
        <v>642</v>
      </c>
      <c r="G135" s="360" t="s">
        <v>643</v>
      </c>
      <c r="H135" s="361">
        <v>42783</v>
      </c>
      <c r="I135" s="343" t="s">
        <v>437</v>
      </c>
      <c r="J135" s="343" t="s">
        <v>644</v>
      </c>
      <c r="K135" s="343" t="s">
        <v>173</v>
      </c>
    </row>
    <row r="136" spans="1:11" ht="26.25" customHeight="1">
      <c r="A136" s="343" t="s">
        <v>161</v>
      </c>
      <c r="B136" s="344" t="s">
        <v>162</v>
      </c>
      <c r="C136" s="344">
        <v>6925</v>
      </c>
      <c r="D136" s="343" t="s">
        <v>811</v>
      </c>
      <c r="E136" s="344">
        <v>6027602</v>
      </c>
      <c r="F136" s="343" t="s">
        <v>819</v>
      </c>
      <c r="G136" s="360" t="s">
        <v>820</v>
      </c>
      <c r="H136" s="361">
        <v>42783</v>
      </c>
      <c r="I136" s="343" t="s">
        <v>366</v>
      </c>
      <c r="J136" s="343" t="s">
        <v>366</v>
      </c>
      <c r="K136" s="343" t="s">
        <v>168</v>
      </c>
    </row>
    <row r="137" spans="1:11" ht="26.25" customHeight="1">
      <c r="A137" s="343" t="s">
        <v>161</v>
      </c>
      <c r="B137" s="344" t="s">
        <v>162</v>
      </c>
      <c r="C137" s="344">
        <v>7456</v>
      </c>
      <c r="D137" s="343" t="s">
        <v>189</v>
      </c>
      <c r="E137" s="344">
        <v>6337268</v>
      </c>
      <c r="F137" s="343" t="s">
        <v>190</v>
      </c>
      <c r="G137" s="360" t="s">
        <v>191</v>
      </c>
      <c r="H137" s="361">
        <v>42783</v>
      </c>
      <c r="I137" s="343" t="s">
        <v>193</v>
      </c>
      <c r="J137" s="343" t="s">
        <v>194</v>
      </c>
      <c r="K137" s="343" t="s">
        <v>168</v>
      </c>
    </row>
    <row r="138" spans="1:11" ht="26.25" customHeight="1">
      <c r="A138" s="343" t="s">
        <v>161</v>
      </c>
      <c r="B138" s="344" t="s">
        <v>162</v>
      </c>
      <c r="C138" s="344">
        <v>9903</v>
      </c>
      <c r="D138" s="343" t="s">
        <v>597</v>
      </c>
      <c r="E138" s="344">
        <v>5869390</v>
      </c>
      <c r="F138" s="343" t="s">
        <v>608</v>
      </c>
      <c r="G138" s="360" t="s">
        <v>609</v>
      </c>
      <c r="H138" s="361">
        <v>42783</v>
      </c>
      <c r="I138" s="343" t="s">
        <v>275</v>
      </c>
      <c r="J138" s="343" t="s">
        <v>585</v>
      </c>
      <c r="K138" s="343" t="s">
        <v>173</v>
      </c>
    </row>
    <row r="139" spans="1:11" ht="26.25" customHeight="1">
      <c r="A139" s="343" t="s">
        <v>161</v>
      </c>
      <c r="B139" s="344" t="s">
        <v>162</v>
      </c>
      <c r="C139" s="344">
        <v>13378</v>
      </c>
      <c r="D139" s="343" t="s">
        <v>1212</v>
      </c>
      <c r="E139" s="344">
        <v>5957650</v>
      </c>
      <c r="F139" s="343" t="s">
        <v>1234</v>
      </c>
      <c r="G139" s="360" t="s">
        <v>1235</v>
      </c>
      <c r="H139" s="361">
        <v>42787</v>
      </c>
      <c r="I139" s="343" t="s">
        <v>193</v>
      </c>
      <c r="J139" s="343" t="s">
        <v>194</v>
      </c>
      <c r="K139" s="343" t="s">
        <v>168</v>
      </c>
    </row>
    <row r="140" spans="1:11" ht="26.25" customHeight="1">
      <c r="A140" s="343" t="s">
        <v>161</v>
      </c>
      <c r="B140" s="344" t="s">
        <v>162</v>
      </c>
      <c r="C140" s="344">
        <v>7442</v>
      </c>
      <c r="D140" s="343" t="s">
        <v>382</v>
      </c>
      <c r="E140" s="344">
        <v>6385096</v>
      </c>
      <c r="F140" s="343" t="s">
        <v>392</v>
      </c>
      <c r="G140" s="360" t="s">
        <v>393</v>
      </c>
      <c r="H140" s="361">
        <v>42787</v>
      </c>
      <c r="I140" s="343" t="s">
        <v>193</v>
      </c>
      <c r="J140" s="343" t="s">
        <v>194</v>
      </c>
      <c r="K140" s="343" t="s">
        <v>168</v>
      </c>
    </row>
    <row r="141" spans="1:11" ht="26.25" customHeight="1">
      <c r="A141" s="343" t="s">
        <v>161</v>
      </c>
      <c r="B141" s="344" t="s">
        <v>162</v>
      </c>
      <c r="C141" s="344">
        <v>6594</v>
      </c>
      <c r="D141" s="343" t="s">
        <v>1273</v>
      </c>
      <c r="E141" s="344">
        <v>6436678</v>
      </c>
      <c r="F141" s="343" t="s">
        <v>1274</v>
      </c>
      <c r="G141" s="360" t="s">
        <v>1275</v>
      </c>
      <c r="H141" s="361">
        <v>42787</v>
      </c>
      <c r="I141" s="343" t="s">
        <v>166</v>
      </c>
      <c r="J141" s="343" t="s">
        <v>327</v>
      </c>
      <c r="K141" s="343" t="s">
        <v>168</v>
      </c>
    </row>
    <row r="142" spans="1:11" ht="26.25" customHeight="1">
      <c r="A142" s="343" t="s">
        <v>161</v>
      </c>
      <c r="B142" s="344" t="s">
        <v>162</v>
      </c>
      <c r="C142" s="344">
        <v>9195</v>
      </c>
      <c r="D142" s="343" t="s">
        <v>1257</v>
      </c>
      <c r="E142" s="344">
        <v>5962653</v>
      </c>
      <c r="F142" s="343" t="s">
        <v>1258</v>
      </c>
      <c r="G142" s="360" t="s">
        <v>1259</v>
      </c>
      <c r="H142" s="361">
        <v>42795</v>
      </c>
      <c r="I142" s="343" t="s">
        <v>674</v>
      </c>
      <c r="J142" s="343" t="s">
        <v>1260</v>
      </c>
      <c r="K142" s="343" t="s">
        <v>173</v>
      </c>
    </row>
    <row r="143" spans="1:11" ht="26.25" customHeight="1">
      <c r="A143" s="343" t="s">
        <v>161</v>
      </c>
      <c r="B143" s="344" t="s">
        <v>162</v>
      </c>
      <c r="C143" s="344">
        <v>9478</v>
      </c>
      <c r="D143" s="343" t="s">
        <v>1069</v>
      </c>
      <c r="E143" s="344">
        <v>5734520</v>
      </c>
      <c r="F143" s="343" t="s">
        <v>1076</v>
      </c>
      <c r="G143" s="360" t="s">
        <v>1077</v>
      </c>
      <c r="H143" s="361">
        <v>42795</v>
      </c>
      <c r="I143" s="343" t="s">
        <v>187</v>
      </c>
      <c r="J143" s="343" t="s">
        <v>187</v>
      </c>
      <c r="K143" s="343" t="s">
        <v>168</v>
      </c>
    </row>
    <row r="144" spans="1:11" ht="26.25" customHeight="1">
      <c r="A144" s="343" t="s">
        <v>161</v>
      </c>
      <c r="B144" s="344" t="s">
        <v>162</v>
      </c>
      <c r="C144" s="344">
        <v>9476</v>
      </c>
      <c r="D144" s="343" t="s">
        <v>1349</v>
      </c>
      <c r="E144" s="344">
        <v>6391158</v>
      </c>
      <c r="F144" s="343" t="s">
        <v>1352</v>
      </c>
      <c r="G144" s="360" t="s">
        <v>1353</v>
      </c>
      <c r="H144" s="361">
        <v>42795</v>
      </c>
      <c r="I144" s="343" t="s">
        <v>366</v>
      </c>
      <c r="J144" s="343" t="s">
        <v>366</v>
      </c>
      <c r="K144" s="343" t="s">
        <v>168</v>
      </c>
    </row>
    <row r="145" spans="1:11" ht="26.25" customHeight="1">
      <c r="A145" s="343" t="s">
        <v>161</v>
      </c>
      <c r="B145" s="344" t="s">
        <v>162</v>
      </c>
      <c r="C145" s="344">
        <v>9855</v>
      </c>
      <c r="D145" s="343" t="s">
        <v>411</v>
      </c>
      <c r="E145" s="344">
        <v>6332696</v>
      </c>
      <c r="F145" s="343" t="s">
        <v>433</v>
      </c>
      <c r="G145" s="360" t="s">
        <v>434</v>
      </c>
      <c r="H145" s="361">
        <v>42789</v>
      </c>
      <c r="I145" s="343" t="s">
        <v>166</v>
      </c>
      <c r="J145" s="343" t="s">
        <v>327</v>
      </c>
      <c r="K145" s="343" t="s">
        <v>168</v>
      </c>
    </row>
    <row r="146" spans="1:11" ht="26.25" customHeight="1">
      <c r="A146" s="343" t="s">
        <v>161</v>
      </c>
      <c r="B146" s="344" t="s">
        <v>162</v>
      </c>
      <c r="C146" s="344">
        <v>9478</v>
      </c>
      <c r="D146" s="343" t="s">
        <v>1069</v>
      </c>
      <c r="E146" s="344">
        <v>6204066</v>
      </c>
      <c r="F146" s="343" t="s">
        <v>1080</v>
      </c>
      <c r="G146" s="360" t="s">
        <v>1081</v>
      </c>
      <c r="H146" s="361">
        <v>42789</v>
      </c>
      <c r="I146" s="343" t="s">
        <v>1082</v>
      </c>
      <c r="J146" s="343" t="s">
        <v>1083</v>
      </c>
      <c r="K146" s="343" t="s">
        <v>173</v>
      </c>
    </row>
    <row r="147" spans="1:11" ht="26.25" customHeight="1">
      <c r="A147" s="343" t="s">
        <v>161</v>
      </c>
      <c r="B147" s="344" t="s">
        <v>162</v>
      </c>
      <c r="C147" s="344">
        <v>9913</v>
      </c>
      <c r="D147" s="343" t="s">
        <v>556</v>
      </c>
      <c r="E147" s="344">
        <v>6114300</v>
      </c>
      <c r="F147" s="343" t="s">
        <v>557</v>
      </c>
      <c r="G147" s="360" t="s">
        <v>558</v>
      </c>
      <c r="H147" s="361">
        <v>42804</v>
      </c>
      <c r="I147" s="343" t="s">
        <v>180</v>
      </c>
      <c r="J147" s="343" t="s">
        <v>559</v>
      </c>
      <c r="K147" s="343" t="s">
        <v>168</v>
      </c>
    </row>
    <row r="148" spans="1:11" ht="26.25" customHeight="1">
      <c r="A148" s="343" t="s">
        <v>161</v>
      </c>
      <c r="B148" s="344" t="s">
        <v>162</v>
      </c>
      <c r="C148" s="344">
        <v>8823</v>
      </c>
      <c r="D148" s="343" t="s">
        <v>993</v>
      </c>
      <c r="E148" s="344">
        <v>5698990</v>
      </c>
      <c r="F148" s="343" t="s">
        <v>1004</v>
      </c>
      <c r="G148" s="360" t="s">
        <v>1005</v>
      </c>
      <c r="H148" s="361">
        <v>42810</v>
      </c>
      <c r="I148" s="343" t="s">
        <v>180</v>
      </c>
      <c r="J148" s="343" t="s">
        <v>1006</v>
      </c>
      <c r="K148" s="343" t="s">
        <v>168</v>
      </c>
    </row>
    <row r="149" spans="1:11" ht="26.25" customHeight="1">
      <c r="A149" s="343" t="s">
        <v>161</v>
      </c>
      <c r="B149" s="344" t="s">
        <v>162</v>
      </c>
      <c r="C149" s="344">
        <v>11099</v>
      </c>
      <c r="D149" s="343" t="s">
        <v>574</v>
      </c>
      <c r="E149" s="344">
        <v>5103246</v>
      </c>
      <c r="F149" s="343" t="s">
        <v>593</v>
      </c>
      <c r="G149" s="360" t="s">
        <v>594</v>
      </c>
      <c r="H149" s="361">
        <v>42797</v>
      </c>
      <c r="I149" s="343" t="s">
        <v>595</v>
      </c>
      <c r="J149" s="343" t="s">
        <v>596</v>
      </c>
      <c r="K149" s="343" t="s">
        <v>173</v>
      </c>
    </row>
    <row r="150" spans="1:11" ht="26.25" customHeight="1">
      <c r="A150" s="343" t="s">
        <v>161</v>
      </c>
      <c r="B150" s="344" t="s">
        <v>162</v>
      </c>
      <c r="C150" s="344">
        <v>6592</v>
      </c>
      <c r="D150" s="343" t="s">
        <v>1324</v>
      </c>
      <c r="E150" s="344">
        <v>5887789</v>
      </c>
      <c r="F150" s="343" t="s">
        <v>1331</v>
      </c>
      <c r="G150" s="360" t="s">
        <v>1332</v>
      </c>
      <c r="H150" s="361">
        <v>42797</v>
      </c>
      <c r="I150" s="343" t="s">
        <v>1124</v>
      </c>
      <c r="J150" s="343" t="s">
        <v>1333</v>
      </c>
      <c r="K150" s="343" t="s">
        <v>168</v>
      </c>
    </row>
    <row r="151" spans="1:11" ht="26.25" customHeight="1">
      <c r="A151" s="343" t="s">
        <v>161</v>
      </c>
      <c r="B151" s="344" t="s">
        <v>162</v>
      </c>
      <c r="C151" s="344">
        <v>12076</v>
      </c>
      <c r="D151" s="343" t="s">
        <v>735</v>
      </c>
      <c r="E151" s="344">
        <v>5606079</v>
      </c>
      <c r="F151" s="343" t="s">
        <v>736</v>
      </c>
      <c r="G151" s="360" t="s">
        <v>737</v>
      </c>
      <c r="H151" s="361">
        <v>42801</v>
      </c>
      <c r="I151" s="343" t="s">
        <v>738</v>
      </c>
      <c r="J151" s="343" t="s">
        <v>739</v>
      </c>
      <c r="K151" s="343" t="s">
        <v>168</v>
      </c>
    </row>
    <row r="152" spans="1:11" ht="26.25" customHeight="1">
      <c r="A152" s="343" t="s">
        <v>161</v>
      </c>
      <c r="B152" s="344" t="s">
        <v>162</v>
      </c>
      <c r="C152" s="344">
        <v>6581</v>
      </c>
      <c r="D152" s="343" t="s">
        <v>1134</v>
      </c>
      <c r="E152" s="344">
        <v>6031150</v>
      </c>
      <c r="F152" s="343" t="s">
        <v>1135</v>
      </c>
      <c r="G152" s="360" t="s">
        <v>1136</v>
      </c>
      <c r="H152" s="361">
        <v>42802</v>
      </c>
      <c r="I152" s="343" t="s">
        <v>261</v>
      </c>
      <c r="J152" s="343" t="s">
        <v>631</v>
      </c>
      <c r="K152" s="343" t="s">
        <v>168</v>
      </c>
    </row>
    <row r="153" spans="1:11" ht="26.25" customHeight="1">
      <c r="A153" s="343" t="s">
        <v>161</v>
      </c>
      <c r="B153" s="344" t="s">
        <v>162</v>
      </c>
      <c r="C153" s="344">
        <v>9914</v>
      </c>
      <c r="D153" s="343" t="s">
        <v>1194</v>
      </c>
      <c r="E153" s="344">
        <v>5847590</v>
      </c>
      <c r="F153" s="343" t="s">
        <v>1197</v>
      </c>
      <c r="G153" s="360" t="s">
        <v>1198</v>
      </c>
      <c r="H153" s="361">
        <v>42800</v>
      </c>
      <c r="I153" s="343" t="s">
        <v>219</v>
      </c>
      <c r="J153" s="343" t="s">
        <v>220</v>
      </c>
      <c r="K153" s="343" t="s">
        <v>173</v>
      </c>
    </row>
    <row r="154" spans="1:11" ht="26.25" customHeight="1">
      <c r="A154" s="343" t="s">
        <v>161</v>
      </c>
      <c r="B154" s="344" t="s">
        <v>162</v>
      </c>
      <c r="C154" s="344">
        <v>6593</v>
      </c>
      <c r="D154" s="343" t="s">
        <v>1096</v>
      </c>
      <c r="E154" s="344">
        <v>6079506</v>
      </c>
      <c r="F154" s="343" t="s">
        <v>1101</v>
      </c>
      <c r="G154" s="360" t="s">
        <v>1102</v>
      </c>
      <c r="H154" s="361">
        <v>42800</v>
      </c>
      <c r="I154" s="343" t="s">
        <v>271</v>
      </c>
      <c r="J154" s="343" t="s">
        <v>333</v>
      </c>
      <c r="K154" s="343" t="s">
        <v>168</v>
      </c>
    </row>
    <row r="155" spans="1:11" ht="26.25" customHeight="1">
      <c r="A155" s="343" t="s">
        <v>161</v>
      </c>
      <c r="B155" s="344" t="s">
        <v>162</v>
      </c>
      <c r="C155" s="344">
        <v>13378</v>
      </c>
      <c r="D155" s="343" t="s">
        <v>1212</v>
      </c>
      <c r="E155" s="344">
        <v>5789410</v>
      </c>
      <c r="F155" s="343" t="s">
        <v>1221</v>
      </c>
      <c r="G155" s="360" t="s">
        <v>1222</v>
      </c>
      <c r="H155" s="361">
        <v>42801</v>
      </c>
      <c r="I155" s="343" t="s">
        <v>261</v>
      </c>
      <c r="J155" s="343" t="s">
        <v>631</v>
      </c>
      <c r="K155" s="343" t="s">
        <v>168</v>
      </c>
    </row>
    <row r="156" spans="1:11" ht="26.25" customHeight="1">
      <c r="A156" s="343" t="s">
        <v>161</v>
      </c>
      <c r="B156" s="344" t="s">
        <v>162</v>
      </c>
      <c r="C156" s="344">
        <v>8450</v>
      </c>
      <c r="D156" s="343" t="s">
        <v>289</v>
      </c>
      <c r="E156" s="344">
        <v>6243489</v>
      </c>
      <c r="F156" s="343" t="s">
        <v>297</v>
      </c>
      <c r="G156" s="360" t="s">
        <v>298</v>
      </c>
      <c r="H156" s="361">
        <v>42801</v>
      </c>
      <c r="I156" s="343" t="s">
        <v>166</v>
      </c>
      <c r="J156" s="343" t="s">
        <v>296</v>
      </c>
      <c r="K156" s="343" t="s">
        <v>168</v>
      </c>
    </row>
    <row r="157" spans="1:11" ht="26.25" customHeight="1">
      <c r="A157" s="343" t="s">
        <v>161</v>
      </c>
      <c r="B157" s="344" t="s">
        <v>162</v>
      </c>
      <c r="C157" s="344">
        <v>6592</v>
      </c>
      <c r="D157" s="343" t="s">
        <v>1324</v>
      </c>
      <c r="E157" s="344">
        <v>6049241</v>
      </c>
      <c r="F157" s="343" t="s">
        <v>1328</v>
      </c>
      <c r="G157" s="360" t="s">
        <v>1329</v>
      </c>
      <c r="H157" s="361">
        <v>42801</v>
      </c>
      <c r="I157" s="343" t="s">
        <v>1182</v>
      </c>
      <c r="J157" s="343" t="s">
        <v>1330</v>
      </c>
      <c r="K157" s="343" t="s">
        <v>173</v>
      </c>
    </row>
    <row r="158" spans="1:11" ht="26.25" customHeight="1">
      <c r="A158" s="343" t="s">
        <v>161</v>
      </c>
      <c r="B158" s="344" t="s">
        <v>162</v>
      </c>
      <c r="C158" s="344">
        <v>9914</v>
      </c>
      <c r="D158" s="343" t="s">
        <v>1194</v>
      </c>
      <c r="E158" s="344">
        <v>5721996</v>
      </c>
      <c r="F158" s="343" t="s">
        <v>1195</v>
      </c>
      <c r="G158" s="360" t="s">
        <v>214</v>
      </c>
      <c r="H158" s="361">
        <v>42814</v>
      </c>
      <c r="I158" s="343" t="s">
        <v>180</v>
      </c>
      <c r="J158" s="343" t="s">
        <v>1196</v>
      </c>
      <c r="K158" s="343" t="s">
        <v>173</v>
      </c>
    </row>
    <row r="159" spans="1:11" ht="26.25" customHeight="1">
      <c r="A159" s="343" t="s">
        <v>161</v>
      </c>
      <c r="B159" s="344" t="s">
        <v>162</v>
      </c>
      <c r="C159" s="344">
        <v>12068</v>
      </c>
      <c r="D159" s="343" t="s">
        <v>1240</v>
      </c>
      <c r="E159" s="344">
        <v>6264416</v>
      </c>
      <c r="F159" s="343" t="s">
        <v>1244</v>
      </c>
      <c r="G159" s="360" t="s">
        <v>1245</v>
      </c>
      <c r="H159" s="361">
        <v>42803</v>
      </c>
      <c r="I159" s="343" t="s">
        <v>547</v>
      </c>
      <c r="J159" s="343" t="s">
        <v>936</v>
      </c>
      <c r="K159" s="343" t="s">
        <v>248</v>
      </c>
    </row>
    <row r="160" spans="1:11" ht="26.25" customHeight="1">
      <c r="A160" s="343" t="s">
        <v>161</v>
      </c>
      <c r="B160" s="344" t="s">
        <v>162</v>
      </c>
      <c r="C160" s="344">
        <v>12068</v>
      </c>
      <c r="D160" s="343" t="s">
        <v>1240</v>
      </c>
      <c r="E160" s="344">
        <v>6135661</v>
      </c>
      <c r="F160" s="343" t="s">
        <v>1252</v>
      </c>
      <c r="G160" s="360" t="s">
        <v>1253</v>
      </c>
      <c r="H160" s="361">
        <v>42803</v>
      </c>
      <c r="I160" s="343" t="s">
        <v>366</v>
      </c>
      <c r="J160" s="343" t="s">
        <v>366</v>
      </c>
      <c r="K160" s="343" t="s">
        <v>168</v>
      </c>
    </row>
    <row r="161" spans="1:11" ht="26.25" customHeight="1">
      <c r="A161" s="343" t="s">
        <v>161</v>
      </c>
      <c r="B161" s="344" t="s">
        <v>162</v>
      </c>
      <c r="C161" s="344">
        <v>12755</v>
      </c>
      <c r="D161" s="343" t="s">
        <v>1416</v>
      </c>
      <c r="E161" s="344">
        <v>5859421</v>
      </c>
      <c r="F161" s="343" t="s">
        <v>1447</v>
      </c>
      <c r="G161" s="360" t="s">
        <v>1448</v>
      </c>
      <c r="H161" s="361">
        <v>42803</v>
      </c>
      <c r="I161" s="343" t="s">
        <v>465</v>
      </c>
      <c r="J161" s="343" t="s">
        <v>466</v>
      </c>
      <c r="K161" s="343" t="s">
        <v>168</v>
      </c>
    </row>
    <row r="162" spans="1:11" ht="26.25" customHeight="1">
      <c r="A162" s="343" t="s">
        <v>161</v>
      </c>
      <c r="B162" s="344" t="s">
        <v>162</v>
      </c>
      <c r="C162" s="344">
        <v>13378</v>
      </c>
      <c r="D162" s="343" t="s">
        <v>1212</v>
      </c>
      <c r="E162" s="344">
        <v>6094626</v>
      </c>
      <c r="F162" s="343" t="s">
        <v>1219</v>
      </c>
      <c r="G162" s="360" t="s">
        <v>1220</v>
      </c>
      <c r="H162" s="361">
        <v>42811</v>
      </c>
      <c r="I162" s="343" t="s">
        <v>166</v>
      </c>
      <c r="J162" s="343" t="s">
        <v>296</v>
      </c>
      <c r="K162" s="343" t="s">
        <v>168</v>
      </c>
    </row>
    <row r="163" spans="1:11" ht="26.25" customHeight="1">
      <c r="A163" s="343" t="s">
        <v>161</v>
      </c>
      <c r="B163" s="344" t="s">
        <v>162</v>
      </c>
      <c r="C163" s="344">
        <v>13372</v>
      </c>
      <c r="D163" s="343" t="s">
        <v>1202</v>
      </c>
      <c r="E163" s="344">
        <v>5137659</v>
      </c>
      <c r="F163" s="343" t="s">
        <v>1206</v>
      </c>
      <c r="G163" s="360" t="s">
        <v>1207</v>
      </c>
      <c r="H163" s="361">
        <v>42810</v>
      </c>
      <c r="I163" s="343" t="s">
        <v>1208</v>
      </c>
      <c r="J163" s="343" t="s">
        <v>1209</v>
      </c>
      <c r="K163" s="343" t="s">
        <v>248</v>
      </c>
    </row>
    <row r="164" spans="1:11" ht="26.25" customHeight="1">
      <c r="A164" s="343" t="s">
        <v>161</v>
      </c>
      <c r="B164" s="344" t="s">
        <v>162</v>
      </c>
      <c r="C164" s="344">
        <v>6594</v>
      </c>
      <c r="D164" s="343" t="s">
        <v>1273</v>
      </c>
      <c r="E164" s="344">
        <v>6188807</v>
      </c>
      <c r="F164" s="343" t="s">
        <v>1278</v>
      </c>
      <c r="G164" s="360" t="s">
        <v>1279</v>
      </c>
      <c r="H164" s="361">
        <v>42809</v>
      </c>
      <c r="I164" s="343" t="s">
        <v>802</v>
      </c>
      <c r="J164" s="343" t="s">
        <v>1172</v>
      </c>
      <c r="K164" s="343" t="s">
        <v>168</v>
      </c>
    </row>
    <row r="165" spans="1:11" ht="26.25" customHeight="1">
      <c r="A165" s="343" t="s">
        <v>161</v>
      </c>
      <c r="B165" s="344" t="s">
        <v>162</v>
      </c>
      <c r="C165" s="344">
        <v>9337</v>
      </c>
      <c r="D165" s="343" t="s">
        <v>884</v>
      </c>
      <c r="E165" s="344">
        <v>5145078</v>
      </c>
      <c r="F165" s="343" t="s">
        <v>885</v>
      </c>
      <c r="G165" s="360" t="s">
        <v>886</v>
      </c>
      <c r="H165" s="361">
        <v>42808</v>
      </c>
      <c r="I165" s="343" t="s">
        <v>887</v>
      </c>
      <c r="J165" s="343" t="s">
        <v>888</v>
      </c>
      <c r="K165" s="343" t="s">
        <v>168</v>
      </c>
    </row>
    <row r="166" spans="1:11" ht="26.25" customHeight="1">
      <c r="A166" s="343" t="s">
        <v>161</v>
      </c>
      <c r="B166" s="344" t="s">
        <v>162</v>
      </c>
      <c r="C166" s="344">
        <v>10496</v>
      </c>
      <c r="D166" s="343" t="s">
        <v>328</v>
      </c>
      <c r="E166" s="344">
        <v>6586882</v>
      </c>
      <c r="F166" s="343" t="s">
        <v>329</v>
      </c>
      <c r="G166" s="360" t="s">
        <v>330</v>
      </c>
      <c r="H166" s="361">
        <v>42808</v>
      </c>
      <c r="I166" s="343" t="s">
        <v>193</v>
      </c>
      <c r="J166" s="343" t="s">
        <v>194</v>
      </c>
      <c r="K166" s="343" t="s">
        <v>168</v>
      </c>
    </row>
    <row r="167" spans="1:11" ht="26.25" customHeight="1">
      <c r="A167" s="343" t="s">
        <v>161</v>
      </c>
      <c r="B167" s="344" t="s">
        <v>162</v>
      </c>
      <c r="C167" s="344">
        <v>6934</v>
      </c>
      <c r="D167" s="343" t="s">
        <v>842</v>
      </c>
      <c r="E167" s="344">
        <v>5698458</v>
      </c>
      <c r="F167" s="343" t="s">
        <v>853</v>
      </c>
      <c r="G167" s="360" t="s">
        <v>550</v>
      </c>
      <c r="H167" s="361">
        <v>42808</v>
      </c>
      <c r="I167" s="343" t="s">
        <v>166</v>
      </c>
      <c r="J167" s="343" t="s">
        <v>296</v>
      </c>
      <c r="K167" s="343" t="s">
        <v>168</v>
      </c>
    </row>
    <row r="168" spans="1:11" ht="26.25" customHeight="1">
      <c r="A168" s="343" t="s">
        <v>161</v>
      </c>
      <c r="B168" s="344" t="s">
        <v>162</v>
      </c>
      <c r="C168" s="344">
        <v>12069</v>
      </c>
      <c r="D168" s="343" t="s">
        <v>617</v>
      </c>
      <c r="E168" s="344">
        <v>6404379</v>
      </c>
      <c r="F168" s="343" t="s">
        <v>638</v>
      </c>
      <c r="G168" s="360" t="s">
        <v>639</v>
      </c>
      <c r="H168" s="361">
        <v>42803</v>
      </c>
      <c r="I168" s="343" t="s">
        <v>349</v>
      </c>
      <c r="J168" s="343" t="s">
        <v>640</v>
      </c>
      <c r="K168" s="343" t="s">
        <v>168</v>
      </c>
    </row>
    <row r="169" spans="1:11" ht="26.25" customHeight="1">
      <c r="A169" s="343" t="s">
        <v>161</v>
      </c>
      <c r="B169" s="344" t="s">
        <v>162</v>
      </c>
      <c r="C169" s="344">
        <v>9857</v>
      </c>
      <c r="D169" s="343" t="s">
        <v>537</v>
      </c>
      <c r="E169" s="344">
        <v>5796098</v>
      </c>
      <c r="F169" s="343" t="s">
        <v>540</v>
      </c>
      <c r="G169" s="360" t="s">
        <v>541</v>
      </c>
      <c r="H169" s="361">
        <v>42818</v>
      </c>
      <c r="I169" s="343" t="s">
        <v>193</v>
      </c>
      <c r="J169" s="343" t="s">
        <v>194</v>
      </c>
      <c r="K169" s="343" t="s">
        <v>168</v>
      </c>
    </row>
    <row r="170" spans="1:11" ht="26.25" customHeight="1">
      <c r="A170" s="343" t="s">
        <v>161</v>
      </c>
      <c r="B170" s="344" t="s">
        <v>162</v>
      </c>
      <c r="C170" s="344">
        <v>9384</v>
      </c>
      <c r="D170" s="343" t="s">
        <v>957</v>
      </c>
      <c r="E170" s="344">
        <v>5521865</v>
      </c>
      <c r="F170" s="343" t="s">
        <v>964</v>
      </c>
      <c r="G170" s="360" t="s">
        <v>965</v>
      </c>
      <c r="H170" s="361">
        <v>42818</v>
      </c>
      <c r="I170" s="343" t="s">
        <v>193</v>
      </c>
      <c r="J170" s="343" t="s">
        <v>966</v>
      </c>
      <c r="K170" s="343" t="s">
        <v>168</v>
      </c>
    </row>
    <row r="171" spans="1:11" ht="26.25" customHeight="1">
      <c r="A171" s="343" t="s">
        <v>161</v>
      </c>
      <c r="B171" s="344" t="s">
        <v>162</v>
      </c>
      <c r="C171" s="344">
        <v>6587</v>
      </c>
      <c r="D171" s="343" t="s">
        <v>1336</v>
      </c>
      <c r="E171" s="344">
        <v>6294174</v>
      </c>
      <c r="F171" s="343" t="s">
        <v>1347</v>
      </c>
      <c r="G171" s="360" t="s">
        <v>1348</v>
      </c>
      <c r="H171" s="361">
        <v>42816</v>
      </c>
      <c r="I171" s="343" t="s">
        <v>219</v>
      </c>
      <c r="J171" s="343" t="s">
        <v>220</v>
      </c>
      <c r="K171" s="343" t="s">
        <v>173</v>
      </c>
    </row>
    <row r="172" spans="1:11" ht="26.25" customHeight="1">
      <c r="A172" s="343" t="s">
        <v>161</v>
      </c>
      <c r="B172" s="344" t="s">
        <v>162</v>
      </c>
      <c r="C172" s="344">
        <v>11099</v>
      </c>
      <c r="D172" s="343" t="s">
        <v>574</v>
      </c>
      <c r="E172" s="344">
        <v>4929115</v>
      </c>
      <c r="F172" s="343" t="s">
        <v>583</v>
      </c>
      <c r="G172" s="360" t="s">
        <v>584</v>
      </c>
      <c r="H172" s="361">
        <v>42816</v>
      </c>
      <c r="I172" s="343" t="s">
        <v>275</v>
      </c>
      <c r="J172" s="343" t="s">
        <v>585</v>
      </c>
      <c r="K172" s="343" t="s">
        <v>173</v>
      </c>
    </row>
    <row r="173" spans="1:11" ht="26.25" customHeight="1">
      <c r="A173" s="343" t="s">
        <v>161</v>
      </c>
      <c r="B173" s="344" t="s">
        <v>162</v>
      </c>
      <c r="C173" s="344">
        <v>6583</v>
      </c>
      <c r="D173" s="343" t="s">
        <v>1110</v>
      </c>
      <c r="E173" s="344">
        <v>5723473</v>
      </c>
      <c r="F173" s="343" t="s">
        <v>1111</v>
      </c>
      <c r="G173" s="360" t="s">
        <v>1112</v>
      </c>
      <c r="H173" s="361">
        <v>42816</v>
      </c>
      <c r="I173" s="343" t="s">
        <v>301</v>
      </c>
      <c r="J173" s="343" t="s">
        <v>1113</v>
      </c>
      <c r="K173" s="343" t="s">
        <v>168</v>
      </c>
    </row>
    <row r="174" spans="1:11" ht="26.25" customHeight="1">
      <c r="A174" s="343" t="s">
        <v>161</v>
      </c>
      <c r="B174" s="344" t="s">
        <v>162</v>
      </c>
      <c r="C174" s="344">
        <v>7441</v>
      </c>
      <c r="D174" s="343" t="s">
        <v>281</v>
      </c>
      <c r="E174" s="344">
        <v>6599179</v>
      </c>
      <c r="F174" s="343" t="s">
        <v>285</v>
      </c>
      <c r="G174" s="360" t="s">
        <v>286</v>
      </c>
      <c r="H174" s="361">
        <v>42816</v>
      </c>
      <c r="I174" s="343" t="s">
        <v>287</v>
      </c>
      <c r="J174" s="343" t="s">
        <v>288</v>
      </c>
      <c r="K174" s="343" t="s">
        <v>168</v>
      </c>
    </row>
    <row r="175" spans="1:11" ht="26.25" customHeight="1">
      <c r="A175" s="343" t="s">
        <v>161</v>
      </c>
      <c r="B175" s="344" t="s">
        <v>162</v>
      </c>
      <c r="C175" s="344">
        <v>12071</v>
      </c>
      <c r="D175" s="343" t="s">
        <v>721</v>
      </c>
      <c r="E175" s="344">
        <v>5106515</v>
      </c>
      <c r="F175" s="343" t="s">
        <v>727</v>
      </c>
      <c r="G175" s="360" t="s">
        <v>728</v>
      </c>
      <c r="H175" s="361">
        <v>42815</v>
      </c>
      <c r="I175" s="343" t="s">
        <v>193</v>
      </c>
      <c r="J175" s="343" t="s">
        <v>194</v>
      </c>
      <c r="K175" s="343" t="s">
        <v>168</v>
      </c>
    </row>
    <row r="176" spans="1:11" ht="26.25" customHeight="1">
      <c r="A176" s="343" t="s">
        <v>161</v>
      </c>
      <c r="B176" s="344" t="s">
        <v>162</v>
      </c>
      <c r="C176" s="344">
        <v>12069</v>
      </c>
      <c r="D176" s="343" t="s">
        <v>617</v>
      </c>
      <c r="E176" s="344">
        <v>5891611</v>
      </c>
      <c r="F176" s="343" t="s">
        <v>622</v>
      </c>
      <c r="G176" s="360" t="s">
        <v>623</v>
      </c>
      <c r="H176" s="361">
        <v>42836</v>
      </c>
      <c r="I176" s="343" t="s">
        <v>366</v>
      </c>
      <c r="J176" s="343" t="s">
        <v>624</v>
      </c>
      <c r="K176" s="343" t="s">
        <v>168</v>
      </c>
    </row>
    <row r="177" spans="1:11" ht="26.25" customHeight="1">
      <c r="A177" s="343" t="s">
        <v>161</v>
      </c>
      <c r="B177" s="344" t="s">
        <v>162</v>
      </c>
      <c r="C177" s="344">
        <v>6588</v>
      </c>
      <c r="D177" s="343" t="s">
        <v>1396</v>
      </c>
      <c r="E177" s="344">
        <v>5977801</v>
      </c>
      <c r="F177" s="343" t="s">
        <v>1401</v>
      </c>
      <c r="G177" s="360" t="s">
        <v>1402</v>
      </c>
      <c r="H177" s="361">
        <v>42843</v>
      </c>
      <c r="I177" s="343" t="s">
        <v>1403</v>
      </c>
      <c r="J177" s="343" t="s">
        <v>1404</v>
      </c>
      <c r="K177" s="343" t="s">
        <v>168</v>
      </c>
    </row>
    <row r="178" spans="1:11" ht="26.25" customHeight="1">
      <c r="A178" s="343" t="s">
        <v>161</v>
      </c>
      <c r="B178" s="344" t="s">
        <v>162</v>
      </c>
      <c r="C178" s="344">
        <v>9195</v>
      </c>
      <c r="D178" s="343" t="s">
        <v>1257</v>
      </c>
      <c r="E178" s="344">
        <v>5895959</v>
      </c>
      <c r="F178" s="343" t="s">
        <v>1261</v>
      </c>
      <c r="G178" s="360" t="s">
        <v>1262</v>
      </c>
      <c r="H178" s="361">
        <v>42843</v>
      </c>
      <c r="I178" s="343" t="s">
        <v>1263</v>
      </c>
      <c r="J178" s="343" t="s">
        <v>1264</v>
      </c>
      <c r="K178" s="343" t="s">
        <v>173</v>
      </c>
    </row>
    <row r="179" spans="1:11" ht="26.25" customHeight="1">
      <c r="A179" s="343" t="s">
        <v>161</v>
      </c>
      <c r="B179" s="344" t="s">
        <v>162</v>
      </c>
      <c r="C179" s="344">
        <v>9478</v>
      </c>
      <c r="D179" s="343" t="s">
        <v>1069</v>
      </c>
      <c r="E179" s="344">
        <v>5954859</v>
      </c>
      <c r="F179" s="343" t="s">
        <v>1078</v>
      </c>
      <c r="G179" s="360" t="s">
        <v>1079</v>
      </c>
      <c r="H179" s="361">
        <v>42842</v>
      </c>
      <c r="I179" s="343" t="s">
        <v>166</v>
      </c>
      <c r="J179" s="343" t="s">
        <v>327</v>
      </c>
      <c r="K179" s="343" t="s">
        <v>168</v>
      </c>
    </row>
    <row r="180" spans="1:11" ht="26.25" customHeight="1">
      <c r="A180" s="343" t="s">
        <v>161</v>
      </c>
      <c r="B180" s="344" t="s">
        <v>162</v>
      </c>
      <c r="C180" s="344">
        <v>6582</v>
      </c>
      <c r="D180" s="343" t="s">
        <v>1143</v>
      </c>
      <c r="E180" s="344">
        <v>6306095</v>
      </c>
      <c r="F180" s="343" t="s">
        <v>1146</v>
      </c>
      <c r="G180" s="360" t="s">
        <v>1147</v>
      </c>
      <c r="H180" s="361">
        <v>42844</v>
      </c>
      <c r="I180" s="343" t="s">
        <v>275</v>
      </c>
      <c r="J180" s="343" t="s">
        <v>1148</v>
      </c>
      <c r="K180" s="343" t="s">
        <v>173</v>
      </c>
    </row>
    <row r="181" spans="1:11" ht="26.25" customHeight="1">
      <c r="A181" s="343" t="s">
        <v>161</v>
      </c>
      <c r="B181" s="344" t="s">
        <v>162</v>
      </c>
      <c r="C181" s="344">
        <v>9856</v>
      </c>
      <c r="D181" s="343" t="s">
        <v>641</v>
      </c>
      <c r="E181" s="344">
        <v>5777945</v>
      </c>
      <c r="F181" s="343" t="s">
        <v>660</v>
      </c>
      <c r="G181" s="360" t="s">
        <v>661</v>
      </c>
      <c r="H181" s="361">
        <v>42850</v>
      </c>
      <c r="I181" s="343" t="s">
        <v>662</v>
      </c>
      <c r="J181" s="343" t="s">
        <v>663</v>
      </c>
      <c r="K181" s="343" t="s">
        <v>248</v>
      </c>
    </row>
    <row r="182" spans="1:11" ht="26.25" customHeight="1">
      <c r="A182" s="343" t="s">
        <v>161</v>
      </c>
      <c r="B182" s="344" t="s">
        <v>162</v>
      </c>
      <c r="C182" s="344">
        <v>8448</v>
      </c>
      <c r="D182" s="343" t="s">
        <v>240</v>
      </c>
      <c r="E182" s="344">
        <v>6694894</v>
      </c>
      <c r="F182" s="343" t="s">
        <v>244</v>
      </c>
      <c r="G182" s="360" t="s">
        <v>245</v>
      </c>
      <c r="H182" s="361">
        <v>42850</v>
      </c>
      <c r="I182" s="343" t="s">
        <v>246</v>
      </c>
      <c r="J182" s="343" t="s">
        <v>247</v>
      </c>
      <c r="K182" s="343" t="s">
        <v>248</v>
      </c>
    </row>
    <row r="183" spans="1:11" ht="26.25" customHeight="1">
      <c r="A183" s="343" t="s">
        <v>161</v>
      </c>
      <c r="B183" s="344" t="s">
        <v>162</v>
      </c>
      <c r="C183" s="344">
        <v>9478</v>
      </c>
      <c r="D183" s="343" t="s">
        <v>1069</v>
      </c>
      <c r="E183" s="344">
        <v>6734463</v>
      </c>
      <c r="F183" s="343" t="s">
        <v>1087</v>
      </c>
      <c r="G183" s="360" t="s">
        <v>1088</v>
      </c>
      <c r="H183" s="361">
        <v>42850</v>
      </c>
      <c r="I183" s="343" t="s">
        <v>193</v>
      </c>
      <c r="J183" s="343" t="s">
        <v>1089</v>
      </c>
      <c r="K183" s="343" t="s">
        <v>168</v>
      </c>
    </row>
    <row r="184" spans="1:11" ht="26.25" customHeight="1">
      <c r="A184" s="343" t="s">
        <v>161</v>
      </c>
      <c r="B184" s="344" t="s">
        <v>162</v>
      </c>
      <c r="C184" s="344">
        <v>13517</v>
      </c>
      <c r="D184" s="343" t="s">
        <v>1119</v>
      </c>
      <c r="E184" s="344">
        <v>5847539</v>
      </c>
      <c r="F184" s="343" t="s">
        <v>1128</v>
      </c>
      <c r="G184" s="360" t="s">
        <v>1129</v>
      </c>
      <c r="H184" s="361">
        <v>42850</v>
      </c>
      <c r="I184" s="343" t="s">
        <v>1130</v>
      </c>
      <c r="J184" s="343" t="s">
        <v>1131</v>
      </c>
      <c r="K184" s="343" t="s">
        <v>248</v>
      </c>
    </row>
    <row r="185" spans="1:11" ht="26.25" customHeight="1">
      <c r="A185" s="343" t="s">
        <v>161</v>
      </c>
      <c r="B185" s="344" t="s">
        <v>162</v>
      </c>
      <c r="C185" s="344">
        <v>9857</v>
      </c>
      <c r="D185" s="343" t="s">
        <v>537</v>
      </c>
      <c r="E185" s="344">
        <v>5166232</v>
      </c>
      <c r="F185" s="343" t="s">
        <v>542</v>
      </c>
      <c r="G185" s="360" t="s">
        <v>543</v>
      </c>
      <c r="H185" s="361">
        <v>42884</v>
      </c>
      <c r="I185" s="343" t="s">
        <v>180</v>
      </c>
      <c r="J185" s="343" t="s">
        <v>544</v>
      </c>
      <c r="K185" s="343" t="s">
        <v>173</v>
      </c>
    </row>
    <row r="186" spans="1:11" ht="26.25" customHeight="1">
      <c r="A186" s="343" t="s">
        <v>161</v>
      </c>
      <c r="B186" s="344" t="s">
        <v>162</v>
      </c>
      <c r="C186" s="344">
        <v>11099</v>
      </c>
      <c r="D186" s="343" t="s">
        <v>574</v>
      </c>
      <c r="E186" s="344">
        <v>6100800</v>
      </c>
      <c r="F186" s="343" t="s">
        <v>578</v>
      </c>
      <c r="G186" s="360" t="s">
        <v>579</v>
      </c>
      <c r="H186" s="361">
        <v>42885</v>
      </c>
      <c r="I186" s="343" t="s">
        <v>580</v>
      </c>
      <c r="J186" s="343" t="s">
        <v>582</v>
      </c>
      <c r="K186" s="343" t="s">
        <v>248</v>
      </c>
    </row>
    <row r="187" spans="1:11" ht="26.25" customHeight="1">
      <c r="A187" s="343" t="s">
        <v>161</v>
      </c>
      <c r="B187" s="344" t="s">
        <v>162</v>
      </c>
      <c r="C187" s="344">
        <v>6593</v>
      </c>
      <c r="D187" s="343" t="s">
        <v>1096</v>
      </c>
      <c r="E187" s="344">
        <v>5922580</v>
      </c>
      <c r="F187" s="343" t="s">
        <v>1097</v>
      </c>
      <c r="G187" s="360" t="s">
        <v>1098</v>
      </c>
      <c r="H187" s="361">
        <v>42851</v>
      </c>
      <c r="I187" s="343" t="s">
        <v>198</v>
      </c>
      <c r="J187" s="343" t="s">
        <v>198</v>
      </c>
      <c r="K187" s="343" t="s">
        <v>168</v>
      </c>
    </row>
    <row r="188" spans="1:11" ht="26.25" customHeight="1">
      <c r="A188" s="343" t="s">
        <v>161</v>
      </c>
      <c r="B188" s="344" t="s">
        <v>162</v>
      </c>
      <c r="C188" s="344">
        <v>9856</v>
      </c>
      <c r="D188" s="343" t="s">
        <v>641</v>
      </c>
      <c r="E188" s="344">
        <v>5772381</v>
      </c>
      <c r="F188" s="343" t="s">
        <v>654</v>
      </c>
      <c r="G188" s="360" t="s">
        <v>655</v>
      </c>
      <c r="H188" s="361">
        <v>42857</v>
      </c>
      <c r="I188" s="343" t="s">
        <v>219</v>
      </c>
      <c r="J188" s="343" t="s">
        <v>220</v>
      </c>
      <c r="K188" s="343" t="s">
        <v>173</v>
      </c>
    </row>
    <row r="189" spans="1:11" ht="26.25" customHeight="1">
      <c r="A189" s="343" t="s">
        <v>161</v>
      </c>
      <c r="B189" s="344" t="s">
        <v>162</v>
      </c>
      <c r="C189" s="344">
        <v>12069</v>
      </c>
      <c r="D189" s="343" t="s">
        <v>617</v>
      </c>
      <c r="E189" s="344">
        <v>6683913</v>
      </c>
      <c r="F189" s="343" t="s">
        <v>630</v>
      </c>
      <c r="G189" s="360" t="s">
        <v>309</v>
      </c>
      <c r="H189" s="361">
        <v>42860</v>
      </c>
      <c r="I189" s="343" t="s">
        <v>261</v>
      </c>
      <c r="J189" s="343" t="s">
        <v>631</v>
      </c>
      <c r="K189" s="343" t="s">
        <v>168</v>
      </c>
    </row>
    <row r="190" spans="1:11" ht="26.25" customHeight="1">
      <c r="A190" s="343" t="s">
        <v>161</v>
      </c>
      <c r="B190" s="344" t="s">
        <v>162</v>
      </c>
      <c r="C190" s="344">
        <v>6594</v>
      </c>
      <c r="D190" s="343" t="s">
        <v>1273</v>
      </c>
      <c r="E190" s="344">
        <v>5887807</v>
      </c>
      <c r="F190" s="343" t="s">
        <v>1282</v>
      </c>
      <c r="G190" s="360" t="s">
        <v>1283</v>
      </c>
      <c r="H190" s="361">
        <v>42858</v>
      </c>
      <c r="I190" s="343" t="s">
        <v>198</v>
      </c>
      <c r="J190" s="343" t="s">
        <v>198</v>
      </c>
      <c r="K190" s="343" t="s">
        <v>168</v>
      </c>
    </row>
    <row r="191" spans="1:11" ht="26.25" customHeight="1">
      <c r="A191" s="343" t="s">
        <v>161</v>
      </c>
      <c r="B191" s="344" t="s">
        <v>162</v>
      </c>
      <c r="C191" s="344">
        <v>6594</v>
      </c>
      <c r="D191" s="343" t="s">
        <v>1273</v>
      </c>
      <c r="E191" s="344">
        <v>6350256</v>
      </c>
      <c r="F191" s="343" t="s">
        <v>1276</v>
      </c>
      <c r="G191" s="360" t="s">
        <v>1277</v>
      </c>
      <c r="H191" s="361">
        <v>42858</v>
      </c>
      <c r="I191" s="343" t="s">
        <v>301</v>
      </c>
      <c r="J191" s="343" t="s">
        <v>1113</v>
      </c>
      <c r="K191" s="343" t="s">
        <v>168</v>
      </c>
    </row>
    <row r="192" spans="1:11" ht="26.25" customHeight="1">
      <c r="A192" s="343" t="s">
        <v>161</v>
      </c>
      <c r="B192" s="344" t="s">
        <v>162</v>
      </c>
      <c r="C192" s="344">
        <v>9195</v>
      </c>
      <c r="D192" s="343" t="s">
        <v>1257</v>
      </c>
      <c r="E192" s="344">
        <v>6174411</v>
      </c>
      <c r="F192" s="343" t="s">
        <v>1267</v>
      </c>
      <c r="G192" s="360" t="s">
        <v>1268</v>
      </c>
      <c r="H192" s="361">
        <v>42858</v>
      </c>
      <c r="I192" s="343" t="s">
        <v>1269</v>
      </c>
      <c r="J192" s="343" t="s">
        <v>1270</v>
      </c>
      <c r="K192" s="343" t="s">
        <v>168</v>
      </c>
    </row>
    <row r="193" spans="1:11" ht="26.25" customHeight="1">
      <c r="A193" s="343" t="s">
        <v>161</v>
      </c>
      <c r="B193" s="344" t="s">
        <v>162</v>
      </c>
      <c r="C193" s="344">
        <v>6585</v>
      </c>
      <c r="D193" s="343" t="s">
        <v>1177</v>
      </c>
      <c r="E193" s="344">
        <v>6815155</v>
      </c>
      <c r="F193" s="343" t="s">
        <v>1184</v>
      </c>
      <c r="G193" s="360" t="s">
        <v>1185</v>
      </c>
      <c r="H193" s="361">
        <v>42864</v>
      </c>
      <c r="I193" s="343" t="s">
        <v>1186</v>
      </c>
      <c r="J193" s="343" t="s">
        <v>1187</v>
      </c>
      <c r="K193" s="343" t="s">
        <v>248</v>
      </c>
    </row>
    <row r="194" spans="1:11" ht="26.25" customHeight="1">
      <c r="A194" s="343" t="s">
        <v>161</v>
      </c>
      <c r="B194" s="344" t="s">
        <v>162</v>
      </c>
      <c r="C194" s="344">
        <v>13372</v>
      </c>
      <c r="D194" s="343" t="s">
        <v>1202</v>
      </c>
      <c r="E194" s="344">
        <v>5945677</v>
      </c>
      <c r="F194" s="343" t="s">
        <v>1203</v>
      </c>
      <c r="G194" s="360" t="s">
        <v>1204</v>
      </c>
      <c r="H194" s="361">
        <v>42864</v>
      </c>
      <c r="I194" s="343" t="s">
        <v>1205</v>
      </c>
      <c r="J194" s="343" t="s">
        <v>1205</v>
      </c>
      <c r="K194" s="343" t="s">
        <v>173</v>
      </c>
    </row>
    <row r="195" spans="1:11" ht="26.25" customHeight="1">
      <c r="A195" s="343" t="s">
        <v>161</v>
      </c>
      <c r="B195" s="344" t="s">
        <v>162</v>
      </c>
      <c r="C195" s="344">
        <v>8482</v>
      </c>
      <c r="D195" s="343" t="s">
        <v>1036</v>
      </c>
      <c r="E195" s="344">
        <v>5127101</v>
      </c>
      <c r="F195" s="343" t="s">
        <v>1040</v>
      </c>
      <c r="G195" s="360" t="s">
        <v>1041</v>
      </c>
      <c r="H195" s="361">
        <v>42865</v>
      </c>
      <c r="I195" s="343" t="s">
        <v>366</v>
      </c>
      <c r="J195" s="343" t="s">
        <v>366</v>
      </c>
      <c r="K195" s="343" t="s">
        <v>168</v>
      </c>
    </row>
    <row r="196" spans="1:11" ht="26.25" customHeight="1">
      <c r="A196" s="343" t="s">
        <v>161</v>
      </c>
      <c r="B196" s="344" t="s">
        <v>162</v>
      </c>
      <c r="C196" s="344">
        <v>8482</v>
      </c>
      <c r="D196" s="343" t="s">
        <v>1036</v>
      </c>
      <c r="E196" s="344">
        <v>5582907</v>
      </c>
      <c r="F196" s="343" t="s">
        <v>1045</v>
      </c>
      <c r="G196" s="360" t="s">
        <v>1046</v>
      </c>
      <c r="H196" s="361">
        <v>42865</v>
      </c>
      <c r="I196" s="343" t="s">
        <v>366</v>
      </c>
      <c r="J196" s="343" t="s">
        <v>366</v>
      </c>
      <c r="K196" s="343" t="s">
        <v>168</v>
      </c>
    </row>
    <row r="197" spans="1:11" ht="26.25" customHeight="1">
      <c r="A197" s="343" t="s">
        <v>161</v>
      </c>
      <c r="B197" s="344" t="s">
        <v>162</v>
      </c>
      <c r="C197" s="344">
        <v>6593</v>
      </c>
      <c r="D197" s="343" t="s">
        <v>1096</v>
      </c>
      <c r="E197" s="344">
        <v>6284472</v>
      </c>
      <c r="F197" s="343" t="s">
        <v>1103</v>
      </c>
      <c r="G197" s="360" t="s">
        <v>1104</v>
      </c>
      <c r="H197" s="361">
        <v>42865</v>
      </c>
      <c r="I197" s="343" t="s">
        <v>1082</v>
      </c>
      <c r="J197" s="343" t="s">
        <v>1105</v>
      </c>
      <c r="K197" s="343" t="s">
        <v>173</v>
      </c>
    </row>
    <row r="198" spans="1:11" ht="26.25" customHeight="1">
      <c r="A198" s="343" t="s">
        <v>161</v>
      </c>
      <c r="B198" s="344" t="s">
        <v>162</v>
      </c>
      <c r="C198" s="344">
        <v>13378</v>
      </c>
      <c r="D198" s="343" t="s">
        <v>1212</v>
      </c>
      <c r="E198" s="344">
        <v>6021717</v>
      </c>
      <c r="F198" s="343" t="s">
        <v>1238</v>
      </c>
      <c r="G198" s="360" t="s">
        <v>1239</v>
      </c>
      <c r="H198" s="361">
        <v>42870</v>
      </c>
      <c r="I198" s="343" t="s">
        <v>366</v>
      </c>
      <c r="J198" s="343" t="s">
        <v>366</v>
      </c>
      <c r="K198" s="343" t="s">
        <v>168</v>
      </c>
    </row>
    <row r="199" spans="1:11" ht="26.25" customHeight="1">
      <c r="A199" s="343" t="s">
        <v>161</v>
      </c>
      <c r="B199" s="344" t="s">
        <v>162</v>
      </c>
      <c r="C199" s="344">
        <v>13378</v>
      </c>
      <c r="D199" s="343" t="s">
        <v>1212</v>
      </c>
      <c r="E199" s="344">
        <v>5744707</v>
      </c>
      <c r="F199" s="343" t="s">
        <v>1225</v>
      </c>
      <c r="G199" s="360" t="s">
        <v>1226</v>
      </c>
      <c r="H199" s="361">
        <v>42873</v>
      </c>
      <c r="I199" s="343" t="s">
        <v>784</v>
      </c>
      <c r="J199" s="343" t="s">
        <v>873</v>
      </c>
      <c r="K199" s="343" t="s">
        <v>173</v>
      </c>
    </row>
    <row r="200" spans="1:11" ht="26.25" customHeight="1">
      <c r="A200" s="343" t="s">
        <v>161</v>
      </c>
      <c r="B200" s="344" t="s">
        <v>162</v>
      </c>
      <c r="C200" s="344">
        <v>13517</v>
      </c>
      <c r="D200" s="343" t="s">
        <v>1119</v>
      </c>
      <c r="E200" s="344">
        <v>6797684</v>
      </c>
      <c r="F200" s="343" t="s">
        <v>1132</v>
      </c>
      <c r="G200" s="360" t="s">
        <v>1133</v>
      </c>
      <c r="H200" s="361">
        <v>42874</v>
      </c>
      <c r="I200" s="343" t="s">
        <v>193</v>
      </c>
      <c r="J200" s="343" t="s">
        <v>194</v>
      </c>
      <c r="K200" s="343" t="s">
        <v>168</v>
      </c>
    </row>
    <row r="201" spans="1:11" ht="26.25" customHeight="1">
      <c r="A201" s="343" t="s">
        <v>161</v>
      </c>
      <c r="B201" s="344" t="s">
        <v>162</v>
      </c>
      <c r="C201" s="344">
        <v>6933</v>
      </c>
      <c r="D201" s="343" t="s">
        <v>933</v>
      </c>
      <c r="E201" s="344">
        <v>4396611</v>
      </c>
      <c r="F201" s="343" t="s">
        <v>937</v>
      </c>
      <c r="G201" s="360" t="s">
        <v>938</v>
      </c>
      <c r="H201" s="361">
        <v>42877</v>
      </c>
      <c r="I201" s="343" t="s">
        <v>939</v>
      </c>
      <c r="J201" s="343" t="s">
        <v>940</v>
      </c>
      <c r="K201" s="343" t="s">
        <v>168</v>
      </c>
    </row>
    <row r="202" spans="1:11" ht="26.25" customHeight="1">
      <c r="A202" s="343" t="s">
        <v>161</v>
      </c>
      <c r="B202" s="344" t="s">
        <v>162</v>
      </c>
      <c r="C202" s="344">
        <v>9903</v>
      </c>
      <c r="D202" s="343" t="s">
        <v>597</v>
      </c>
      <c r="E202" s="344">
        <v>6158041</v>
      </c>
      <c r="F202" s="343" t="s">
        <v>613</v>
      </c>
      <c r="G202" s="360" t="s">
        <v>614</v>
      </c>
      <c r="H202" s="361">
        <v>42879</v>
      </c>
      <c r="I202" s="343" t="s">
        <v>615</v>
      </c>
      <c r="J202" s="343" t="s">
        <v>616</v>
      </c>
      <c r="K202" s="343" t="s">
        <v>248</v>
      </c>
    </row>
    <row r="203" spans="1:11" ht="26.25" customHeight="1">
      <c r="A203" s="343" t="s">
        <v>161</v>
      </c>
      <c r="B203" s="344" t="s">
        <v>162</v>
      </c>
      <c r="C203" s="344">
        <v>8823</v>
      </c>
      <c r="D203" s="343" t="s">
        <v>993</v>
      </c>
      <c r="E203" s="344">
        <v>6769882</v>
      </c>
      <c r="F203" s="343" t="s">
        <v>1014</v>
      </c>
      <c r="G203" s="360" t="s">
        <v>1015</v>
      </c>
      <c r="H203" s="361">
        <v>42884</v>
      </c>
      <c r="I203" s="343" t="s">
        <v>1016</v>
      </c>
      <c r="J203" s="343" t="s">
        <v>1016</v>
      </c>
      <c r="K203" s="343" t="s">
        <v>173</v>
      </c>
    </row>
    <row r="204" spans="1:11" ht="26.25" customHeight="1">
      <c r="A204" s="343" t="s">
        <v>161</v>
      </c>
      <c r="B204" s="344" t="s">
        <v>162</v>
      </c>
      <c r="C204" s="344">
        <v>12070</v>
      </c>
      <c r="D204" s="343" t="s">
        <v>462</v>
      </c>
      <c r="E204" s="344">
        <v>6573588</v>
      </c>
      <c r="F204" s="343" t="s">
        <v>3576</v>
      </c>
      <c r="G204" s="360" t="s">
        <v>9359</v>
      </c>
      <c r="H204" s="361">
        <v>42913</v>
      </c>
      <c r="I204" s="343" t="s">
        <v>166</v>
      </c>
      <c r="J204" s="343" t="s">
        <v>296</v>
      </c>
      <c r="K204" s="343" t="s">
        <v>168</v>
      </c>
    </row>
    <row r="205" spans="1:11" ht="26.25" customHeight="1">
      <c r="A205" s="343" t="s">
        <v>161</v>
      </c>
      <c r="B205" s="344" t="s">
        <v>162</v>
      </c>
      <c r="C205" s="344">
        <v>7443</v>
      </c>
      <c r="D205" s="343" t="s">
        <v>394</v>
      </c>
      <c r="E205" s="344">
        <v>6330258</v>
      </c>
      <c r="F205" s="343" t="s">
        <v>3570</v>
      </c>
      <c r="G205" s="360" t="s">
        <v>298</v>
      </c>
      <c r="H205" s="361">
        <v>42916</v>
      </c>
      <c r="I205" s="343" t="s">
        <v>3571</v>
      </c>
      <c r="J205" s="343" t="s">
        <v>9360</v>
      </c>
      <c r="K205" s="343" t="s">
        <v>168</v>
      </c>
    </row>
    <row r="206" spans="1:11" ht="26.25" customHeight="1">
      <c r="A206" s="343" t="s">
        <v>161</v>
      </c>
      <c r="B206" s="344" t="s">
        <v>162</v>
      </c>
      <c r="C206" s="344">
        <v>12070</v>
      </c>
      <c r="D206" s="343" t="s">
        <v>462</v>
      </c>
      <c r="E206" s="344">
        <v>6721089</v>
      </c>
      <c r="F206" s="343" t="s">
        <v>3574</v>
      </c>
      <c r="G206" s="360" t="s">
        <v>9361</v>
      </c>
      <c r="H206" s="361">
        <v>42916</v>
      </c>
      <c r="I206" s="343" t="s">
        <v>3575</v>
      </c>
      <c r="J206" s="343" t="s">
        <v>9362</v>
      </c>
      <c r="K206" s="343" t="s">
        <v>168</v>
      </c>
    </row>
    <row r="207" spans="1:11" ht="26.25" customHeight="1">
      <c r="A207" s="343" t="s">
        <v>161</v>
      </c>
      <c r="B207" s="344" t="s">
        <v>162</v>
      </c>
      <c r="C207" s="344">
        <v>9913</v>
      </c>
      <c r="D207" s="343" t="s">
        <v>556</v>
      </c>
      <c r="E207" s="344">
        <v>4035963</v>
      </c>
      <c r="F207" s="343" t="s">
        <v>560</v>
      </c>
      <c r="G207" s="360" t="s">
        <v>561</v>
      </c>
      <c r="H207" s="361">
        <v>42916</v>
      </c>
      <c r="I207" s="343" t="s">
        <v>562</v>
      </c>
      <c r="J207" s="343" t="s">
        <v>562</v>
      </c>
      <c r="K207" s="343" t="s">
        <v>168</v>
      </c>
    </row>
    <row r="208" spans="1:11" ht="26.25" customHeight="1">
      <c r="A208" s="343" t="s">
        <v>161</v>
      </c>
      <c r="B208" s="344" t="s">
        <v>162</v>
      </c>
      <c r="C208" s="344">
        <v>13517</v>
      </c>
      <c r="D208" s="343" t="s">
        <v>1119</v>
      </c>
      <c r="E208" s="344">
        <v>5953335</v>
      </c>
      <c r="F208" s="343" t="s">
        <v>3595</v>
      </c>
      <c r="G208" s="360" t="s">
        <v>9363</v>
      </c>
      <c r="H208" s="361">
        <v>42916</v>
      </c>
      <c r="I208" s="343" t="s">
        <v>3596</v>
      </c>
      <c r="J208" s="343" t="s">
        <v>9364</v>
      </c>
      <c r="K208" s="343" t="s">
        <v>168</v>
      </c>
    </row>
    <row r="209" spans="1:11" ht="26.25" customHeight="1">
      <c r="A209" s="343" t="s">
        <v>161</v>
      </c>
      <c r="B209" s="344" t="s">
        <v>162</v>
      </c>
      <c r="C209" s="344">
        <v>12071</v>
      </c>
      <c r="D209" s="343" t="s">
        <v>721</v>
      </c>
      <c r="E209" s="344">
        <v>5529977</v>
      </c>
      <c r="F209" s="343" t="s">
        <v>3588</v>
      </c>
      <c r="G209" s="360" t="s">
        <v>9365</v>
      </c>
      <c r="H209" s="361">
        <v>42916</v>
      </c>
      <c r="I209" s="343" t="s">
        <v>198</v>
      </c>
      <c r="J209" s="343" t="s">
        <v>198</v>
      </c>
      <c r="K209" s="343" t="s">
        <v>168</v>
      </c>
    </row>
    <row r="210" spans="1:11" ht="26.25" customHeight="1">
      <c r="A210" s="343" t="s">
        <v>161</v>
      </c>
      <c r="B210" s="344" t="s">
        <v>162</v>
      </c>
      <c r="C210" s="344">
        <v>9592</v>
      </c>
      <c r="D210" s="343" t="s">
        <v>307</v>
      </c>
      <c r="E210" s="344">
        <v>6633729</v>
      </c>
      <c r="F210" s="343" t="s">
        <v>3568</v>
      </c>
      <c r="G210" s="360" t="s">
        <v>9366</v>
      </c>
      <c r="H210" s="361">
        <v>42916</v>
      </c>
      <c r="I210" s="343" t="s">
        <v>193</v>
      </c>
      <c r="J210" s="343" t="s">
        <v>472</v>
      </c>
      <c r="K210" s="343" t="s">
        <v>168</v>
      </c>
    </row>
    <row r="211" spans="1:11" ht="26.25" customHeight="1">
      <c r="A211" s="343" t="s">
        <v>161</v>
      </c>
      <c r="B211" s="344" t="s">
        <v>162</v>
      </c>
      <c r="C211" s="344">
        <v>6582</v>
      </c>
      <c r="D211" s="343" t="s">
        <v>1143</v>
      </c>
      <c r="E211" s="344">
        <v>5943658</v>
      </c>
      <c r="F211" s="343" t="s">
        <v>3597</v>
      </c>
      <c r="G211" s="360" t="s">
        <v>9367</v>
      </c>
      <c r="H211" s="361">
        <v>42916</v>
      </c>
      <c r="I211" s="343" t="s">
        <v>465</v>
      </c>
      <c r="J211" s="343" t="s">
        <v>1118</v>
      </c>
      <c r="K211" s="343" t="s">
        <v>168</v>
      </c>
    </row>
    <row r="212" spans="1:11" ht="26.25" customHeight="1">
      <c r="A212" s="343" t="s">
        <v>161</v>
      </c>
      <c r="B212" s="344" t="s">
        <v>162</v>
      </c>
      <c r="C212" s="344">
        <v>8849</v>
      </c>
      <c r="D212" s="343" t="s">
        <v>1049</v>
      </c>
      <c r="E212" s="344">
        <v>3908576</v>
      </c>
      <c r="F212" s="343" t="s">
        <v>3591</v>
      </c>
      <c r="G212" s="360" t="s">
        <v>9368</v>
      </c>
      <c r="H212" s="361">
        <v>42916</v>
      </c>
      <c r="I212" s="343" t="s">
        <v>305</v>
      </c>
      <c r="J212" s="343" t="s">
        <v>305</v>
      </c>
      <c r="K212" s="343" t="s">
        <v>173</v>
      </c>
    </row>
    <row r="213" spans="1:11" ht="26.25" customHeight="1">
      <c r="A213" s="343" t="s">
        <v>161</v>
      </c>
      <c r="B213" s="344" t="s">
        <v>162</v>
      </c>
      <c r="C213" s="344">
        <v>9427</v>
      </c>
      <c r="D213" s="343" t="s">
        <v>1296</v>
      </c>
      <c r="E213" s="344">
        <v>6109406</v>
      </c>
      <c r="F213" s="343" t="s">
        <v>3604</v>
      </c>
      <c r="G213" s="360" t="s">
        <v>1220</v>
      </c>
      <c r="H213" s="361">
        <v>42916</v>
      </c>
      <c r="I213" s="343" t="s">
        <v>1038</v>
      </c>
      <c r="J213" s="343" t="s">
        <v>9369</v>
      </c>
      <c r="K213" s="343" t="s">
        <v>168</v>
      </c>
    </row>
    <row r="214" spans="1:11" ht="26.25" customHeight="1">
      <c r="A214" s="343" t="s">
        <v>161</v>
      </c>
      <c r="B214" s="344" t="s">
        <v>162</v>
      </c>
      <c r="C214" s="344">
        <v>13378</v>
      </c>
      <c r="D214" s="343" t="s">
        <v>1212</v>
      </c>
      <c r="E214" s="344">
        <v>6798409</v>
      </c>
      <c r="F214" s="343" t="s">
        <v>3599</v>
      </c>
      <c r="G214" s="360" t="s">
        <v>9370</v>
      </c>
      <c r="H214" s="361">
        <v>42916</v>
      </c>
      <c r="I214" s="343" t="s">
        <v>7278</v>
      </c>
      <c r="J214" s="343" t="s">
        <v>9371</v>
      </c>
      <c r="K214" s="343" t="s">
        <v>173</v>
      </c>
    </row>
    <row r="215" spans="1:11" ht="26.25" customHeight="1">
      <c r="A215" s="343" t="s">
        <v>161</v>
      </c>
      <c r="B215" s="344" t="s">
        <v>162</v>
      </c>
      <c r="C215" s="344">
        <v>6594</v>
      </c>
      <c r="D215" s="343" t="s">
        <v>1273</v>
      </c>
      <c r="E215" s="344">
        <v>6173594</v>
      </c>
      <c r="F215" s="343" t="s">
        <v>3602</v>
      </c>
      <c r="G215" s="360" t="s">
        <v>9372</v>
      </c>
      <c r="H215" s="361">
        <v>42916</v>
      </c>
      <c r="I215" s="343" t="s">
        <v>984</v>
      </c>
      <c r="J215" s="343" t="s">
        <v>9373</v>
      </c>
      <c r="K215" s="343" t="s">
        <v>168</v>
      </c>
    </row>
    <row r="216" spans="1:11" ht="26.25" customHeight="1">
      <c r="A216" s="343" t="s">
        <v>161</v>
      </c>
      <c r="B216" s="344" t="s">
        <v>162</v>
      </c>
      <c r="C216" s="344">
        <v>6593</v>
      </c>
      <c r="D216" s="343" t="s">
        <v>1096</v>
      </c>
      <c r="E216" s="344">
        <v>5989136</v>
      </c>
      <c r="F216" s="343" t="s">
        <v>3592</v>
      </c>
      <c r="G216" s="360" t="s">
        <v>9374</v>
      </c>
      <c r="H216" s="361">
        <v>42916</v>
      </c>
      <c r="I216" s="343" t="s">
        <v>198</v>
      </c>
      <c r="J216" s="343" t="s">
        <v>198</v>
      </c>
      <c r="K216" s="343" t="s">
        <v>168</v>
      </c>
    </row>
    <row r="217" spans="1:11" ht="26.25" customHeight="1">
      <c r="A217" s="343" t="s">
        <v>161</v>
      </c>
      <c r="B217" s="344" t="s">
        <v>162</v>
      </c>
      <c r="C217" s="344">
        <v>8482</v>
      </c>
      <c r="D217" s="343" t="s">
        <v>1036</v>
      </c>
      <c r="E217" s="344">
        <v>3914709</v>
      </c>
      <c r="F217" s="343" t="s">
        <v>3590</v>
      </c>
      <c r="G217" s="360" t="s">
        <v>9375</v>
      </c>
      <c r="H217" s="361">
        <v>42916</v>
      </c>
      <c r="I217" s="343" t="s">
        <v>709</v>
      </c>
      <c r="J217" s="343" t="s">
        <v>978</v>
      </c>
      <c r="K217" s="343" t="s">
        <v>173</v>
      </c>
    </row>
    <row r="218" spans="1:11" ht="26.25" customHeight="1">
      <c r="A218" s="343" t="s">
        <v>161</v>
      </c>
      <c r="B218" s="344" t="s">
        <v>162</v>
      </c>
      <c r="C218" s="344">
        <v>9910</v>
      </c>
      <c r="D218" s="343" t="s">
        <v>664</v>
      </c>
      <c r="E218" s="344">
        <v>6343364</v>
      </c>
      <c r="F218" s="343" t="s">
        <v>3584</v>
      </c>
      <c r="G218" s="360" t="s">
        <v>9376</v>
      </c>
      <c r="H218" s="361">
        <v>42916</v>
      </c>
      <c r="I218" s="343" t="s">
        <v>271</v>
      </c>
      <c r="J218" s="343" t="s">
        <v>333</v>
      </c>
      <c r="K218" s="343" t="s">
        <v>168</v>
      </c>
    </row>
    <row r="219" spans="1:11" ht="26.25" customHeight="1">
      <c r="A219" s="343" t="s">
        <v>161</v>
      </c>
      <c r="B219" s="344" t="s">
        <v>162</v>
      </c>
      <c r="C219" s="344">
        <v>12070</v>
      </c>
      <c r="D219" s="343" t="s">
        <v>462</v>
      </c>
      <c r="E219" s="344">
        <v>6548549</v>
      </c>
      <c r="F219" s="343" t="s">
        <v>3577</v>
      </c>
      <c r="G219" s="360" t="s">
        <v>9377</v>
      </c>
      <c r="H219" s="361">
        <v>42919</v>
      </c>
      <c r="I219" s="343" t="s">
        <v>193</v>
      </c>
      <c r="J219" s="343" t="s">
        <v>194</v>
      </c>
      <c r="K219" s="343" t="s">
        <v>168</v>
      </c>
    </row>
    <row r="220" spans="1:11" ht="26.25" customHeight="1">
      <c r="A220" s="343" t="s">
        <v>161</v>
      </c>
      <c r="B220" s="344" t="s">
        <v>162</v>
      </c>
      <c r="C220" s="344">
        <v>9916</v>
      </c>
      <c r="D220" s="343" t="s">
        <v>439</v>
      </c>
      <c r="E220" s="344">
        <v>6187006</v>
      </c>
      <c r="F220" s="343" t="s">
        <v>3573</v>
      </c>
      <c r="G220" s="360" t="s">
        <v>9378</v>
      </c>
      <c r="H220" s="361">
        <v>42919</v>
      </c>
      <c r="I220" s="343" t="s">
        <v>193</v>
      </c>
      <c r="J220" s="343" t="s">
        <v>194</v>
      </c>
      <c r="K220" s="343" t="s">
        <v>168</v>
      </c>
    </row>
    <row r="221" spans="1:11" ht="26.25" customHeight="1">
      <c r="A221" s="343" t="s">
        <v>161</v>
      </c>
      <c r="B221" s="344" t="s">
        <v>162</v>
      </c>
      <c r="C221" s="344">
        <v>13517</v>
      </c>
      <c r="D221" s="343" t="s">
        <v>1119</v>
      </c>
      <c r="E221" s="344">
        <v>6168772</v>
      </c>
      <c r="F221" s="343" t="s">
        <v>3594</v>
      </c>
      <c r="G221" s="360" t="s">
        <v>1091</v>
      </c>
      <c r="H221" s="361">
        <v>42920</v>
      </c>
      <c r="I221" s="343" t="s">
        <v>802</v>
      </c>
      <c r="J221" s="343" t="s">
        <v>1172</v>
      </c>
      <c r="K221" s="343" t="s">
        <v>168</v>
      </c>
    </row>
    <row r="222" spans="1:11" ht="26.25" customHeight="1">
      <c r="A222" s="343" t="s">
        <v>161</v>
      </c>
      <c r="B222" s="344" t="s">
        <v>162</v>
      </c>
      <c r="C222" s="344">
        <v>9744</v>
      </c>
      <c r="D222" s="343" t="s">
        <v>711</v>
      </c>
      <c r="E222" s="344">
        <v>4335694</v>
      </c>
      <c r="F222" s="343" t="s">
        <v>3585</v>
      </c>
      <c r="G222" s="360" t="s">
        <v>9379</v>
      </c>
      <c r="H222" s="361">
        <v>42920</v>
      </c>
      <c r="I222" s="343" t="s">
        <v>742</v>
      </c>
      <c r="J222" s="343" t="s">
        <v>742</v>
      </c>
      <c r="K222" s="343" t="s">
        <v>168</v>
      </c>
    </row>
    <row r="223" spans="1:11" ht="26.25" customHeight="1">
      <c r="A223" s="343" t="s">
        <v>161</v>
      </c>
      <c r="B223" s="344" t="s">
        <v>162</v>
      </c>
      <c r="C223" s="344">
        <v>11085</v>
      </c>
      <c r="D223" s="343" t="s">
        <v>520</v>
      </c>
      <c r="E223" s="344">
        <v>6260228</v>
      </c>
      <c r="F223" s="343" t="s">
        <v>3578</v>
      </c>
      <c r="G223" s="360" t="s">
        <v>9380</v>
      </c>
      <c r="H223" s="361">
        <v>42921</v>
      </c>
      <c r="I223" s="343" t="s">
        <v>3579</v>
      </c>
      <c r="J223" s="343" t="s">
        <v>9381</v>
      </c>
      <c r="K223" s="343" t="s">
        <v>173</v>
      </c>
    </row>
    <row r="224" spans="1:11" ht="26.25" customHeight="1">
      <c r="A224" s="343" t="s">
        <v>161</v>
      </c>
      <c r="B224" s="344" t="s">
        <v>162</v>
      </c>
      <c r="C224" s="344">
        <v>8823</v>
      </c>
      <c r="D224" s="343" t="s">
        <v>993</v>
      </c>
      <c r="E224" s="344">
        <v>5699428</v>
      </c>
      <c r="F224" s="343" t="s">
        <v>994</v>
      </c>
      <c r="G224" s="360" t="s">
        <v>995</v>
      </c>
      <c r="H224" s="361">
        <v>42926</v>
      </c>
      <c r="I224" s="343" t="s">
        <v>180</v>
      </c>
      <c r="J224" s="343" t="s">
        <v>9382</v>
      </c>
      <c r="K224" s="343" t="s">
        <v>168</v>
      </c>
    </row>
    <row r="225" spans="1:11" ht="26.25" customHeight="1">
      <c r="A225" s="343" t="s">
        <v>161</v>
      </c>
      <c r="B225" s="344" t="s">
        <v>162</v>
      </c>
      <c r="C225" s="344">
        <v>7453</v>
      </c>
      <c r="D225" s="343" t="s">
        <v>374</v>
      </c>
      <c r="E225" s="344">
        <v>6365881</v>
      </c>
      <c r="F225" s="343" t="s">
        <v>3569</v>
      </c>
      <c r="G225" s="360" t="s">
        <v>9383</v>
      </c>
      <c r="H225" s="361">
        <v>42926</v>
      </c>
      <c r="I225" s="343" t="s">
        <v>193</v>
      </c>
      <c r="J225" s="343" t="s">
        <v>637</v>
      </c>
      <c r="K225" s="343" t="s">
        <v>168</v>
      </c>
    </row>
    <row r="226" spans="1:11" ht="26.25" customHeight="1">
      <c r="A226" s="343" t="s">
        <v>161</v>
      </c>
      <c r="B226" s="344" t="s">
        <v>162</v>
      </c>
      <c r="C226" s="344">
        <v>9259</v>
      </c>
      <c r="D226" s="343" t="s">
        <v>944</v>
      </c>
      <c r="E226" s="344">
        <v>4592134</v>
      </c>
      <c r="F226" s="343" t="s">
        <v>3589</v>
      </c>
      <c r="G226" s="360" t="s">
        <v>9384</v>
      </c>
      <c r="H226" s="361">
        <v>42927</v>
      </c>
      <c r="I226" s="343" t="s">
        <v>709</v>
      </c>
      <c r="J226" s="343" t="s">
        <v>978</v>
      </c>
      <c r="K226" s="343" t="s">
        <v>173</v>
      </c>
    </row>
    <row r="227" spans="1:11" ht="26.25" customHeight="1">
      <c r="A227" s="343" t="s">
        <v>161</v>
      </c>
      <c r="B227" s="344" t="s">
        <v>162</v>
      </c>
      <c r="C227" s="344">
        <v>9476</v>
      </c>
      <c r="D227" s="343" t="s">
        <v>1349</v>
      </c>
      <c r="E227" s="344">
        <v>6497075</v>
      </c>
      <c r="F227" s="343" t="s">
        <v>3605</v>
      </c>
      <c r="G227" s="360" t="s">
        <v>489</v>
      </c>
      <c r="H227" s="361">
        <v>42929</v>
      </c>
      <c r="I227" s="343" t="s">
        <v>198</v>
      </c>
      <c r="J227" s="343" t="s">
        <v>198</v>
      </c>
      <c r="K227" s="343" t="s">
        <v>168</v>
      </c>
    </row>
    <row r="228" spans="1:11" ht="26.25" customHeight="1">
      <c r="A228" s="343" t="s">
        <v>161</v>
      </c>
      <c r="B228" s="344" t="s">
        <v>162</v>
      </c>
      <c r="C228" s="344">
        <v>9477</v>
      </c>
      <c r="D228" s="343" t="s">
        <v>1378</v>
      </c>
      <c r="E228" s="344">
        <v>6667734</v>
      </c>
      <c r="F228" s="343" t="s">
        <v>3607</v>
      </c>
      <c r="G228" s="360" t="s">
        <v>9385</v>
      </c>
      <c r="H228" s="361">
        <v>42940</v>
      </c>
      <c r="I228" s="343" t="s">
        <v>301</v>
      </c>
      <c r="J228" s="343" t="s">
        <v>1113</v>
      </c>
      <c r="K228" s="343" t="s">
        <v>168</v>
      </c>
    </row>
    <row r="229" spans="1:11" ht="26.25" customHeight="1">
      <c r="A229" s="343" t="s">
        <v>161</v>
      </c>
      <c r="B229" s="344" t="s">
        <v>162</v>
      </c>
      <c r="C229" s="344">
        <v>12071</v>
      </c>
      <c r="D229" s="343" t="s">
        <v>721</v>
      </c>
      <c r="E229" s="344">
        <v>3760718</v>
      </c>
      <c r="F229" s="343" t="s">
        <v>3586</v>
      </c>
      <c r="G229" s="360" t="s">
        <v>9386</v>
      </c>
      <c r="H229" s="361">
        <v>42941</v>
      </c>
      <c r="I229" s="343" t="s">
        <v>7274</v>
      </c>
      <c r="J229" s="343" t="s">
        <v>9387</v>
      </c>
      <c r="K229" s="343" t="s">
        <v>168</v>
      </c>
    </row>
    <row r="230" spans="1:11" ht="26.25" customHeight="1">
      <c r="A230" s="343" t="s">
        <v>161</v>
      </c>
      <c r="B230" s="344" t="s">
        <v>162</v>
      </c>
      <c r="C230" s="344">
        <v>13372</v>
      </c>
      <c r="D230" s="343" t="s">
        <v>1202</v>
      </c>
      <c r="E230" s="344">
        <v>6241474</v>
      </c>
      <c r="F230" s="343" t="s">
        <v>3598</v>
      </c>
      <c r="G230" s="360" t="s">
        <v>218</v>
      </c>
      <c r="H230" s="361">
        <v>42948</v>
      </c>
      <c r="I230" s="343" t="s">
        <v>211</v>
      </c>
      <c r="J230" s="343" t="s">
        <v>211</v>
      </c>
      <c r="K230" s="343" t="s">
        <v>168</v>
      </c>
    </row>
    <row r="231" spans="1:11" ht="26.25" customHeight="1">
      <c r="A231" s="343" t="s">
        <v>161</v>
      </c>
      <c r="B231" s="344" t="s">
        <v>162</v>
      </c>
      <c r="C231" s="344">
        <v>6586</v>
      </c>
      <c r="D231" s="343" t="s">
        <v>1460</v>
      </c>
      <c r="E231" s="344">
        <v>5942379</v>
      </c>
      <c r="F231" s="343" t="s">
        <v>3608</v>
      </c>
      <c r="G231" s="360" t="s">
        <v>499</v>
      </c>
      <c r="H231" s="361">
        <v>42951</v>
      </c>
      <c r="I231" s="343" t="s">
        <v>709</v>
      </c>
      <c r="J231" s="343" t="s">
        <v>9388</v>
      </c>
      <c r="K231" s="343" t="s">
        <v>168</v>
      </c>
    </row>
    <row r="232" spans="1:11" ht="26.25" customHeight="1">
      <c r="A232" s="343" t="s">
        <v>161</v>
      </c>
      <c r="B232" s="344" t="s">
        <v>162</v>
      </c>
      <c r="C232" s="344">
        <v>9910</v>
      </c>
      <c r="D232" s="343" t="s">
        <v>664</v>
      </c>
      <c r="E232" s="344">
        <v>5741070</v>
      </c>
      <c r="F232" s="343" t="s">
        <v>3582</v>
      </c>
      <c r="G232" s="360" t="s">
        <v>9389</v>
      </c>
      <c r="H232" s="361">
        <v>42956</v>
      </c>
      <c r="I232" s="343" t="s">
        <v>3583</v>
      </c>
      <c r="J232" s="343" t="s">
        <v>9390</v>
      </c>
      <c r="K232" s="343" t="s">
        <v>173</v>
      </c>
    </row>
    <row r="233" spans="1:11" ht="26.25" customHeight="1">
      <c r="A233" s="343" t="s">
        <v>161</v>
      </c>
      <c r="B233" s="344" t="s">
        <v>162</v>
      </c>
      <c r="C233" s="344">
        <v>9913</v>
      </c>
      <c r="D233" s="343" t="s">
        <v>556</v>
      </c>
      <c r="E233" s="344">
        <v>5081368</v>
      </c>
      <c r="F233" s="343" t="s">
        <v>3580</v>
      </c>
      <c r="G233" s="360" t="s">
        <v>9391</v>
      </c>
      <c r="H233" s="361">
        <v>42957</v>
      </c>
      <c r="I233" s="343" t="s">
        <v>366</v>
      </c>
      <c r="J233" s="343" t="s">
        <v>366</v>
      </c>
      <c r="K233" s="343" t="s">
        <v>168</v>
      </c>
    </row>
    <row r="234" spans="1:11" ht="26.25" customHeight="1">
      <c r="A234" s="343" t="s">
        <v>161</v>
      </c>
      <c r="B234" s="344" t="s">
        <v>162</v>
      </c>
      <c r="C234" s="344">
        <v>12070</v>
      </c>
      <c r="D234" s="343" t="s">
        <v>462</v>
      </c>
      <c r="E234" s="344">
        <v>6277502</v>
      </c>
      <c r="F234" s="343" t="s">
        <v>1241</v>
      </c>
      <c r="G234" s="360" t="s">
        <v>1129</v>
      </c>
      <c r="H234" s="361">
        <v>42961</v>
      </c>
      <c r="I234" s="343" t="s">
        <v>1242</v>
      </c>
      <c r="J234" s="343" t="s">
        <v>1243</v>
      </c>
      <c r="K234" s="343" t="s">
        <v>168</v>
      </c>
    </row>
    <row r="235" spans="1:11" ht="26.25" customHeight="1">
      <c r="A235" s="343" t="s">
        <v>161</v>
      </c>
      <c r="B235" s="344" t="s">
        <v>162</v>
      </c>
      <c r="C235" s="344">
        <v>6925</v>
      </c>
      <c r="D235" s="343" t="s">
        <v>811</v>
      </c>
      <c r="E235" s="344">
        <v>4311809</v>
      </c>
      <c r="F235" s="343" t="s">
        <v>824</v>
      </c>
      <c r="G235" s="360" t="s">
        <v>825</v>
      </c>
      <c r="H235" s="361">
        <v>42970</v>
      </c>
      <c r="I235" s="343" t="s">
        <v>275</v>
      </c>
      <c r="J235" s="343" t="s">
        <v>9392</v>
      </c>
      <c r="K235" s="343" t="s">
        <v>168</v>
      </c>
    </row>
    <row r="236" spans="1:11" ht="26.25" customHeight="1">
      <c r="A236" s="343" t="s">
        <v>161</v>
      </c>
      <c r="B236" s="344" t="s">
        <v>162</v>
      </c>
      <c r="C236" s="344">
        <v>6925</v>
      </c>
      <c r="D236" s="343" t="s">
        <v>811</v>
      </c>
      <c r="E236" s="344">
        <v>5855827</v>
      </c>
      <c r="F236" s="343" t="s">
        <v>7049</v>
      </c>
      <c r="G236" s="360" t="s">
        <v>9393</v>
      </c>
      <c r="H236" s="361">
        <v>42970</v>
      </c>
      <c r="I236" s="343" t="s">
        <v>4391</v>
      </c>
      <c r="J236" s="343" t="s">
        <v>9394</v>
      </c>
      <c r="K236" s="343" t="s">
        <v>173</v>
      </c>
    </row>
    <row r="237" spans="1:11" ht="26.25" customHeight="1">
      <c r="A237" s="343" t="s">
        <v>161</v>
      </c>
      <c r="B237" s="344" t="s">
        <v>162</v>
      </c>
      <c r="C237" s="344">
        <v>9913</v>
      </c>
      <c r="D237" s="343" t="s">
        <v>556</v>
      </c>
      <c r="E237" s="344">
        <v>4939560</v>
      </c>
      <c r="F237" s="343" t="s">
        <v>7061</v>
      </c>
      <c r="G237" s="360" t="s">
        <v>9395</v>
      </c>
      <c r="H237" s="361">
        <v>42972</v>
      </c>
      <c r="I237" s="343" t="s">
        <v>709</v>
      </c>
      <c r="J237" s="343" t="s">
        <v>9396</v>
      </c>
      <c r="K237" s="343" t="s">
        <v>168</v>
      </c>
    </row>
    <row r="238" spans="1:11" ht="26.25" customHeight="1">
      <c r="A238" s="343" t="s">
        <v>161</v>
      </c>
      <c r="B238" s="344" t="s">
        <v>162</v>
      </c>
      <c r="C238" s="344">
        <v>9337</v>
      </c>
      <c r="D238" s="343" t="s">
        <v>884</v>
      </c>
      <c r="E238" s="344">
        <v>5146650</v>
      </c>
      <c r="F238" s="343" t="s">
        <v>889</v>
      </c>
      <c r="G238" s="360" t="s">
        <v>890</v>
      </c>
      <c r="H238" s="361">
        <v>42975</v>
      </c>
      <c r="I238" s="343" t="s">
        <v>580</v>
      </c>
      <c r="J238" s="343" t="s">
        <v>9397</v>
      </c>
      <c r="K238" s="343" t="s">
        <v>248</v>
      </c>
    </row>
    <row r="239" spans="1:11" ht="26.25" customHeight="1">
      <c r="A239" s="343" t="s">
        <v>161</v>
      </c>
      <c r="B239" s="344" t="s">
        <v>162</v>
      </c>
      <c r="C239" s="344">
        <v>6580</v>
      </c>
      <c r="D239" s="343" t="s">
        <v>1451</v>
      </c>
      <c r="E239" s="344">
        <v>6826097</v>
      </c>
      <c r="F239" s="343" t="s">
        <v>7045</v>
      </c>
      <c r="G239" s="360" t="s">
        <v>9398</v>
      </c>
      <c r="H239" s="361">
        <v>42976</v>
      </c>
      <c r="I239" s="343" t="s">
        <v>198</v>
      </c>
      <c r="J239" s="343" t="s">
        <v>198</v>
      </c>
      <c r="K239" s="343" t="s">
        <v>168</v>
      </c>
    </row>
    <row r="240" spans="1:11" ht="26.25" customHeight="1">
      <c r="A240" s="343" t="s">
        <v>161</v>
      </c>
      <c r="B240" s="344" t="s">
        <v>162</v>
      </c>
      <c r="C240" s="344">
        <v>7448</v>
      </c>
      <c r="D240" s="343" t="s">
        <v>258</v>
      </c>
      <c r="E240" s="344">
        <v>6454146</v>
      </c>
      <c r="F240" s="343" t="s">
        <v>263</v>
      </c>
      <c r="G240" s="360" t="s">
        <v>264</v>
      </c>
      <c r="H240" s="361">
        <v>42976</v>
      </c>
      <c r="I240" s="343" t="s">
        <v>193</v>
      </c>
      <c r="J240" s="343" t="s">
        <v>637</v>
      </c>
      <c r="K240" s="343" t="s">
        <v>168</v>
      </c>
    </row>
    <row r="241" spans="1:11" ht="26.25" customHeight="1">
      <c r="A241" s="343" t="s">
        <v>161</v>
      </c>
      <c r="B241" s="344" t="s">
        <v>162</v>
      </c>
      <c r="C241" s="344">
        <v>7443</v>
      </c>
      <c r="D241" s="343" t="s">
        <v>394</v>
      </c>
      <c r="E241" s="344">
        <v>6428535</v>
      </c>
      <c r="F241" s="343" t="s">
        <v>7051</v>
      </c>
      <c r="G241" s="360" t="s">
        <v>9399</v>
      </c>
      <c r="H241" s="361">
        <v>42976</v>
      </c>
      <c r="I241" s="343" t="s">
        <v>261</v>
      </c>
      <c r="J241" s="343" t="s">
        <v>9400</v>
      </c>
      <c r="K241" s="343" t="s">
        <v>168</v>
      </c>
    </row>
    <row r="242" spans="1:11" ht="26.25" customHeight="1">
      <c r="A242" s="343" t="s">
        <v>161</v>
      </c>
      <c r="B242" s="344" t="s">
        <v>162</v>
      </c>
      <c r="C242" s="344">
        <v>6925</v>
      </c>
      <c r="D242" s="343" t="s">
        <v>811</v>
      </c>
      <c r="E242" s="344">
        <v>3793337</v>
      </c>
      <c r="F242" s="343" t="s">
        <v>814</v>
      </c>
      <c r="G242" s="360" t="s">
        <v>815</v>
      </c>
      <c r="H242" s="361">
        <v>42976</v>
      </c>
      <c r="I242" s="343" t="s">
        <v>211</v>
      </c>
      <c r="J242" s="343" t="s">
        <v>211</v>
      </c>
      <c r="K242" s="343" t="s">
        <v>168</v>
      </c>
    </row>
    <row r="243" spans="1:11" ht="26.25" customHeight="1">
      <c r="A243" s="343" t="s">
        <v>161</v>
      </c>
      <c r="B243" s="344" t="s">
        <v>162</v>
      </c>
      <c r="C243" s="344">
        <v>7445</v>
      </c>
      <c r="D243" s="343" t="s">
        <v>7032</v>
      </c>
      <c r="E243" s="344">
        <v>6551310</v>
      </c>
      <c r="F243" s="343" t="s">
        <v>7053</v>
      </c>
      <c r="G243" s="360" t="s">
        <v>9401</v>
      </c>
      <c r="H243" s="361">
        <v>42978</v>
      </c>
      <c r="I243" s="343" t="s">
        <v>193</v>
      </c>
      <c r="J243" s="343" t="s">
        <v>637</v>
      </c>
      <c r="K243" s="343" t="s">
        <v>168</v>
      </c>
    </row>
    <row r="244" spans="1:11" ht="26.25" customHeight="1">
      <c r="A244" s="343" t="s">
        <v>161</v>
      </c>
      <c r="B244" s="344" t="s">
        <v>162</v>
      </c>
      <c r="C244" s="344">
        <v>11085</v>
      </c>
      <c r="D244" s="343" t="s">
        <v>520</v>
      </c>
      <c r="E244" s="344">
        <v>6404648</v>
      </c>
      <c r="F244" s="343" t="s">
        <v>7064</v>
      </c>
      <c r="G244" s="360" t="s">
        <v>9402</v>
      </c>
      <c r="H244" s="361">
        <v>42978</v>
      </c>
      <c r="I244" s="343" t="s">
        <v>193</v>
      </c>
      <c r="J244" s="343" t="s">
        <v>9403</v>
      </c>
      <c r="K244" s="343" t="s">
        <v>168</v>
      </c>
    </row>
    <row r="245" spans="1:11" ht="26.25" customHeight="1">
      <c r="A245" s="343" t="s">
        <v>161</v>
      </c>
      <c r="B245" s="344" t="s">
        <v>162</v>
      </c>
      <c r="C245" s="344">
        <v>8849</v>
      </c>
      <c r="D245" s="343" t="s">
        <v>1049</v>
      </c>
      <c r="E245" s="344">
        <v>4534135</v>
      </c>
      <c r="F245" s="343" t="s">
        <v>7058</v>
      </c>
      <c r="G245" s="360" t="s">
        <v>9404</v>
      </c>
      <c r="H245" s="361">
        <v>42982</v>
      </c>
      <c r="I245" s="343" t="s">
        <v>211</v>
      </c>
      <c r="J245" s="343" t="s">
        <v>909</v>
      </c>
      <c r="K245" s="343" t="s">
        <v>168</v>
      </c>
    </row>
    <row r="246" spans="1:11" ht="26.25" customHeight="1">
      <c r="A246" s="343" t="s">
        <v>161</v>
      </c>
      <c r="B246" s="344" t="s">
        <v>162</v>
      </c>
      <c r="C246" s="344">
        <v>12606</v>
      </c>
      <c r="D246" s="343" t="s">
        <v>1410</v>
      </c>
      <c r="E246" s="344">
        <v>6218743</v>
      </c>
      <c r="F246" s="343" t="s">
        <v>3603</v>
      </c>
      <c r="G246" s="360" t="s">
        <v>9405</v>
      </c>
      <c r="H246" s="361">
        <v>42983</v>
      </c>
      <c r="I246" s="343" t="s">
        <v>301</v>
      </c>
      <c r="J246" s="343" t="s">
        <v>1113</v>
      </c>
      <c r="K246" s="343" t="s">
        <v>168</v>
      </c>
    </row>
    <row r="247" spans="1:11" ht="26.25" customHeight="1">
      <c r="A247" s="343" t="s">
        <v>161</v>
      </c>
      <c r="B247" s="344" t="s">
        <v>162</v>
      </c>
      <c r="C247" s="344">
        <v>7443</v>
      </c>
      <c r="D247" s="343" t="s">
        <v>394</v>
      </c>
      <c r="E247" s="344">
        <v>6644485</v>
      </c>
      <c r="F247" s="343" t="s">
        <v>7052</v>
      </c>
      <c r="G247" s="360" t="s">
        <v>9406</v>
      </c>
      <c r="H247" s="361">
        <v>42969</v>
      </c>
      <c r="I247" s="343" t="s">
        <v>301</v>
      </c>
      <c r="J247" s="343" t="s">
        <v>9407</v>
      </c>
      <c r="K247" s="343" t="s">
        <v>168</v>
      </c>
    </row>
    <row r="248" spans="1:11" ht="26.25" customHeight="1">
      <c r="A248" s="343" t="s">
        <v>161</v>
      </c>
      <c r="B248" s="344" t="s">
        <v>162</v>
      </c>
      <c r="C248" s="344">
        <v>6583</v>
      </c>
      <c r="D248" s="343" t="s">
        <v>1110</v>
      </c>
      <c r="E248" s="344">
        <v>6437709</v>
      </c>
      <c r="F248" s="343" t="s">
        <v>7046</v>
      </c>
      <c r="G248" s="360" t="s">
        <v>9408</v>
      </c>
      <c r="H248" s="361">
        <v>42984</v>
      </c>
      <c r="I248" s="343" t="s">
        <v>366</v>
      </c>
      <c r="J248" s="343" t="s">
        <v>366</v>
      </c>
      <c r="K248" s="343" t="s">
        <v>168</v>
      </c>
    </row>
    <row r="249" spans="1:11" ht="26.25" customHeight="1">
      <c r="A249" s="343" t="s">
        <v>161</v>
      </c>
      <c r="B249" s="344" t="s">
        <v>162</v>
      </c>
      <c r="C249" s="344">
        <v>11099</v>
      </c>
      <c r="D249" s="343" t="s">
        <v>574</v>
      </c>
      <c r="E249" s="344">
        <v>6083767</v>
      </c>
      <c r="F249" s="343" t="s">
        <v>7065</v>
      </c>
      <c r="G249" s="360" t="s">
        <v>9409</v>
      </c>
      <c r="H249" s="361">
        <v>42990</v>
      </c>
      <c r="I249" s="343" t="s">
        <v>198</v>
      </c>
      <c r="J249" s="343" t="s">
        <v>198</v>
      </c>
      <c r="K249" s="343" t="s">
        <v>168</v>
      </c>
    </row>
    <row r="250" spans="1:11" ht="26.25" customHeight="1">
      <c r="A250" s="343" t="s">
        <v>161</v>
      </c>
      <c r="B250" s="344" t="s">
        <v>162</v>
      </c>
      <c r="C250" s="344">
        <v>7459</v>
      </c>
      <c r="D250" s="343" t="s">
        <v>351</v>
      </c>
      <c r="E250" s="344">
        <v>6434495</v>
      </c>
      <c r="F250" s="343" t="s">
        <v>7057</v>
      </c>
      <c r="G250" s="360" t="s">
        <v>9410</v>
      </c>
      <c r="H250" s="361">
        <v>42991</v>
      </c>
      <c r="I250" s="343" t="s">
        <v>193</v>
      </c>
      <c r="J250" s="343" t="s">
        <v>472</v>
      </c>
      <c r="K250" s="343" t="s">
        <v>168</v>
      </c>
    </row>
    <row r="251" spans="1:11" ht="26.25" customHeight="1">
      <c r="A251" s="343" t="s">
        <v>161</v>
      </c>
      <c r="B251" s="344" t="s">
        <v>162</v>
      </c>
      <c r="C251" s="344">
        <v>11099</v>
      </c>
      <c r="D251" s="343" t="s">
        <v>574</v>
      </c>
      <c r="E251" s="344">
        <v>6083740</v>
      </c>
      <c r="F251" s="343" t="s">
        <v>7066</v>
      </c>
      <c r="G251" s="360" t="s">
        <v>9409</v>
      </c>
      <c r="H251" s="361">
        <v>42993</v>
      </c>
      <c r="I251" s="343" t="s">
        <v>198</v>
      </c>
      <c r="J251" s="343" t="s">
        <v>198</v>
      </c>
      <c r="K251" s="343" t="s">
        <v>168</v>
      </c>
    </row>
    <row r="252" spans="1:11" ht="26.25" customHeight="1">
      <c r="A252" s="343" t="s">
        <v>161</v>
      </c>
      <c r="B252" s="344" t="s">
        <v>162</v>
      </c>
      <c r="C252" s="344">
        <v>12076</v>
      </c>
      <c r="D252" s="343" t="s">
        <v>735</v>
      </c>
      <c r="E252" s="344">
        <v>5593835</v>
      </c>
      <c r="F252" s="343" t="s">
        <v>7067</v>
      </c>
      <c r="G252" s="360" t="s">
        <v>9411</v>
      </c>
      <c r="H252" s="361">
        <v>42999</v>
      </c>
      <c r="I252" s="343" t="s">
        <v>198</v>
      </c>
      <c r="J252" s="343" t="s">
        <v>198</v>
      </c>
      <c r="K252" s="343" t="s">
        <v>168</v>
      </c>
    </row>
    <row r="253" spans="1:11" ht="26.25" customHeight="1">
      <c r="A253" s="343" t="s">
        <v>161</v>
      </c>
      <c r="B253" s="344" t="s">
        <v>162</v>
      </c>
      <c r="C253" s="344">
        <v>7457</v>
      </c>
      <c r="D253" s="343" t="s">
        <v>338</v>
      </c>
      <c r="E253" s="344">
        <v>6669452</v>
      </c>
      <c r="F253" s="343" t="s">
        <v>7056</v>
      </c>
      <c r="G253" s="360" t="s">
        <v>9412</v>
      </c>
      <c r="H253" s="361">
        <v>43003</v>
      </c>
      <c r="I253" s="343" t="s">
        <v>166</v>
      </c>
      <c r="J253" s="343" t="s">
        <v>9413</v>
      </c>
      <c r="K253" s="343" t="s">
        <v>168</v>
      </c>
    </row>
    <row r="254" spans="1:11" ht="26.25" customHeight="1">
      <c r="A254" s="343" t="s">
        <v>161</v>
      </c>
      <c r="B254" s="344" t="s">
        <v>162</v>
      </c>
      <c r="C254" s="344">
        <v>7447</v>
      </c>
      <c r="D254" s="343" t="s">
        <v>160</v>
      </c>
      <c r="E254" s="344">
        <v>6727043</v>
      </c>
      <c r="F254" s="343" t="s">
        <v>7054</v>
      </c>
      <c r="G254" s="360" t="s">
        <v>9414</v>
      </c>
      <c r="H254" s="361">
        <v>43003</v>
      </c>
      <c r="I254" s="343" t="s">
        <v>380</v>
      </c>
      <c r="J254" s="343" t="s">
        <v>381</v>
      </c>
      <c r="K254" s="343" t="s">
        <v>173</v>
      </c>
    </row>
    <row r="255" spans="1:11" ht="26.25" customHeight="1">
      <c r="A255" s="343" t="s">
        <v>161</v>
      </c>
      <c r="B255" s="344" t="s">
        <v>162</v>
      </c>
      <c r="C255" s="344">
        <v>6922</v>
      </c>
      <c r="D255" s="343" t="s">
        <v>949</v>
      </c>
      <c r="E255" s="344">
        <v>4786909</v>
      </c>
      <c r="F255" s="343" t="s">
        <v>7048</v>
      </c>
      <c r="G255" s="360" t="s">
        <v>9415</v>
      </c>
      <c r="H255" s="361">
        <v>43004</v>
      </c>
      <c r="I255" s="343" t="s">
        <v>709</v>
      </c>
      <c r="J255" s="343" t="s">
        <v>9416</v>
      </c>
      <c r="K255" s="343" t="s">
        <v>168</v>
      </c>
    </row>
    <row r="256" spans="1:11" ht="26.25" customHeight="1">
      <c r="A256" s="343" t="s">
        <v>161</v>
      </c>
      <c r="B256" s="344" t="s">
        <v>162</v>
      </c>
      <c r="C256" s="344">
        <v>13496</v>
      </c>
      <c r="D256" s="343" t="s">
        <v>3600</v>
      </c>
      <c r="E256" s="344">
        <v>6462831</v>
      </c>
      <c r="F256" s="343" t="s">
        <v>7068</v>
      </c>
      <c r="G256" s="360" t="s">
        <v>9417</v>
      </c>
      <c r="H256" s="361">
        <v>43005</v>
      </c>
      <c r="I256" s="343" t="s">
        <v>366</v>
      </c>
      <c r="J256" s="343" t="s">
        <v>366</v>
      </c>
      <c r="K256" s="343" t="s">
        <v>168</v>
      </c>
    </row>
    <row r="257" spans="1:11" ht="26.25" customHeight="1">
      <c r="A257" s="343" t="s">
        <v>161</v>
      </c>
      <c r="B257" s="344" t="s">
        <v>162</v>
      </c>
      <c r="C257" s="344">
        <v>9855</v>
      </c>
      <c r="D257" s="343" t="s">
        <v>411</v>
      </c>
      <c r="E257" s="344">
        <v>6694697</v>
      </c>
      <c r="F257" s="343" t="s">
        <v>7059</v>
      </c>
      <c r="G257" s="360" t="s">
        <v>9418</v>
      </c>
      <c r="H257" s="361">
        <v>43005</v>
      </c>
      <c r="I257" s="343" t="s">
        <v>271</v>
      </c>
      <c r="J257" s="343" t="s">
        <v>533</v>
      </c>
      <c r="K257" s="343" t="s">
        <v>168</v>
      </c>
    </row>
    <row r="258" spans="1:11" ht="26.25" customHeight="1">
      <c r="A258" s="343" t="s">
        <v>161</v>
      </c>
      <c r="B258" s="344" t="s">
        <v>162</v>
      </c>
      <c r="C258" s="344">
        <v>6926</v>
      </c>
      <c r="D258" s="343" t="s">
        <v>898</v>
      </c>
      <c r="E258" s="344">
        <v>6110454</v>
      </c>
      <c r="F258" s="343" t="s">
        <v>7050</v>
      </c>
      <c r="G258" s="360" t="s">
        <v>9419</v>
      </c>
      <c r="H258" s="361">
        <v>43006</v>
      </c>
      <c r="I258" s="343" t="s">
        <v>4190</v>
      </c>
      <c r="J258" s="343" t="s">
        <v>9420</v>
      </c>
      <c r="K258" s="343" t="s">
        <v>168</v>
      </c>
    </row>
    <row r="259" spans="1:11" ht="26.25" customHeight="1">
      <c r="A259" s="343" t="s">
        <v>161</v>
      </c>
      <c r="B259" s="344" t="s">
        <v>162</v>
      </c>
      <c r="C259" s="344">
        <v>9916</v>
      </c>
      <c r="D259" s="343" t="s">
        <v>439</v>
      </c>
      <c r="E259" s="344">
        <v>6476867</v>
      </c>
      <c r="F259" s="343" t="s">
        <v>7062</v>
      </c>
      <c r="G259" s="360" t="s">
        <v>9421</v>
      </c>
      <c r="H259" s="361">
        <v>43006</v>
      </c>
      <c r="I259" s="343" t="s">
        <v>366</v>
      </c>
      <c r="J259" s="343" t="s">
        <v>366</v>
      </c>
      <c r="K259" s="343" t="s">
        <v>168</v>
      </c>
    </row>
    <row r="260" spans="1:11" ht="26.25" customHeight="1">
      <c r="A260" s="343" t="s">
        <v>161</v>
      </c>
      <c r="B260" s="344" t="s">
        <v>162</v>
      </c>
      <c r="C260" s="344">
        <v>7447</v>
      </c>
      <c r="D260" s="343" t="s">
        <v>160</v>
      </c>
      <c r="E260" s="344">
        <v>6605959</v>
      </c>
      <c r="F260" s="343" t="s">
        <v>7055</v>
      </c>
      <c r="G260" s="360" t="s">
        <v>9422</v>
      </c>
      <c r="H260" s="361">
        <v>43006</v>
      </c>
      <c r="I260" s="343" t="s">
        <v>166</v>
      </c>
      <c r="J260" s="343" t="s">
        <v>682</v>
      </c>
      <c r="K260" s="343" t="s">
        <v>168</v>
      </c>
    </row>
    <row r="261" spans="1:11" ht="26.25" customHeight="1">
      <c r="A261" s="343" t="s">
        <v>161</v>
      </c>
      <c r="B261" s="344" t="s">
        <v>162</v>
      </c>
      <c r="C261" s="344">
        <v>10769</v>
      </c>
      <c r="D261" s="343" t="s">
        <v>1373</v>
      </c>
      <c r="E261" s="344">
        <v>6685984</v>
      </c>
      <c r="F261" s="343" t="s">
        <v>7063</v>
      </c>
      <c r="G261" s="360" t="s">
        <v>9423</v>
      </c>
      <c r="H261" s="361">
        <v>43012</v>
      </c>
      <c r="I261" s="343" t="s">
        <v>1082</v>
      </c>
      <c r="J261" s="343" t="s">
        <v>9424</v>
      </c>
      <c r="K261" s="343" t="s">
        <v>168</v>
      </c>
    </row>
    <row r="262" spans="1:11" ht="26.25" customHeight="1">
      <c r="A262" s="343" t="s">
        <v>161</v>
      </c>
      <c r="B262" s="344" t="s">
        <v>162</v>
      </c>
      <c r="C262" s="344">
        <v>12068</v>
      </c>
      <c r="D262" s="343" t="s">
        <v>1240</v>
      </c>
      <c r="E262" s="344">
        <v>6617892</v>
      </c>
      <c r="F262" s="343" t="s">
        <v>7273</v>
      </c>
      <c r="G262" s="360" t="s">
        <v>9425</v>
      </c>
      <c r="H262" s="361">
        <v>43019</v>
      </c>
      <c r="I262" s="343" t="s">
        <v>709</v>
      </c>
      <c r="J262" s="343" t="s">
        <v>9426</v>
      </c>
      <c r="K262" s="343" t="s">
        <v>168</v>
      </c>
    </row>
    <row r="263" spans="1:11" ht="26.25" customHeight="1">
      <c r="A263" s="343" t="s">
        <v>161</v>
      </c>
      <c r="B263" s="344" t="s">
        <v>162</v>
      </c>
      <c r="C263" s="344">
        <v>7446</v>
      </c>
      <c r="D263" s="343" t="s">
        <v>318</v>
      </c>
      <c r="E263" s="344">
        <v>6576812</v>
      </c>
      <c r="F263" s="343" t="s">
        <v>7261</v>
      </c>
      <c r="G263" s="360" t="s">
        <v>9427</v>
      </c>
      <c r="H263" s="361">
        <v>43019</v>
      </c>
      <c r="I263" s="343" t="s">
        <v>887</v>
      </c>
      <c r="J263" s="343" t="s">
        <v>888</v>
      </c>
      <c r="K263" s="343" t="s">
        <v>168</v>
      </c>
    </row>
    <row r="264" spans="1:11" ht="26.25" customHeight="1">
      <c r="A264" s="343" t="s">
        <v>161</v>
      </c>
      <c r="B264" s="344" t="s">
        <v>162</v>
      </c>
      <c r="C264" s="344">
        <v>7447</v>
      </c>
      <c r="D264" s="343" t="s">
        <v>160</v>
      </c>
      <c r="E264" s="344">
        <v>5661137</v>
      </c>
      <c r="F264" s="343" t="s">
        <v>7262</v>
      </c>
      <c r="G264" s="360" t="s">
        <v>9428</v>
      </c>
      <c r="H264" s="361">
        <v>43019</v>
      </c>
      <c r="I264" s="343" t="s">
        <v>7263</v>
      </c>
      <c r="J264" s="343" t="s">
        <v>9429</v>
      </c>
      <c r="K264" s="343" t="s">
        <v>173</v>
      </c>
    </row>
    <row r="265" spans="1:11" ht="26.25" customHeight="1">
      <c r="A265" s="343" t="s">
        <v>161</v>
      </c>
      <c r="B265" s="344" t="s">
        <v>162</v>
      </c>
      <c r="C265" s="344">
        <v>6588</v>
      </c>
      <c r="D265" s="343" t="s">
        <v>1396</v>
      </c>
      <c r="E265" s="344">
        <v>6029445</v>
      </c>
      <c r="F265" s="343" t="s">
        <v>7258</v>
      </c>
      <c r="G265" s="360" t="s">
        <v>218</v>
      </c>
      <c r="H265" s="361">
        <v>43019</v>
      </c>
      <c r="I265" s="343" t="s">
        <v>1082</v>
      </c>
      <c r="J265" s="343" t="s">
        <v>9430</v>
      </c>
      <c r="K265" s="343" t="s">
        <v>173</v>
      </c>
    </row>
    <row r="266" spans="1:11" ht="26.25" customHeight="1">
      <c r="A266" s="343" t="s">
        <v>161</v>
      </c>
      <c r="B266" s="344" t="s">
        <v>162</v>
      </c>
      <c r="C266" s="344">
        <v>12242</v>
      </c>
      <c r="D266" s="343" t="s">
        <v>7276</v>
      </c>
      <c r="E266" s="344">
        <v>5163751</v>
      </c>
      <c r="F266" s="343" t="s">
        <v>7277</v>
      </c>
      <c r="G266" s="360" t="s">
        <v>9431</v>
      </c>
      <c r="H266" s="361">
        <v>43031</v>
      </c>
      <c r="I266" s="343" t="s">
        <v>180</v>
      </c>
      <c r="J266" s="343" t="s">
        <v>9432</v>
      </c>
      <c r="K266" s="343" t="s">
        <v>168</v>
      </c>
    </row>
    <row r="267" spans="1:11" ht="26.25" customHeight="1">
      <c r="A267" s="343" t="s">
        <v>161</v>
      </c>
      <c r="B267" s="344" t="s">
        <v>162</v>
      </c>
      <c r="C267" s="344">
        <v>11085</v>
      </c>
      <c r="D267" s="343" t="s">
        <v>520</v>
      </c>
      <c r="E267" s="344">
        <v>6679209</v>
      </c>
      <c r="F267" s="343" t="s">
        <v>7271</v>
      </c>
      <c r="G267" s="360" t="s">
        <v>9433</v>
      </c>
      <c r="H267" s="361">
        <v>43031</v>
      </c>
      <c r="I267" s="343" t="s">
        <v>7272</v>
      </c>
      <c r="J267" s="343" t="s">
        <v>9434</v>
      </c>
      <c r="K267" s="343" t="s">
        <v>173</v>
      </c>
    </row>
    <row r="268" spans="1:11" ht="26.25" customHeight="1">
      <c r="A268" s="343" t="s">
        <v>161</v>
      </c>
      <c r="B268" s="344" t="s">
        <v>162</v>
      </c>
      <c r="C268" s="344">
        <v>7450</v>
      </c>
      <c r="D268" s="343" t="s">
        <v>402</v>
      </c>
      <c r="E268" s="344">
        <v>6798420</v>
      </c>
      <c r="F268" s="343" t="s">
        <v>7264</v>
      </c>
      <c r="G268" s="360" t="s">
        <v>9435</v>
      </c>
      <c r="H268" s="361">
        <v>43032</v>
      </c>
      <c r="I268" s="343" t="s">
        <v>354</v>
      </c>
      <c r="J268" s="343" t="s">
        <v>9436</v>
      </c>
      <c r="K268" s="343" t="s">
        <v>168</v>
      </c>
    </row>
    <row r="269" spans="1:11" ht="26.25" customHeight="1">
      <c r="A269" s="343" t="s">
        <v>161</v>
      </c>
      <c r="B269" s="344" t="s">
        <v>162</v>
      </c>
      <c r="C269" s="344">
        <v>12265</v>
      </c>
      <c r="D269" s="343" t="s">
        <v>1354</v>
      </c>
      <c r="E269" s="344">
        <v>6083510</v>
      </c>
      <c r="F269" s="343" t="s">
        <v>7047</v>
      </c>
      <c r="G269" s="360" t="s">
        <v>9437</v>
      </c>
      <c r="H269" s="361">
        <v>43032</v>
      </c>
      <c r="I269" s="343" t="s">
        <v>7239</v>
      </c>
      <c r="J269" s="343" t="s">
        <v>9438</v>
      </c>
      <c r="K269" s="343" t="s">
        <v>168</v>
      </c>
    </row>
    <row r="270" spans="1:11" ht="26.25" customHeight="1">
      <c r="A270" s="343" t="s">
        <v>161</v>
      </c>
      <c r="B270" s="344" t="s">
        <v>162</v>
      </c>
      <c r="C270" s="344">
        <v>7444</v>
      </c>
      <c r="D270" s="343" t="s">
        <v>367</v>
      </c>
      <c r="E270" s="344">
        <v>6589566</v>
      </c>
      <c r="F270" s="343" t="s">
        <v>7260</v>
      </c>
      <c r="G270" s="360" t="s">
        <v>9439</v>
      </c>
      <c r="H270" s="361">
        <v>43032</v>
      </c>
      <c r="I270" s="343" t="s">
        <v>742</v>
      </c>
      <c r="J270" s="343" t="s">
        <v>742</v>
      </c>
      <c r="K270" s="343" t="s">
        <v>168</v>
      </c>
    </row>
    <row r="271" spans="1:11" ht="26.25" customHeight="1">
      <c r="A271" s="343" t="s">
        <v>161</v>
      </c>
      <c r="B271" s="344" t="s">
        <v>162</v>
      </c>
      <c r="C271" s="344">
        <v>6591</v>
      </c>
      <c r="D271" s="343" t="s">
        <v>1307</v>
      </c>
      <c r="E271" s="344">
        <v>5989495</v>
      </c>
      <c r="F271" s="343" t="s">
        <v>7259</v>
      </c>
      <c r="G271" s="360" t="s">
        <v>1104</v>
      </c>
      <c r="H271" s="361">
        <v>43039</v>
      </c>
      <c r="I271" s="343" t="s">
        <v>211</v>
      </c>
      <c r="J271" s="343" t="s">
        <v>211</v>
      </c>
      <c r="K271" s="343" t="s">
        <v>168</v>
      </c>
    </row>
    <row r="272" spans="1:11" ht="26.25" customHeight="1">
      <c r="A272" s="343" t="s">
        <v>161</v>
      </c>
      <c r="B272" s="344" t="s">
        <v>162</v>
      </c>
      <c r="C272" s="344">
        <v>12076</v>
      </c>
      <c r="D272" s="343" t="s">
        <v>735</v>
      </c>
      <c r="E272" s="344">
        <v>4925712</v>
      </c>
      <c r="F272" s="343" t="s">
        <v>7275</v>
      </c>
      <c r="G272" s="360" t="s">
        <v>9440</v>
      </c>
      <c r="H272" s="361">
        <v>43039</v>
      </c>
      <c r="I272" s="343" t="s">
        <v>211</v>
      </c>
      <c r="J272" s="343" t="s">
        <v>211</v>
      </c>
      <c r="K272" s="343" t="s">
        <v>168</v>
      </c>
    </row>
    <row r="273" spans="1:11" ht="26.25" customHeight="1">
      <c r="A273" s="343" t="s">
        <v>161</v>
      </c>
      <c r="B273" s="344" t="s">
        <v>162</v>
      </c>
      <c r="C273" s="344">
        <v>7452</v>
      </c>
      <c r="D273" s="343" t="s">
        <v>249</v>
      </c>
      <c r="E273" s="344">
        <v>6607765</v>
      </c>
      <c r="F273" s="343" t="s">
        <v>7265</v>
      </c>
      <c r="G273" s="360" t="s">
        <v>9441</v>
      </c>
      <c r="H273" s="361">
        <v>43039</v>
      </c>
      <c r="I273" s="343" t="s">
        <v>7266</v>
      </c>
      <c r="J273" s="343" t="s">
        <v>9442</v>
      </c>
      <c r="K273" s="343" t="s">
        <v>248</v>
      </c>
    </row>
    <row r="274" spans="1:11" ht="26.25" customHeight="1">
      <c r="A274" s="343" t="s">
        <v>161</v>
      </c>
      <c r="B274" s="344" t="s">
        <v>162</v>
      </c>
      <c r="C274" s="344">
        <v>9903</v>
      </c>
      <c r="D274" s="343" t="s">
        <v>597</v>
      </c>
      <c r="E274" s="344">
        <v>6040878</v>
      </c>
      <c r="F274" s="343" t="s">
        <v>7267</v>
      </c>
      <c r="G274" s="360" t="s">
        <v>9443</v>
      </c>
      <c r="H274" s="361">
        <v>43048</v>
      </c>
      <c r="I274" s="343" t="s">
        <v>7255</v>
      </c>
      <c r="J274" s="343" t="s">
        <v>9444</v>
      </c>
      <c r="K274" s="343" t="s">
        <v>168</v>
      </c>
    </row>
    <row r="275" spans="1:11" ht="26.25" customHeight="1">
      <c r="A275" s="343" t="s">
        <v>161</v>
      </c>
      <c r="B275" s="344" t="s">
        <v>162</v>
      </c>
      <c r="C275" s="344">
        <v>6588</v>
      </c>
      <c r="D275" s="343" t="s">
        <v>1396</v>
      </c>
      <c r="E275" s="344">
        <v>6964531</v>
      </c>
      <c r="F275" s="343" t="s">
        <v>7402</v>
      </c>
      <c r="G275" s="360" t="s">
        <v>9445</v>
      </c>
      <c r="H275" s="361">
        <v>43062</v>
      </c>
      <c r="I275" s="343" t="s">
        <v>7403</v>
      </c>
      <c r="J275" s="343" t="s">
        <v>9446</v>
      </c>
      <c r="K275" s="343" t="s">
        <v>168</v>
      </c>
    </row>
    <row r="276" spans="1:11" ht="26.25" customHeight="1">
      <c r="A276" s="343" t="s">
        <v>161</v>
      </c>
      <c r="B276" s="344" t="s">
        <v>162</v>
      </c>
      <c r="C276" s="344">
        <v>12157</v>
      </c>
      <c r="D276" s="343" t="s">
        <v>791</v>
      </c>
      <c r="E276" s="344">
        <v>4921245</v>
      </c>
      <c r="F276" s="343" t="s">
        <v>800</v>
      </c>
      <c r="G276" s="360" t="s">
        <v>801</v>
      </c>
      <c r="H276" s="361">
        <v>43073</v>
      </c>
      <c r="I276" s="343" t="s">
        <v>802</v>
      </c>
      <c r="J276" s="343" t="s">
        <v>1172</v>
      </c>
      <c r="K276" s="343" t="s">
        <v>168</v>
      </c>
    </row>
    <row r="277" spans="1:11" ht="26.25" customHeight="1">
      <c r="A277" s="343" t="s">
        <v>161</v>
      </c>
      <c r="B277" s="344" t="s">
        <v>162</v>
      </c>
      <c r="C277" s="344">
        <v>6583</v>
      </c>
      <c r="D277" s="343" t="s">
        <v>1110</v>
      </c>
      <c r="E277" s="344">
        <v>5589968</v>
      </c>
      <c r="F277" s="343" t="s">
        <v>7401</v>
      </c>
      <c r="G277" s="360" t="s">
        <v>9447</v>
      </c>
      <c r="H277" s="361">
        <v>43076</v>
      </c>
      <c r="I277" s="343" t="s">
        <v>465</v>
      </c>
      <c r="J277" s="343" t="s">
        <v>1118</v>
      </c>
      <c r="K277" s="343" t="s">
        <v>168</v>
      </c>
    </row>
    <row r="278" spans="1:11" ht="26.25" customHeight="1">
      <c r="A278" s="343" t="s">
        <v>161</v>
      </c>
      <c r="B278" s="344" t="s">
        <v>162</v>
      </c>
      <c r="C278" s="344">
        <v>6593</v>
      </c>
      <c r="D278" s="343" t="s">
        <v>1096</v>
      </c>
      <c r="E278" s="344">
        <v>5774205</v>
      </c>
      <c r="F278" s="343" t="s">
        <v>7455</v>
      </c>
      <c r="G278" s="360" t="s">
        <v>1247</v>
      </c>
      <c r="H278" s="361">
        <v>43080</v>
      </c>
      <c r="I278" s="343" t="s">
        <v>3606</v>
      </c>
      <c r="J278" s="343" t="s">
        <v>3606</v>
      </c>
      <c r="K278" s="343" t="s">
        <v>168</v>
      </c>
    </row>
    <row r="279" spans="1:11" ht="26.25" customHeight="1">
      <c r="A279" s="343" t="s">
        <v>161</v>
      </c>
      <c r="B279" s="344" t="s">
        <v>162</v>
      </c>
      <c r="C279" s="344">
        <v>9913</v>
      </c>
      <c r="D279" s="343" t="s">
        <v>556</v>
      </c>
      <c r="E279" s="344">
        <v>3985986</v>
      </c>
      <c r="F279" s="343" t="s">
        <v>7269</v>
      </c>
      <c r="G279" s="360" t="s">
        <v>9448</v>
      </c>
      <c r="H279" s="361">
        <v>43080</v>
      </c>
      <c r="I279" s="343" t="s">
        <v>180</v>
      </c>
      <c r="J279" s="343" t="s">
        <v>9449</v>
      </c>
      <c r="K279" s="343" t="s">
        <v>168</v>
      </c>
    </row>
    <row r="280" spans="1:11" ht="26.25" customHeight="1">
      <c r="A280" s="343" t="s">
        <v>161</v>
      </c>
      <c r="B280" s="344" t="s">
        <v>162</v>
      </c>
      <c r="C280" s="344">
        <v>7458</v>
      </c>
      <c r="D280" s="343" t="s">
        <v>207</v>
      </c>
      <c r="E280" s="344">
        <v>6580649</v>
      </c>
      <c r="F280" s="343" t="s">
        <v>7456</v>
      </c>
      <c r="G280" s="360" t="s">
        <v>9450</v>
      </c>
      <c r="H280" s="361">
        <v>43080</v>
      </c>
      <c r="I280" s="343" t="s">
        <v>4320</v>
      </c>
      <c r="J280" s="343" t="s">
        <v>9451</v>
      </c>
      <c r="K280" s="343" t="s">
        <v>168</v>
      </c>
    </row>
    <row r="281" spans="1:11" ht="26.25" customHeight="1">
      <c r="A281" s="343" t="s">
        <v>161</v>
      </c>
      <c r="B281" s="344" t="s">
        <v>162</v>
      </c>
      <c r="C281" s="344">
        <v>6586</v>
      </c>
      <c r="D281" s="343" t="s">
        <v>1460</v>
      </c>
      <c r="E281" s="344">
        <v>6147960</v>
      </c>
      <c r="F281" s="343" t="s">
        <v>3609</v>
      </c>
      <c r="G281" s="360" t="s">
        <v>1422</v>
      </c>
      <c r="H281" s="361">
        <v>43081</v>
      </c>
      <c r="I281" s="343" t="s">
        <v>7454</v>
      </c>
      <c r="J281" s="343" t="s">
        <v>9452</v>
      </c>
      <c r="K281" s="343" t="s">
        <v>168</v>
      </c>
    </row>
    <row r="282" spans="1:11" ht="26.25" customHeight="1">
      <c r="A282" s="343" t="s">
        <v>161</v>
      </c>
      <c r="B282" s="344" t="s">
        <v>162</v>
      </c>
      <c r="C282" s="344">
        <v>6583</v>
      </c>
      <c r="D282" s="343" t="s">
        <v>1110</v>
      </c>
      <c r="E282" s="344">
        <v>6341092</v>
      </c>
      <c r="F282" s="343" t="s">
        <v>7452</v>
      </c>
      <c r="G282" s="360" t="s">
        <v>9453</v>
      </c>
      <c r="H282" s="361">
        <v>43083</v>
      </c>
      <c r="I282" s="343" t="s">
        <v>620</v>
      </c>
      <c r="J282" s="343" t="s">
        <v>9454</v>
      </c>
      <c r="K282" s="343" t="s">
        <v>168</v>
      </c>
    </row>
    <row r="283" spans="1:11" ht="26.25" customHeight="1">
      <c r="A283" s="343" t="s">
        <v>161</v>
      </c>
      <c r="B283" s="344" t="s">
        <v>162</v>
      </c>
      <c r="C283" s="344">
        <v>9917</v>
      </c>
      <c r="D283" s="343" t="s">
        <v>479</v>
      </c>
      <c r="E283" s="344">
        <v>6629735</v>
      </c>
      <c r="F283" s="343" t="s">
        <v>7459</v>
      </c>
      <c r="G283" s="360" t="s">
        <v>9455</v>
      </c>
      <c r="H283" s="361">
        <v>43083</v>
      </c>
      <c r="I283" s="343" t="s">
        <v>366</v>
      </c>
      <c r="J283" s="343" t="s">
        <v>366</v>
      </c>
      <c r="K283" s="343" t="s">
        <v>168</v>
      </c>
    </row>
    <row r="284" spans="1:11" ht="26.25" customHeight="1">
      <c r="A284" s="343" t="s">
        <v>161</v>
      </c>
      <c r="B284" s="344" t="s">
        <v>162</v>
      </c>
      <c r="C284" s="344">
        <v>9910</v>
      </c>
      <c r="D284" s="343" t="s">
        <v>664</v>
      </c>
      <c r="E284" s="344">
        <v>6938962</v>
      </c>
      <c r="F284" s="343" t="s">
        <v>7458</v>
      </c>
      <c r="G284" s="360" t="s">
        <v>9437</v>
      </c>
      <c r="H284" s="361">
        <v>43090</v>
      </c>
      <c r="I284" s="343" t="s">
        <v>193</v>
      </c>
      <c r="J284" s="343" t="s">
        <v>509</v>
      </c>
      <c r="K284" s="343" t="s">
        <v>168</v>
      </c>
    </row>
    <row r="285" spans="1:11" ht="26.25" customHeight="1">
      <c r="A285" s="343" t="s">
        <v>161</v>
      </c>
      <c r="B285" s="344" t="s">
        <v>162</v>
      </c>
      <c r="C285" s="344">
        <v>7462</v>
      </c>
      <c r="D285" s="343" t="s">
        <v>195</v>
      </c>
      <c r="E285" s="344">
        <v>6551864</v>
      </c>
      <c r="F285" s="343" t="s">
        <v>7457</v>
      </c>
      <c r="G285" s="360" t="s">
        <v>9456</v>
      </c>
      <c r="H285" s="361">
        <v>43102</v>
      </c>
      <c r="I285" s="343" t="s">
        <v>465</v>
      </c>
      <c r="J285" s="343" t="s">
        <v>466</v>
      </c>
      <c r="K285" s="343" t="s">
        <v>168</v>
      </c>
    </row>
    <row r="286" spans="1:11" ht="26.25" customHeight="1">
      <c r="A286" s="343" t="s">
        <v>161</v>
      </c>
      <c r="B286" s="344" t="s">
        <v>162</v>
      </c>
      <c r="C286" s="344">
        <v>12068</v>
      </c>
      <c r="D286" s="343" t="s">
        <v>1240</v>
      </c>
      <c r="E286" s="344">
        <v>6441611</v>
      </c>
      <c r="F286" s="343" t="s">
        <v>7461</v>
      </c>
      <c r="G286" s="360" t="s">
        <v>9457</v>
      </c>
      <c r="H286" s="361">
        <v>43122</v>
      </c>
      <c r="I286" s="343" t="s">
        <v>166</v>
      </c>
      <c r="J286" s="343" t="s">
        <v>296</v>
      </c>
      <c r="K286" s="343" t="s">
        <v>168</v>
      </c>
    </row>
    <row r="287" spans="1:11" ht="26.25" customHeight="1">
      <c r="A287" s="343" t="s">
        <v>161</v>
      </c>
      <c r="B287" s="344" t="s">
        <v>162</v>
      </c>
      <c r="C287" s="344">
        <v>10496</v>
      </c>
      <c r="D287" s="343" t="s">
        <v>328</v>
      </c>
      <c r="E287" s="344">
        <v>6756600</v>
      </c>
      <c r="F287" s="343" t="s">
        <v>7460</v>
      </c>
      <c r="G287" s="360" t="s">
        <v>9458</v>
      </c>
      <c r="H287" s="361">
        <v>43122</v>
      </c>
      <c r="I287" s="343" t="s">
        <v>166</v>
      </c>
      <c r="J287" s="343" t="s">
        <v>417</v>
      </c>
      <c r="K287" s="343" t="s">
        <v>248</v>
      </c>
    </row>
    <row r="288" spans="1:11" ht="26.25" customHeight="1">
      <c r="A288" s="343" t="s">
        <v>161</v>
      </c>
      <c r="B288" s="344" t="s">
        <v>162</v>
      </c>
      <c r="C288" s="344">
        <v>13517</v>
      </c>
      <c r="D288" s="343" t="s">
        <v>1119</v>
      </c>
      <c r="E288" s="344">
        <v>6258639</v>
      </c>
      <c r="F288" s="343" t="s">
        <v>7462</v>
      </c>
      <c r="G288" s="360" t="s">
        <v>9459</v>
      </c>
      <c r="H288" s="361">
        <v>43122</v>
      </c>
      <c r="I288" s="343" t="s">
        <v>514</v>
      </c>
      <c r="J288" s="343" t="s">
        <v>9460</v>
      </c>
      <c r="K288" s="343" t="s">
        <v>248</v>
      </c>
    </row>
    <row r="289" spans="1:11" ht="26.25" customHeight="1">
      <c r="A289" s="343" t="s">
        <v>161</v>
      </c>
      <c r="B289" s="344" t="s">
        <v>162</v>
      </c>
      <c r="C289" s="344">
        <v>6589</v>
      </c>
      <c r="D289" s="343" t="s">
        <v>1156</v>
      </c>
      <c r="E289" s="344">
        <v>6185490</v>
      </c>
      <c r="F289" s="343" t="s">
        <v>7451</v>
      </c>
      <c r="G289" s="360" t="s">
        <v>9461</v>
      </c>
      <c r="H289" s="361">
        <v>43122</v>
      </c>
      <c r="I289" s="343" t="s">
        <v>166</v>
      </c>
      <c r="J289" s="343" t="s">
        <v>296</v>
      </c>
      <c r="K289" s="343" t="s">
        <v>168</v>
      </c>
    </row>
    <row r="290" spans="1:11" ht="26.25" customHeight="1">
      <c r="A290" s="343" t="s">
        <v>161</v>
      </c>
      <c r="B290" s="344" t="s">
        <v>162</v>
      </c>
      <c r="C290" s="344">
        <v>9195</v>
      </c>
      <c r="D290" s="343" t="s">
        <v>1257</v>
      </c>
      <c r="E290" s="344">
        <v>6678225</v>
      </c>
      <c r="F290" s="343" t="s">
        <v>7516</v>
      </c>
      <c r="G290" s="360" t="s">
        <v>9462</v>
      </c>
      <c r="H290" s="361">
        <v>43124</v>
      </c>
      <c r="I290" s="343" t="s">
        <v>674</v>
      </c>
      <c r="J290" s="343" t="s">
        <v>9463</v>
      </c>
      <c r="K290" s="343" t="s">
        <v>173</v>
      </c>
    </row>
    <row r="291" spans="1:11" ht="26.25" customHeight="1">
      <c r="A291" s="343" t="s">
        <v>161</v>
      </c>
      <c r="B291" s="344" t="s">
        <v>162</v>
      </c>
      <c r="C291" s="344">
        <v>6582</v>
      </c>
      <c r="D291" s="343" t="s">
        <v>1143</v>
      </c>
      <c r="E291" s="344">
        <v>6016221</v>
      </c>
      <c r="F291" s="343" t="s">
        <v>7518</v>
      </c>
      <c r="G291" s="360" t="s">
        <v>376</v>
      </c>
      <c r="H291" s="361">
        <v>43133</v>
      </c>
      <c r="I291" s="343" t="s">
        <v>366</v>
      </c>
      <c r="J291" s="343" t="s">
        <v>1095</v>
      </c>
      <c r="K291" s="343" t="s">
        <v>168</v>
      </c>
    </row>
    <row r="292" spans="1:11" ht="26.25" customHeight="1">
      <c r="A292" s="343" t="s">
        <v>161</v>
      </c>
      <c r="B292" s="344" t="s">
        <v>162</v>
      </c>
      <c r="C292" s="344">
        <v>7443</v>
      </c>
      <c r="D292" s="343" t="s">
        <v>394</v>
      </c>
      <c r="E292" s="344">
        <v>6527477</v>
      </c>
      <c r="F292" s="343" t="s">
        <v>7519</v>
      </c>
      <c r="G292" s="360" t="s">
        <v>9464</v>
      </c>
      <c r="H292" s="361">
        <v>43133</v>
      </c>
      <c r="I292" s="343" t="s">
        <v>7520</v>
      </c>
      <c r="J292" s="343" t="s">
        <v>9465</v>
      </c>
      <c r="K292" s="343" t="s">
        <v>168</v>
      </c>
    </row>
    <row r="293" spans="1:11" ht="26.25" customHeight="1">
      <c r="A293" s="343" t="s">
        <v>161</v>
      </c>
      <c r="B293" s="344" t="s">
        <v>162</v>
      </c>
      <c r="C293" s="344">
        <v>6589</v>
      </c>
      <c r="D293" s="343" t="s">
        <v>1156</v>
      </c>
      <c r="E293" s="344">
        <v>6310277</v>
      </c>
      <c r="F293" s="343" t="s">
        <v>7521</v>
      </c>
      <c r="G293" s="360" t="s">
        <v>9466</v>
      </c>
      <c r="H293" s="361">
        <v>43133</v>
      </c>
      <c r="I293" s="343" t="s">
        <v>166</v>
      </c>
      <c r="J293" s="343" t="s">
        <v>9467</v>
      </c>
      <c r="K293" s="343" t="s">
        <v>168</v>
      </c>
    </row>
    <row r="294" spans="1:11" ht="26.25" customHeight="1">
      <c r="A294" s="343" t="s">
        <v>161</v>
      </c>
      <c r="B294" s="344" t="s">
        <v>162</v>
      </c>
      <c r="C294" s="344">
        <v>12607</v>
      </c>
      <c r="D294" s="343" t="s">
        <v>1055</v>
      </c>
      <c r="E294" s="344">
        <v>6293064</v>
      </c>
      <c r="F294" s="343" t="s">
        <v>628</v>
      </c>
      <c r="G294" s="360" t="s">
        <v>629</v>
      </c>
      <c r="H294" s="361">
        <v>43136</v>
      </c>
      <c r="I294" s="343" t="s">
        <v>198</v>
      </c>
      <c r="J294" s="343" t="s">
        <v>198</v>
      </c>
      <c r="K294" s="343" t="s">
        <v>168</v>
      </c>
    </row>
    <row r="295" spans="1:11" ht="26.25" customHeight="1">
      <c r="A295" s="343" t="s">
        <v>161</v>
      </c>
      <c r="B295" s="344" t="s">
        <v>162</v>
      </c>
      <c r="C295" s="344">
        <v>9855</v>
      </c>
      <c r="D295" s="343" t="s">
        <v>411</v>
      </c>
      <c r="E295" s="344">
        <v>6354724</v>
      </c>
      <c r="F295" s="343" t="s">
        <v>7522</v>
      </c>
      <c r="G295" s="360" t="s">
        <v>9468</v>
      </c>
      <c r="H295" s="361">
        <v>43138</v>
      </c>
      <c r="I295" s="343" t="s">
        <v>166</v>
      </c>
      <c r="J295" s="343" t="s">
        <v>9469</v>
      </c>
      <c r="K295" s="343" t="s">
        <v>168</v>
      </c>
    </row>
    <row r="296" spans="1:11" ht="26.25" customHeight="1">
      <c r="A296" s="343" t="s">
        <v>161</v>
      </c>
      <c r="B296" s="344" t="s">
        <v>162</v>
      </c>
      <c r="C296" s="344">
        <v>9910</v>
      </c>
      <c r="D296" s="343" t="s">
        <v>664</v>
      </c>
      <c r="E296" s="344">
        <v>5752925</v>
      </c>
      <c r="F296" s="343" t="s">
        <v>510</v>
      </c>
      <c r="G296" s="360" t="s">
        <v>511</v>
      </c>
      <c r="H296" s="361">
        <v>43139</v>
      </c>
      <c r="I296" s="343" t="s">
        <v>7523</v>
      </c>
      <c r="J296" s="343" t="s">
        <v>9470</v>
      </c>
      <c r="K296" s="343" t="s">
        <v>173</v>
      </c>
    </row>
    <row r="297" spans="1:11" ht="26.25" customHeight="1">
      <c r="A297" s="343" t="s">
        <v>161</v>
      </c>
      <c r="B297" s="344" t="s">
        <v>162</v>
      </c>
      <c r="C297" s="344">
        <v>9855</v>
      </c>
      <c r="D297" s="343" t="s">
        <v>411</v>
      </c>
      <c r="E297" s="344">
        <v>6856808</v>
      </c>
      <c r="F297" s="343" t="s">
        <v>7524</v>
      </c>
      <c r="G297" s="360" t="s">
        <v>9471</v>
      </c>
      <c r="H297" s="361">
        <v>43139</v>
      </c>
      <c r="I297" s="343" t="s">
        <v>284</v>
      </c>
      <c r="J297" s="343" t="s">
        <v>284</v>
      </c>
      <c r="K297" s="343" t="s">
        <v>168</v>
      </c>
    </row>
    <row r="298" spans="1:11" ht="26.25" customHeight="1">
      <c r="A298" s="343" t="s">
        <v>161</v>
      </c>
      <c r="B298" s="344" t="s">
        <v>162</v>
      </c>
      <c r="C298" s="344">
        <v>9903</v>
      </c>
      <c r="D298" s="343" t="s">
        <v>597</v>
      </c>
      <c r="E298" s="344">
        <v>6300512</v>
      </c>
      <c r="F298" s="343" t="s">
        <v>3581</v>
      </c>
      <c r="G298" s="360" t="s">
        <v>9398</v>
      </c>
      <c r="H298" s="361">
        <v>43139</v>
      </c>
      <c r="I298" s="343" t="s">
        <v>7525</v>
      </c>
      <c r="J298" s="343" t="s">
        <v>9472</v>
      </c>
      <c r="K298" s="343" t="s">
        <v>168</v>
      </c>
    </row>
    <row r="299" spans="1:11" ht="26.25" customHeight="1">
      <c r="A299" s="343" t="s">
        <v>161</v>
      </c>
      <c r="B299" s="344" t="s">
        <v>162</v>
      </c>
      <c r="C299" s="344">
        <v>9911</v>
      </c>
      <c r="D299" s="343" t="s">
        <v>563</v>
      </c>
      <c r="E299" s="344">
        <v>5585331</v>
      </c>
      <c r="F299" s="343" t="s">
        <v>7268</v>
      </c>
      <c r="G299" s="360" t="s">
        <v>1319</v>
      </c>
      <c r="H299" s="361">
        <v>43017</v>
      </c>
      <c r="I299" s="343" t="s">
        <v>4048</v>
      </c>
      <c r="J299" s="343" t="s">
        <v>9473</v>
      </c>
      <c r="K299" s="343" t="s">
        <v>248</v>
      </c>
    </row>
    <row r="300" spans="1:11" ht="26.25" customHeight="1">
      <c r="A300" s="343" t="s">
        <v>161</v>
      </c>
      <c r="B300" s="344" t="s">
        <v>162</v>
      </c>
      <c r="C300" s="344">
        <v>7458</v>
      </c>
      <c r="D300" s="343" t="s">
        <v>207</v>
      </c>
      <c r="E300" s="344">
        <v>6761281</v>
      </c>
      <c r="F300" s="343" t="s">
        <v>7527</v>
      </c>
      <c r="G300" s="360" t="s">
        <v>9474</v>
      </c>
      <c r="H300" s="361">
        <v>43145</v>
      </c>
      <c r="I300" s="343" t="s">
        <v>193</v>
      </c>
      <c r="J300" s="343" t="s">
        <v>509</v>
      </c>
      <c r="K300" s="343" t="s">
        <v>168</v>
      </c>
    </row>
    <row r="301" spans="1:11" ht="26.25" customHeight="1">
      <c r="A301" s="343" t="s">
        <v>161</v>
      </c>
      <c r="B301" s="344" t="s">
        <v>162</v>
      </c>
      <c r="C301" s="344">
        <v>8448</v>
      </c>
      <c r="D301" s="343" t="s">
        <v>240</v>
      </c>
      <c r="E301" s="344">
        <v>6653791</v>
      </c>
      <c r="F301" s="343" t="s">
        <v>7528</v>
      </c>
      <c r="G301" s="360" t="s">
        <v>9475</v>
      </c>
      <c r="H301" s="361">
        <v>43145</v>
      </c>
      <c r="I301" s="343" t="s">
        <v>7529</v>
      </c>
      <c r="J301" s="343" t="s">
        <v>9476</v>
      </c>
      <c r="K301" s="343" t="s">
        <v>168</v>
      </c>
    </row>
    <row r="302" spans="1:11" ht="26.25" customHeight="1">
      <c r="A302" s="343" t="s">
        <v>161</v>
      </c>
      <c r="B302" s="344" t="s">
        <v>162</v>
      </c>
      <c r="C302" s="344">
        <v>8448</v>
      </c>
      <c r="D302" s="343" t="s">
        <v>240</v>
      </c>
      <c r="E302" s="344">
        <v>6636027</v>
      </c>
      <c r="F302" s="343" t="s">
        <v>7530</v>
      </c>
      <c r="G302" s="360" t="s">
        <v>9477</v>
      </c>
      <c r="H302" s="361">
        <v>43145</v>
      </c>
      <c r="I302" s="343" t="s">
        <v>3583</v>
      </c>
      <c r="J302" s="343" t="s">
        <v>9390</v>
      </c>
      <c r="K302" s="343" t="s">
        <v>173</v>
      </c>
    </row>
    <row r="303" spans="1:11" ht="26.25" customHeight="1">
      <c r="A303" s="343" t="s">
        <v>161</v>
      </c>
      <c r="B303" s="344" t="s">
        <v>162</v>
      </c>
      <c r="C303" s="344">
        <v>11098</v>
      </c>
      <c r="D303" s="343" t="s">
        <v>683</v>
      </c>
      <c r="E303" s="344">
        <v>5983498</v>
      </c>
      <c r="F303" s="343" t="s">
        <v>7664</v>
      </c>
      <c r="G303" s="360" t="s">
        <v>9478</v>
      </c>
      <c r="H303" s="361">
        <v>43147</v>
      </c>
      <c r="I303" s="343" t="s">
        <v>3606</v>
      </c>
      <c r="J303" s="343" t="s">
        <v>3606</v>
      </c>
      <c r="K303" s="343" t="s">
        <v>168</v>
      </c>
    </row>
    <row r="304" spans="1:11" ht="26.25" customHeight="1">
      <c r="A304" s="343" t="s">
        <v>161</v>
      </c>
      <c r="B304" s="344" t="s">
        <v>162</v>
      </c>
      <c r="C304" s="344">
        <v>9195</v>
      </c>
      <c r="D304" s="343" t="s">
        <v>1257</v>
      </c>
      <c r="E304" s="344">
        <v>6225809</v>
      </c>
      <c r="F304" s="343" t="s">
        <v>7665</v>
      </c>
      <c r="G304" s="360" t="s">
        <v>9479</v>
      </c>
      <c r="H304" s="361">
        <v>43151</v>
      </c>
      <c r="I304" s="343" t="s">
        <v>287</v>
      </c>
      <c r="J304" s="343" t="s">
        <v>9480</v>
      </c>
      <c r="K304" s="343" t="s">
        <v>168</v>
      </c>
    </row>
    <row r="305" spans="1:11" ht="26.25" customHeight="1">
      <c r="A305" s="343" t="s">
        <v>161</v>
      </c>
      <c r="B305" s="344" t="s">
        <v>162</v>
      </c>
      <c r="C305" s="344">
        <v>9856</v>
      </c>
      <c r="D305" s="343" t="s">
        <v>641</v>
      </c>
      <c r="E305" s="344">
        <v>5969438</v>
      </c>
      <c r="F305" s="343" t="s">
        <v>7667</v>
      </c>
      <c r="G305" s="360" t="s">
        <v>9481</v>
      </c>
      <c r="H305" s="361">
        <v>43151</v>
      </c>
      <c r="I305" s="343" t="s">
        <v>166</v>
      </c>
      <c r="J305" s="343" t="s">
        <v>296</v>
      </c>
      <c r="K305" s="343" t="s">
        <v>168</v>
      </c>
    </row>
    <row r="306" spans="1:11" ht="26.25" customHeight="1">
      <c r="A306" s="343" t="s">
        <v>161</v>
      </c>
      <c r="B306" s="344" t="s">
        <v>162</v>
      </c>
      <c r="C306" s="344">
        <v>9856</v>
      </c>
      <c r="D306" s="343" t="s">
        <v>641</v>
      </c>
      <c r="E306" s="344">
        <v>6711572</v>
      </c>
      <c r="F306" s="343" t="s">
        <v>7668</v>
      </c>
      <c r="G306" s="360" t="s">
        <v>357</v>
      </c>
      <c r="H306" s="361">
        <v>43151</v>
      </c>
      <c r="I306" s="343" t="s">
        <v>3583</v>
      </c>
      <c r="J306" s="343" t="s">
        <v>9390</v>
      </c>
      <c r="K306" s="343" t="s">
        <v>173</v>
      </c>
    </row>
    <row r="307" spans="1:11" ht="26.25" customHeight="1">
      <c r="A307" s="343" t="s">
        <v>161</v>
      </c>
      <c r="B307" s="344" t="s">
        <v>162</v>
      </c>
      <c r="C307" s="344">
        <v>9856</v>
      </c>
      <c r="D307" s="343" t="s">
        <v>641</v>
      </c>
      <c r="E307" s="344">
        <v>6711548</v>
      </c>
      <c r="F307" s="343" t="s">
        <v>7669</v>
      </c>
      <c r="G307" s="360" t="s">
        <v>357</v>
      </c>
      <c r="H307" s="361">
        <v>43151</v>
      </c>
      <c r="I307" s="343" t="s">
        <v>7670</v>
      </c>
      <c r="J307" s="343" t="s">
        <v>9482</v>
      </c>
      <c r="K307" s="343" t="s">
        <v>168</v>
      </c>
    </row>
    <row r="308" spans="1:11" ht="26.25" customHeight="1">
      <c r="A308" s="343" t="s">
        <v>161</v>
      </c>
      <c r="B308" s="344" t="s">
        <v>162</v>
      </c>
      <c r="C308" s="344">
        <v>9856</v>
      </c>
      <c r="D308" s="343" t="s">
        <v>641</v>
      </c>
      <c r="E308" s="344">
        <v>6426686</v>
      </c>
      <c r="F308" s="343" t="s">
        <v>7671</v>
      </c>
      <c r="G308" s="360" t="s">
        <v>9483</v>
      </c>
      <c r="H308" s="361">
        <v>43151</v>
      </c>
      <c r="I308" s="343" t="s">
        <v>166</v>
      </c>
      <c r="J308" s="343" t="s">
        <v>296</v>
      </c>
      <c r="K308" s="343" t="s">
        <v>168</v>
      </c>
    </row>
    <row r="309" spans="1:11" ht="26.25" customHeight="1">
      <c r="A309" s="343" t="s">
        <v>161</v>
      </c>
      <c r="B309" s="344" t="s">
        <v>162</v>
      </c>
      <c r="C309" s="344">
        <v>6590</v>
      </c>
      <c r="D309" s="343" t="s">
        <v>1166</v>
      </c>
      <c r="E309" s="344">
        <v>5970152</v>
      </c>
      <c r="F309" s="343" t="s">
        <v>7672</v>
      </c>
      <c r="G309" s="360" t="s">
        <v>9484</v>
      </c>
      <c r="H309" s="361">
        <v>43151</v>
      </c>
      <c r="I309" s="343" t="s">
        <v>193</v>
      </c>
      <c r="J309" s="343" t="s">
        <v>637</v>
      </c>
      <c r="K309" s="343" t="s">
        <v>168</v>
      </c>
    </row>
    <row r="310" spans="1:11" ht="26.25" customHeight="1">
      <c r="A310" s="343" t="s">
        <v>161</v>
      </c>
      <c r="B310" s="344" t="s">
        <v>162</v>
      </c>
      <c r="C310" s="344">
        <v>11098</v>
      </c>
      <c r="D310" s="343" t="s">
        <v>683</v>
      </c>
      <c r="E310" s="344">
        <v>6526259</v>
      </c>
      <c r="F310" s="343" t="s">
        <v>528</v>
      </c>
      <c r="G310" s="360" t="s">
        <v>529</v>
      </c>
      <c r="H310" s="361">
        <v>43151</v>
      </c>
      <c r="I310" s="343" t="s">
        <v>301</v>
      </c>
      <c r="J310" s="343" t="s">
        <v>1113</v>
      </c>
      <c r="K310" s="343" t="s">
        <v>168</v>
      </c>
    </row>
    <row r="311" spans="1:11" ht="26.25" customHeight="1">
      <c r="A311" s="343" t="s">
        <v>161</v>
      </c>
      <c r="B311" s="344" t="s">
        <v>162</v>
      </c>
      <c r="C311" s="344">
        <v>7462</v>
      </c>
      <c r="D311" s="343" t="s">
        <v>195</v>
      </c>
      <c r="E311" s="344">
        <v>6518455</v>
      </c>
      <c r="F311" s="343" t="s">
        <v>7673</v>
      </c>
      <c r="G311" s="360" t="s">
        <v>9485</v>
      </c>
      <c r="H311" s="361">
        <v>43151</v>
      </c>
      <c r="I311" s="343" t="s">
        <v>193</v>
      </c>
      <c r="J311" s="343" t="s">
        <v>637</v>
      </c>
      <c r="K311" s="343" t="s">
        <v>168</v>
      </c>
    </row>
    <row r="312" spans="1:11" ht="26.25" customHeight="1">
      <c r="A312" s="343" t="s">
        <v>161</v>
      </c>
      <c r="B312" s="344" t="s">
        <v>162</v>
      </c>
      <c r="C312" s="344">
        <v>12755</v>
      </c>
      <c r="D312" s="343" t="s">
        <v>1416</v>
      </c>
      <c r="E312" s="344">
        <v>6223021</v>
      </c>
      <c r="F312" s="343" t="s">
        <v>7674</v>
      </c>
      <c r="G312" s="360" t="s">
        <v>9486</v>
      </c>
      <c r="H312" s="361">
        <v>43151</v>
      </c>
      <c r="I312" s="343" t="s">
        <v>7675</v>
      </c>
      <c r="J312" s="343" t="s">
        <v>9487</v>
      </c>
      <c r="K312" s="343" t="s">
        <v>168</v>
      </c>
    </row>
    <row r="313" spans="1:11" ht="26.25" customHeight="1">
      <c r="A313" s="343" t="s">
        <v>161</v>
      </c>
      <c r="B313" s="344" t="s">
        <v>162</v>
      </c>
      <c r="C313" s="344">
        <v>12755</v>
      </c>
      <c r="D313" s="343" t="s">
        <v>1416</v>
      </c>
      <c r="E313" s="344">
        <v>6223935</v>
      </c>
      <c r="F313" s="343" t="s">
        <v>7676</v>
      </c>
      <c r="G313" s="360" t="s">
        <v>9488</v>
      </c>
      <c r="H313" s="361">
        <v>43151</v>
      </c>
      <c r="I313" s="343" t="s">
        <v>301</v>
      </c>
      <c r="J313" s="343" t="s">
        <v>1113</v>
      </c>
      <c r="K313" s="343" t="s">
        <v>168</v>
      </c>
    </row>
    <row r="314" spans="1:11" ht="26.25" customHeight="1">
      <c r="A314" s="343" t="s">
        <v>161</v>
      </c>
      <c r="B314" s="344" t="s">
        <v>162</v>
      </c>
      <c r="C314" s="344">
        <v>6587</v>
      </c>
      <c r="D314" s="343" t="s">
        <v>1336</v>
      </c>
      <c r="E314" s="344">
        <v>6141438</v>
      </c>
      <c r="F314" s="343" t="s">
        <v>7677</v>
      </c>
      <c r="G314" s="360" t="s">
        <v>9489</v>
      </c>
      <c r="H314" s="361">
        <v>43151</v>
      </c>
      <c r="I314" s="343" t="s">
        <v>193</v>
      </c>
      <c r="J314" s="343" t="s">
        <v>637</v>
      </c>
      <c r="K314" s="343" t="s">
        <v>168</v>
      </c>
    </row>
    <row r="315" spans="1:11" ht="26.25" customHeight="1">
      <c r="A315" s="343" t="s">
        <v>161</v>
      </c>
      <c r="B315" s="344" t="s">
        <v>162</v>
      </c>
      <c r="C315" s="344">
        <v>6587</v>
      </c>
      <c r="D315" s="343" t="s">
        <v>1336</v>
      </c>
      <c r="E315" s="344">
        <v>5964402</v>
      </c>
      <c r="F315" s="343" t="s">
        <v>7678</v>
      </c>
      <c r="G315" s="360" t="s">
        <v>9490</v>
      </c>
      <c r="H315" s="361">
        <v>43151</v>
      </c>
      <c r="I315" s="343" t="s">
        <v>547</v>
      </c>
      <c r="J315" s="343" t="s">
        <v>936</v>
      </c>
      <c r="K315" s="343" t="s">
        <v>248</v>
      </c>
    </row>
    <row r="316" spans="1:11" ht="26.25" customHeight="1">
      <c r="A316" s="343" t="s">
        <v>161</v>
      </c>
      <c r="B316" s="344" t="s">
        <v>162</v>
      </c>
      <c r="C316" s="344">
        <v>7445</v>
      </c>
      <c r="D316" s="343" t="s">
        <v>7032</v>
      </c>
      <c r="E316" s="344">
        <v>6070784</v>
      </c>
      <c r="F316" s="343" t="s">
        <v>7679</v>
      </c>
      <c r="G316" s="360" t="s">
        <v>9491</v>
      </c>
      <c r="H316" s="361">
        <v>43152</v>
      </c>
      <c r="I316" s="343" t="s">
        <v>4190</v>
      </c>
      <c r="J316" s="343" t="s">
        <v>9420</v>
      </c>
      <c r="K316" s="343" t="s">
        <v>168</v>
      </c>
    </row>
    <row r="317" spans="1:11" ht="26.25" customHeight="1">
      <c r="A317" s="343" t="s">
        <v>161</v>
      </c>
      <c r="B317" s="344" t="s">
        <v>162</v>
      </c>
      <c r="C317" s="344">
        <v>6582</v>
      </c>
      <c r="D317" s="343" t="s">
        <v>1143</v>
      </c>
      <c r="E317" s="344">
        <v>6465895</v>
      </c>
      <c r="F317" s="343" t="s">
        <v>371</v>
      </c>
      <c r="G317" s="360" t="s">
        <v>372</v>
      </c>
      <c r="H317" s="361">
        <v>43152</v>
      </c>
      <c r="I317" s="343" t="s">
        <v>166</v>
      </c>
      <c r="J317" s="343" t="s">
        <v>9492</v>
      </c>
      <c r="K317" s="343" t="s">
        <v>173</v>
      </c>
    </row>
    <row r="318" spans="1:11" ht="26.25" customHeight="1">
      <c r="A318" s="343" t="s">
        <v>161</v>
      </c>
      <c r="B318" s="344" t="s">
        <v>162</v>
      </c>
      <c r="C318" s="344">
        <v>12606</v>
      </c>
      <c r="D318" s="343" t="s">
        <v>1410</v>
      </c>
      <c r="E318" s="344">
        <v>6086845</v>
      </c>
      <c r="F318" s="343" t="s">
        <v>7680</v>
      </c>
      <c r="G318" s="360" t="s">
        <v>300</v>
      </c>
      <c r="H318" s="361">
        <v>43152</v>
      </c>
      <c r="I318" s="343" t="s">
        <v>193</v>
      </c>
      <c r="J318" s="343" t="s">
        <v>637</v>
      </c>
      <c r="K318" s="343" t="s">
        <v>168</v>
      </c>
    </row>
    <row r="319" spans="1:11" ht="26.25" customHeight="1">
      <c r="A319" s="343" t="s">
        <v>161</v>
      </c>
      <c r="B319" s="344" t="s">
        <v>162</v>
      </c>
      <c r="C319" s="344">
        <v>12070</v>
      </c>
      <c r="D319" s="343" t="s">
        <v>462</v>
      </c>
      <c r="E319" s="344">
        <v>6708014</v>
      </c>
      <c r="F319" s="343" t="s">
        <v>7681</v>
      </c>
      <c r="G319" s="360" t="s">
        <v>237</v>
      </c>
      <c r="H319" s="361">
        <v>43152</v>
      </c>
      <c r="I319" s="343" t="s">
        <v>193</v>
      </c>
      <c r="J319" s="343" t="s">
        <v>637</v>
      </c>
      <c r="K319" s="343" t="s">
        <v>168</v>
      </c>
    </row>
    <row r="320" spans="1:11" ht="26.25" customHeight="1">
      <c r="A320" s="343" t="s">
        <v>161</v>
      </c>
      <c r="B320" s="344" t="s">
        <v>162</v>
      </c>
      <c r="C320" s="344">
        <v>9914</v>
      </c>
      <c r="D320" s="343" t="s">
        <v>1194</v>
      </c>
      <c r="E320" s="344">
        <v>6042793</v>
      </c>
      <c r="F320" s="343" t="s">
        <v>7682</v>
      </c>
      <c r="G320" s="360" t="s">
        <v>9493</v>
      </c>
      <c r="H320" s="361">
        <v>43152</v>
      </c>
      <c r="I320" s="343" t="s">
        <v>349</v>
      </c>
      <c r="J320" s="343" t="s">
        <v>640</v>
      </c>
      <c r="K320" s="343" t="s">
        <v>168</v>
      </c>
    </row>
    <row r="321" spans="1:11" ht="26.25" customHeight="1">
      <c r="A321" s="343" t="s">
        <v>161</v>
      </c>
      <c r="B321" s="344" t="s">
        <v>162</v>
      </c>
      <c r="C321" s="344">
        <v>6923</v>
      </c>
      <c r="D321" s="343" t="s">
        <v>874</v>
      </c>
      <c r="E321" s="344">
        <v>5867532</v>
      </c>
      <c r="F321" s="343" t="s">
        <v>7683</v>
      </c>
      <c r="G321" s="360" t="s">
        <v>611</v>
      </c>
      <c r="H321" s="361">
        <v>43153</v>
      </c>
      <c r="I321" s="343" t="s">
        <v>7684</v>
      </c>
      <c r="J321" s="343" t="s">
        <v>9494</v>
      </c>
      <c r="K321" s="343" t="s">
        <v>248</v>
      </c>
    </row>
    <row r="322" spans="1:11" ht="26.25" customHeight="1">
      <c r="A322" s="343" t="s">
        <v>161</v>
      </c>
      <c r="B322" s="344" t="s">
        <v>162</v>
      </c>
      <c r="C322" s="344">
        <v>6583</v>
      </c>
      <c r="D322" s="343" t="s">
        <v>1110</v>
      </c>
      <c r="E322" s="344">
        <v>5795112</v>
      </c>
      <c r="F322" s="343" t="s">
        <v>7686</v>
      </c>
      <c r="G322" s="360" t="s">
        <v>9495</v>
      </c>
      <c r="H322" s="361">
        <v>43153</v>
      </c>
      <c r="I322" s="343" t="s">
        <v>5469</v>
      </c>
      <c r="J322" s="343" t="s">
        <v>9496</v>
      </c>
      <c r="K322" s="343" t="s">
        <v>173</v>
      </c>
    </row>
    <row r="323" spans="1:11" ht="26.25" customHeight="1">
      <c r="A323" s="343" t="s">
        <v>161</v>
      </c>
      <c r="B323" s="344" t="s">
        <v>162</v>
      </c>
      <c r="C323" s="344">
        <v>6932</v>
      </c>
      <c r="D323" s="343" t="s">
        <v>808</v>
      </c>
      <c r="E323" s="344">
        <v>3446645</v>
      </c>
      <c r="F323" s="343" t="s">
        <v>809</v>
      </c>
      <c r="G323" s="360" t="s">
        <v>810</v>
      </c>
      <c r="H323" s="361">
        <v>43153</v>
      </c>
      <c r="I323" s="343" t="s">
        <v>211</v>
      </c>
      <c r="J323" s="343" t="s">
        <v>909</v>
      </c>
      <c r="K323" s="343" t="s">
        <v>168</v>
      </c>
    </row>
    <row r="324" spans="1:11" ht="26.25" customHeight="1">
      <c r="A324" s="343" t="s">
        <v>161</v>
      </c>
      <c r="B324" s="344" t="s">
        <v>162</v>
      </c>
      <c r="C324" s="344">
        <v>9856</v>
      </c>
      <c r="D324" s="343" t="s">
        <v>641</v>
      </c>
      <c r="E324" s="344">
        <v>5891909</v>
      </c>
      <c r="F324" s="343" t="s">
        <v>7687</v>
      </c>
      <c r="G324" s="360" t="s">
        <v>9363</v>
      </c>
      <c r="H324" s="361">
        <v>43153</v>
      </c>
      <c r="I324" s="343" t="s">
        <v>742</v>
      </c>
      <c r="J324" s="343" t="s">
        <v>742</v>
      </c>
      <c r="K324" s="343" t="s">
        <v>168</v>
      </c>
    </row>
    <row r="325" spans="1:11" ht="26.25" customHeight="1">
      <c r="A325" s="343" t="s">
        <v>161</v>
      </c>
      <c r="B325" s="344" t="s">
        <v>162</v>
      </c>
      <c r="C325" s="344">
        <v>9837</v>
      </c>
      <c r="D325" s="343" t="s">
        <v>1368</v>
      </c>
      <c r="E325" s="344">
        <v>6335741</v>
      </c>
      <c r="F325" s="343" t="s">
        <v>7688</v>
      </c>
      <c r="G325" s="360" t="s">
        <v>9497</v>
      </c>
      <c r="H325" s="361">
        <v>43159</v>
      </c>
      <c r="I325" s="343" t="s">
        <v>1425</v>
      </c>
      <c r="J325" s="343" t="s">
        <v>9498</v>
      </c>
      <c r="K325" s="343" t="s">
        <v>248</v>
      </c>
    </row>
    <row r="326" spans="1:11" ht="26.25" customHeight="1">
      <c r="A326" s="343" t="s">
        <v>161</v>
      </c>
      <c r="B326" s="344" t="s">
        <v>162</v>
      </c>
      <c r="C326" s="344">
        <v>12606</v>
      </c>
      <c r="D326" s="343" t="s">
        <v>1410</v>
      </c>
      <c r="E326" s="344">
        <v>6209503</v>
      </c>
      <c r="F326" s="343" t="s">
        <v>241</v>
      </c>
      <c r="G326" s="360" t="s">
        <v>242</v>
      </c>
      <c r="H326" s="361">
        <v>43159</v>
      </c>
      <c r="I326" s="343" t="s">
        <v>166</v>
      </c>
      <c r="J326" s="343" t="s">
        <v>296</v>
      </c>
      <c r="K326" s="343" t="s">
        <v>168</v>
      </c>
    </row>
    <row r="327" spans="1:11" ht="26.25" customHeight="1">
      <c r="A327" s="343" t="s">
        <v>161</v>
      </c>
      <c r="B327" s="344" t="s">
        <v>162</v>
      </c>
      <c r="C327" s="344">
        <v>11085</v>
      </c>
      <c r="D327" s="343" t="s">
        <v>520</v>
      </c>
      <c r="E327" s="344">
        <v>6326700</v>
      </c>
      <c r="F327" s="343" t="s">
        <v>7692</v>
      </c>
      <c r="G327" s="360" t="s">
        <v>9499</v>
      </c>
      <c r="H327" s="361">
        <v>43159</v>
      </c>
      <c r="I327" s="343" t="s">
        <v>193</v>
      </c>
      <c r="J327" s="343" t="s">
        <v>9500</v>
      </c>
      <c r="K327" s="343" t="s">
        <v>168</v>
      </c>
    </row>
    <row r="328" spans="1:11" ht="26.25" customHeight="1">
      <c r="A328" s="343" t="s">
        <v>161</v>
      </c>
      <c r="B328" s="344" t="s">
        <v>162</v>
      </c>
      <c r="C328" s="344">
        <v>6583</v>
      </c>
      <c r="D328" s="343" t="s">
        <v>1110</v>
      </c>
      <c r="E328" s="344">
        <v>6384930</v>
      </c>
      <c r="F328" s="343" t="s">
        <v>7693</v>
      </c>
      <c r="G328" s="360" t="s">
        <v>9501</v>
      </c>
      <c r="H328" s="361">
        <v>43159</v>
      </c>
      <c r="I328" s="343" t="s">
        <v>802</v>
      </c>
      <c r="J328" s="343" t="s">
        <v>1075</v>
      </c>
      <c r="K328" s="343" t="s">
        <v>168</v>
      </c>
    </row>
    <row r="329" spans="1:11" ht="26.25" customHeight="1">
      <c r="A329" s="343" t="s">
        <v>161</v>
      </c>
      <c r="B329" s="344" t="s">
        <v>162</v>
      </c>
      <c r="C329" s="344">
        <v>9917</v>
      </c>
      <c r="D329" s="343" t="s">
        <v>479</v>
      </c>
      <c r="E329" s="344">
        <v>6889487</v>
      </c>
      <c r="F329" s="343" t="s">
        <v>7694</v>
      </c>
      <c r="G329" s="360" t="s">
        <v>9502</v>
      </c>
      <c r="H329" s="361">
        <v>43160</v>
      </c>
      <c r="I329" s="343" t="s">
        <v>284</v>
      </c>
      <c r="J329" s="343" t="s">
        <v>9503</v>
      </c>
      <c r="K329" s="343" t="s">
        <v>168</v>
      </c>
    </row>
    <row r="330" spans="1:11" ht="26.25" customHeight="1">
      <c r="A330" s="343" t="s">
        <v>161</v>
      </c>
      <c r="B330" s="344" t="s">
        <v>162</v>
      </c>
      <c r="C330" s="344">
        <v>6581</v>
      </c>
      <c r="D330" s="343" t="s">
        <v>1134</v>
      </c>
      <c r="E330" s="344">
        <v>6282799</v>
      </c>
      <c r="F330" s="343" t="s">
        <v>7695</v>
      </c>
      <c r="G330" s="360" t="s">
        <v>9504</v>
      </c>
      <c r="H330" s="361">
        <v>43160</v>
      </c>
      <c r="I330" s="343" t="s">
        <v>261</v>
      </c>
      <c r="J330" s="343" t="s">
        <v>9505</v>
      </c>
      <c r="K330" s="343" t="s">
        <v>168</v>
      </c>
    </row>
    <row r="331" spans="1:11" ht="26.25" customHeight="1">
      <c r="A331" s="343" t="s">
        <v>161</v>
      </c>
      <c r="B331" s="344" t="s">
        <v>162</v>
      </c>
      <c r="C331" s="344">
        <v>8448</v>
      </c>
      <c r="D331" s="343" t="s">
        <v>240</v>
      </c>
      <c r="E331" s="344">
        <v>6884959</v>
      </c>
      <c r="F331" s="343" t="s">
        <v>7696</v>
      </c>
      <c r="G331" s="360" t="s">
        <v>9506</v>
      </c>
      <c r="H331" s="361">
        <v>43160</v>
      </c>
      <c r="I331" s="343" t="s">
        <v>1038</v>
      </c>
      <c r="J331" s="343" t="s">
        <v>1039</v>
      </c>
      <c r="K331" s="343" t="s">
        <v>168</v>
      </c>
    </row>
    <row r="332" spans="1:11" ht="26.25" customHeight="1">
      <c r="A332" s="343" t="s">
        <v>161</v>
      </c>
      <c r="B332" s="344" t="s">
        <v>162</v>
      </c>
      <c r="C332" s="344">
        <v>6582</v>
      </c>
      <c r="D332" s="343" t="s">
        <v>1143</v>
      </c>
      <c r="E332" s="344">
        <v>5904160</v>
      </c>
      <c r="F332" s="343" t="s">
        <v>7697</v>
      </c>
      <c r="G332" s="360" t="s">
        <v>9507</v>
      </c>
      <c r="H332" s="361">
        <v>43164</v>
      </c>
      <c r="I332" s="343" t="s">
        <v>709</v>
      </c>
      <c r="J332" s="343" t="s">
        <v>9508</v>
      </c>
      <c r="K332" s="343" t="s">
        <v>168</v>
      </c>
    </row>
    <row r="333" spans="1:11" ht="26.25" customHeight="1">
      <c r="A333" s="343" t="s">
        <v>161</v>
      </c>
      <c r="B333" s="344" t="s">
        <v>162</v>
      </c>
      <c r="C333" s="344">
        <v>13517</v>
      </c>
      <c r="D333" s="343" t="s">
        <v>1119</v>
      </c>
      <c r="E333" s="344">
        <v>5989044</v>
      </c>
      <c r="F333" s="343" t="s">
        <v>7698</v>
      </c>
      <c r="G333" s="360" t="s">
        <v>9509</v>
      </c>
      <c r="H333" s="361">
        <v>43168</v>
      </c>
      <c r="I333" s="343" t="s">
        <v>366</v>
      </c>
      <c r="J333" s="343" t="s">
        <v>366</v>
      </c>
      <c r="K333" s="343" t="s">
        <v>168</v>
      </c>
    </row>
    <row r="334" spans="1:11" ht="26.25" customHeight="1">
      <c r="A334" s="343" t="s">
        <v>161</v>
      </c>
      <c r="B334" s="344" t="s">
        <v>162</v>
      </c>
      <c r="C334" s="344">
        <v>11098</v>
      </c>
      <c r="D334" s="343" t="s">
        <v>683</v>
      </c>
      <c r="E334" s="344">
        <v>5829919</v>
      </c>
      <c r="F334" s="343" t="s">
        <v>697</v>
      </c>
      <c r="G334" s="360" t="s">
        <v>639</v>
      </c>
      <c r="H334" s="361">
        <v>43172</v>
      </c>
      <c r="I334" s="343" t="s">
        <v>580</v>
      </c>
      <c r="J334" s="343" t="s">
        <v>9510</v>
      </c>
      <c r="K334" s="343" t="s">
        <v>248</v>
      </c>
    </row>
    <row r="335" spans="1:11" ht="26.25" customHeight="1">
      <c r="A335" s="343" t="s">
        <v>161</v>
      </c>
      <c r="B335" s="344" t="s">
        <v>162</v>
      </c>
      <c r="C335" s="344">
        <v>6586</v>
      </c>
      <c r="D335" s="343" t="s">
        <v>1460</v>
      </c>
      <c r="E335" s="344">
        <v>5738002</v>
      </c>
      <c r="F335" s="343" t="s">
        <v>486</v>
      </c>
      <c r="G335" s="360" t="s">
        <v>487</v>
      </c>
      <c r="H335" s="361">
        <v>43180</v>
      </c>
      <c r="I335" s="343" t="s">
        <v>193</v>
      </c>
      <c r="J335" s="343" t="s">
        <v>9511</v>
      </c>
      <c r="K335" s="343" t="s">
        <v>168</v>
      </c>
    </row>
    <row r="336" spans="1:11" ht="26.25" customHeight="1">
      <c r="A336" s="343" t="s">
        <v>161</v>
      </c>
      <c r="B336" s="344" t="s">
        <v>162</v>
      </c>
      <c r="C336" s="344">
        <v>10769</v>
      </c>
      <c r="D336" s="343" t="s">
        <v>1373</v>
      </c>
      <c r="E336" s="344">
        <v>6129490</v>
      </c>
      <c r="F336" s="343" t="s">
        <v>7699</v>
      </c>
      <c r="G336" s="360" t="s">
        <v>387</v>
      </c>
      <c r="H336" s="361">
        <v>43180</v>
      </c>
      <c r="I336" s="343" t="s">
        <v>3606</v>
      </c>
      <c r="J336" s="343" t="s">
        <v>3606</v>
      </c>
      <c r="K336" s="343" t="s">
        <v>168</v>
      </c>
    </row>
    <row r="337" spans="1:11" ht="26.25" customHeight="1">
      <c r="A337" s="343" t="s">
        <v>161</v>
      </c>
      <c r="B337" s="344" t="s">
        <v>162</v>
      </c>
      <c r="C337" s="344">
        <v>13546</v>
      </c>
      <c r="D337" s="343" t="s">
        <v>7700</v>
      </c>
      <c r="E337" s="344">
        <v>6104755</v>
      </c>
      <c r="F337" s="343" t="s">
        <v>7701</v>
      </c>
      <c r="G337" s="360" t="s">
        <v>357</v>
      </c>
      <c r="H337" s="361">
        <v>43180</v>
      </c>
      <c r="I337" s="343" t="s">
        <v>166</v>
      </c>
      <c r="J337" s="343" t="s">
        <v>327</v>
      </c>
      <c r="K337" s="343" t="s">
        <v>168</v>
      </c>
    </row>
    <row r="338" spans="1:11" ht="26.25" customHeight="1">
      <c r="A338" s="343" t="s">
        <v>161</v>
      </c>
      <c r="B338" s="344" t="s">
        <v>162</v>
      </c>
      <c r="C338" s="344">
        <v>6583</v>
      </c>
      <c r="D338" s="343" t="s">
        <v>1110</v>
      </c>
      <c r="E338" s="344">
        <v>6550210</v>
      </c>
      <c r="F338" s="343" t="s">
        <v>7702</v>
      </c>
      <c r="G338" s="360" t="s">
        <v>9512</v>
      </c>
      <c r="H338" s="361">
        <v>43180</v>
      </c>
      <c r="I338" s="343" t="s">
        <v>802</v>
      </c>
      <c r="J338" s="343" t="s">
        <v>1075</v>
      </c>
      <c r="K338" s="343" t="s">
        <v>168</v>
      </c>
    </row>
    <row r="339" spans="1:11" ht="26.25" customHeight="1">
      <c r="A339" s="343" t="s">
        <v>161</v>
      </c>
      <c r="B339" s="344" t="s">
        <v>162</v>
      </c>
      <c r="C339" s="344">
        <v>6585</v>
      </c>
      <c r="D339" s="343" t="s">
        <v>1177</v>
      </c>
      <c r="E339" s="344">
        <v>6407613</v>
      </c>
      <c r="F339" s="343" t="s">
        <v>7703</v>
      </c>
      <c r="G339" s="360" t="s">
        <v>9513</v>
      </c>
      <c r="H339" s="361">
        <v>43180</v>
      </c>
      <c r="I339" s="343" t="s">
        <v>6510</v>
      </c>
      <c r="J339" s="343" t="s">
        <v>9514</v>
      </c>
      <c r="K339" s="343" t="s">
        <v>173</v>
      </c>
    </row>
    <row r="340" spans="1:11" ht="26.25" customHeight="1">
      <c r="A340" s="343" t="s">
        <v>161</v>
      </c>
      <c r="B340" s="344" t="s">
        <v>162</v>
      </c>
      <c r="C340" s="344">
        <v>6585</v>
      </c>
      <c r="D340" s="343" t="s">
        <v>1177</v>
      </c>
      <c r="E340" s="344">
        <v>6411211</v>
      </c>
      <c r="F340" s="343" t="s">
        <v>347</v>
      </c>
      <c r="G340" s="360" t="s">
        <v>348</v>
      </c>
      <c r="H340" s="361">
        <v>43180</v>
      </c>
      <c r="I340" s="343" t="s">
        <v>193</v>
      </c>
      <c r="J340" s="343" t="s">
        <v>9515</v>
      </c>
      <c r="K340" s="343" t="s">
        <v>168</v>
      </c>
    </row>
    <row r="341" spans="1:11" ht="26.25" customHeight="1">
      <c r="A341" s="343" t="s">
        <v>161</v>
      </c>
      <c r="B341" s="344" t="s">
        <v>162</v>
      </c>
      <c r="C341" s="344">
        <v>6593</v>
      </c>
      <c r="D341" s="343" t="s">
        <v>1096</v>
      </c>
      <c r="E341" s="344">
        <v>6097794</v>
      </c>
      <c r="F341" s="343" t="s">
        <v>7704</v>
      </c>
      <c r="G341" s="360" t="s">
        <v>9516</v>
      </c>
      <c r="H341" s="361">
        <v>43181</v>
      </c>
      <c r="I341" s="343" t="s">
        <v>366</v>
      </c>
      <c r="J341" s="343" t="s">
        <v>366</v>
      </c>
      <c r="K341" s="343" t="s">
        <v>168</v>
      </c>
    </row>
    <row r="342" spans="1:11" ht="26.25" customHeight="1">
      <c r="A342" s="343" t="s">
        <v>161</v>
      </c>
      <c r="B342" s="344" t="s">
        <v>162</v>
      </c>
      <c r="C342" s="344">
        <v>12069</v>
      </c>
      <c r="D342" s="343" t="s">
        <v>617</v>
      </c>
      <c r="E342" s="344">
        <v>6417096</v>
      </c>
      <c r="F342" s="343" t="s">
        <v>7705</v>
      </c>
      <c r="G342" s="360" t="s">
        <v>9517</v>
      </c>
      <c r="H342" s="361">
        <v>43181</v>
      </c>
      <c r="I342" s="343" t="s">
        <v>193</v>
      </c>
      <c r="J342" s="343" t="s">
        <v>637</v>
      </c>
      <c r="K342" s="343" t="s">
        <v>168</v>
      </c>
    </row>
    <row r="343" spans="1:11" ht="26.25" customHeight="1">
      <c r="A343" s="343" t="s">
        <v>161</v>
      </c>
      <c r="B343" s="344" t="s">
        <v>162</v>
      </c>
      <c r="C343" s="344">
        <v>12242</v>
      </c>
      <c r="D343" s="343" t="s">
        <v>7276</v>
      </c>
      <c r="E343" s="344">
        <v>5841097</v>
      </c>
      <c r="F343" s="343" t="s">
        <v>1180</v>
      </c>
      <c r="G343" s="360" t="s">
        <v>1181</v>
      </c>
      <c r="H343" s="361">
        <v>43181</v>
      </c>
      <c r="I343" s="343" t="s">
        <v>1182</v>
      </c>
      <c r="J343" s="343" t="s">
        <v>9518</v>
      </c>
      <c r="K343" s="343" t="s">
        <v>173</v>
      </c>
    </row>
    <row r="344" spans="1:11" ht="26.25" customHeight="1">
      <c r="A344" s="343" t="s">
        <v>161</v>
      </c>
      <c r="B344" s="344" t="s">
        <v>162</v>
      </c>
      <c r="C344" s="344">
        <v>12606</v>
      </c>
      <c r="D344" s="343" t="s">
        <v>1410</v>
      </c>
      <c r="E344" s="344">
        <v>6651674</v>
      </c>
      <c r="F344" s="343" t="s">
        <v>7706</v>
      </c>
      <c r="G344" s="360" t="s">
        <v>9519</v>
      </c>
      <c r="H344" s="361">
        <v>43181</v>
      </c>
      <c r="I344" s="343" t="s">
        <v>193</v>
      </c>
      <c r="J344" s="343" t="s">
        <v>509</v>
      </c>
      <c r="K344" s="343" t="s">
        <v>168</v>
      </c>
    </row>
    <row r="345" spans="1:11" ht="26.25" customHeight="1">
      <c r="A345" s="343" t="s">
        <v>161</v>
      </c>
      <c r="B345" s="344" t="s">
        <v>162</v>
      </c>
      <c r="C345" s="344">
        <v>9477</v>
      </c>
      <c r="D345" s="343" t="s">
        <v>1378</v>
      </c>
      <c r="E345" s="344">
        <v>6485973</v>
      </c>
      <c r="F345" s="343" t="s">
        <v>7707</v>
      </c>
      <c r="G345" s="360" t="s">
        <v>9520</v>
      </c>
      <c r="H345" s="361">
        <v>43181</v>
      </c>
      <c r="I345" s="343" t="s">
        <v>193</v>
      </c>
      <c r="J345" s="343" t="s">
        <v>637</v>
      </c>
      <c r="K345" s="343" t="s">
        <v>168</v>
      </c>
    </row>
    <row r="346" spans="1:11" ht="26.25" customHeight="1">
      <c r="A346" s="343" t="s">
        <v>161</v>
      </c>
      <c r="B346" s="344" t="s">
        <v>162</v>
      </c>
      <c r="C346" s="344">
        <v>7450</v>
      </c>
      <c r="D346" s="343" t="s">
        <v>402</v>
      </c>
      <c r="E346" s="344">
        <v>6773402</v>
      </c>
      <c r="F346" s="343" t="s">
        <v>3572</v>
      </c>
      <c r="G346" s="360" t="s">
        <v>9521</v>
      </c>
      <c r="H346" s="361">
        <v>43182</v>
      </c>
      <c r="I346" s="343" t="s">
        <v>271</v>
      </c>
      <c r="J346" s="343" t="s">
        <v>9522</v>
      </c>
      <c r="K346" s="343" t="s">
        <v>168</v>
      </c>
    </row>
    <row r="347" spans="1:11" ht="26.25" customHeight="1">
      <c r="A347" s="343" t="s">
        <v>161</v>
      </c>
      <c r="B347" s="344" t="s">
        <v>162</v>
      </c>
      <c r="C347" s="344">
        <v>6587</v>
      </c>
      <c r="D347" s="343" t="s">
        <v>1336</v>
      </c>
      <c r="E347" s="344">
        <v>6466460</v>
      </c>
      <c r="F347" s="343" t="s">
        <v>7708</v>
      </c>
      <c r="G347" s="360" t="s">
        <v>9523</v>
      </c>
      <c r="H347" s="361">
        <v>43181</v>
      </c>
      <c r="I347" s="343" t="s">
        <v>271</v>
      </c>
      <c r="J347" s="343" t="s">
        <v>333</v>
      </c>
      <c r="K347" s="343" t="s">
        <v>168</v>
      </c>
    </row>
    <row r="348" spans="1:11" ht="26.25" customHeight="1">
      <c r="A348" s="343" t="s">
        <v>161</v>
      </c>
      <c r="B348" s="344" t="s">
        <v>162</v>
      </c>
      <c r="C348" s="344">
        <v>6587</v>
      </c>
      <c r="D348" s="343" t="s">
        <v>1336</v>
      </c>
      <c r="E348" s="344">
        <v>5951542</v>
      </c>
      <c r="F348" s="343" t="s">
        <v>7709</v>
      </c>
      <c r="G348" s="360" t="s">
        <v>9524</v>
      </c>
      <c r="H348" s="361">
        <v>43181</v>
      </c>
      <c r="I348" s="343" t="s">
        <v>4876</v>
      </c>
      <c r="J348" s="343" t="s">
        <v>9525</v>
      </c>
      <c r="K348" s="343" t="s">
        <v>173</v>
      </c>
    </row>
    <row r="349" spans="1:11" ht="26.25" customHeight="1">
      <c r="A349" s="343" t="s">
        <v>161</v>
      </c>
      <c r="B349" s="344" t="s">
        <v>162</v>
      </c>
      <c r="C349" s="344">
        <v>9916</v>
      </c>
      <c r="D349" s="343" t="s">
        <v>439</v>
      </c>
      <c r="E349" s="344">
        <v>6392041</v>
      </c>
      <c r="F349" s="343" t="s">
        <v>8140</v>
      </c>
      <c r="G349" s="360" t="s">
        <v>9526</v>
      </c>
      <c r="H349" s="361">
        <v>43187</v>
      </c>
      <c r="I349" s="343" t="s">
        <v>180</v>
      </c>
      <c r="J349" s="343" t="s">
        <v>9527</v>
      </c>
      <c r="K349" s="343" t="s">
        <v>168</v>
      </c>
    </row>
    <row r="350" spans="1:11" ht="26.25" customHeight="1">
      <c r="A350" s="343" t="s">
        <v>161</v>
      </c>
      <c r="B350" s="344" t="s">
        <v>162</v>
      </c>
      <c r="C350" s="344">
        <v>11085</v>
      </c>
      <c r="D350" s="343" t="s">
        <v>520</v>
      </c>
      <c r="E350" s="344">
        <v>6436862</v>
      </c>
      <c r="F350" s="343" t="s">
        <v>8141</v>
      </c>
      <c r="G350" s="360" t="s">
        <v>9528</v>
      </c>
      <c r="H350" s="361">
        <v>43187</v>
      </c>
      <c r="I350" s="343" t="s">
        <v>166</v>
      </c>
      <c r="J350" s="343" t="s">
        <v>296</v>
      </c>
      <c r="K350" s="343" t="s">
        <v>168</v>
      </c>
    </row>
    <row r="351" spans="1:11" ht="26.25" customHeight="1">
      <c r="A351" s="343" t="s">
        <v>161</v>
      </c>
      <c r="B351" s="344" t="s">
        <v>162</v>
      </c>
      <c r="C351" s="344">
        <v>9855</v>
      </c>
      <c r="D351" s="343" t="s">
        <v>411</v>
      </c>
      <c r="E351" s="344">
        <v>7006891</v>
      </c>
      <c r="F351" s="343" t="s">
        <v>8142</v>
      </c>
      <c r="G351" s="360" t="s">
        <v>9529</v>
      </c>
      <c r="H351" s="361">
        <v>43187</v>
      </c>
      <c r="I351" s="343" t="s">
        <v>271</v>
      </c>
      <c r="J351" s="343" t="s">
        <v>9530</v>
      </c>
      <c r="K351" s="343" t="s">
        <v>168</v>
      </c>
    </row>
    <row r="352" spans="1:11" ht="26.25" customHeight="1">
      <c r="A352" s="343" t="s">
        <v>161</v>
      </c>
      <c r="B352" s="344" t="s">
        <v>162</v>
      </c>
      <c r="C352" s="344">
        <v>10769</v>
      </c>
      <c r="D352" s="343" t="s">
        <v>1373</v>
      </c>
      <c r="E352" s="344">
        <v>6229067</v>
      </c>
      <c r="F352" s="343" t="s">
        <v>8143</v>
      </c>
      <c r="G352" s="360" t="s">
        <v>9531</v>
      </c>
      <c r="H352" s="361">
        <v>43187</v>
      </c>
      <c r="I352" s="343" t="s">
        <v>193</v>
      </c>
      <c r="J352" s="343" t="s">
        <v>9532</v>
      </c>
      <c r="K352" s="343" t="s">
        <v>168</v>
      </c>
    </row>
    <row r="353" spans="1:11" ht="26.25" customHeight="1">
      <c r="A353" s="343" t="s">
        <v>161</v>
      </c>
      <c r="B353" s="344" t="s">
        <v>162</v>
      </c>
      <c r="C353" s="344">
        <v>13496</v>
      </c>
      <c r="D353" s="343" t="s">
        <v>3600</v>
      </c>
      <c r="E353" s="344">
        <v>6158768</v>
      </c>
      <c r="F353" s="343" t="s">
        <v>8144</v>
      </c>
      <c r="G353" s="360" t="s">
        <v>9533</v>
      </c>
      <c r="H353" s="361">
        <v>43187</v>
      </c>
      <c r="I353" s="343" t="s">
        <v>193</v>
      </c>
      <c r="J353" s="343" t="s">
        <v>637</v>
      </c>
      <c r="K353" s="343" t="s">
        <v>168</v>
      </c>
    </row>
    <row r="354" spans="1:11" ht="26.25" customHeight="1">
      <c r="A354" s="343" t="s">
        <v>161</v>
      </c>
      <c r="B354" s="344" t="s">
        <v>162</v>
      </c>
      <c r="C354" s="344">
        <v>9329</v>
      </c>
      <c r="D354" s="343" t="s">
        <v>8145</v>
      </c>
      <c r="E354" s="344">
        <v>5120943</v>
      </c>
      <c r="F354" s="343" t="s">
        <v>8146</v>
      </c>
      <c r="G354" s="360" t="s">
        <v>9534</v>
      </c>
      <c r="H354" s="361">
        <v>43187</v>
      </c>
      <c r="I354" s="343" t="s">
        <v>166</v>
      </c>
      <c r="J354" s="343" t="s">
        <v>9535</v>
      </c>
      <c r="K354" s="343" t="s">
        <v>248</v>
      </c>
    </row>
    <row r="355" spans="1:11" ht="26.25" customHeight="1">
      <c r="A355" s="343" t="s">
        <v>161</v>
      </c>
      <c r="B355" s="344" t="s">
        <v>162</v>
      </c>
      <c r="C355" s="344">
        <v>7441</v>
      </c>
      <c r="D355" s="343" t="s">
        <v>281</v>
      </c>
      <c r="E355" s="344">
        <v>6906193</v>
      </c>
      <c r="F355" s="343" t="s">
        <v>8147</v>
      </c>
      <c r="G355" s="360" t="s">
        <v>9536</v>
      </c>
      <c r="H355" s="361">
        <v>43187</v>
      </c>
      <c r="I355" s="343" t="s">
        <v>193</v>
      </c>
      <c r="J355" s="343" t="s">
        <v>509</v>
      </c>
      <c r="K355" s="343" t="s">
        <v>168</v>
      </c>
    </row>
    <row r="356" spans="1:11" ht="26.25" customHeight="1">
      <c r="A356" s="343" t="s">
        <v>161</v>
      </c>
      <c r="B356" s="344" t="s">
        <v>162</v>
      </c>
      <c r="C356" s="344">
        <v>13496</v>
      </c>
      <c r="D356" s="343" t="s">
        <v>3600</v>
      </c>
      <c r="E356" s="344">
        <v>5941670</v>
      </c>
      <c r="F356" s="343" t="s">
        <v>8148</v>
      </c>
      <c r="G356" s="360" t="s">
        <v>274</v>
      </c>
      <c r="H356" s="361">
        <v>43187</v>
      </c>
      <c r="I356" s="343" t="s">
        <v>193</v>
      </c>
      <c r="J356" s="343" t="s">
        <v>9500</v>
      </c>
      <c r="K356" s="343" t="s">
        <v>168</v>
      </c>
    </row>
    <row r="357" spans="1:11" ht="26.25" customHeight="1">
      <c r="A357" s="343" t="s">
        <v>161</v>
      </c>
      <c r="B357" s="344" t="s">
        <v>162</v>
      </c>
      <c r="C357" s="344">
        <v>11085</v>
      </c>
      <c r="D357" s="343" t="s">
        <v>520</v>
      </c>
      <c r="E357" s="344">
        <v>6665128</v>
      </c>
      <c r="F357" s="343" t="s">
        <v>236</v>
      </c>
      <c r="G357" s="360" t="s">
        <v>237</v>
      </c>
      <c r="H357" s="361">
        <v>43187</v>
      </c>
      <c r="I357" s="343" t="s">
        <v>3567</v>
      </c>
      <c r="J357" s="343" t="s">
        <v>9537</v>
      </c>
      <c r="K357" s="343" t="s">
        <v>173</v>
      </c>
    </row>
    <row r="358" spans="1:11" ht="26.25" customHeight="1">
      <c r="A358" s="343" t="s">
        <v>161</v>
      </c>
      <c r="B358" s="344" t="s">
        <v>162</v>
      </c>
      <c r="C358" s="344">
        <v>9855</v>
      </c>
      <c r="D358" s="343" t="s">
        <v>411</v>
      </c>
      <c r="E358" s="344">
        <v>7010290</v>
      </c>
      <c r="F358" s="343" t="s">
        <v>8149</v>
      </c>
      <c r="G358" s="360" t="s">
        <v>9538</v>
      </c>
      <c r="H358" s="361">
        <v>43188</v>
      </c>
      <c r="I358" s="343" t="s">
        <v>284</v>
      </c>
      <c r="J358" s="343" t="s">
        <v>9539</v>
      </c>
      <c r="K358" s="343" t="s">
        <v>168</v>
      </c>
    </row>
    <row r="359" spans="1:11" ht="26.25" customHeight="1">
      <c r="A359" s="343" t="s">
        <v>161</v>
      </c>
      <c r="B359" s="344" t="s">
        <v>162</v>
      </c>
      <c r="C359" s="344">
        <v>7457</v>
      </c>
      <c r="D359" s="343" t="s">
        <v>338</v>
      </c>
      <c r="E359" s="344">
        <v>6807752</v>
      </c>
      <c r="F359" s="343" t="s">
        <v>8150</v>
      </c>
      <c r="G359" s="360" t="s">
        <v>9540</v>
      </c>
      <c r="H359" s="361">
        <v>43196</v>
      </c>
      <c r="I359" s="343" t="s">
        <v>301</v>
      </c>
      <c r="J359" s="343" t="s">
        <v>530</v>
      </c>
      <c r="K359" s="343" t="s">
        <v>168</v>
      </c>
    </row>
    <row r="360" spans="1:11" ht="26.25" customHeight="1">
      <c r="A360" s="343" t="s">
        <v>161</v>
      </c>
      <c r="B360" s="344" t="s">
        <v>162</v>
      </c>
      <c r="C360" s="344">
        <v>9857</v>
      </c>
      <c r="D360" s="343" t="s">
        <v>537</v>
      </c>
      <c r="E360" s="344">
        <v>6805657</v>
      </c>
      <c r="F360" s="343" t="s">
        <v>8151</v>
      </c>
      <c r="G360" s="360" t="s">
        <v>9541</v>
      </c>
      <c r="H360" s="361">
        <v>43196</v>
      </c>
      <c r="I360" s="343" t="s">
        <v>211</v>
      </c>
      <c r="J360" s="343" t="s">
        <v>211</v>
      </c>
      <c r="K360" s="343" t="s">
        <v>168</v>
      </c>
    </row>
    <row r="361" spans="1:11" ht="26.25" customHeight="1">
      <c r="A361" s="343" t="s">
        <v>161</v>
      </c>
      <c r="B361" s="344" t="s">
        <v>162</v>
      </c>
      <c r="C361" s="344">
        <v>9916</v>
      </c>
      <c r="D361" s="343" t="s">
        <v>439</v>
      </c>
      <c r="E361" s="344">
        <v>6428291</v>
      </c>
      <c r="F361" s="343" t="s">
        <v>9209</v>
      </c>
      <c r="G361" s="360" t="s">
        <v>9542</v>
      </c>
      <c r="H361" s="361">
        <v>43196</v>
      </c>
      <c r="I361" s="343" t="s">
        <v>166</v>
      </c>
      <c r="J361" s="343" t="s">
        <v>327</v>
      </c>
      <c r="K361" s="343" t="s">
        <v>168</v>
      </c>
    </row>
    <row r="362" spans="1:11" ht="26.25" customHeight="1">
      <c r="A362" s="343" t="s">
        <v>161</v>
      </c>
      <c r="B362" s="344" t="s">
        <v>162</v>
      </c>
      <c r="C362" s="344">
        <v>6582</v>
      </c>
      <c r="D362" s="343" t="s">
        <v>1143</v>
      </c>
      <c r="E362" s="344">
        <v>6193308</v>
      </c>
      <c r="F362" s="343" t="s">
        <v>8154</v>
      </c>
      <c r="G362" s="360" t="s">
        <v>9543</v>
      </c>
      <c r="H362" s="361">
        <v>43196</v>
      </c>
      <c r="I362" s="343" t="s">
        <v>166</v>
      </c>
      <c r="J362" s="343" t="s">
        <v>296</v>
      </c>
      <c r="K362" s="343" t="s">
        <v>168</v>
      </c>
    </row>
    <row r="363" spans="1:11" ht="26.25" customHeight="1">
      <c r="A363" s="343" t="s">
        <v>161</v>
      </c>
      <c r="B363" s="344" t="s">
        <v>162</v>
      </c>
      <c r="C363" s="344">
        <v>6583</v>
      </c>
      <c r="D363" s="343" t="s">
        <v>1110</v>
      </c>
      <c r="E363" s="344">
        <v>5836111</v>
      </c>
      <c r="F363" s="343" t="s">
        <v>8155</v>
      </c>
      <c r="G363" s="360" t="s">
        <v>9544</v>
      </c>
      <c r="H363" s="361">
        <v>43196</v>
      </c>
      <c r="I363" s="343" t="s">
        <v>193</v>
      </c>
      <c r="J363" s="343" t="s">
        <v>637</v>
      </c>
      <c r="K363" s="343" t="s">
        <v>168</v>
      </c>
    </row>
    <row r="364" spans="1:11" ht="26.25" customHeight="1">
      <c r="A364" s="343" t="s">
        <v>161</v>
      </c>
      <c r="B364" s="344" t="s">
        <v>162</v>
      </c>
      <c r="C364" s="344">
        <v>8482</v>
      </c>
      <c r="D364" s="343" t="s">
        <v>1036</v>
      </c>
      <c r="E364" s="344">
        <v>5631096</v>
      </c>
      <c r="F364" s="343" t="s">
        <v>8156</v>
      </c>
      <c r="G364" s="360" t="s">
        <v>1462</v>
      </c>
      <c r="H364" s="361">
        <v>43196</v>
      </c>
      <c r="I364" s="343" t="s">
        <v>261</v>
      </c>
      <c r="J364" s="343" t="s">
        <v>631</v>
      </c>
      <c r="K364" s="343" t="s">
        <v>168</v>
      </c>
    </row>
    <row r="365" spans="1:11" ht="26.25" customHeight="1">
      <c r="A365" s="343" t="s">
        <v>161</v>
      </c>
      <c r="B365" s="344" t="s">
        <v>162</v>
      </c>
      <c r="C365" s="344">
        <v>9837</v>
      </c>
      <c r="D365" s="343" t="s">
        <v>1368</v>
      </c>
      <c r="E365" s="344">
        <v>6985615</v>
      </c>
      <c r="F365" s="343" t="s">
        <v>8157</v>
      </c>
      <c r="G365" s="360" t="s">
        <v>1348</v>
      </c>
      <c r="H365" s="361">
        <v>43196</v>
      </c>
      <c r="I365" s="343" t="s">
        <v>193</v>
      </c>
      <c r="J365" s="343" t="s">
        <v>637</v>
      </c>
      <c r="K365" s="343" t="s">
        <v>168</v>
      </c>
    </row>
    <row r="366" spans="1:11" ht="26.25" customHeight="1">
      <c r="A366" s="343" t="s">
        <v>161</v>
      </c>
      <c r="B366" s="344" t="s">
        <v>162</v>
      </c>
      <c r="C366" s="344">
        <v>12606</v>
      </c>
      <c r="D366" s="343" t="s">
        <v>1410</v>
      </c>
      <c r="E366" s="344">
        <v>6123849</v>
      </c>
      <c r="F366" s="343" t="s">
        <v>8158</v>
      </c>
      <c r="G366" s="360" t="s">
        <v>9545</v>
      </c>
      <c r="H366" s="361">
        <v>43199</v>
      </c>
      <c r="I366" s="343" t="s">
        <v>193</v>
      </c>
      <c r="J366" s="343" t="s">
        <v>637</v>
      </c>
      <c r="K366" s="343" t="s">
        <v>168</v>
      </c>
    </row>
    <row r="367" spans="1:11" ht="26.25" customHeight="1">
      <c r="A367" s="343" t="s">
        <v>161</v>
      </c>
      <c r="B367" s="344" t="s">
        <v>162</v>
      </c>
      <c r="C367" s="344">
        <v>7442</v>
      </c>
      <c r="D367" s="343" t="s">
        <v>382</v>
      </c>
      <c r="E367" s="344">
        <v>6470404</v>
      </c>
      <c r="F367" s="343" t="s">
        <v>8159</v>
      </c>
      <c r="G367" s="360" t="s">
        <v>9546</v>
      </c>
      <c r="H367" s="361">
        <v>43199</v>
      </c>
      <c r="I367" s="343" t="s">
        <v>3910</v>
      </c>
      <c r="J367" s="343" t="s">
        <v>9547</v>
      </c>
      <c r="K367" s="343" t="s">
        <v>173</v>
      </c>
    </row>
    <row r="368" spans="1:11" ht="26.25" customHeight="1">
      <c r="A368" s="343" t="s">
        <v>161</v>
      </c>
      <c r="B368" s="344" t="s">
        <v>162</v>
      </c>
      <c r="C368" s="344">
        <v>6927</v>
      </c>
      <c r="D368" s="343" t="s">
        <v>919</v>
      </c>
      <c r="E368" s="344">
        <v>5614000</v>
      </c>
      <c r="F368" s="343" t="s">
        <v>1288</v>
      </c>
      <c r="G368" s="360" t="s">
        <v>1289</v>
      </c>
      <c r="H368" s="361">
        <v>43199</v>
      </c>
      <c r="I368" s="343" t="s">
        <v>802</v>
      </c>
      <c r="J368" s="343" t="s">
        <v>1075</v>
      </c>
      <c r="K368" s="343" t="s">
        <v>168</v>
      </c>
    </row>
    <row r="369" spans="1:11" ht="26.25" customHeight="1">
      <c r="A369" s="343" t="s">
        <v>161</v>
      </c>
      <c r="B369" s="344" t="s">
        <v>162</v>
      </c>
      <c r="C369" s="344">
        <v>9195</v>
      </c>
      <c r="D369" s="343" t="s">
        <v>1257</v>
      </c>
      <c r="E369" s="344">
        <v>6143014</v>
      </c>
      <c r="F369" s="343" t="s">
        <v>8160</v>
      </c>
      <c r="G369" s="360" t="s">
        <v>346</v>
      </c>
      <c r="H369" s="361">
        <v>43199</v>
      </c>
      <c r="I369" s="343" t="s">
        <v>261</v>
      </c>
      <c r="J369" s="343" t="s">
        <v>9505</v>
      </c>
      <c r="K369" s="343" t="s">
        <v>168</v>
      </c>
    </row>
    <row r="370" spans="1:11" ht="26.25" customHeight="1">
      <c r="A370" s="343" t="s">
        <v>161</v>
      </c>
      <c r="B370" s="344" t="s">
        <v>162</v>
      </c>
      <c r="C370" s="344">
        <v>9195</v>
      </c>
      <c r="D370" s="343" t="s">
        <v>1257</v>
      </c>
      <c r="E370" s="344">
        <v>5942686</v>
      </c>
      <c r="F370" s="343" t="s">
        <v>8161</v>
      </c>
      <c r="G370" s="360" t="s">
        <v>365</v>
      </c>
      <c r="H370" s="361">
        <v>43199</v>
      </c>
      <c r="I370" s="343" t="s">
        <v>8162</v>
      </c>
      <c r="J370" s="343" t="s">
        <v>9548</v>
      </c>
      <c r="K370" s="343" t="s">
        <v>168</v>
      </c>
    </row>
    <row r="371" spans="1:11" ht="26.25" customHeight="1">
      <c r="A371" s="343" t="s">
        <v>161</v>
      </c>
      <c r="B371" s="344" t="s">
        <v>162</v>
      </c>
      <c r="C371" s="344">
        <v>6592</v>
      </c>
      <c r="D371" s="343" t="s">
        <v>1324</v>
      </c>
      <c r="E371" s="344">
        <v>5919921</v>
      </c>
      <c r="F371" s="343" t="s">
        <v>8163</v>
      </c>
      <c r="G371" s="360" t="s">
        <v>9549</v>
      </c>
      <c r="H371" s="361">
        <v>43199</v>
      </c>
      <c r="I371" s="343" t="s">
        <v>4225</v>
      </c>
      <c r="J371" s="343" t="s">
        <v>9550</v>
      </c>
      <c r="K371" s="343" t="s">
        <v>173</v>
      </c>
    </row>
    <row r="372" spans="1:11" ht="26.25" customHeight="1">
      <c r="A372" s="343" t="s">
        <v>161</v>
      </c>
      <c r="B372" s="344" t="s">
        <v>162</v>
      </c>
      <c r="C372" s="344">
        <v>7442</v>
      </c>
      <c r="D372" s="343" t="s">
        <v>382</v>
      </c>
      <c r="E372" s="344">
        <v>6749138</v>
      </c>
      <c r="F372" s="343" t="s">
        <v>8164</v>
      </c>
      <c r="G372" s="360" t="s">
        <v>9551</v>
      </c>
      <c r="H372" s="361">
        <v>43199</v>
      </c>
      <c r="I372" s="343" t="s">
        <v>8165</v>
      </c>
      <c r="J372" s="343" t="s">
        <v>9552</v>
      </c>
      <c r="K372" s="343" t="s">
        <v>168</v>
      </c>
    </row>
    <row r="373" spans="1:11" ht="26.25" customHeight="1">
      <c r="A373" s="343" t="s">
        <v>161</v>
      </c>
      <c r="B373" s="344" t="s">
        <v>162</v>
      </c>
      <c r="C373" s="344">
        <v>11098</v>
      </c>
      <c r="D373" s="343" t="s">
        <v>683</v>
      </c>
      <c r="E373" s="344">
        <v>6457078</v>
      </c>
      <c r="F373" s="343" t="s">
        <v>8166</v>
      </c>
      <c r="G373" s="360" t="s">
        <v>9553</v>
      </c>
      <c r="H373" s="361">
        <v>43199</v>
      </c>
      <c r="I373" s="343" t="s">
        <v>193</v>
      </c>
      <c r="J373" s="343" t="s">
        <v>637</v>
      </c>
      <c r="K373" s="343" t="s">
        <v>168</v>
      </c>
    </row>
    <row r="374" spans="1:11" ht="26.25" customHeight="1">
      <c r="A374" s="343" t="s">
        <v>161</v>
      </c>
      <c r="B374" s="344" t="s">
        <v>162</v>
      </c>
      <c r="C374" s="344">
        <v>6580</v>
      </c>
      <c r="D374" s="343" t="s">
        <v>1451</v>
      </c>
      <c r="E374" s="344">
        <v>6161047</v>
      </c>
      <c r="F374" s="343" t="s">
        <v>8167</v>
      </c>
      <c r="G374" s="360" t="s">
        <v>9554</v>
      </c>
      <c r="H374" s="361">
        <v>43199</v>
      </c>
      <c r="I374" s="343" t="s">
        <v>887</v>
      </c>
      <c r="J374" s="343" t="s">
        <v>888</v>
      </c>
      <c r="K374" s="343" t="s">
        <v>168</v>
      </c>
    </row>
    <row r="375" spans="1:11" ht="26.25" customHeight="1">
      <c r="A375" s="343" t="s">
        <v>161</v>
      </c>
      <c r="B375" s="344" t="s">
        <v>162</v>
      </c>
      <c r="C375" s="344">
        <v>6592</v>
      </c>
      <c r="D375" s="343" t="s">
        <v>1324</v>
      </c>
      <c r="E375" s="344">
        <v>6395901</v>
      </c>
      <c r="F375" s="343" t="s">
        <v>8168</v>
      </c>
      <c r="G375" s="360" t="s">
        <v>9555</v>
      </c>
      <c r="H375" s="361">
        <v>43199</v>
      </c>
      <c r="I375" s="343" t="s">
        <v>366</v>
      </c>
      <c r="J375" s="343" t="s">
        <v>366</v>
      </c>
      <c r="K375" s="343" t="s">
        <v>168</v>
      </c>
    </row>
    <row r="376" spans="1:11" ht="26.25" customHeight="1">
      <c r="A376" s="343" t="s">
        <v>161</v>
      </c>
      <c r="B376" s="344" t="s">
        <v>162</v>
      </c>
      <c r="C376" s="344">
        <v>6589</v>
      </c>
      <c r="D376" s="343" t="s">
        <v>1156</v>
      </c>
      <c r="E376" s="344">
        <v>6209290</v>
      </c>
      <c r="F376" s="343" t="s">
        <v>8169</v>
      </c>
      <c r="G376" s="360" t="s">
        <v>9556</v>
      </c>
      <c r="H376" s="361">
        <v>43199</v>
      </c>
      <c r="I376" s="343" t="s">
        <v>193</v>
      </c>
      <c r="J376" s="343" t="s">
        <v>637</v>
      </c>
      <c r="K376" s="343" t="s">
        <v>168</v>
      </c>
    </row>
    <row r="377" spans="1:11" ht="26.25" customHeight="1">
      <c r="A377" s="343" t="s">
        <v>161</v>
      </c>
      <c r="B377" s="344" t="s">
        <v>162</v>
      </c>
      <c r="C377" s="344">
        <v>12072</v>
      </c>
      <c r="D377" s="343" t="s">
        <v>867</v>
      </c>
      <c r="E377" s="344">
        <v>6142079</v>
      </c>
      <c r="F377" s="343" t="s">
        <v>8170</v>
      </c>
      <c r="G377" s="360" t="s">
        <v>9557</v>
      </c>
      <c r="H377" s="361">
        <v>43199</v>
      </c>
      <c r="I377" s="343" t="s">
        <v>180</v>
      </c>
      <c r="J377" s="343" t="s">
        <v>9558</v>
      </c>
      <c r="K377" s="343" t="s">
        <v>168</v>
      </c>
    </row>
    <row r="378" spans="1:11" ht="26.25" customHeight="1">
      <c r="A378" s="343" t="s">
        <v>161</v>
      </c>
      <c r="B378" s="344" t="s">
        <v>162</v>
      </c>
      <c r="C378" s="344">
        <v>9903</v>
      </c>
      <c r="D378" s="343" t="s">
        <v>597</v>
      </c>
      <c r="E378" s="344">
        <v>6351853</v>
      </c>
      <c r="F378" s="343" t="s">
        <v>8171</v>
      </c>
      <c r="G378" s="360" t="s">
        <v>9559</v>
      </c>
      <c r="H378" s="361">
        <v>43199</v>
      </c>
      <c r="I378" s="343" t="s">
        <v>275</v>
      </c>
      <c r="J378" s="343" t="s">
        <v>9392</v>
      </c>
      <c r="K378" s="343" t="s">
        <v>173</v>
      </c>
    </row>
    <row r="379" spans="1:11" ht="26.25" customHeight="1">
      <c r="A379" s="343" t="s">
        <v>161</v>
      </c>
      <c r="B379" s="344" t="s">
        <v>162</v>
      </c>
      <c r="C379" s="344">
        <v>12072</v>
      </c>
      <c r="D379" s="343" t="s">
        <v>867</v>
      </c>
      <c r="E379" s="344">
        <v>5830889</v>
      </c>
      <c r="F379" s="343" t="s">
        <v>658</v>
      </c>
      <c r="G379" s="360" t="s">
        <v>659</v>
      </c>
      <c r="H379" s="361">
        <v>43199</v>
      </c>
      <c r="I379" s="343" t="s">
        <v>193</v>
      </c>
      <c r="J379" s="343" t="s">
        <v>637</v>
      </c>
      <c r="K379" s="343" t="s">
        <v>168</v>
      </c>
    </row>
    <row r="380" spans="1:11" ht="26.25" customHeight="1">
      <c r="A380" s="343" t="s">
        <v>161</v>
      </c>
      <c r="B380" s="344" t="s">
        <v>162</v>
      </c>
      <c r="C380" s="344">
        <v>6584</v>
      </c>
      <c r="D380" s="343" t="s">
        <v>1286</v>
      </c>
      <c r="E380" s="344">
        <v>6104790</v>
      </c>
      <c r="F380" s="343" t="s">
        <v>8172</v>
      </c>
      <c r="G380" s="360" t="s">
        <v>9560</v>
      </c>
      <c r="H380" s="361">
        <v>43199</v>
      </c>
      <c r="I380" s="343" t="s">
        <v>465</v>
      </c>
      <c r="J380" s="343" t="s">
        <v>1118</v>
      </c>
      <c r="K380" s="343" t="s">
        <v>168</v>
      </c>
    </row>
    <row r="381" spans="1:11" ht="26.25" customHeight="1">
      <c r="A381" s="343" t="s">
        <v>161</v>
      </c>
      <c r="B381" s="344" t="s">
        <v>162</v>
      </c>
      <c r="C381" s="344">
        <v>7447</v>
      </c>
      <c r="D381" s="343" t="s">
        <v>160</v>
      </c>
      <c r="E381" s="344">
        <v>6896250</v>
      </c>
      <c r="F381" s="343" t="s">
        <v>8173</v>
      </c>
      <c r="G381" s="360" t="s">
        <v>9561</v>
      </c>
      <c r="H381" s="361">
        <v>43199</v>
      </c>
      <c r="I381" s="343" t="s">
        <v>3629</v>
      </c>
      <c r="J381" s="343" t="s">
        <v>9562</v>
      </c>
      <c r="K381" s="343" t="s">
        <v>168</v>
      </c>
    </row>
    <row r="382" spans="1:11" ht="26.25" customHeight="1">
      <c r="A382" s="343" t="s">
        <v>161</v>
      </c>
      <c r="B382" s="344" t="s">
        <v>162</v>
      </c>
      <c r="C382" s="344">
        <v>9917</v>
      </c>
      <c r="D382" s="343" t="s">
        <v>479</v>
      </c>
      <c r="E382" s="344">
        <v>6554057</v>
      </c>
      <c r="F382" s="343" t="s">
        <v>8174</v>
      </c>
      <c r="G382" s="360" t="s">
        <v>9563</v>
      </c>
      <c r="H382" s="361">
        <v>43200</v>
      </c>
      <c r="I382" s="343" t="s">
        <v>193</v>
      </c>
      <c r="J382" s="343" t="s">
        <v>637</v>
      </c>
      <c r="K382" s="343" t="s">
        <v>168</v>
      </c>
    </row>
    <row r="383" spans="1:11" ht="26.25" customHeight="1">
      <c r="A383" s="343" t="s">
        <v>161</v>
      </c>
      <c r="B383" s="344" t="s">
        <v>162</v>
      </c>
      <c r="C383" s="344">
        <v>6586</v>
      </c>
      <c r="D383" s="343" t="s">
        <v>1460</v>
      </c>
      <c r="E383" s="344">
        <v>6144926</v>
      </c>
      <c r="F383" s="343" t="s">
        <v>352</v>
      </c>
      <c r="G383" s="360" t="s">
        <v>353</v>
      </c>
      <c r="H383" s="361">
        <v>43200</v>
      </c>
      <c r="I383" s="343" t="s">
        <v>354</v>
      </c>
      <c r="J383" s="343" t="s">
        <v>9564</v>
      </c>
      <c r="K383" s="343" t="s">
        <v>168</v>
      </c>
    </row>
    <row r="384" spans="1:11" ht="26.25" customHeight="1">
      <c r="A384" s="343" t="s">
        <v>161</v>
      </c>
      <c r="B384" s="344" t="s">
        <v>162</v>
      </c>
      <c r="C384" s="344">
        <v>13378</v>
      </c>
      <c r="D384" s="343" t="s">
        <v>1212</v>
      </c>
      <c r="E384" s="344">
        <v>6467351</v>
      </c>
      <c r="F384" s="343" t="s">
        <v>8175</v>
      </c>
      <c r="G384" s="360" t="s">
        <v>9565</v>
      </c>
      <c r="H384" s="361">
        <v>43200</v>
      </c>
      <c r="I384" s="343" t="s">
        <v>193</v>
      </c>
      <c r="J384" s="343" t="s">
        <v>637</v>
      </c>
      <c r="K384" s="343" t="s">
        <v>168</v>
      </c>
    </row>
    <row r="385" spans="1:11" ht="26.25" customHeight="1">
      <c r="A385" s="343" t="s">
        <v>161</v>
      </c>
      <c r="B385" s="344" t="s">
        <v>162</v>
      </c>
      <c r="C385" s="344">
        <v>13378</v>
      </c>
      <c r="D385" s="343" t="s">
        <v>1212</v>
      </c>
      <c r="E385" s="344">
        <v>6672221</v>
      </c>
      <c r="F385" s="343" t="s">
        <v>8176</v>
      </c>
      <c r="G385" s="360" t="s">
        <v>9566</v>
      </c>
      <c r="H385" s="361">
        <v>43200</v>
      </c>
      <c r="I385" s="343" t="s">
        <v>166</v>
      </c>
      <c r="J385" s="343" t="s">
        <v>296</v>
      </c>
      <c r="K385" s="343" t="s">
        <v>168</v>
      </c>
    </row>
    <row r="386" spans="1:11" ht="26.25" customHeight="1">
      <c r="A386" s="343" t="s">
        <v>161</v>
      </c>
      <c r="B386" s="344" t="s">
        <v>162</v>
      </c>
      <c r="C386" s="344">
        <v>13378</v>
      </c>
      <c r="D386" s="343" t="s">
        <v>1212</v>
      </c>
      <c r="E386" s="344">
        <v>6123176</v>
      </c>
      <c r="F386" s="343" t="s">
        <v>8177</v>
      </c>
      <c r="G386" s="360" t="s">
        <v>9567</v>
      </c>
      <c r="H386" s="361">
        <v>43200</v>
      </c>
      <c r="I386" s="343" t="s">
        <v>193</v>
      </c>
      <c r="J386" s="343" t="s">
        <v>9568</v>
      </c>
      <c r="K386" s="343" t="s">
        <v>168</v>
      </c>
    </row>
    <row r="387" spans="1:11" ht="26.25" customHeight="1">
      <c r="A387" s="343" t="s">
        <v>161</v>
      </c>
      <c r="B387" s="344" t="s">
        <v>162</v>
      </c>
      <c r="C387" s="344">
        <v>13378</v>
      </c>
      <c r="D387" s="343" t="s">
        <v>1212</v>
      </c>
      <c r="E387" s="344">
        <v>6131740</v>
      </c>
      <c r="F387" s="343" t="s">
        <v>8178</v>
      </c>
      <c r="G387" s="360" t="s">
        <v>9569</v>
      </c>
      <c r="H387" s="361">
        <v>43200</v>
      </c>
      <c r="I387" s="343" t="s">
        <v>8179</v>
      </c>
      <c r="J387" s="343" t="s">
        <v>9570</v>
      </c>
      <c r="K387" s="343" t="s">
        <v>168</v>
      </c>
    </row>
    <row r="388" spans="1:11" ht="26.25" customHeight="1">
      <c r="A388" s="343" t="s">
        <v>161</v>
      </c>
      <c r="B388" s="344" t="s">
        <v>162</v>
      </c>
      <c r="C388" s="344">
        <v>7445</v>
      </c>
      <c r="D388" s="343" t="s">
        <v>7032</v>
      </c>
      <c r="E388" s="344">
        <v>6243328</v>
      </c>
      <c r="F388" s="343" t="s">
        <v>8180</v>
      </c>
      <c r="G388" s="360" t="s">
        <v>9571</v>
      </c>
      <c r="H388" s="361">
        <v>43200</v>
      </c>
      <c r="I388" s="343" t="s">
        <v>166</v>
      </c>
      <c r="J388" s="343" t="s">
        <v>327</v>
      </c>
      <c r="K388" s="343" t="s">
        <v>168</v>
      </c>
    </row>
    <row r="389" spans="1:11" ht="26.25" customHeight="1">
      <c r="A389" s="343" t="s">
        <v>161</v>
      </c>
      <c r="B389" s="344" t="s">
        <v>162</v>
      </c>
      <c r="C389" s="344">
        <v>6593</v>
      </c>
      <c r="D389" s="343" t="s">
        <v>1096</v>
      </c>
      <c r="E389" s="344">
        <v>6073490</v>
      </c>
      <c r="F389" s="343" t="s">
        <v>8181</v>
      </c>
      <c r="G389" s="360" t="s">
        <v>9509</v>
      </c>
      <c r="H389" s="361">
        <v>43200</v>
      </c>
      <c r="I389" s="343" t="s">
        <v>366</v>
      </c>
      <c r="J389" s="343" t="s">
        <v>366</v>
      </c>
      <c r="K389" s="343" t="s">
        <v>168</v>
      </c>
    </row>
    <row r="390" spans="1:11" ht="26.25" customHeight="1">
      <c r="A390" s="343" t="s">
        <v>161</v>
      </c>
      <c r="B390" s="344" t="s">
        <v>162</v>
      </c>
      <c r="C390" s="344">
        <v>6930</v>
      </c>
      <c r="D390" s="343" t="s">
        <v>829</v>
      </c>
      <c r="E390" s="344">
        <v>5609845</v>
      </c>
      <c r="F390" s="343" t="s">
        <v>832</v>
      </c>
      <c r="G390" s="360" t="s">
        <v>833</v>
      </c>
      <c r="H390" s="361">
        <v>43200</v>
      </c>
      <c r="I390" s="343" t="s">
        <v>465</v>
      </c>
      <c r="J390" s="343" t="s">
        <v>466</v>
      </c>
      <c r="K390" s="343" t="s">
        <v>168</v>
      </c>
    </row>
    <row r="391" spans="1:11" ht="26.25" customHeight="1">
      <c r="A391" s="343" t="s">
        <v>161</v>
      </c>
      <c r="B391" s="344" t="s">
        <v>162</v>
      </c>
      <c r="C391" s="344">
        <v>9857</v>
      </c>
      <c r="D391" s="343" t="s">
        <v>537</v>
      </c>
      <c r="E391" s="344">
        <v>5868145</v>
      </c>
      <c r="F391" s="343" t="s">
        <v>8182</v>
      </c>
      <c r="G391" s="360" t="s">
        <v>9572</v>
      </c>
      <c r="H391" s="361">
        <v>43200</v>
      </c>
      <c r="I391" s="343" t="s">
        <v>193</v>
      </c>
      <c r="J391" s="343" t="s">
        <v>637</v>
      </c>
      <c r="K391" s="343" t="s">
        <v>168</v>
      </c>
    </row>
    <row r="392" spans="1:11" ht="26.25" customHeight="1">
      <c r="A392" s="343" t="s">
        <v>161</v>
      </c>
      <c r="B392" s="344" t="s">
        <v>162</v>
      </c>
      <c r="C392" s="344">
        <v>9856</v>
      </c>
      <c r="D392" s="343" t="s">
        <v>641</v>
      </c>
      <c r="E392" s="344">
        <v>6479329</v>
      </c>
      <c r="F392" s="343" t="s">
        <v>8183</v>
      </c>
      <c r="G392" s="360" t="s">
        <v>9573</v>
      </c>
      <c r="H392" s="361">
        <v>43200</v>
      </c>
      <c r="I392" s="343" t="s">
        <v>166</v>
      </c>
      <c r="J392" s="343" t="s">
        <v>327</v>
      </c>
      <c r="K392" s="343" t="s">
        <v>168</v>
      </c>
    </row>
    <row r="393" spans="1:11" ht="26.25" customHeight="1">
      <c r="A393" s="343" t="s">
        <v>161</v>
      </c>
      <c r="B393" s="344" t="s">
        <v>162</v>
      </c>
      <c r="C393" s="344">
        <v>7450</v>
      </c>
      <c r="D393" s="343" t="s">
        <v>402</v>
      </c>
      <c r="E393" s="344">
        <v>6660729</v>
      </c>
      <c r="F393" s="343" t="s">
        <v>8184</v>
      </c>
      <c r="G393" s="360" t="s">
        <v>9574</v>
      </c>
      <c r="H393" s="361">
        <v>43202</v>
      </c>
      <c r="I393" s="343" t="s">
        <v>271</v>
      </c>
      <c r="J393" s="343" t="s">
        <v>9575</v>
      </c>
      <c r="K393" s="343" t="s">
        <v>168</v>
      </c>
    </row>
    <row r="394" spans="1:11" ht="26.25" customHeight="1">
      <c r="A394" s="343" t="s">
        <v>161</v>
      </c>
      <c r="B394" s="344" t="s">
        <v>162</v>
      </c>
      <c r="C394" s="344">
        <v>6582</v>
      </c>
      <c r="D394" s="343" t="s">
        <v>1143</v>
      </c>
      <c r="E394" s="344">
        <v>6394092</v>
      </c>
      <c r="F394" s="343" t="s">
        <v>8185</v>
      </c>
      <c r="G394" s="360" t="s">
        <v>666</v>
      </c>
      <c r="H394" s="361">
        <v>43203</v>
      </c>
      <c r="I394" s="343" t="s">
        <v>261</v>
      </c>
      <c r="J394" s="343" t="s">
        <v>631</v>
      </c>
      <c r="K394" s="343" t="s">
        <v>168</v>
      </c>
    </row>
    <row r="395" spans="1:11" ht="26.25" customHeight="1">
      <c r="A395" s="343" t="s">
        <v>161</v>
      </c>
      <c r="B395" s="344" t="s">
        <v>162</v>
      </c>
      <c r="C395" s="344">
        <v>7454</v>
      </c>
      <c r="D395" s="343" t="s">
        <v>8186</v>
      </c>
      <c r="E395" s="344">
        <v>6641963</v>
      </c>
      <c r="F395" s="343" t="s">
        <v>8187</v>
      </c>
      <c r="G395" s="360" t="s">
        <v>9576</v>
      </c>
      <c r="H395" s="361">
        <v>43203</v>
      </c>
      <c r="I395" s="343" t="s">
        <v>354</v>
      </c>
      <c r="J395" s="343" t="s">
        <v>9564</v>
      </c>
      <c r="K395" s="343" t="s">
        <v>168</v>
      </c>
    </row>
    <row r="396" spans="1:11" ht="26.25" customHeight="1">
      <c r="A396" s="343" t="s">
        <v>161</v>
      </c>
      <c r="B396" s="344" t="s">
        <v>162</v>
      </c>
      <c r="C396" s="344">
        <v>6580</v>
      </c>
      <c r="D396" s="343" t="s">
        <v>1451</v>
      </c>
      <c r="E396" s="344">
        <v>5937892</v>
      </c>
      <c r="F396" s="343" t="s">
        <v>8188</v>
      </c>
      <c r="G396" s="360" t="s">
        <v>9577</v>
      </c>
      <c r="H396" s="361">
        <v>43203</v>
      </c>
      <c r="I396" s="343" t="s">
        <v>313</v>
      </c>
      <c r="J396" s="343" t="s">
        <v>397</v>
      </c>
      <c r="K396" s="343" t="s">
        <v>173</v>
      </c>
    </row>
    <row r="397" spans="1:11" ht="26.25" customHeight="1">
      <c r="A397" s="343" t="s">
        <v>161</v>
      </c>
      <c r="B397" s="344" t="s">
        <v>162</v>
      </c>
      <c r="C397" s="344">
        <v>9592</v>
      </c>
      <c r="D397" s="343" t="s">
        <v>307</v>
      </c>
      <c r="E397" s="344">
        <v>6474488</v>
      </c>
      <c r="F397" s="343" t="s">
        <v>8189</v>
      </c>
      <c r="G397" s="360" t="s">
        <v>9578</v>
      </c>
      <c r="H397" s="361">
        <v>43203</v>
      </c>
      <c r="I397" s="343" t="s">
        <v>193</v>
      </c>
      <c r="J397" s="343" t="s">
        <v>637</v>
      </c>
      <c r="K397" s="343" t="s">
        <v>168</v>
      </c>
    </row>
    <row r="398" spans="1:11" ht="26.25" customHeight="1">
      <c r="A398" s="343" t="s">
        <v>161</v>
      </c>
      <c r="B398" s="344" t="s">
        <v>162</v>
      </c>
      <c r="C398" s="344">
        <v>6925</v>
      </c>
      <c r="D398" s="343" t="s">
        <v>811</v>
      </c>
      <c r="E398" s="344">
        <v>4967990</v>
      </c>
      <c r="F398" s="343" t="s">
        <v>8190</v>
      </c>
      <c r="G398" s="360" t="s">
        <v>9579</v>
      </c>
      <c r="H398" s="361">
        <v>43203</v>
      </c>
      <c r="I398" s="343" t="s">
        <v>802</v>
      </c>
      <c r="J398" s="343" t="s">
        <v>1075</v>
      </c>
      <c r="K398" s="343" t="s">
        <v>168</v>
      </c>
    </row>
    <row r="399" spans="1:11" ht="26.25" customHeight="1">
      <c r="A399" s="343" t="s">
        <v>161</v>
      </c>
      <c r="B399" s="344" t="s">
        <v>162</v>
      </c>
      <c r="C399" s="344">
        <v>12265</v>
      </c>
      <c r="D399" s="343" t="s">
        <v>1354</v>
      </c>
      <c r="E399" s="344">
        <v>6781309</v>
      </c>
      <c r="F399" s="343" t="s">
        <v>8191</v>
      </c>
      <c r="G399" s="360" t="s">
        <v>9580</v>
      </c>
      <c r="H399" s="361">
        <v>43206</v>
      </c>
      <c r="I399" s="343" t="s">
        <v>7710</v>
      </c>
      <c r="J399" s="343" t="s">
        <v>9581</v>
      </c>
      <c r="K399" s="343" t="s">
        <v>173</v>
      </c>
    </row>
    <row r="400" spans="1:11" ht="26.25" customHeight="1">
      <c r="A400" s="343" t="s">
        <v>161</v>
      </c>
      <c r="B400" s="344" t="s">
        <v>162</v>
      </c>
      <c r="C400" s="344">
        <v>12755</v>
      </c>
      <c r="D400" s="343" t="s">
        <v>1416</v>
      </c>
      <c r="E400" s="344">
        <v>6134547</v>
      </c>
      <c r="F400" s="343" t="s">
        <v>8192</v>
      </c>
      <c r="G400" s="360" t="s">
        <v>9582</v>
      </c>
      <c r="H400" s="361">
        <v>43206</v>
      </c>
      <c r="I400" s="343" t="s">
        <v>219</v>
      </c>
      <c r="J400" s="343" t="s">
        <v>9583</v>
      </c>
      <c r="K400" s="343" t="s">
        <v>168</v>
      </c>
    </row>
    <row r="401" spans="1:11" ht="26.25" customHeight="1">
      <c r="A401" s="343" t="s">
        <v>161</v>
      </c>
      <c r="B401" s="344" t="s">
        <v>162</v>
      </c>
      <c r="C401" s="344">
        <v>12755</v>
      </c>
      <c r="D401" s="343" t="s">
        <v>1416</v>
      </c>
      <c r="E401" s="344">
        <v>6607076</v>
      </c>
      <c r="F401" s="343" t="s">
        <v>8193</v>
      </c>
      <c r="G401" s="360" t="s">
        <v>9584</v>
      </c>
      <c r="H401" s="361">
        <v>43175</v>
      </c>
      <c r="I401" s="343" t="s">
        <v>271</v>
      </c>
      <c r="J401" s="343" t="s">
        <v>333</v>
      </c>
      <c r="K401" s="343" t="s">
        <v>168</v>
      </c>
    </row>
    <row r="402" spans="1:11" ht="26.25" customHeight="1">
      <c r="A402" s="343" t="s">
        <v>161</v>
      </c>
      <c r="B402" s="344" t="s">
        <v>162</v>
      </c>
      <c r="C402" s="344">
        <v>7457</v>
      </c>
      <c r="D402" s="343" t="s">
        <v>338</v>
      </c>
      <c r="E402" s="344">
        <v>6897210</v>
      </c>
      <c r="F402" s="343" t="s">
        <v>8194</v>
      </c>
      <c r="G402" s="360" t="s">
        <v>9585</v>
      </c>
      <c r="H402" s="361">
        <v>43208</v>
      </c>
      <c r="I402" s="343" t="s">
        <v>8195</v>
      </c>
      <c r="J402" s="343" t="s">
        <v>9586</v>
      </c>
      <c r="K402" s="343" t="s">
        <v>168</v>
      </c>
    </row>
    <row r="403" spans="1:11" ht="26.25" customHeight="1">
      <c r="A403" s="343" t="s">
        <v>161</v>
      </c>
      <c r="B403" s="344" t="s">
        <v>162</v>
      </c>
      <c r="C403" s="344">
        <v>7452</v>
      </c>
      <c r="D403" s="343" t="s">
        <v>249</v>
      </c>
      <c r="E403" s="344">
        <v>6874933</v>
      </c>
      <c r="F403" s="343" t="s">
        <v>8196</v>
      </c>
      <c r="G403" s="360" t="s">
        <v>9506</v>
      </c>
      <c r="H403" s="361">
        <v>43208</v>
      </c>
      <c r="I403" s="343" t="s">
        <v>514</v>
      </c>
      <c r="J403" s="343" t="s">
        <v>9587</v>
      </c>
      <c r="K403" s="343" t="s">
        <v>168</v>
      </c>
    </row>
    <row r="404" spans="1:11" ht="26.25" customHeight="1">
      <c r="A404" s="343" t="s">
        <v>161</v>
      </c>
      <c r="B404" s="344" t="s">
        <v>162</v>
      </c>
      <c r="C404" s="344">
        <v>8450</v>
      </c>
      <c r="D404" s="343" t="s">
        <v>289</v>
      </c>
      <c r="E404" s="344">
        <v>6915591</v>
      </c>
      <c r="F404" s="343" t="s">
        <v>8197</v>
      </c>
      <c r="G404" s="360" t="s">
        <v>9588</v>
      </c>
      <c r="H404" s="361">
        <v>43210</v>
      </c>
      <c r="I404" s="343" t="s">
        <v>284</v>
      </c>
      <c r="J404" s="343" t="s">
        <v>9589</v>
      </c>
      <c r="K404" s="343" t="s">
        <v>168</v>
      </c>
    </row>
    <row r="405" spans="1:11" ht="26.25" customHeight="1">
      <c r="A405" s="343" t="s">
        <v>161</v>
      </c>
      <c r="B405" s="344" t="s">
        <v>162</v>
      </c>
      <c r="C405" s="344">
        <v>11098</v>
      </c>
      <c r="D405" s="343" t="s">
        <v>683</v>
      </c>
      <c r="E405" s="344">
        <v>6154850</v>
      </c>
      <c r="F405" s="343" t="s">
        <v>8198</v>
      </c>
      <c r="G405" s="360" t="s">
        <v>9590</v>
      </c>
      <c r="H405" s="361">
        <v>43210</v>
      </c>
      <c r="I405" s="343" t="s">
        <v>547</v>
      </c>
      <c r="J405" s="343" t="s">
        <v>1028</v>
      </c>
      <c r="K405" s="343" t="s">
        <v>248</v>
      </c>
    </row>
    <row r="406" spans="1:11" ht="26.25" customHeight="1">
      <c r="A406" s="343" t="s">
        <v>161</v>
      </c>
      <c r="B406" s="344" t="s">
        <v>162</v>
      </c>
      <c r="C406" s="344">
        <v>12069</v>
      </c>
      <c r="D406" s="343" t="s">
        <v>617</v>
      </c>
      <c r="E406" s="344">
        <v>6308438</v>
      </c>
      <c r="F406" s="343" t="s">
        <v>8199</v>
      </c>
      <c r="G406" s="360" t="s">
        <v>9591</v>
      </c>
      <c r="H406" s="361">
        <v>43210</v>
      </c>
      <c r="I406" s="343" t="s">
        <v>261</v>
      </c>
      <c r="J406" s="343" t="s">
        <v>9505</v>
      </c>
      <c r="K406" s="343" t="s">
        <v>168</v>
      </c>
    </row>
    <row r="407" spans="1:11" ht="26.25" customHeight="1">
      <c r="A407" s="343" t="s">
        <v>161</v>
      </c>
      <c r="B407" s="344" t="s">
        <v>162</v>
      </c>
      <c r="C407" s="344">
        <v>6582</v>
      </c>
      <c r="D407" s="343" t="s">
        <v>1143</v>
      </c>
      <c r="E407" s="344">
        <v>6961237</v>
      </c>
      <c r="F407" s="343" t="s">
        <v>8200</v>
      </c>
      <c r="G407" s="360" t="s">
        <v>9592</v>
      </c>
      <c r="H407" s="361">
        <v>43210</v>
      </c>
      <c r="I407" s="343" t="s">
        <v>580</v>
      </c>
      <c r="J407" s="343" t="s">
        <v>9593</v>
      </c>
      <c r="K407" s="343" t="s">
        <v>248</v>
      </c>
    </row>
    <row r="408" spans="1:11" ht="26.25" customHeight="1">
      <c r="A408" s="343" t="s">
        <v>161</v>
      </c>
      <c r="B408" s="344" t="s">
        <v>162</v>
      </c>
      <c r="C408" s="344">
        <v>13497</v>
      </c>
      <c r="D408" s="343" t="s">
        <v>8152</v>
      </c>
      <c r="E408" s="344">
        <v>6420892</v>
      </c>
      <c r="F408" s="343" t="s">
        <v>7689</v>
      </c>
      <c r="G408" s="360" t="s">
        <v>9594</v>
      </c>
      <c r="H408" s="361">
        <v>43214</v>
      </c>
      <c r="I408" s="343" t="s">
        <v>887</v>
      </c>
      <c r="J408" s="343" t="s">
        <v>9595</v>
      </c>
      <c r="K408" s="343" t="s">
        <v>168</v>
      </c>
    </row>
    <row r="409" spans="1:11" ht="26.25" customHeight="1">
      <c r="A409" s="343" t="s">
        <v>161</v>
      </c>
      <c r="B409" s="344" t="s">
        <v>162</v>
      </c>
      <c r="C409" s="344">
        <v>13497</v>
      </c>
      <c r="D409" s="343" t="s">
        <v>8152</v>
      </c>
      <c r="E409" s="344">
        <v>6121152</v>
      </c>
      <c r="F409" s="343" t="s">
        <v>455</v>
      </c>
      <c r="G409" s="360" t="s">
        <v>456</v>
      </c>
      <c r="H409" s="361">
        <v>43214</v>
      </c>
      <c r="I409" s="343" t="s">
        <v>358</v>
      </c>
      <c r="J409" s="343" t="s">
        <v>9596</v>
      </c>
      <c r="K409" s="343" t="s">
        <v>168</v>
      </c>
    </row>
    <row r="410" spans="1:11" ht="26.25" customHeight="1">
      <c r="A410" s="343" t="s">
        <v>161</v>
      </c>
      <c r="B410" s="344" t="s">
        <v>162</v>
      </c>
      <c r="C410" s="344">
        <v>13497</v>
      </c>
      <c r="D410" s="343" t="s">
        <v>8152</v>
      </c>
      <c r="E410" s="344">
        <v>6185560</v>
      </c>
      <c r="F410" s="343" t="s">
        <v>7691</v>
      </c>
      <c r="G410" s="360" t="s">
        <v>9597</v>
      </c>
      <c r="H410" s="361">
        <v>43214</v>
      </c>
      <c r="I410" s="343" t="s">
        <v>193</v>
      </c>
      <c r="J410" s="343" t="s">
        <v>637</v>
      </c>
      <c r="K410" s="343" t="s">
        <v>168</v>
      </c>
    </row>
    <row r="411" spans="1:11" ht="26.25" customHeight="1">
      <c r="A411" s="343" t="s">
        <v>161</v>
      </c>
      <c r="B411" s="344" t="s">
        <v>162</v>
      </c>
      <c r="C411" s="344">
        <v>13497</v>
      </c>
      <c r="D411" s="343" t="s">
        <v>8152</v>
      </c>
      <c r="E411" s="344">
        <v>6420493</v>
      </c>
      <c r="F411" s="343" t="s">
        <v>7690</v>
      </c>
      <c r="G411" s="360" t="s">
        <v>267</v>
      </c>
      <c r="H411" s="361">
        <v>43214</v>
      </c>
      <c r="I411" s="343" t="s">
        <v>1038</v>
      </c>
      <c r="J411" s="343" t="s">
        <v>9598</v>
      </c>
      <c r="K411" s="343" t="s">
        <v>168</v>
      </c>
    </row>
    <row r="412" spans="1:11" ht="26.25" customHeight="1">
      <c r="A412" s="343" t="s">
        <v>161</v>
      </c>
      <c r="B412" s="344" t="s">
        <v>162</v>
      </c>
      <c r="C412" s="344">
        <v>6582</v>
      </c>
      <c r="D412" s="343" t="s">
        <v>1143</v>
      </c>
      <c r="E412" s="344">
        <v>5979370</v>
      </c>
      <c r="F412" s="343" t="s">
        <v>8201</v>
      </c>
      <c r="G412" s="360" t="s">
        <v>9599</v>
      </c>
      <c r="H412" s="361">
        <v>43214</v>
      </c>
      <c r="I412" s="343" t="s">
        <v>198</v>
      </c>
      <c r="J412" s="343" t="s">
        <v>198</v>
      </c>
      <c r="K412" s="343" t="s">
        <v>168</v>
      </c>
    </row>
    <row r="413" spans="1:11" ht="26.25" customHeight="1">
      <c r="A413" s="343" t="s">
        <v>161</v>
      </c>
      <c r="B413" s="344" t="s">
        <v>162</v>
      </c>
      <c r="C413" s="344">
        <v>9856</v>
      </c>
      <c r="D413" s="343" t="s">
        <v>641</v>
      </c>
      <c r="E413" s="344">
        <v>6116151</v>
      </c>
      <c r="F413" s="343" t="s">
        <v>8202</v>
      </c>
      <c r="G413" s="360" t="s">
        <v>9461</v>
      </c>
      <c r="H413" s="361">
        <v>43214</v>
      </c>
      <c r="I413" s="343" t="s">
        <v>261</v>
      </c>
      <c r="J413" s="343" t="s">
        <v>9505</v>
      </c>
      <c r="K413" s="343" t="s">
        <v>168</v>
      </c>
    </row>
    <row r="414" spans="1:11" ht="26.25" customHeight="1">
      <c r="A414" s="343" t="s">
        <v>161</v>
      </c>
      <c r="B414" s="344" t="s">
        <v>162</v>
      </c>
      <c r="C414" s="344">
        <v>7456</v>
      </c>
      <c r="D414" s="343" t="s">
        <v>189</v>
      </c>
      <c r="E414" s="344">
        <v>6873250</v>
      </c>
      <c r="F414" s="343" t="s">
        <v>8203</v>
      </c>
      <c r="G414" s="360" t="s">
        <v>9600</v>
      </c>
      <c r="H414" s="361">
        <v>43216</v>
      </c>
      <c r="I414" s="343" t="s">
        <v>180</v>
      </c>
      <c r="J414" s="343" t="s">
        <v>9601</v>
      </c>
      <c r="K414" s="343" t="s">
        <v>173</v>
      </c>
    </row>
    <row r="415" spans="1:11" ht="26.25" customHeight="1">
      <c r="A415" s="343" t="s">
        <v>161</v>
      </c>
      <c r="B415" s="344" t="s">
        <v>162</v>
      </c>
      <c r="C415" s="344">
        <v>10497</v>
      </c>
      <c r="D415" s="343" t="s">
        <v>235</v>
      </c>
      <c r="E415" s="344">
        <v>6564806</v>
      </c>
      <c r="F415" s="343" t="s">
        <v>8204</v>
      </c>
      <c r="G415" s="360" t="s">
        <v>9602</v>
      </c>
      <c r="H415" s="361">
        <v>43217</v>
      </c>
      <c r="I415" s="343" t="s">
        <v>313</v>
      </c>
      <c r="J415" s="343" t="s">
        <v>397</v>
      </c>
      <c r="K415" s="343" t="s">
        <v>173</v>
      </c>
    </row>
    <row r="416" spans="1:11" ht="26.25" customHeight="1">
      <c r="A416" s="343" t="s">
        <v>161</v>
      </c>
      <c r="B416" s="344" t="s">
        <v>162</v>
      </c>
      <c r="C416" s="344">
        <v>7458</v>
      </c>
      <c r="D416" s="343" t="s">
        <v>207</v>
      </c>
      <c r="E416" s="344">
        <v>6712087</v>
      </c>
      <c r="F416" s="343" t="s">
        <v>8205</v>
      </c>
      <c r="G416" s="360" t="s">
        <v>9603</v>
      </c>
      <c r="H416" s="361">
        <v>43217</v>
      </c>
      <c r="I416" s="343" t="s">
        <v>193</v>
      </c>
      <c r="J416" s="343" t="s">
        <v>637</v>
      </c>
      <c r="K416" s="343" t="s">
        <v>168</v>
      </c>
    </row>
    <row r="417" spans="1:11" ht="26.25" customHeight="1">
      <c r="A417" s="343" t="s">
        <v>161</v>
      </c>
      <c r="B417" s="344" t="s">
        <v>162</v>
      </c>
      <c r="C417" s="344">
        <v>13497</v>
      </c>
      <c r="D417" s="343" t="s">
        <v>8152</v>
      </c>
      <c r="E417" s="344">
        <v>6237826</v>
      </c>
      <c r="F417" s="343" t="s">
        <v>8206</v>
      </c>
      <c r="G417" s="360" t="s">
        <v>9604</v>
      </c>
      <c r="H417" s="361">
        <v>43217</v>
      </c>
      <c r="I417" s="343" t="s">
        <v>8207</v>
      </c>
      <c r="J417" s="343" t="s">
        <v>9605</v>
      </c>
      <c r="K417" s="343" t="s">
        <v>168</v>
      </c>
    </row>
    <row r="418" spans="1:11" ht="26.25" customHeight="1">
      <c r="A418" s="343" t="s">
        <v>161</v>
      </c>
      <c r="B418" s="344" t="s">
        <v>162</v>
      </c>
      <c r="C418" s="344">
        <v>11098</v>
      </c>
      <c r="D418" s="343" t="s">
        <v>683</v>
      </c>
      <c r="E418" s="344">
        <v>5875015</v>
      </c>
      <c r="F418" s="343" t="s">
        <v>7405</v>
      </c>
      <c r="G418" s="360" t="s">
        <v>9606</v>
      </c>
      <c r="H418" s="361">
        <v>43220</v>
      </c>
      <c r="I418" s="343" t="s">
        <v>180</v>
      </c>
      <c r="J418" s="343" t="s">
        <v>9607</v>
      </c>
      <c r="K418" s="343" t="s">
        <v>168</v>
      </c>
    </row>
    <row r="419" spans="1:11" ht="26.25" customHeight="1">
      <c r="A419" s="343" t="s">
        <v>161</v>
      </c>
      <c r="B419" s="344" t="s">
        <v>162</v>
      </c>
      <c r="C419" s="344">
        <v>7446</v>
      </c>
      <c r="D419" s="343" t="s">
        <v>318</v>
      </c>
      <c r="E419" s="344">
        <v>6592328</v>
      </c>
      <c r="F419" s="343" t="s">
        <v>8208</v>
      </c>
      <c r="G419" s="360" t="s">
        <v>9608</v>
      </c>
      <c r="H419" s="361">
        <v>43222</v>
      </c>
      <c r="I419" s="343" t="s">
        <v>198</v>
      </c>
      <c r="J419" s="343" t="s">
        <v>198</v>
      </c>
      <c r="K419" s="343" t="s">
        <v>168</v>
      </c>
    </row>
    <row r="420" spans="1:11" ht="26.25" customHeight="1">
      <c r="A420" s="343" t="s">
        <v>161</v>
      </c>
      <c r="B420" s="344" t="s">
        <v>162</v>
      </c>
      <c r="C420" s="344">
        <v>8823</v>
      </c>
      <c r="D420" s="343" t="s">
        <v>993</v>
      </c>
      <c r="E420" s="344">
        <v>5713320</v>
      </c>
      <c r="F420" s="343" t="s">
        <v>1000</v>
      </c>
      <c r="G420" s="360" t="s">
        <v>1001</v>
      </c>
      <c r="H420" s="361">
        <v>43222</v>
      </c>
      <c r="I420" s="343" t="s">
        <v>8209</v>
      </c>
      <c r="J420" s="343" t="s">
        <v>9609</v>
      </c>
      <c r="K420" s="343" t="s">
        <v>168</v>
      </c>
    </row>
    <row r="421" spans="1:11" ht="26.25" customHeight="1">
      <c r="A421" s="343" t="s">
        <v>161</v>
      </c>
      <c r="B421" s="344" t="s">
        <v>162</v>
      </c>
      <c r="C421" s="344">
        <v>7462</v>
      </c>
      <c r="D421" s="343" t="s">
        <v>195</v>
      </c>
      <c r="E421" s="344">
        <v>6669706</v>
      </c>
      <c r="F421" s="343" t="s">
        <v>8210</v>
      </c>
      <c r="G421" s="360" t="s">
        <v>9610</v>
      </c>
      <c r="H421" s="361">
        <v>43223</v>
      </c>
      <c r="I421" s="343" t="s">
        <v>5698</v>
      </c>
      <c r="J421" s="343" t="s">
        <v>9611</v>
      </c>
      <c r="K421" s="343" t="s">
        <v>168</v>
      </c>
    </row>
    <row r="422" spans="1:11" ht="26.25" customHeight="1">
      <c r="A422" s="343" t="s">
        <v>161</v>
      </c>
      <c r="B422" s="344" t="s">
        <v>162</v>
      </c>
      <c r="C422" s="344">
        <v>6587</v>
      </c>
      <c r="D422" s="343" t="s">
        <v>1336</v>
      </c>
      <c r="E422" s="344">
        <v>5920882</v>
      </c>
      <c r="F422" s="343" t="s">
        <v>5813</v>
      </c>
      <c r="G422" s="360" t="s">
        <v>340</v>
      </c>
      <c r="H422" s="361">
        <v>43223</v>
      </c>
      <c r="I422" s="343" t="s">
        <v>193</v>
      </c>
      <c r="J422" s="343" t="s">
        <v>637</v>
      </c>
      <c r="K422" s="343" t="s">
        <v>168</v>
      </c>
    </row>
    <row r="423" spans="1:11" ht="26.25" customHeight="1">
      <c r="A423" s="343" t="s">
        <v>161</v>
      </c>
      <c r="B423" s="344" t="s">
        <v>162</v>
      </c>
      <c r="C423" s="344">
        <v>7446</v>
      </c>
      <c r="D423" s="343" t="s">
        <v>318</v>
      </c>
      <c r="E423" s="344">
        <v>6747296</v>
      </c>
      <c r="F423" s="343" t="s">
        <v>8211</v>
      </c>
      <c r="G423" s="360" t="s">
        <v>9612</v>
      </c>
      <c r="H423" s="361">
        <v>43223</v>
      </c>
      <c r="I423" s="343" t="s">
        <v>3583</v>
      </c>
      <c r="J423" s="343" t="s">
        <v>9613</v>
      </c>
      <c r="K423" s="343" t="s">
        <v>173</v>
      </c>
    </row>
    <row r="424" spans="1:11" ht="26.25" customHeight="1">
      <c r="A424" s="343" t="s">
        <v>161</v>
      </c>
      <c r="B424" s="344" t="s">
        <v>162</v>
      </c>
      <c r="C424" s="344">
        <v>9384</v>
      </c>
      <c r="D424" s="343" t="s">
        <v>957</v>
      </c>
      <c r="E424" s="344">
        <v>5634773</v>
      </c>
      <c r="F424" s="343" t="s">
        <v>632</v>
      </c>
      <c r="G424" s="360" t="s">
        <v>633</v>
      </c>
      <c r="H424" s="361">
        <v>43224</v>
      </c>
      <c r="I424" s="343" t="s">
        <v>465</v>
      </c>
      <c r="J424" s="343" t="s">
        <v>9614</v>
      </c>
      <c r="K424" s="343" t="s">
        <v>168</v>
      </c>
    </row>
    <row r="425" spans="1:11" ht="26.25" customHeight="1">
      <c r="A425" s="343" t="s">
        <v>161</v>
      </c>
      <c r="B425" s="344" t="s">
        <v>162</v>
      </c>
      <c r="C425" s="344">
        <v>6588</v>
      </c>
      <c r="D425" s="343" t="s">
        <v>1396</v>
      </c>
      <c r="E425" s="344">
        <v>5900460</v>
      </c>
      <c r="F425" s="343" t="s">
        <v>8212</v>
      </c>
      <c r="G425" s="360" t="s">
        <v>9599</v>
      </c>
      <c r="H425" s="361">
        <v>43224</v>
      </c>
      <c r="I425" s="343" t="s">
        <v>5726</v>
      </c>
      <c r="J425" s="343" t="s">
        <v>9615</v>
      </c>
      <c r="K425" s="343" t="s">
        <v>248</v>
      </c>
    </row>
    <row r="426" spans="1:11" ht="26.25" customHeight="1">
      <c r="A426" s="343" t="s">
        <v>161</v>
      </c>
      <c r="B426" s="344" t="s">
        <v>162</v>
      </c>
      <c r="C426" s="344">
        <v>6586</v>
      </c>
      <c r="D426" s="343" t="s">
        <v>1460</v>
      </c>
      <c r="E426" s="344">
        <v>6130749</v>
      </c>
      <c r="F426" s="343" t="s">
        <v>8213</v>
      </c>
      <c r="G426" s="360" t="s">
        <v>9517</v>
      </c>
      <c r="H426" s="361">
        <v>43224</v>
      </c>
      <c r="I426" s="343" t="s">
        <v>166</v>
      </c>
      <c r="J426" s="343" t="s">
        <v>327</v>
      </c>
      <c r="K426" s="343" t="s">
        <v>168</v>
      </c>
    </row>
    <row r="427" spans="1:11" ht="26.25" customHeight="1">
      <c r="A427" s="343" t="s">
        <v>161</v>
      </c>
      <c r="B427" s="344" t="s">
        <v>162</v>
      </c>
      <c r="C427" s="344">
        <v>9384</v>
      </c>
      <c r="D427" s="343" t="s">
        <v>957</v>
      </c>
      <c r="E427" s="344">
        <v>6188619</v>
      </c>
      <c r="F427" s="343" t="s">
        <v>1299</v>
      </c>
      <c r="G427" s="360" t="s">
        <v>1300</v>
      </c>
      <c r="H427" s="361">
        <v>43224</v>
      </c>
      <c r="I427" s="343" t="s">
        <v>802</v>
      </c>
      <c r="J427" s="343" t="s">
        <v>1075</v>
      </c>
      <c r="K427" s="343" t="s">
        <v>168</v>
      </c>
    </row>
    <row r="428" spans="1:11" ht="26.25" customHeight="1">
      <c r="A428" s="343" t="s">
        <v>161</v>
      </c>
      <c r="B428" s="344" t="s">
        <v>162</v>
      </c>
      <c r="C428" s="344">
        <v>9592</v>
      </c>
      <c r="D428" s="343" t="s">
        <v>307</v>
      </c>
      <c r="E428" s="344">
        <v>6577864</v>
      </c>
      <c r="F428" s="343" t="s">
        <v>8214</v>
      </c>
      <c r="G428" s="360" t="s">
        <v>9616</v>
      </c>
      <c r="H428" s="361">
        <v>43224</v>
      </c>
      <c r="I428" s="343" t="s">
        <v>193</v>
      </c>
      <c r="J428" s="343" t="s">
        <v>603</v>
      </c>
      <c r="K428" s="343" t="s">
        <v>168</v>
      </c>
    </row>
    <row r="429" spans="1:11" ht="26.25" customHeight="1">
      <c r="A429" s="343" t="s">
        <v>161</v>
      </c>
      <c r="B429" s="344" t="s">
        <v>162</v>
      </c>
      <c r="C429" s="344">
        <v>7451</v>
      </c>
      <c r="D429" s="343" t="s">
        <v>225</v>
      </c>
      <c r="E429" s="344">
        <v>6398112</v>
      </c>
      <c r="F429" s="343" t="s">
        <v>8215</v>
      </c>
      <c r="G429" s="360" t="s">
        <v>9617</v>
      </c>
      <c r="H429" s="361">
        <v>43224</v>
      </c>
      <c r="I429" s="343" t="s">
        <v>8216</v>
      </c>
      <c r="J429" s="343" t="s">
        <v>9618</v>
      </c>
      <c r="K429" s="343" t="s">
        <v>168</v>
      </c>
    </row>
    <row r="430" spans="1:11" ht="26.25" customHeight="1">
      <c r="A430" s="343" t="s">
        <v>161</v>
      </c>
      <c r="B430" s="344" t="s">
        <v>162</v>
      </c>
      <c r="C430" s="344">
        <v>7445</v>
      </c>
      <c r="D430" s="343" t="s">
        <v>7032</v>
      </c>
      <c r="E430" s="344">
        <v>5925752</v>
      </c>
      <c r="F430" s="343" t="s">
        <v>8217</v>
      </c>
      <c r="G430" s="360" t="s">
        <v>9619</v>
      </c>
      <c r="H430" s="361">
        <v>43227</v>
      </c>
      <c r="I430" s="343" t="s">
        <v>193</v>
      </c>
      <c r="J430" s="343" t="s">
        <v>637</v>
      </c>
      <c r="K430" s="343" t="s">
        <v>168</v>
      </c>
    </row>
    <row r="431" spans="1:11" ht="26.25" customHeight="1">
      <c r="A431" s="343" t="s">
        <v>161</v>
      </c>
      <c r="B431" s="344" t="s">
        <v>162</v>
      </c>
      <c r="C431" s="344">
        <v>9476</v>
      </c>
      <c r="D431" s="343" t="s">
        <v>1349</v>
      </c>
      <c r="E431" s="344">
        <v>5828170</v>
      </c>
      <c r="F431" s="343" t="s">
        <v>8218</v>
      </c>
      <c r="G431" s="360" t="s">
        <v>9620</v>
      </c>
      <c r="H431" s="361">
        <v>43227</v>
      </c>
      <c r="I431" s="343" t="s">
        <v>366</v>
      </c>
      <c r="J431" s="343" t="s">
        <v>366</v>
      </c>
      <c r="K431" s="343" t="s">
        <v>168</v>
      </c>
    </row>
    <row r="432" spans="1:11" ht="26.25" customHeight="1">
      <c r="A432" s="343" t="s">
        <v>161</v>
      </c>
      <c r="B432" s="344" t="s">
        <v>162</v>
      </c>
      <c r="C432" s="344">
        <v>6583</v>
      </c>
      <c r="D432" s="343" t="s">
        <v>1110</v>
      </c>
      <c r="E432" s="344">
        <v>6601600</v>
      </c>
      <c r="F432" s="343" t="s">
        <v>8219</v>
      </c>
      <c r="G432" s="360" t="s">
        <v>9621</v>
      </c>
      <c r="H432" s="361">
        <v>43227</v>
      </c>
      <c r="I432" s="343" t="s">
        <v>1038</v>
      </c>
      <c r="J432" s="343" t="s">
        <v>9369</v>
      </c>
      <c r="K432" s="343" t="s">
        <v>168</v>
      </c>
    </row>
    <row r="433" spans="1:11" ht="26.25" customHeight="1">
      <c r="A433" s="343" t="s">
        <v>161</v>
      </c>
      <c r="B433" s="344" t="s">
        <v>162</v>
      </c>
      <c r="C433" s="344">
        <v>7451</v>
      </c>
      <c r="D433" s="343" t="s">
        <v>225</v>
      </c>
      <c r="E433" s="344">
        <v>6735371</v>
      </c>
      <c r="F433" s="343" t="s">
        <v>3566</v>
      </c>
      <c r="G433" s="360" t="s">
        <v>9622</v>
      </c>
      <c r="H433" s="361">
        <v>43227</v>
      </c>
      <c r="I433" s="343" t="s">
        <v>3583</v>
      </c>
      <c r="J433" s="343" t="s">
        <v>9390</v>
      </c>
      <c r="K433" s="343" t="s">
        <v>173</v>
      </c>
    </row>
    <row r="434" spans="1:11" ht="26.25" customHeight="1">
      <c r="A434" s="343" t="s">
        <v>161</v>
      </c>
      <c r="B434" s="344" t="s">
        <v>162</v>
      </c>
      <c r="C434" s="344">
        <v>6593</v>
      </c>
      <c r="D434" s="343" t="s">
        <v>1096</v>
      </c>
      <c r="E434" s="344">
        <v>6024220</v>
      </c>
      <c r="F434" s="343" t="s">
        <v>8220</v>
      </c>
      <c r="G434" s="360" t="s">
        <v>9623</v>
      </c>
      <c r="H434" s="361">
        <v>43227</v>
      </c>
      <c r="I434" s="343" t="s">
        <v>193</v>
      </c>
      <c r="J434" s="343" t="s">
        <v>637</v>
      </c>
      <c r="K434" s="343" t="s">
        <v>168</v>
      </c>
    </row>
    <row r="435" spans="1:11" ht="26.25" customHeight="1">
      <c r="A435" s="343" t="s">
        <v>161</v>
      </c>
      <c r="B435" s="344" t="s">
        <v>162</v>
      </c>
      <c r="C435" s="344">
        <v>9062</v>
      </c>
      <c r="D435" s="343" t="s">
        <v>862</v>
      </c>
      <c r="E435" s="344">
        <v>6192059</v>
      </c>
      <c r="F435" s="343" t="s">
        <v>1364</v>
      </c>
      <c r="G435" s="360" t="s">
        <v>1365</v>
      </c>
      <c r="H435" s="361">
        <v>43231</v>
      </c>
      <c r="I435" s="343" t="s">
        <v>1366</v>
      </c>
      <c r="J435" s="343" t="s">
        <v>9624</v>
      </c>
      <c r="K435" s="343" t="s">
        <v>168</v>
      </c>
    </row>
    <row r="436" spans="1:11" ht="26.25" customHeight="1">
      <c r="A436" s="343" t="s">
        <v>161</v>
      </c>
      <c r="B436" s="344" t="s">
        <v>162</v>
      </c>
      <c r="C436" s="344">
        <v>6591</v>
      </c>
      <c r="D436" s="343" t="s">
        <v>1307</v>
      </c>
      <c r="E436" s="344">
        <v>5750868</v>
      </c>
      <c r="F436" s="343" t="s">
        <v>1309</v>
      </c>
      <c r="G436" s="360" t="s">
        <v>1310</v>
      </c>
      <c r="H436" s="361">
        <v>43231</v>
      </c>
      <c r="I436" s="343" t="s">
        <v>8221</v>
      </c>
      <c r="J436" s="343" t="s">
        <v>9625</v>
      </c>
      <c r="K436" s="343" t="s">
        <v>168</v>
      </c>
    </row>
    <row r="437" spans="1:11" ht="26.25" customHeight="1">
      <c r="A437" s="343" t="s">
        <v>161</v>
      </c>
      <c r="B437" s="344" t="s">
        <v>162</v>
      </c>
      <c r="C437" s="344">
        <v>6583</v>
      </c>
      <c r="D437" s="343" t="s">
        <v>1110</v>
      </c>
      <c r="E437" s="344">
        <v>6471927</v>
      </c>
      <c r="F437" s="343" t="s">
        <v>8222</v>
      </c>
      <c r="G437" s="360" t="s">
        <v>9626</v>
      </c>
      <c r="H437" s="361">
        <v>43231</v>
      </c>
      <c r="I437" s="343" t="s">
        <v>7254</v>
      </c>
      <c r="J437" s="343" t="s">
        <v>9627</v>
      </c>
      <c r="K437" s="343" t="s">
        <v>168</v>
      </c>
    </row>
    <row r="438" spans="1:11" ht="26.25" customHeight="1">
      <c r="A438" s="343" t="s">
        <v>161</v>
      </c>
      <c r="B438" s="344" t="s">
        <v>162</v>
      </c>
      <c r="C438" s="344">
        <v>6584</v>
      </c>
      <c r="D438" s="343" t="s">
        <v>1286</v>
      </c>
      <c r="E438" s="344">
        <v>6126119</v>
      </c>
      <c r="F438" s="343" t="s">
        <v>8223</v>
      </c>
      <c r="G438" s="360" t="s">
        <v>9628</v>
      </c>
      <c r="H438" s="361">
        <v>43234</v>
      </c>
      <c r="I438" s="343" t="s">
        <v>709</v>
      </c>
      <c r="J438" s="343" t="s">
        <v>9629</v>
      </c>
      <c r="K438" s="343" t="s">
        <v>168</v>
      </c>
    </row>
    <row r="439" spans="1:11" ht="26.25" customHeight="1">
      <c r="A439" s="343" t="s">
        <v>161</v>
      </c>
      <c r="B439" s="344" t="s">
        <v>162</v>
      </c>
      <c r="C439" s="344">
        <v>12755</v>
      </c>
      <c r="D439" s="343" t="s">
        <v>1416</v>
      </c>
      <c r="E439" s="344">
        <v>6187635</v>
      </c>
      <c r="F439" s="343" t="s">
        <v>8224</v>
      </c>
      <c r="G439" s="360" t="s">
        <v>9630</v>
      </c>
      <c r="H439" s="361">
        <v>43234</v>
      </c>
      <c r="I439" s="343" t="s">
        <v>193</v>
      </c>
      <c r="J439" s="343" t="s">
        <v>637</v>
      </c>
      <c r="K439" s="343" t="s">
        <v>168</v>
      </c>
    </row>
    <row r="440" spans="1:11" ht="26.25" customHeight="1">
      <c r="A440" s="343" t="s">
        <v>161</v>
      </c>
      <c r="B440" s="344" t="s">
        <v>162</v>
      </c>
      <c r="C440" s="344">
        <v>7447</v>
      </c>
      <c r="D440" s="343" t="s">
        <v>160</v>
      </c>
      <c r="E440" s="344">
        <v>6937438</v>
      </c>
      <c r="F440" s="343" t="s">
        <v>8225</v>
      </c>
      <c r="G440" s="360" t="s">
        <v>9631</v>
      </c>
      <c r="H440" s="361">
        <v>43234</v>
      </c>
      <c r="I440" s="343" t="s">
        <v>423</v>
      </c>
      <c r="J440" s="343" t="s">
        <v>9632</v>
      </c>
      <c r="K440" s="343" t="s">
        <v>168</v>
      </c>
    </row>
    <row r="441" spans="1:11" ht="26.25" customHeight="1">
      <c r="A441" s="343" t="s">
        <v>161</v>
      </c>
      <c r="B441" s="344" t="s">
        <v>162</v>
      </c>
      <c r="C441" s="344">
        <v>13496</v>
      </c>
      <c r="D441" s="343" t="s">
        <v>3600</v>
      </c>
      <c r="E441" s="344">
        <v>6567303</v>
      </c>
      <c r="F441" s="343" t="s">
        <v>8226</v>
      </c>
      <c r="G441" s="360" t="s">
        <v>9633</v>
      </c>
      <c r="H441" s="361">
        <v>43234</v>
      </c>
      <c r="I441" s="343" t="s">
        <v>8227</v>
      </c>
      <c r="J441" s="343" t="s">
        <v>9634</v>
      </c>
      <c r="K441" s="343" t="s">
        <v>168</v>
      </c>
    </row>
    <row r="442" spans="1:11" ht="26.25" customHeight="1">
      <c r="A442" s="343" t="s">
        <v>161</v>
      </c>
      <c r="B442" s="344" t="s">
        <v>162</v>
      </c>
      <c r="C442" s="344">
        <v>13496</v>
      </c>
      <c r="D442" s="343" t="s">
        <v>3600</v>
      </c>
      <c r="E442" s="344">
        <v>6191762</v>
      </c>
      <c r="F442" s="343" t="s">
        <v>389</v>
      </c>
      <c r="G442" s="360" t="s">
        <v>390</v>
      </c>
      <c r="H442" s="361">
        <v>43234</v>
      </c>
      <c r="I442" s="343" t="s">
        <v>275</v>
      </c>
      <c r="J442" s="343" t="s">
        <v>9635</v>
      </c>
      <c r="K442" s="343" t="s">
        <v>168</v>
      </c>
    </row>
    <row r="443" spans="1:11" ht="26.25" customHeight="1">
      <c r="A443" s="343" t="s">
        <v>161</v>
      </c>
      <c r="B443" s="344" t="s">
        <v>162</v>
      </c>
      <c r="C443" s="344">
        <v>9427</v>
      </c>
      <c r="D443" s="343" t="s">
        <v>1296</v>
      </c>
      <c r="E443" s="344">
        <v>6595323</v>
      </c>
      <c r="F443" s="343" t="s">
        <v>8228</v>
      </c>
      <c r="G443" s="360" t="s">
        <v>9636</v>
      </c>
      <c r="H443" s="361">
        <v>43234</v>
      </c>
      <c r="I443" s="343" t="s">
        <v>187</v>
      </c>
      <c r="J443" s="343" t="s">
        <v>187</v>
      </c>
      <c r="K443" s="343" t="s">
        <v>168</v>
      </c>
    </row>
    <row r="444" spans="1:11" ht="26.25" customHeight="1">
      <c r="A444" s="343" t="s">
        <v>161</v>
      </c>
      <c r="B444" s="344" t="s">
        <v>162</v>
      </c>
      <c r="C444" s="344">
        <v>9195</v>
      </c>
      <c r="D444" s="343" t="s">
        <v>1257</v>
      </c>
      <c r="E444" s="344">
        <v>6537755</v>
      </c>
      <c r="F444" s="343" t="s">
        <v>8229</v>
      </c>
      <c r="G444" s="360" t="s">
        <v>9637</v>
      </c>
      <c r="H444" s="361">
        <v>43235</v>
      </c>
      <c r="I444" s="343" t="s">
        <v>166</v>
      </c>
      <c r="J444" s="343" t="s">
        <v>296</v>
      </c>
      <c r="K444" s="343" t="s">
        <v>168</v>
      </c>
    </row>
    <row r="445" spans="1:11" ht="26.25" customHeight="1">
      <c r="A445" s="343" t="s">
        <v>161</v>
      </c>
      <c r="B445" s="344" t="s">
        <v>162</v>
      </c>
      <c r="C445" s="344">
        <v>9856</v>
      </c>
      <c r="D445" s="343" t="s">
        <v>641</v>
      </c>
      <c r="E445" s="344">
        <v>6994944</v>
      </c>
      <c r="F445" s="343" t="s">
        <v>8230</v>
      </c>
      <c r="G445" s="360" t="s">
        <v>9638</v>
      </c>
      <c r="H445" s="361">
        <v>43235</v>
      </c>
      <c r="I445" s="343" t="s">
        <v>193</v>
      </c>
      <c r="J445" s="343" t="s">
        <v>509</v>
      </c>
      <c r="K445" s="343" t="s">
        <v>168</v>
      </c>
    </row>
    <row r="446" spans="1:11" ht="26.25" customHeight="1">
      <c r="A446" s="343" t="s">
        <v>161</v>
      </c>
      <c r="B446" s="344" t="s">
        <v>162</v>
      </c>
      <c r="C446" s="344">
        <v>6588</v>
      </c>
      <c r="D446" s="343" t="s">
        <v>1396</v>
      </c>
      <c r="E446" s="344">
        <v>6530577</v>
      </c>
      <c r="F446" s="343" t="s">
        <v>8231</v>
      </c>
      <c r="G446" s="360" t="s">
        <v>9639</v>
      </c>
      <c r="H446" s="361">
        <v>43235</v>
      </c>
      <c r="I446" s="343" t="s">
        <v>366</v>
      </c>
      <c r="J446" s="343" t="s">
        <v>366</v>
      </c>
      <c r="K446" s="343" t="s">
        <v>168</v>
      </c>
    </row>
    <row r="447" spans="1:11" ht="26.25" customHeight="1">
      <c r="A447" s="343" t="s">
        <v>161</v>
      </c>
      <c r="B447" s="344" t="s">
        <v>162</v>
      </c>
      <c r="C447" s="344">
        <v>7462</v>
      </c>
      <c r="D447" s="343" t="s">
        <v>195</v>
      </c>
      <c r="E447" s="344">
        <v>6573969</v>
      </c>
      <c r="F447" s="343" t="s">
        <v>3565</v>
      </c>
      <c r="G447" s="360" t="s">
        <v>9640</v>
      </c>
      <c r="H447" s="361">
        <v>43237</v>
      </c>
      <c r="I447" s="343" t="s">
        <v>166</v>
      </c>
      <c r="J447" s="343" t="s">
        <v>9641</v>
      </c>
      <c r="K447" s="343" t="s">
        <v>168</v>
      </c>
    </row>
    <row r="448" spans="1:11" ht="26.25" customHeight="1">
      <c r="A448" s="343" t="s">
        <v>161</v>
      </c>
      <c r="B448" s="344" t="s">
        <v>162</v>
      </c>
      <c r="C448" s="344">
        <v>6584</v>
      </c>
      <c r="D448" s="343" t="s">
        <v>1286</v>
      </c>
      <c r="E448" s="344">
        <v>6004620</v>
      </c>
      <c r="F448" s="343" t="s">
        <v>8233</v>
      </c>
      <c r="G448" s="360" t="s">
        <v>9642</v>
      </c>
      <c r="H448" s="361">
        <v>43237</v>
      </c>
      <c r="I448" s="343" t="s">
        <v>193</v>
      </c>
      <c r="J448" s="343" t="s">
        <v>637</v>
      </c>
      <c r="K448" s="343" t="s">
        <v>168</v>
      </c>
    </row>
    <row r="449" spans="1:11" ht="26.25" customHeight="1">
      <c r="A449" s="343" t="s">
        <v>161</v>
      </c>
      <c r="B449" s="344" t="s">
        <v>162</v>
      </c>
      <c r="C449" s="344">
        <v>9856</v>
      </c>
      <c r="D449" s="343" t="s">
        <v>641</v>
      </c>
      <c r="E449" s="344">
        <v>5991644</v>
      </c>
      <c r="F449" s="343" t="s">
        <v>8234</v>
      </c>
      <c r="G449" s="360" t="s">
        <v>9643</v>
      </c>
      <c r="H449" s="361">
        <v>43237</v>
      </c>
      <c r="I449" s="343" t="s">
        <v>3606</v>
      </c>
      <c r="J449" s="343" t="s">
        <v>3606</v>
      </c>
      <c r="K449" s="343" t="s">
        <v>168</v>
      </c>
    </row>
    <row r="450" spans="1:11" ht="26.25" customHeight="1">
      <c r="A450" s="343" t="s">
        <v>161</v>
      </c>
      <c r="B450" s="344" t="s">
        <v>162</v>
      </c>
      <c r="C450" s="344">
        <v>9903</v>
      </c>
      <c r="D450" s="343" t="s">
        <v>597</v>
      </c>
      <c r="E450" s="344">
        <v>6057539</v>
      </c>
      <c r="F450" s="343" t="s">
        <v>8235</v>
      </c>
      <c r="G450" s="360" t="s">
        <v>9644</v>
      </c>
      <c r="H450" s="361">
        <v>43241</v>
      </c>
      <c r="I450" s="343" t="s">
        <v>284</v>
      </c>
      <c r="J450" s="343" t="s">
        <v>9645</v>
      </c>
      <c r="K450" s="343" t="s">
        <v>168</v>
      </c>
    </row>
    <row r="451" spans="1:11" ht="26.25" customHeight="1">
      <c r="A451" s="343" t="s">
        <v>161</v>
      </c>
      <c r="B451" s="344" t="s">
        <v>162</v>
      </c>
      <c r="C451" s="344">
        <v>9910</v>
      </c>
      <c r="D451" s="343" t="s">
        <v>664</v>
      </c>
      <c r="E451" s="344">
        <v>7038047</v>
      </c>
      <c r="F451" s="343" t="s">
        <v>8236</v>
      </c>
      <c r="G451" s="360" t="s">
        <v>9646</v>
      </c>
      <c r="H451" s="361">
        <v>43242</v>
      </c>
      <c r="I451" s="343" t="s">
        <v>180</v>
      </c>
      <c r="J451" s="343" t="s">
        <v>9647</v>
      </c>
      <c r="K451" s="343" t="s">
        <v>173</v>
      </c>
    </row>
    <row r="452" spans="1:11" ht="26.25" customHeight="1">
      <c r="A452" s="343" t="s">
        <v>161</v>
      </c>
      <c r="B452" s="344" t="s">
        <v>162</v>
      </c>
      <c r="C452" s="344">
        <v>13372</v>
      </c>
      <c r="D452" s="343" t="s">
        <v>1202</v>
      </c>
      <c r="E452" s="344">
        <v>5930152</v>
      </c>
      <c r="F452" s="343" t="s">
        <v>8237</v>
      </c>
      <c r="G452" s="360" t="s">
        <v>9648</v>
      </c>
      <c r="H452" s="361">
        <v>43242</v>
      </c>
      <c r="I452" s="343" t="s">
        <v>166</v>
      </c>
      <c r="J452" s="343" t="s">
        <v>327</v>
      </c>
      <c r="K452" s="343" t="s">
        <v>168</v>
      </c>
    </row>
    <row r="453" spans="1:11" ht="26.25" customHeight="1">
      <c r="A453" s="343" t="s">
        <v>161</v>
      </c>
      <c r="B453" s="344" t="s">
        <v>162</v>
      </c>
      <c r="C453" s="344">
        <v>9910</v>
      </c>
      <c r="D453" s="343" t="s">
        <v>664</v>
      </c>
      <c r="E453" s="344">
        <v>6325269</v>
      </c>
      <c r="F453" s="343" t="s">
        <v>7060</v>
      </c>
      <c r="G453" s="360" t="s">
        <v>9649</v>
      </c>
      <c r="H453" s="361">
        <v>43242</v>
      </c>
      <c r="I453" s="343" t="s">
        <v>193</v>
      </c>
      <c r="J453" s="343" t="s">
        <v>9650</v>
      </c>
      <c r="K453" s="343" t="s">
        <v>168</v>
      </c>
    </row>
    <row r="454" spans="1:11" ht="26.25" customHeight="1">
      <c r="A454" s="343" t="s">
        <v>161</v>
      </c>
      <c r="B454" s="344" t="s">
        <v>162</v>
      </c>
      <c r="C454" s="344">
        <v>9913</v>
      </c>
      <c r="D454" s="343" t="s">
        <v>556</v>
      </c>
      <c r="E454" s="344">
        <v>5952930</v>
      </c>
      <c r="F454" s="343" t="s">
        <v>8238</v>
      </c>
      <c r="G454" s="360" t="s">
        <v>1335</v>
      </c>
      <c r="H454" s="361">
        <v>43242</v>
      </c>
      <c r="I454" s="343" t="s">
        <v>366</v>
      </c>
      <c r="J454" s="343" t="s">
        <v>366</v>
      </c>
      <c r="K454" s="343" t="s">
        <v>168</v>
      </c>
    </row>
    <row r="455" spans="1:11" ht="26.25" customHeight="1">
      <c r="A455" s="343" t="s">
        <v>161</v>
      </c>
      <c r="B455" s="344" t="s">
        <v>162</v>
      </c>
      <c r="C455" s="344">
        <v>6583</v>
      </c>
      <c r="D455" s="343" t="s">
        <v>1110</v>
      </c>
      <c r="E455" s="344">
        <v>6415389</v>
      </c>
      <c r="F455" s="343" t="s">
        <v>1116</v>
      </c>
      <c r="G455" s="360" t="s">
        <v>1117</v>
      </c>
      <c r="H455" s="361">
        <v>43242</v>
      </c>
      <c r="I455" s="343" t="s">
        <v>4017</v>
      </c>
      <c r="J455" s="343" t="s">
        <v>9651</v>
      </c>
      <c r="K455" s="343" t="s">
        <v>168</v>
      </c>
    </row>
    <row r="456" spans="1:11" ht="26.25" customHeight="1">
      <c r="A456" s="343" t="s">
        <v>161</v>
      </c>
      <c r="B456" s="344" t="s">
        <v>162</v>
      </c>
      <c r="C456" s="344">
        <v>9856</v>
      </c>
      <c r="D456" s="343" t="s">
        <v>641</v>
      </c>
      <c r="E456" s="344">
        <v>5853863</v>
      </c>
      <c r="F456" s="343" t="s">
        <v>8239</v>
      </c>
      <c r="G456" s="360" t="s">
        <v>9652</v>
      </c>
      <c r="H456" s="361">
        <v>43242</v>
      </c>
      <c r="I456" s="343" t="s">
        <v>3583</v>
      </c>
      <c r="J456" s="343" t="s">
        <v>9613</v>
      </c>
      <c r="K456" s="343" t="s">
        <v>173</v>
      </c>
    </row>
    <row r="457" spans="1:11" ht="26.25" customHeight="1">
      <c r="A457" s="343" t="s">
        <v>161</v>
      </c>
      <c r="B457" s="344" t="s">
        <v>162</v>
      </c>
      <c r="C457" s="344">
        <v>11098</v>
      </c>
      <c r="D457" s="343" t="s">
        <v>683</v>
      </c>
      <c r="E457" s="344">
        <v>6123349</v>
      </c>
      <c r="F457" s="343" t="s">
        <v>8240</v>
      </c>
      <c r="G457" s="360" t="s">
        <v>9653</v>
      </c>
      <c r="H457" s="361">
        <v>43242</v>
      </c>
      <c r="I457" s="343" t="s">
        <v>198</v>
      </c>
      <c r="J457" s="343" t="s">
        <v>198</v>
      </c>
      <c r="K457" s="343" t="s">
        <v>168</v>
      </c>
    </row>
    <row r="458" spans="1:11" ht="26.25" customHeight="1">
      <c r="A458" s="343" t="s">
        <v>161</v>
      </c>
      <c r="B458" s="344" t="s">
        <v>162</v>
      </c>
      <c r="C458" s="344">
        <v>6583</v>
      </c>
      <c r="D458" s="343" t="s">
        <v>1110</v>
      </c>
      <c r="E458" s="344">
        <v>6030800</v>
      </c>
      <c r="F458" s="343" t="s">
        <v>8241</v>
      </c>
      <c r="G458" s="360" t="s">
        <v>9654</v>
      </c>
      <c r="H458" s="361">
        <v>43242</v>
      </c>
      <c r="I458" s="343" t="s">
        <v>193</v>
      </c>
      <c r="J458" s="343" t="s">
        <v>509</v>
      </c>
      <c r="K458" s="343" t="s">
        <v>168</v>
      </c>
    </row>
    <row r="459" spans="1:11" ht="26.25" customHeight="1">
      <c r="A459" s="343" t="s">
        <v>161</v>
      </c>
      <c r="B459" s="344" t="s">
        <v>162</v>
      </c>
      <c r="C459" s="344">
        <v>9917</v>
      </c>
      <c r="D459" s="343" t="s">
        <v>479</v>
      </c>
      <c r="E459" s="344">
        <v>6803478</v>
      </c>
      <c r="F459" s="343" t="s">
        <v>7666</v>
      </c>
      <c r="G459" s="360" t="s">
        <v>9655</v>
      </c>
      <c r="H459" s="361">
        <v>43242</v>
      </c>
      <c r="I459" s="343" t="s">
        <v>8242</v>
      </c>
      <c r="J459" s="343" t="s">
        <v>9656</v>
      </c>
      <c r="K459" s="343" t="s">
        <v>248</v>
      </c>
    </row>
    <row r="460" spans="1:11" ht="26.25" customHeight="1">
      <c r="A460" s="343" t="s">
        <v>161</v>
      </c>
      <c r="B460" s="344" t="s">
        <v>162</v>
      </c>
      <c r="C460" s="344">
        <v>9744</v>
      </c>
      <c r="D460" s="343" t="s">
        <v>711</v>
      </c>
      <c r="E460" s="344">
        <v>5227612</v>
      </c>
      <c r="F460" s="343" t="s">
        <v>8243</v>
      </c>
      <c r="G460" s="360" t="s">
        <v>890</v>
      </c>
      <c r="H460" s="361">
        <v>43242</v>
      </c>
      <c r="I460" s="343" t="s">
        <v>709</v>
      </c>
      <c r="J460" s="343" t="s">
        <v>709</v>
      </c>
      <c r="K460" s="343" t="s">
        <v>173</v>
      </c>
    </row>
    <row r="461" spans="1:11" ht="26.25" customHeight="1">
      <c r="A461" s="343" t="s">
        <v>161</v>
      </c>
      <c r="B461" s="344" t="s">
        <v>162</v>
      </c>
      <c r="C461" s="344">
        <v>7454</v>
      </c>
      <c r="D461" s="343" t="s">
        <v>8186</v>
      </c>
      <c r="E461" s="344">
        <v>6650960</v>
      </c>
      <c r="F461" s="343" t="s">
        <v>8244</v>
      </c>
      <c r="G461" s="360" t="s">
        <v>9657</v>
      </c>
      <c r="H461" s="361">
        <v>43244</v>
      </c>
      <c r="I461" s="343" t="s">
        <v>193</v>
      </c>
      <c r="J461" s="343" t="s">
        <v>637</v>
      </c>
      <c r="K461" s="343" t="s">
        <v>168</v>
      </c>
    </row>
    <row r="462" spans="1:11" ht="26.25" customHeight="1">
      <c r="A462" s="343" t="s">
        <v>161</v>
      </c>
      <c r="B462" s="344" t="s">
        <v>162</v>
      </c>
      <c r="C462" s="344">
        <v>6592</v>
      </c>
      <c r="D462" s="343" t="s">
        <v>1324</v>
      </c>
      <c r="E462" s="344">
        <v>6138983</v>
      </c>
      <c r="F462" s="343" t="s">
        <v>8245</v>
      </c>
      <c r="G462" s="360" t="s">
        <v>9658</v>
      </c>
      <c r="H462" s="361">
        <v>43248</v>
      </c>
      <c r="I462" s="343" t="s">
        <v>166</v>
      </c>
      <c r="J462" s="343" t="s">
        <v>327</v>
      </c>
      <c r="K462" s="343" t="s">
        <v>168</v>
      </c>
    </row>
    <row r="463" spans="1:11" ht="26.25" customHeight="1">
      <c r="A463" s="343" t="s">
        <v>161</v>
      </c>
      <c r="B463" s="344" t="s">
        <v>162</v>
      </c>
      <c r="C463" s="344">
        <v>12607</v>
      </c>
      <c r="D463" s="343" t="s">
        <v>1055</v>
      </c>
      <c r="E463" s="344">
        <v>4958173</v>
      </c>
      <c r="F463" s="343" t="s">
        <v>8247</v>
      </c>
      <c r="G463" s="360" t="s">
        <v>9659</v>
      </c>
      <c r="H463" s="361">
        <v>43248</v>
      </c>
      <c r="I463" s="343" t="s">
        <v>301</v>
      </c>
      <c r="J463" s="343" t="s">
        <v>530</v>
      </c>
      <c r="K463" s="343" t="s">
        <v>168</v>
      </c>
    </row>
    <row r="464" spans="1:11" ht="26.25" customHeight="1">
      <c r="A464" s="343" t="s">
        <v>161</v>
      </c>
      <c r="B464" s="344" t="s">
        <v>162</v>
      </c>
      <c r="C464" s="344">
        <v>12069</v>
      </c>
      <c r="D464" s="343" t="s">
        <v>617</v>
      </c>
      <c r="E464" s="344">
        <v>6306139</v>
      </c>
      <c r="F464" s="343" t="s">
        <v>8248</v>
      </c>
      <c r="G464" s="360" t="s">
        <v>9660</v>
      </c>
      <c r="H464" s="361">
        <v>43248</v>
      </c>
      <c r="I464" s="343" t="s">
        <v>8249</v>
      </c>
      <c r="J464" s="343" t="s">
        <v>9661</v>
      </c>
      <c r="K464" s="343" t="s">
        <v>168</v>
      </c>
    </row>
    <row r="465" spans="1:11" ht="26.25" customHeight="1">
      <c r="A465" s="343" t="s">
        <v>161</v>
      </c>
      <c r="B465" s="344" t="s">
        <v>162</v>
      </c>
      <c r="C465" s="344">
        <v>9910</v>
      </c>
      <c r="D465" s="343" t="s">
        <v>664</v>
      </c>
      <c r="E465" s="344">
        <v>6566270</v>
      </c>
      <c r="F465" s="343" t="s">
        <v>8250</v>
      </c>
      <c r="G465" s="360" t="s">
        <v>9662</v>
      </c>
      <c r="H465" s="361">
        <v>43248</v>
      </c>
      <c r="I465" s="343" t="s">
        <v>8251</v>
      </c>
      <c r="J465" s="343" t="s">
        <v>9663</v>
      </c>
      <c r="K465" s="343" t="s">
        <v>168</v>
      </c>
    </row>
    <row r="466" spans="1:11" ht="26.25" customHeight="1">
      <c r="A466" s="343" t="s">
        <v>161</v>
      </c>
      <c r="B466" s="344" t="s">
        <v>162</v>
      </c>
      <c r="C466" s="344">
        <v>13517</v>
      </c>
      <c r="D466" s="343" t="s">
        <v>1119</v>
      </c>
      <c r="E466" s="344">
        <v>6361308</v>
      </c>
      <c r="F466" s="343" t="s">
        <v>3593</v>
      </c>
      <c r="G466" s="360" t="s">
        <v>9664</v>
      </c>
      <c r="H466" s="361">
        <v>43230</v>
      </c>
      <c r="I466" s="343" t="s">
        <v>8252</v>
      </c>
      <c r="J466" s="343" t="s">
        <v>9665</v>
      </c>
      <c r="K466" s="343" t="s">
        <v>168</v>
      </c>
    </row>
    <row r="467" spans="1:11" ht="26.25" customHeight="1">
      <c r="A467" s="343" t="s">
        <v>161</v>
      </c>
      <c r="B467" s="344" t="s">
        <v>162</v>
      </c>
      <c r="C467" s="344">
        <v>7453</v>
      </c>
      <c r="D467" s="343" t="s">
        <v>374</v>
      </c>
      <c r="E467" s="344">
        <v>6848195</v>
      </c>
      <c r="F467" s="343" t="s">
        <v>8253</v>
      </c>
      <c r="G467" s="360" t="s">
        <v>9666</v>
      </c>
      <c r="H467" s="361">
        <v>43248</v>
      </c>
      <c r="I467" s="343" t="s">
        <v>423</v>
      </c>
      <c r="J467" s="343" t="s">
        <v>9667</v>
      </c>
      <c r="K467" s="343" t="s">
        <v>168</v>
      </c>
    </row>
    <row r="468" spans="1:11" ht="26.25" customHeight="1">
      <c r="A468" s="343" t="s">
        <v>161</v>
      </c>
      <c r="B468" s="344" t="s">
        <v>162</v>
      </c>
      <c r="C468" s="344">
        <v>6589</v>
      </c>
      <c r="D468" s="343" t="s">
        <v>1156</v>
      </c>
      <c r="E468" s="344">
        <v>6302836</v>
      </c>
      <c r="F468" s="343" t="s">
        <v>8254</v>
      </c>
      <c r="G468" s="360" t="s">
        <v>9668</v>
      </c>
      <c r="H468" s="361">
        <v>43248</v>
      </c>
      <c r="I468" s="343" t="s">
        <v>4616</v>
      </c>
      <c r="J468" s="343" t="s">
        <v>9669</v>
      </c>
      <c r="K468" s="343" t="s">
        <v>168</v>
      </c>
    </row>
    <row r="469" spans="1:11" ht="26.25" customHeight="1">
      <c r="A469" s="343" t="s">
        <v>161</v>
      </c>
      <c r="B469" s="344" t="s">
        <v>162</v>
      </c>
      <c r="C469" s="344">
        <v>8448</v>
      </c>
      <c r="D469" s="343" t="s">
        <v>240</v>
      </c>
      <c r="E469" s="344">
        <v>6834827</v>
      </c>
      <c r="F469" s="343" t="s">
        <v>8255</v>
      </c>
      <c r="G469" s="360" t="s">
        <v>9670</v>
      </c>
      <c r="H469" s="361">
        <v>43248</v>
      </c>
      <c r="I469" s="343" t="s">
        <v>301</v>
      </c>
      <c r="J469" s="343" t="s">
        <v>530</v>
      </c>
      <c r="K469" s="343" t="s">
        <v>168</v>
      </c>
    </row>
    <row r="470" spans="1:11" ht="26.25" customHeight="1">
      <c r="A470" s="343" t="s">
        <v>161</v>
      </c>
      <c r="B470" s="344" t="s">
        <v>162</v>
      </c>
      <c r="C470" s="344">
        <v>9914</v>
      </c>
      <c r="D470" s="343" t="s">
        <v>1194</v>
      </c>
      <c r="E470" s="344">
        <v>5897317</v>
      </c>
      <c r="F470" s="343" t="s">
        <v>8256</v>
      </c>
      <c r="G470" s="360" t="s">
        <v>9671</v>
      </c>
      <c r="H470" s="361">
        <v>43248</v>
      </c>
      <c r="I470" s="343" t="s">
        <v>366</v>
      </c>
      <c r="J470" s="343" t="s">
        <v>366</v>
      </c>
      <c r="K470" s="343" t="s">
        <v>168</v>
      </c>
    </row>
    <row r="471" spans="1:11" ht="26.25" customHeight="1">
      <c r="A471" s="343" t="s">
        <v>161</v>
      </c>
      <c r="B471" s="344" t="s">
        <v>162</v>
      </c>
      <c r="C471" s="344">
        <v>6925</v>
      </c>
      <c r="D471" s="343" t="s">
        <v>811</v>
      </c>
      <c r="E471" s="344">
        <v>6020525</v>
      </c>
      <c r="F471" s="343" t="s">
        <v>7404</v>
      </c>
      <c r="G471" s="360" t="s">
        <v>951</v>
      </c>
      <c r="H471" s="361">
        <v>43249</v>
      </c>
      <c r="I471" s="343" t="s">
        <v>198</v>
      </c>
      <c r="J471" s="343" t="s">
        <v>198</v>
      </c>
      <c r="K471" s="343" t="s">
        <v>168</v>
      </c>
    </row>
    <row r="472" spans="1:11" ht="26.25" customHeight="1">
      <c r="A472" s="343" t="s">
        <v>161</v>
      </c>
      <c r="B472" s="344" t="s">
        <v>162</v>
      </c>
      <c r="C472" s="344">
        <v>6925</v>
      </c>
      <c r="D472" s="343" t="s">
        <v>811</v>
      </c>
      <c r="E472" s="344">
        <v>4233060</v>
      </c>
      <c r="F472" s="343" t="s">
        <v>8257</v>
      </c>
      <c r="G472" s="360" t="s">
        <v>9672</v>
      </c>
      <c r="H472" s="361">
        <v>43249</v>
      </c>
      <c r="I472" s="343" t="s">
        <v>211</v>
      </c>
      <c r="J472" s="343" t="s">
        <v>909</v>
      </c>
      <c r="K472" s="343" t="s">
        <v>168</v>
      </c>
    </row>
    <row r="473" spans="1:11" ht="26.25" customHeight="1">
      <c r="A473" s="343" t="s">
        <v>161</v>
      </c>
      <c r="B473" s="344" t="s">
        <v>162</v>
      </c>
      <c r="C473" s="344">
        <v>9427</v>
      </c>
      <c r="D473" s="343" t="s">
        <v>1296</v>
      </c>
      <c r="E473" s="344">
        <v>6277502</v>
      </c>
      <c r="F473" s="343" t="s">
        <v>1241</v>
      </c>
      <c r="G473" s="360" t="s">
        <v>1129</v>
      </c>
      <c r="H473" s="361">
        <v>43250</v>
      </c>
      <c r="I473" s="343" t="s">
        <v>1242</v>
      </c>
      <c r="J473" s="343" t="s">
        <v>1243</v>
      </c>
      <c r="K473" s="343" t="s">
        <v>168</v>
      </c>
    </row>
    <row r="474" spans="1:11" ht="26.25" customHeight="1">
      <c r="A474" s="343" t="s">
        <v>161</v>
      </c>
      <c r="B474" s="344" t="s">
        <v>162</v>
      </c>
      <c r="C474" s="344">
        <v>9427</v>
      </c>
      <c r="D474" s="343" t="s">
        <v>1296</v>
      </c>
      <c r="E474" s="344">
        <v>5720650</v>
      </c>
      <c r="F474" s="343" t="s">
        <v>7517</v>
      </c>
      <c r="G474" s="360" t="s">
        <v>9673</v>
      </c>
      <c r="H474" s="361">
        <v>43250</v>
      </c>
      <c r="I474" s="343" t="s">
        <v>8258</v>
      </c>
      <c r="J474" s="343" t="s">
        <v>9674</v>
      </c>
      <c r="K474" s="343" t="s">
        <v>168</v>
      </c>
    </row>
    <row r="475" spans="1:11" ht="26.25" customHeight="1">
      <c r="A475" s="343" t="s">
        <v>161</v>
      </c>
      <c r="B475" s="344" t="s">
        <v>162</v>
      </c>
      <c r="C475" s="344">
        <v>7454</v>
      </c>
      <c r="D475" s="343" t="s">
        <v>8186</v>
      </c>
      <c r="E475" s="344">
        <v>6667233</v>
      </c>
      <c r="F475" s="343" t="s">
        <v>8259</v>
      </c>
      <c r="G475" s="360" t="s">
        <v>9675</v>
      </c>
      <c r="H475" s="361">
        <v>43249</v>
      </c>
      <c r="I475" s="343" t="s">
        <v>193</v>
      </c>
      <c r="J475" s="343" t="s">
        <v>637</v>
      </c>
      <c r="K475" s="343" t="s">
        <v>168</v>
      </c>
    </row>
    <row r="476" spans="1:11" ht="26.25" customHeight="1">
      <c r="A476" s="343" t="s">
        <v>161</v>
      </c>
      <c r="B476" s="344" t="s">
        <v>162</v>
      </c>
      <c r="C476" s="344">
        <v>9910</v>
      </c>
      <c r="D476" s="343" t="s">
        <v>664</v>
      </c>
      <c r="E476" s="344">
        <v>6633520</v>
      </c>
      <c r="F476" s="343" t="s">
        <v>8260</v>
      </c>
      <c r="G476" s="360" t="s">
        <v>9671</v>
      </c>
      <c r="H476" s="361">
        <v>43250</v>
      </c>
      <c r="I476" s="343" t="s">
        <v>193</v>
      </c>
      <c r="J476" s="343" t="s">
        <v>9676</v>
      </c>
      <c r="K476" s="343" t="s">
        <v>168</v>
      </c>
    </row>
    <row r="477" spans="1:11" ht="26.25" customHeight="1">
      <c r="A477" s="343" t="s">
        <v>161</v>
      </c>
      <c r="B477" s="344" t="s">
        <v>162</v>
      </c>
      <c r="C477" s="344">
        <v>6583</v>
      </c>
      <c r="D477" s="343" t="s">
        <v>1110</v>
      </c>
      <c r="E477" s="344">
        <v>6781351</v>
      </c>
      <c r="F477" s="343" t="s">
        <v>8261</v>
      </c>
      <c r="G477" s="360" t="s">
        <v>9677</v>
      </c>
      <c r="H477" s="361">
        <v>43256</v>
      </c>
      <c r="I477" s="343" t="s">
        <v>180</v>
      </c>
      <c r="J477" s="343" t="s">
        <v>9678</v>
      </c>
      <c r="K477" s="343" t="s">
        <v>168</v>
      </c>
    </row>
    <row r="478" spans="1:11" ht="26.25" customHeight="1">
      <c r="A478" s="343" t="s">
        <v>161</v>
      </c>
      <c r="B478" s="344" t="s">
        <v>162</v>
      </c>
      <c r="C478" s="344">
        <v>12068</v>
      </c>
      <c r="D478" s="343" t="s">
        <v>1240</v>
      </c>
      <c r="E478" s="344">
        <v>6128373</v>
      </c>
      <c r="F478" s="343" t="s">
        <v>8262</v>
      </c>
      <c r="G478" s="360" t="s">
        <v>9679</v>
      </c>
      <c r="H478" s="361">
        <v>43257</v>
      </c>
      <c r="I478" s="343" t="s">
        <v>8263</v>
      </c>
      <c r="J478" s="343" t="s">
        <v>9680</v>
      </c>
      <c r="K478" s="343" t="s">
        <v>248</v>
      </c>
    </row>
    <row r="479" spans="1:11" ht="26.25" customHeight="1">
      <c r="A479" s="343" t="s">
        <v>161</v>
      </c>
      <c r="B479" s="344" t="s">
        <v>162</v>
      </c>
      <c r="C479" s="344">
        <v>9856</v>
      </c>
      <c r="D479" s="343" t="s">
        <v>641</v>
      </c>
      <c r="E479" s="344">
        <v>6670852</v>
      </c>
      <c r="F479" s="343" t="s">
        <v>8264</v>
      </c>
      <c r="G479" s="360" t="s">
        <v>1136</v>
      </c>
      <c r="H479" s="361">
        <v>43257</v>
      </c>
      <c r="I479" s="343" t="s">
        <v>198</v>
      </c>
      <c r="J479" s="343" t="s">
        <v>198</v>
      </c>
      <c r="K479" s="343" t="s">
        <v>168</v>
      </c>
    </row>
    <row r="480" spans="1:11" ht="26.25" customHeight="1">
      <c r="A480" s="343" t="s">
        <v>161</v>
      </c>
      <c r="B480" s="344" t="s">
        <v>162</v>
      </c>
      <c r="C480" s="344">
        <v>7462</v>
      </c>
      <c r="D480" s="343" t="s">
        <v>195</v>
      </c>
      <c r="E480" s="344">
        <v>6516835</v>
      </c>
      <c r="F480" s="343" t="s">
        <v>8265</v>
      </c>
      <c r="G480" s="360" t="s">
        <v>9681</v>
      </c>
      <c r="H480" s="361">
        <v>43257</v>
      </c>
      <c r="I480" s="343" t="s">
        <v>465</v>
      </c>
      <c r="J480" s="343" t="s">
        <v>466</v>
      </c>
      <c r="K480" s="343" t="s">
        <v>168</v>
      </c>
    </row>
    <row r="481" spans="1:11" ht="26.25" customHeight="1">
      <c r="A481" s="343" t="s">
        <v>161</v>
      </c>
      <c r="B481" s="344" t="s">
        <v>162</v>
      </c>
      <c r="C481" s="344">
        <v>7462</v>
      </c>
      <c r="D481" s="343" t="s">
        <v>195</v>
      </c>
      <c r="E481" s="344">
        <v>6727854</v>
      </c>
      <c r="F481" s="343" t="s">
        <v>8266</v>
      </c>
      <c r="G481" s="360" t="s">
        <v>9682</v>
      </c>
      <c r="H481" s="361">
        <v>43257</v>
      </c>
      <c r="I481" s="343" t="s">
        <v>193</v>
      </c>
      <c r="J481" s="343" t="s">
        <v>637</v>
      </c>
      <c r="K481" s="343" t="s">
        <v>168</v>
      </c>
    </row>
    <row r="482" spans="1:11" ht="26.25" customHeight="1">
      <c r="A482" s="343" t="s">
        <v>161</v>
      </c>
      <c r="B482" s="344" t="s">
        <v>162</v>
      </c>
      <c r="C482" s="344">
        <v>9634</v>
      </c>
      <c r="D482" s="343" t="s">
        <v>901</v>
      </c>
      <c r="E482" s="344">
        <v>5942508</v>
      </c>
      <c r="F482" s="343" t="s">
        <v>1407</v>
      </c>
      <c r="G482" s="360" t="s">
        <v>1408</v>
      </c>
      <c r="H482" s="361">
        <v>43257</v>
      </c>
      <c r="I482" s="343" t="s">
        <v>198</v>
      </c>
      <c r="J482" s="343" t="s">
        <v>9683</v>
      </c>
      <c r="K482" s="343" t="s">
        <v>168</v>
      </c>
    </row>
    <row r="483" spans="1:11" ht="26.25" customHeight="1">
      <c r="A483" s="343" t="s">
        <v>161</v>
      </c>
      <c r="B483" s="344" t="s">
        <v>162</v>
      </c>
      <c r="C483" s="344">
        <v>9916</v>
      </c>
      <c r="D483" s="343" t="s">
        <v>439</v>
      </c>
      <c r="E483" s="344">
        <v>6161439</v>
      </c>
      <c r="F483" s="343" t="s">
        <v>8267</v>
      </c>
      <c r="G483" s="360" t="s">
        <v>9684</v>
      </c>
      <c r="H483" s="361">
        <v>43258</v>
      </c>
      <c r="I483" s="343" t="s">
        <v>166</v>
      </c>
      <c r="J483" s="343" t="s">
        <v>327</v>
      </c>
      <c r="K483" s="343" t="s">
        <v>168</v>
      </c>
    </row>
    <row r="484" spans="1:11" ht="26.25" customHeight="1">
      <c r="A484" s="343" t="s">
        <v>161</v>
      </c>
      <c r="B484" s="344" t="s">
        <v>162</v>
      </c>
      <c r="C484" s="344">
        <v>9903</v>
      </c>
      <c r="D484" s="343" t="s">
        <v>597</v>
      </c>
      <c r="E484" s="344">
        <v>6375511</v>
      </c>
      <c r="F484" s="343" t="s">
        <v>8268</v>
      </c>
      <c r="G484" s="360" t="s">
        <v>9685</v>
      </c>
      <c r="H484" s="361">
        <v>43262</v>
      </c>
      <c r="I484" s="343" t="s">
        <v>180</v>
      </c>
      <c r="J484" s="343" t="s">
        <v>9686</v>
      </c>
      <c r="K484" s="343" t="s">
        <v>173</v>
      </c>
    </row>
    <row r="485" spans="1:11" ht="26.25" customHeight="1">
      <c r="A485" s="343" t="s">
        <v>161</v>
      </c>
      <c r="B485" s="344" t="s">
        <v>162</v>
      </c>
      <c r="C485" s="344">
        <v>7451</v>
      </c>
      <c r="D485" s="343" t="s">
        <v>225</v>
      </c>
      <c r="E485" s="344">
        <v>6737302</v>
      </c>
      <c r="F485" s="343" t="s">
        <v>231</v>
      </c>
      <c r="G485" s="360" t="s">
        <v>232</v>
      </c>
      <c r="H485" s="361">
        <v>43262</v>
      </c>
      <c r="I485" s="343" t="s">
        <v>8269</v>
      </c>
      <c r="J485" s="343" t="s">
        <v>9687</v>
      </c>
      <c r="K485" s="343" t="s">
        <v>168</v>
      </c>
    </row>
    <row r="486" spans="1:11" ht="26.25" customHeight="1">
      <c r="A486" s="343" t="s">
        <v>161</v>
      </c>
      <c r="B486" s="344" t="s">
        <v>162</v>
      </c>
      <c r="C486" s="344">
        <v>9062</v>
      </c>
      <c r="D486" s="343" t="s">
        <v>862</v>
      </c>
      <c r="E486" s="344">
        <v>6027375</v>
      </c>
      <c r="F486" s="343" t="s">
        <v>8270</v>
      </c>
      <c r="G486" s="360" t="s">
        <v>9688</v>
      </c>
      <c r="H486" s="361">
        <v>43262</v>
      </c>
      <c r="I486" s="343" t="s">
        <v>366</v>
      </c>
      <c r="J486" s="343" t="s">
        <v>366</v>
      </c>
      <c r="K486" s="343" t="s">
        <v>168</v>
      </c>
    </row>
    <row r="487" spans="1:11" ht="26.25" customHeight="1">
      <c r="A487" s="343" t="s">
        <v>161</v>
      </c>
      <c r="B487" s="344" t="s">
        <v>162</v>
      </c>
      <c r="C487" s="344">
        <v>9917</v>
      </c>
      <c r="D487" s="343" t="s">
        <v>479</v>
      </c>
      <c r="E487" s="344">
        <v>6325549</v>
      </c>
      <c r="F487" s="343" t="s">
        <v>8271</v>
      </c>
      <c r="G487" s="360" t="s">
        <v>9689</v>
      </c>
      <c r="H487" s="361">
        <v>43262</v>
      </c>
      <c r="I487" s="343" t="s">
        <v>8272</v>
      </c>
      <c r="J487" s="343" t="s">
        <v>9690</v>
      </c>
      <c r="K487" s="343" t="s">
        <v>173</v>
      </c>
    </row>
    <row r="488" spans="1:11" ht="26.25" customHeight="1">
      <c r="A488" s="343" t="s">
        <v>161</v>
      </c>
      <c r="B488" s="344" t="s">
        <v>162</v>
      </c>
      <c r="C488" s="344">
        <v>7447</v>
      </c>
      <c r="D488" s="343" t="s">
        <v>160</v>
      </c>
      <c r="E488" s="344">
        <v>6937590</v>
      </c>
      <c r="F488" s="343" t="s">
        <v>8273</v>
      </c>
      <c r="G488" s="360" t="s">
        <v>9691</v>
      </c>
      <c r="H488" s="361">
        <v>43262</v>
      </c>
      <c r="I488" s="343" t="s">
        <v>349</v>
      </c>
      <c r="J488" s="343" t="s">
        <v>9692</v>
      </c>
      <c r="K488" s="343" t="s">
        <v>168</v>
      </c>
    </row>
    <row r="489" spans="1:11" ht="26.25" customHeight="1">
      <c r="A489" s="343" t="s">
        <v>161</v>
      </c>
      <c r="B489" s="344" t="s">
        <v>162</v>
      </c>
      <c r="C489" s="344">
        <v>13517</v>
      </c>
      <c r="D489" s="343" t="s">
        <v>1119</v>
      </c>
      <c r="E489" s="344">
        <v>6135797</v>
      </c>
      <c r="F489" s="343" t="s">
        <v>8274</v>
      </c>
      <c r="G489" s="360" t="s">
        <v>493</v>
      </c>
      <c r="H489" s="361">
        <v>43262</v>
      </c>
      <c r="I489" s="343" t="s">
        <v>709</v>
      </c>
      <c r="J489" s="343" t="s">
        <v>9693</v>
      </c>
      <c r="K489" s="343" t="s">
        <v>168</v>
      </c>
    </row>
    <row r="490" spans="1:11" ht="26.25" customHeight="1">
      <c r="A490" s="343" t="s">
        <v>161</v>
      </c>
      <c r="B490" s="344" t="s">
        <v>162</v>
      </c>
      <c r="C490" s="344">
        <v>9329</v>
      </c>
      <c r="D490" s="343" t="s">
        <v>8145</v>
      </c>
      <c r="E490" s="344">
        <v>5672705</v>
      </c>
      <c r="F490" s="343" t="s">
        <v>8275</v>
      </c>
      <c r="G490" s="360" t="s">
        <v>9694</v>
      </c>
      <c r="H490" s="361">
        <v>43262</v>
      </c>
      <c r="I490" s="343" t="s">
        <v>4512</v>
      </c>
      <c r="J490" s="343" t="s">
        <v>9695</v>
      </c>
      <c r="K490" s="343" t="s">
        <v>248</v>
      </c>
    </row>
    <row r="491" spans="1:11" ht="26.25" customHeight="1">
      <c r="A491" s="343" t="s">
        <v>161</v>
      </c>
      <c r="B491" s="344" t="s">
        <v>162</v>
      </c>
      <c r="C491" s="344">
        <v>6588</v>
      </c>
      <c r="D491" s="343" t="s">
        <v>1396</v>
      </c>
      <c r="E491" s="344">
        <v>7052300</v>
      </c>
      <c r="F491" s="343" t="s">
        <v>8276</v>
      </c>
      <c r="G491" s="360" t="s">
        <v>9370</v>
      </c>
      <c r="H491" s="361">
        <v>43264</v>
      </c>
      <c r="I491" s="343" t="s">
        <v>166</v>
      </c>
      <c r="J491" s="343" t="s">
        <v>327</v>
      </c>
      <c r="K491" s="343" t="s">
        <v>168</v>
      </c>
    </row>
    <row r="492" spans="1:11" ht="26.25" customHeight="1">
      <c r="A492" s="343" t="s">
        <v>161</v>
      </c>
      <c r="B492" s="344" t="s">
        <v>162</v>
      </c>
      <c r="C492" s="344">
        <v>8450</v>
      </c>
      <c r="D492" s="343" t="s">
        <v>289</v>
      </c>
      <c r="E492" s="344">
        <v>6920181</v>
      </c>
      <c r="F492" s="343" t="s">
        <v>8277</v>
      </c>
      <c r="G492" s="360" t="s">
        <v>9696</v>
      </c>
      <c r="H492" s="361">
        <v>43264</v>
      </c>
      <c r="I492" s="343" t="s">
        <v>465</v>
      </c>
      <c r="J492" s="343" t="s">
        <v>9697</v>
      </c>
      <c r="K492" s="343" t="s">
        <v>168</v>
      </c>
    </row>
    <row r="493" spans="1:11" ht="26.25" customHeight="1">
      <c r="A493" s="343" t="s">
        <v>161</v>
      </c>
      <c r="B493" s="344" t="s">
        <v>162</v>
      </c>
      <c r="C493" s="344">
        <v>12243</v>
      </c>
      <c r="D493" s="343" t="s">
        <v>699</v>
      </c>
      <c r="E493" s="344">
        <v>5659547</v>
      </c>
      <c r="F493" s="343" t="s">
        <v>8278</v>
      </c>
      <c r="G493" s="360" t="s">
        <v>9698</v>
      </c>
      <c r="H493" s="361">
        <v>43266</v>
      </c>
      <c r="I493" s="343" t="s">
        <v>366</v>
      </c>
      <c r="J493" s="343" t="s">
        <v>1095</v>
      </c>
      <c r="K493" s="343" t="s">
        <v>168</v>
      </c>
    </row>
    <row r="494" spans="1:11" ht="26.25" customHeight="1">
      <c r="A494" s="343" t="s">
        <v>161</v>
      </c>
      <c r="B494" s="344" t="s">
        <v>162</v>
      </c>
      <c r="C494" s="344">
        <v>6583</v>
      </c>
      <c r="D494" s="343" t="s">
        <v>1110</v>
      </c>
      <c r="E494" s="344">
        <v>6997693</v>
      </c>
      <c r="F494" s="343" t="s">
        <v>8279</v>
      </c>
      <c r="G494" s="360" t="s">
        <v>666</v>
      </c>
      <c r="H494" s="361">
        <v>43266</v>
      </c>
      <c r="I494" s="343" t="s">
        <v>3583</v>
      </c>
      <c r="J494" s="343" t="s">
        <v>9613</v>
      </c>
      <c r="K494" s="343" t="s">
        <v>173</v>
      </c>
    </row>
    <row r="495" spans="1:11" ht="26.25" customHeight="1">
      <c r="A495" s="343" t="s">
        <v>161</v>
      </c>
      <c r="B495" s="344" t="s">
        <v>162</v>
      </c>
      <c r="C495" s="344">
        <v>9427</v>
      </c>
      <c r="D495" s="343" t="s">
        <v>1296</v>
      </c>
      <c r="E495" s="344">
        <v>6145756</v>
      </c>
      <c r="F495" s="343" t="s">
        <v>8280</v>
      </c>
      <c r="G495" s="360" t="s">
        <v>9699</v>
      </c>
      <c r="H495" s="361">
        <v>43266</v>
      </c>
      <c r="I495" s="343" t="s">
        <v>198</v>
      </c>
      <c r="J495" s="343" t="s">
        <v>198</v>
      </c>
      <c r="K495" s="343" t="s">
        <v>168</v>
      </c>
    </row>
    <row r="496" spans="1:11" ht="26.25" customHeight="1">
      <c r="A496" s="343" t="s">
        <v>161</v>
      </c>
      <c r="B496" s="344" t="s">
        <v>162</v>
      </c>
      <c r="C496" s="344">
        <v>7444</v>
      </c>
      <c r="D496" s="343" t="s">
        <v>367</v>
      </c>
      <c r="E496" s="344">
        <v>6752509</v>
      </c>
      <c r="F496" s="343" t="s">
        <v>8281</v>
      </c>
      <c r="G496" s="360" t="s">
        <v>9700</v>
      </c>
      <c r="H496" s="361">
        <v>43269</v>
      </c>
      <c r="I496" s="343" t="s">
        <v>166</v>
      </c>
      <c r="J496" s="343" t="s">
        <v>9701</v>
      </c>
      <c r="K496" s="343" t="s">
        <v>168</v>
      </c>
    </row>
    <row r="497" spans="1:11" ht="26.25" customHeight="1">
      <c r="A497" s="343" t="s">
        <v>161</v>
      </c>
      <c r="B497" s="344" t="s">
        <v>162</v>
      </c>
      <c r="C497" s="344">
        <v>13496</v>
      </c>
      <c r="D497" s="343" t="s">
        <v>3600</v>
      </c>
      <c r="E497" s="344">
        <v>6350248</v>
      </c>
      <c r="F497" s="343" t="s">
        <v>178</v>
      </c>
      <c r="G497" s="360" t="s">
        <v>179</v>
      </c>
      <c r="H497" s="361">
        <v>43271</v>
      </c>
      <c r="I497" s="343" t="s">
        <v>180</v>
      </c>
      <c r="J497" s="343" t="s">
        <v>9702</v>
      </c>
      <c r="K497" s="343" t="s">
        <v>168</v>
      </c>
    </row>
    <row r="498" spans="1:11" ht="26.25" customHeight="1">
      <c r="A498" s="343" t="s">
        <v>161</v>
      </c>
      <c r="B498" s="344" t="s">
        <v>162</v>
      </c>
      <c r="C498" s="344">
        <v>7446</v>
      </c>
      <c r="D498" s="343" t="s">
        <v>318</v>
      </c>
      <c r="E498" s="344">
        <v>6278322</v>
      </c>
      <c r="F498" s="343" t="s">
        <v>9096</v>
      </c>
      <c r="G498" s="360" t="s">
        <v>9703</v>
      </c>
      <c r="H498" s="361">
        <v>43271</v>
      </c>
      <c r="I498" s="343" t="s">
        <v>180</v>
      </c>
      <c r="J498" s="343" t="s">
        <v>9704</v>
      </c>
      <c r="K498" s="343" t="s">
        <v>168</v>
      </c>
    </row>
    <row r="499" spans="1:11" ht="26.25" customHeight="1">
      <c r="A499" s="343" t="s">
        <v>161</v>
      </c>
      <c r="B499" s="344" t="s">
        <v>162</v>
      </c>
      <c r="C499" s="344">
        <v>12076</v>
      </c>
      <c r="D499" s="343" t="s">
        <v>735</v>
      </c>
      <c r="E499" s="344">
        <v>6056201</v>
      </c>
      <c r="F499" s="343" t="s">
        <v>1249</v>
      </c>
      <c r="G499" s="360" t="s">
        <v>1250</v>
      </c>
      <c r="H499" s="361">
        <v>43273</v>
      </c>
      <c r="I499" s="343" t="s">
        <v>275</v>
      </c>
      <c r="J499" s="343" t="s">
        <v>9705</v>
      </c>
      <c r="K499" s="343" t="s">
        <v>173</v>
      </c>
    </row>
    <row r="500" spans="1:11" ht="26.25" customHeight="1">
      <c r="A500" s="343" t="s">
        <v>161</v>
      </c>
      <c r="B500" s="344" t="s">
        <v>162</v>
      </c>
      <c r="C500" s="344">
        <v>6592</v>
      </c>
      <c r="D500" s="343" t="s">
        <v>1324</v>
      </c>
      <c r="E500" s="344">
        <v>6477351</v>
      </c>
      <c r="F500" s="343" t="s">
        <v>9099</v>
      </c>
      <c r="G500" s="360" t="s">
        <v>9706</v>
      </c>
      <c r="H500" s="361">
        <v>43279</v>
      </c>
      <c r="I500" s="343" t="s">
        <v>166</v>
      </c>
      <c r="J500" s="343" t="s">
        <v>327</v>
      </c>
      <c r="K500" s="343" t="s">
        <v>168</v>
      </c>
    </row>
    <row r="501" spans="1:11" ht="26.25" customHeight="1">
      <c r="A501" s="343" t="s">
        <v>161</v>
      </c>
      <c r="B501" s="344" t="s">
        <v>162</v>
      </c>
      <c r="C501" s="344">
        <v>12076</v>
      </c>
      <c r="D501" s="343" t="s">
        <v>735</v>
      </c>
      <c r="E501" s="344">
        <v>4923609</v>
      </c>
      <c r="F501" s="343" t="s">
        <v>9100</v>
      </c>
      <c r="G501" s="360" t="s">
        <v>9707</v>
      </c>
      <c r="H501" s="361">
        <v>43279</v>
      </c>
      <c r="I501" s="343" t="s">
        <v>193</v>
      </c>
      <c r="J501" s="343" t="s">
        <v>637</v>
      </c>
      <c r="K501" s="343" t="s">
        <v>168</v>
      </c>
    </row>
    <row r="502" spans="1:11" ht="26.25" customHeight="1">
      <c r="A502" s="343" t="s">
        <v>161</v>
      </c>
      <c r="B502" s="344" t="s">
        <v>162</v>
      </c>
      <c r="C502" s="344">
        <v>9427</v>
      </c>
      <c r="D502" s="343" t="s">
        <v>1296</v>
      </c>
      <c r="E502" s="344">
        <v>5779965</v>
      </c>
      <c r="F502" s="343" t="s">
        <v>1297</v>
      </c>
      <c r="G502" s="360" t="s">
        <v>1298</v>
      </c>
      <c r="H502" s="361">
        <v>43279</v>
      </c>
      <c r="I502" s="343" t="s">
        <v>366</v>
      </c>
      <c r="J502" s="343" t="s">
        <v>366</v>
      </c>
      <c r="K502" s="343" t="s">
        <v>168</v>
      </c>
    </row>
    <row r="503" spans="1:11" ht="26.25" customHeight="1">
      <c r="A503" s="343" t="s">
        <v>161</v>
      </c>
      <c r="B503" s="344" t="s">
        <v>162</v>
      </c>
      <c r="C503" s="344">
        <v>13713</v>
      </c>
      <c r="D503" s="343" t="s">
        <v>9101</v>
      </c>
      <c r="E503" s="344">
        <v>5969556</v>
      </c>
      <c r="F503" s="343" t="s">
        <v>1227</v>
      </c>
      <c r="G503" s="360" t="s">
        <v>1204</v>
      </c>
      <c r="H503" s="361">
        <v>43279</v>
      </c>
      <c r="I503" s="343" t="s">
        <v>349</v>
      </c>
      <c r="J503" s="343" t="s">
        <v>1248</v>
      </c>
      <c r="K503" s="343" t="s">
        <v>168</v>
      </c>
    </row>
    <row r="504" spans="1:11" ht="26.25" customHeight="1">
      <c r="A504" s="343" t="s">
        <v>161</v>
      </c>
      <c r="B504" s="344" t="s">
        <v>162</v>
      </c>
      <c r="C504" s="344">
        <v>13713</v>
      </c>
      <c r="D504" s="343" t="s">
        <v>9101</v>
      </c>
      <c r="E504" s="344">
        <v>7054014</v>
      </c>
      <c r="F504" s="343" t="s">
        <v>9102</v>
      </c>
      <c r="G504" s="360" t="s">
        <v>1262</v>
      </c>
      <c r="H504" s="361">
        <v>43279</v>
      </c>
      <c r="I504" s="343" t="s">
        <v>1082</v>
      </c>
      <c r="J504" s="343" t="s">
        <v>9708</v>
      </c>
      <c r="K504" s="343" t="s">
        <v>173</v>
      </c>
    </row>
    <row r="505" spans="1:11" ht="26.25" customHeight="1">
      <c r="A505" s="343" t="s">
        <v>161</v>
      </c>
      <c r="B505" s="344" t="s">
        <v>162</v>
      </c>
      <c r="C505" s="344">
        <v>8448</v>
      </c>
      <c r="D505" s="343" t="s">
        <v>240</v>
      </c>
      <c r="E505" s="344">
        <v>6850593</v>
      </c>
      <c r="F505" s="343" t="s">
        <v>7526</v>
      </c>
      <c r="G505" s="360" t="s">
        <v>9709</v>
      </c>
      <c r="H505" s="361">
        <v>43279</v>
      </c>
      <c r="I505" s="343" t="s">
        <v>271</v>
      </c>
      <c r="J505" s="343" t="s">
        <v>9710</v>
      </c>
      <c r="K505" s="343" t="s">
        <v>168</v>
      </c>
    </row>
    <row r="506" spans="1:11" ht="26.25" customHeight="1">
      <c r="A506" s="343" t="s">
        <v>161</v>
      </c>
      <c r="B506" s="344" t="s">
        <v>162</v>
      </c>
      <c r="C506" s="344">
        <v>9427</v>
      </c>
      <c r="D506" s="343" t="s">
        <v>1296</v>
      </c>
      <c r="E506" s="344">
        <v>5914201</v>
      </c>
      <c r="F506" s="343" t="s">
        <v>9103</v>
      </c>
      <c r="G506" s="360" t="s">
        <v>9648</v>
      </c>
      <c r="H506" s="361">
        <v>43284</v>
      </c>
      <c r="I506" s="343" t="s">
        <v>366</v>
      </c>
      <c r="J506" s="343" t="s">
        <v>366</v>
      </c>
      <c r="K506" s="343" t="s">
        <v>168</v>
      </c>
    </row>
    <row r="507" spans="1:11" ht="26.25" customHeight="1">
      <c r="A507" s="343" t="s">
        <v>161</v>
      </c>
      <c r="B507" s="344" t="s">
        <v>162</v>
      </c>
      <c r="C507" s="344">
        <v>7456</v>
      </c>
      <c r="D507" s="343" t="s">
        <v>189</v>
      </c>
      <c r="E507" s="344">
        <v>6241372</v>
      </c>
      <c r="F507" s="343" t="s">
        <v>9104</v>
      </c>
      <c r="G507" s="360" t="s">
        <v>9711</v>
      </c>
      <c r="H507" s="361">
        <v>43284</v>
      </c>
      <c r="I507" s="343" t="s">
        <v>301</v>
      </c>
      <c r="J507" s="343" t="s">
        <v>530</v>
      </c>
      <c r="K507" s="343" t="s">
        <v>168</v>
      </c>
    </row>
    <row r="508" spans="1:11" ht="26.25" customHeight="1">
      <c r="A508" s="343" t="s">
        <v>161</v>
      </c>
      <c r="B508" s="344" t="s">
        <v>162</v>
      </c>
      <c r="C508" s="344">
        <v>12755</v>
      </c>
      <c r="D508" s="343" t="s">
        <v>1416</v>
      </c>
      <c r="E508" s="344">
        <v>6153098</v>
      </c>
      <c r="F508" s="343" t="s">
        <v>9105</v>
      </c>
      <c r="G508" s="360" t="s">
        <v>9712</v>
      </c>
      <c r="H508" s="361">
        <v>43284</v>
      </c>
      <c r="I508" s="343" t="s">
        <v>802</v>
      </c>
      <c r="J508" s="343" t="s">
        <v>1075</v>
      </c>
      <c r="K508" s="343" t="s">
        <v>168</v>
      </c>
    </row>
    <row r="509" spans="1:11" ht="26.25" customHeight="1">
      <c r="A509" s="343" t="s">
        <v>161</v>
      </c>
      <c r="B509" s="344" t="s">
        <v>162</v>
      </c>
      <c r="C509" s="344">
        <v>9917</v>
      </c>
      <c r="D509" s="343" t="s">
        <v>479</v>
      </c>
      <c r="E509" s="344">
        <v>6733595</v>
      </c>
      <c r="F509" s="343" t="s">
        <v>9106</v>
      </c>
      <c r="G509" s="360" t="s">
        <v>9713</v>
      </c>
      <c r="H509" s="361">
        <v>43284</v>
      </c>
      <c r="I509" s="343" t="s">
        <v>193</v>
      </c>
      <c r="J509" s="343" t="s">
        <v>637</v>
      </c>
      <c r="K509" s="343" t="s">
        <v>168</v>
      </c>
    </row>
    <row r="510" spans="1:11" ht="26.25" customHeight="1">
      <c r="A510" s="343" t="s">
        <v>161</v>
      </c>
      <c r="B510" s="344" t="s">
        <v>162</v>
      </c>
      <c r="C510" s="344">
        <v>7456</v>
      </c>
      <c r="D510" s="343" t="s">
        <v>189</v>
      </c>
      <c r="E510" s="344">
        <v>6893237</v>
      </c>
      <c r="F510" s="343" t="s">
        <v>9107</v>
      </c>
      <c r="G510" s="360" t="s">
        <v>9714</v>
      </c>
      <c r="H510" s="361">
        <v>43287</v>
      </c>
      <c r="I510" s="343" t="s">
        <v>423</v>
      </c>
      <c r="J510" s="343" t="s">
        <v>9715</v>
      </c>
      <c r="K510" s="343" t="s">
        <v>168</v>
      </c>
    </row>
    <row r="511" spans="1:11" ht="26.25" customHeight="1">
      <c r="A511" s="343" t="s">
        <v>161</v>
      </c>
      <c r="B511" s="344" t="s">
        <v>162</v>
      </c>
      <c r="C511" s="344">
        <v>9062</v>
      </c>
      <c r="D511" s="343" t="s">
        <v>862</v>
      </c>
      <c r="E511" s="344">
        <v>4674418</v>
      </c>
      <c r="F511" s="343" t="s">
        <v>9108</v>
      </c>
      <c r="G511" s="360" t="s">
        <v>9716</v>
      </c>
      <c r="H511" s="361">
        <v>43287</v>
      </c>
      <c r="I511" s="343" t="s">
        <v>9109</v>
      </c>
      <c r="J511" s="343" t="s">
        <v>9717</v>
      </c>
      <c r="K511" s="343" t="s">
        <v>168</v>
      </c>
    </row>
    <row r="512" spans="1:11" ht="26.25" customHeight="1">
      <c r="A512" s="343" t="s">
        <v>161</v>
      </c>
      <c r="B512" s="344" t="s">
        <v>162</v>
      </c>
      <c r="C512" s="344">
        <v>13723</v>
      </c>
      <c r="D512" s="343" t="s">
        <v>9110</v>
      </c>
      <c r="E512" s="344">
        <v>7014658</v>
      </c>
      <c r="F512" s="343" t="s">
        <v>9111</v>
      </c>
      <c r="G512" s="360" t="s">
        <v>9545</v>
      </c>
      <c r="H512" s="361">
        <v>43287</v>
      </c>
      <c r="I512" s="343" t="s">
        <v>219</v>
      </c>
      <c r="J512" s="343" t="s">
        <v>9583</v>
      </c>
      <c r="K512" s="343" t="s">
        <v>173</v>
      </c>
    </row>
    <row r="513" spans="1:11" ht="26.25" customHeight="1">
      <c r="A513" s="343" t="s">
        <v>161</v>
      </c>
      <c r="B513" s="344" t="s">
        <v>162</v>
      </c>
      <c r="C513" s="344">
        <v>6586</v>
      </c>
      <c r="D513" s="343" t="s">
        <v>1460</v>
      </c>
      <c r="E513" s="344">
        <v>5937586</v>
      </c>
      <c r="F513" s="343" t="s">
        <v>7453</v>
      </c>
      <c r="G513" s="360" t="s">
        <v>214</v>
      </c>
      <c r="H513" s="361">
        <v>43291</v>
      </c>
      <c r="I513" s="343" t="s">
        <v>514</v>
      </c>
      <c r="J513" s="343" t="s">
        <v>9718</v>
      </c>
      <c r="K513" s="343" t="s">
        <v>168</v>
      </c>
    </row>
    <row r="514" spans="1:11" ht="26.25" customHeight="1">
      <c r="A514" s="343" t="s">
        <v>161</v>
      </c>
      <c r="B514" s="344" t="s">
        <v>162</v>
      </c>
      <c r="C514" s="344">
        <v>8450</v>
      </c>
      <c r="D514" s="343" t="s">
        <v>289</v>
      </c>
      <c r="E514" s="344">
        <v>6899603</v>
      </c>
      <c r="F514" s="343" t="s">
        <v>9198</v>
      </c>
      <c r="G514" s="360" t="s">
        <v>9719</v>
      </c>
      <c r="H514" s="361">
        <v>43292</v>
      </c>
      <c r="I514" s="343" t="s">
        <v>193</v>
      </c>
      <c r="J514" s="343" t="s">
        <v>637</v>
      </c>
      <c r="K514" s="343" t="s">
        <v>168</v>
      </c>
    </row>
    <row r="515" spans="1:11" ht="26.25" customHeight="1">
      <c r="A515" s="343" t="s">
        <v>161</v>
      </c>
      <c r="B515" s="344" t="s">
        <v>162</v>
      </c>
      <c r="C515" s="344">
        <v>9916</v>
      </c>
      <c r="D515" s="343" t="s">
        <v>439</v>
      </c>
      <c r="E515" s="344">
        <v>6965508</v>
      </c>
      <c r="F515" s="343" t="s">
        <v>9098</v>
      </c>
      <c r="G515" s="360" t="s">
        <v>9489</v>
      </c>
      <c r="H515" s="361">
        <v>43312</v>
      </c>
      <c r="I515" s="343" t="s">
        <v>284</v>
      </c>
      <c r="J515" s="343" t="s">
        <v>9720</v>
      </c>
      <c r="K515" s="343" t="s">
        <v>173</v>
      </c>
    </row>
    <row r="516" spans="1:11" ht="26.25" customHeight="1">
      <c r="A516" s="343" t="s">
        <v>161</v>
      </c>
      <c r="B516" s="344" t="s">
        <v>162</v>
      </c>
      <c r="C516" s="344">
        <v>7448</v>
      </c>
      <c r="D516" s="343" t="s">
        <v>258</v>
      </c>
      <c r="E516" s="344">
        <v>6724805</v>
      </c>
      <c r="F516" s="343" t="s">
        <v>9210</v>
      </c>
      <c r="G516" s="360" t="s">
        <v>9721</v>
      </c>
      <c r="H516" s="361">
        <v>43312</v>
      </c>
      <c r="I516" s="343" t="s">
        <v>166</v>
      </c>
      <c r="J516" s="343" t="s">
        <v>296</v>
      </c>
      <c r="K516" s="343" t="s">
        <v>168</v>
      </c>
    </row>
    <row r="517" spans="1:11" ht="26.25" customHeight="1">
      <c r="A517" s="343" t="s">
        <v>161</v>
      </c>
      <c r="B517" s="344" t="s">
        <v>162</v>
      </c>
      <c r="C517" s="344">
        <v>7462</v>
      </c>
      <c r="D517" s="343" t="s">
        <v>195</v>
      </c>
      <c r="E517" s="344">
        <v>6505822</v>
      </c>
      <c r="F517" s="343" t="s">
        <v>9199</v>
      </c>
      <c r="G517" s="360" t="s">
        <v>9722</v>
      </c>
      <c r="H517" s="361">
        <v>43315</v>
      </c>
      <c r="I517" s="343" t="s">
        <v>9200</v>
      </c>
      <c r="J517" s="343" t="s">
        <v>9723</v>
      </c>
      <c r="K517" s="343" t="s">
        <v>168</v>
      </c>
    </row>
    <row r="518" spans="1:11" ht="26.25" customHeight="1">
      <c r="A518" s="343" t="s">
        <v>161</v>
      </c>
      <c r="B518" s="344" t="s">
        <v>162</v>
      </c>
      <c r="C518" s="344">
        <v>7456</v>
      </c>
      <c r="D518" s="343" t="s">
        <v>189</v>
      </c>
      <c r="E518" s="344">
        <v>6312439</v>
      </c>
      <c r="F518" s="343" t="s">
        <v>9211</v>
      </c>
      <c r="G518" s="360" t="s">
        <v>9616</v>
      </c>
      <c r="H518" s="361">
        <v>43315</v>
      </c>
      <c r="I518" s="343" t="s">
        <v>366</v>
      </c>
      <c r="J518" s="343" t="s">
        <v>366</v>
      </c>
      <c r="K518" s="343" t="s">
        <v>168</v>
      </c>
    </row>
    <row r="519" spans="1:11" ht="26.25" customHeight="1">
      <c r="A519" s="343" t="s">
        <v>161</v>
      </c>
      <c r="B519" s="344" t="s">
        <v>162</v>
      </c>
      <c r="C519" s="344">
        <v>9917</v>
      </c>
      <c r="D519" s="343" t="s">
        <v>479</v>
      </c>
      <c r="E519" s="344">
        <v>6854549</v>
      </c>
      <c r="F519" s="343" t="s">
        <v>9112</v>
      </c>
      <c r="G519" s="360" t="s">
        <v>9724</v>
      </c>
      <c r="H519" s="361">
        <v>43315</v>
      </c>
      <c r="I519" s="343" t="s">
        <v>193</v>
      </c>
      <c r="J519" s="343" t="s">
        <v>9725</v>
      </c>
      <c r="K519" s="343" t="s">
        <v>168</v>
      </c>
    </row>
    <row r="520" spans="1:11" ht="26.25" customHeight="1">
      <c r="A520" s="343" t="s">
        <v>161</v>
      </c>
      <c r="B520" s="344" t="s">
        <v>162</v>
      </c>
      <c r="C520" s="344">
        <v>13378</v>
      </c>
      <c r="D520" s="343" t="s">
        <v>1212</v>
      </c>
      <c r="E520" s="344">
        <v>6151305</v>
      </c>
      <c r="F520" s="343" t="s">
        <v>9197</v>
      </c>
      <c r="G520" s="360" t="s">
        <v>9726</v>
      </c>
      <c r="H520" s="361">
        <v>43318</v>
      </c>
      <c r="I520" s="343" t="s">
        <v>261</v>
      </c>
      <c r="J520" s="343" t="s">
        <v>9727</v>
      </c>
      <c r="K520" s="343" t="s">
        <v>168</v>
      </c>
    </row>
    <row r="521" spans="1:11" ht="26.25" customHeight="1">
      <c r="A521" s="343" t="s">
        <v>161</v>
      </c>
      <c r="B521" s="344" t="s">
        <v>162</v>
      </c>
      <c r="C521" s="344">
        <v>7462</v>
      </c>
      <c r="D521" s="343" t="s">
        <v>195</v>
      </c>
      <c r="E521" s="344">
        <v>6572419</v>
      </c>
      <c r="F521" s="343" t="s">
        <v>9206</v>
      </c>
      <c r="G521" s="360" t="s">
        <v>9728</v>
      </c>
      <c r="H521" s="361">
        <v>43318</v>
      </c>
      <c r="I521" s="343" t="s">
        <v>9207</v>
      </c>
      <c r="J521" s="343" t="s">
        <v>9729</v>
      </c>
      <c r="K521" s="343" t="s">
        <v>168</v>
      </c>
    </row>
    <row r="522" spans="1:11" ht="26.25" customHeight="1">
      <c r="A522" s="343" t="s">
        <v>161</v>
      </c>
      <c r="B522" s="344" t="s">
        <v>162</v>
      </c>
      <c r="C522" s="344">
        <v>9837</v>
      </c>
      <c r="D522" s="343" t="s">
        <v>1368</v>
      </c>
      <c r="E522" s="344">
        <v>6671839</v>
      </c>
      <c r="F522" s="343" t="s">
        <v>9204</v>
      </c>
      <c r="G522" s="360" t="s">
        <v>9730</v>
      </c>
      <c r="H522" s="361">
        <v>43318</v>
      </c>
      <c r="I522" s="343" t="s">
        <v>193</v>
      </c>
      <c r="J522" s="343" t="s">
        <v>637</v>
      </c>
      <c r="K522" s="343" t="s">
        <v>168</v>
      </c>
    </row>
    <row r="523" spans="1:11" ht="26.25" customHeight="1">
      <c r="A523" s="343" t="s">
        <v>161</v>
      </c>
      <c r="B523" s="344" t="s">
        <v>162</v>
      </c>
      <c r="C523" s="344">
        <v>13497</v>
      </c>
      <c r="D523" s="343" t="s">
        <v>8152</v>
      </c>
      <c r="E523" s="344">
        <v>6125532</v>
      </c>
      <c r="F523" s="343" t="s">
        <v>9203</v>
      </c>
      <c r="G523" s="360" t="s">
        <v>9731</v>
      </c>
      <c r="H523" s="361">
        <v>43319</v>
      </c>
      <c r="I523" s="343" t="s">
        <v>193</v>
      </c>
      <c r="J523" s="343" t="s">
        <v>637</v>
      </c>
      <c r="K523" s="343" t="s">
        <v>168</v>
      </c>
    </row>
    <row r="524" spans="1:11" ht="26.25" customHeight="1">
      <c r="A524" s="343" t="s">
        <v>161</v>
      </c>
      <c r="B524" s="344" t="s">
        <v>162</v>
      </c>
      <c r="C524" s="344">
        <v>9855</v>
      </c>
      <c r="D524" s="343" t="s">
        <v>411</v>
      </c>
      <c r="E524" s="344">
        <v>7000673</v>
      </c>
      <c r="F524" s="343" t="s">
        <v>8232</v>
      </c>
      <c r="G524" s="360" t="s">
        <v>9732</v>
      </c>
      <c r="H524" s="361">
        <v>43320</v>
      </c>
      <c r="I524" s="343" t="s">
        <v>166</v>
      </c>
      <c r="J524" s="343" t="s">
        <v>9733</v>
      </c>
      <c r="K524" s="343" t="s">
        <v>168</v>
      </c>
    </row>
    <row r="525" spans="1:11" ht="26.25" customHeight="1">
      <c r="A525" s="343" t="s">
        <v>161</v>
      </c>
      <c r="B525" s="344" t="s">
        <v>162</v>
      </c>
      <c r="C525" s="344">
        <v>9477</v>
      </c>
      <c r="D525" s="343" t="s">
        <v>1378</v>
      </c>
      <c r="E525" s="344">
        <v>5976645</v>
      </c>
      <c r="F525" s="343" t="s">
        <v>9202</v>
      </c>
      <c r="G525" s="360" t="s">
        <v>456</v>
      </c>
      <c r="H525" s="361">
        <v>43325</v>
      </c>
      <c r="I525" s="343" t="s">
        <v>709</v>
      </c>
      <c r="J525" s="343" t="s">
        <v>709</v>
      </c>
      <c r="K525" s="343" t="s">
        <v>173</v>
      </c>
    </row>
    <row r="526" spans="1:11" ht="26.25" customHeight="1">
      <c r="A526" s="343" t="s">
        <v>161</v>
      </c>
      <c r="B526" s="344" t="s">
        <v>162</v>
      </c>
      <c r="C526" s="344">
        <v>6582</v>
      </c>
      <c r="D526" s="343" t="s">
        <v>1143</v>
      </c>
      <c r="E526" s="344">
        <v>5949155</v>
      </c>
      <c r="F526" s="343" t="s">
        <v>9205</v>
      </c>
      <c r="G526" s="360" t="s">
        <v>9734</v>
      </c>
      <c r="H526" s="361">
        <v>43325</v>
      </c>
      <c r="I526" s="343" t="s">
        <v>198</v>
      </c>
      <c r="J526" s="343" t="s">
        <v>198</v>
      </c>
      <c r="K526" s="343" t="s">
        <v>168</v>
      </c>
    </row>
    <row r="527" spans="1:11" ht="26.25" customHeight="1">
      <c r="A527" s="343" t="s">
        <v>161</v>
      </c>
      <c r="B527" s="344" t="s">
        <v>162</v>
      </c>
      <c r="C527" s="344">
        <v>12071</v>
      </c>
      <c r="D527" s="343" t="s">
        <v>721</v>
      </c>
      <c r="E527" s="344">
        <v>5996495</v>
      </c>
      <c r="F527" s="343" t="s">
        <v>1443</v>
      </c>
      <c r="G527" s="360" t="s">
        <v>1444</v>
      </c>
      <c r="H527" s="361">
        <v>43327</v>
      </c>
      <c r="I527" s="343" t="s">
        <v>180</v>
      </c>
      <c r="J527" s="343" t="s">
        <v>9735</v>
      </c>
      <c r="K527" s="343" t="s">
        <v>168</v>
      </c>
    </row>
    <row r="528" spans="1:11" ht="26.25" customHeight="1">
      <c r="A528" s="343" t="s">
        <v>161</v>
      </c>
      <c r="B528" s="344" t="s">
        <v>162</v>
      </c>
      <c r="C528" s="344">
        <v>12076</v>
      </c>
      <c r="D528" s="343" t="s">
        <v>735</v>
      </c>
      <c r="E528" s="344">
        <v>6045928</v>
      </c>
      <c r="F528" s="343" t="s">
        <v>9201</v>
      </c>
      <c r="G528" s="360" t="s">
        <v>9736</v>
      </c>
      <c r="H528" s="361">
        <v>43327</v>
      </c>
      <c r="I528" s="343" t="s">
        <v>198</v>
      </c>
      <c r="J528" s="343" t="s">
        <v>198</v>
      </c>
      <c r="K528" s="343" t="s">
        <v>168</v>
      </c>
    </row>
    <row r="529" spans="1:11" ht="26.25" customHeight="1">
      <c r="A529" s="343" t="s">
        <v>161</v>
      </c>
      <c r="B529" s="344" t="s">
        <v>162</v>
      </c>
      <c r="C529" s="344">
        <v>9914</v>
      </c>
      <c r="D529" s="343" t="s">
        <v>1194</v>
      </c>
      <c r="E529" s="344">
        <v>6042700</v>
      </c>
      <c r="F529" s="343" t="s">
        <v>7685</v>
      </c>
      <c r="G529" s="360" t="s">
        <v>9737</v>
      </c>
      <c r="H529" s="361">
        <v>43327</v>
      </c>
      <c r="I529" s="343" t="s">
        <v>887</v>
      </c>
      <c r="J529" s="343" t="s">
        <v>888</v>
      </c>
      <c r="K529" s="343" t="s">
        <v>168</v>
      </c>
    </row>
    <row r="530" spans="1:11" ht="26.25" customHeight="1">
      <c r="A530" s="343" t="s">
        <v>161</v>
      </c>
      <c r="B530" s="344" t="s">
        <v>162</v>
      </c>
      <c r="C530" s="344">
        <v>12755</v>
      </c>
      <c r="D530" s="343" t="s">
        <v>1416</v>
      </c>
      <c r="E530" s="344">
        <v>6078127</v>
      </c>
      <c r="F530" s="343" t="s">
        <v>9208</v>
      </c>
      <c r="G530" s="360" t="s">
        <v>9738</v>
      </c>
      <c r="H530" s="361">
        <v>43327</v>
      </c>
      <c r="I530" s="343" t="s">
        <v>211</v>
      </c>
      <c r="J530" s="343" t="s">
        <v>909</v>
      </c>
      <c r="K530" s="343" t="s">
        <v>168</v>
      </c>
    </row>
    <row r="531" spans="1:11" ht="26.25" customHeight="1">
      <c r="A531" s="343" t="s">
        <v>161</v>
      </c>
      <c r="B531" s="344" t="s">
        <v>162</v>
      </c>
      <c r="C531" s="344">
        <v>9910</v>
      </c>
      <c r="D531" s="343" t="s">
        <v>664</v>
      </c>
      <c r="E531" s="344">
        <v>5796743</v>
      </c>
      <c r="F531" s="343" t="s">
        <v>686</v>
      </c>
      <c r="G531" s="360" t="s">
        <v>687</v>
      </c>
      <c r="H531" s="361">
        <v>43327</v>
      </c>
      <c r="I531" s="343" t="s">
        <v>275</v>
      </c>
      <c r="J531" s="343" t="s">
        <v>9739</v>
      </c>
      <c r="K531" s="343" t="s">
        <v>248</v>
      </c>
    </row>
    <row r="532" spans="1:11" ht="26.25" customHeight="1">
      <c r="A532" s="343" t="s">
        <v>161</v>
      </c>
      <c r="B532" s="344" t="s">
        <v>162</v>
      </c>
      <c r="C532" s="344">
        <v>6591</v>
      </c>
      <c r="D532" s="343" t="s">
        <v>1307</v>
      </c>
      <c r="E532" s="344">
        <v>6000127</v>
      </c>
      <c r="F532" s="343" t="s">
        <v>9740</v>
      </c>
      <c r="G532" s="360" t="s">
        <v>9741</v>
      </c>
      <c r="H532" s="361">
        <v>43328</v>
      </c>
      <c r="I532" s="343" t="s">
        <v>7254</v>
      </c>
      <c r="J532" s="343" t="s">
        <v>9627</v>
      </c>
      <c r="K532" s="343" t="s">
        <v>168</v>
      </c>
    </row>
    <row r="533" spans="1:11" ht="26.25" customHeight="1">
      <c r="A533" s="343" t="s">
        <v>161</v>
      </c>
      <c r="B533" s="344" t="s">
        <v>162</v>
      </c>
      <c r="C533" s="344">
        <v>9427</v>
      </c>
      <c r="D533" s="343" t="s">
        <v>1296</v>
      </c>
      <c r="E533" s="344">
        <v>6729106</v>
      </c>
      <c r="F533" s="343" t="s">
        <v>9742</v>
      </c>
      <c r="G533" s="360" t="s">
        <v>9743</v>
      </c>
      <c r="H533" s="361">
        <v>43329</v>
      </c>
      <c r="I533" s="343" t="s">
        <v>271</v>
      </c>
      <c r="J533" s="343" t="s">
        <v>9744</v>
      </c>
      <c r="K533" s="343" t="s">
        <v>168</v>
      </c>
    </row>
    <row r="534" spans="1:11" ht="26.25" customHeight="1">
      <c r="A534" s="343" t="s">
        <v>161</v>
      </c>
      <c r="B534" s="344" t="s">
        <v>162</v>
      </c>
      <c r="C534" s="344">
        <v>11099</v>
      </c>
      <c r="D534" s="343" t="s">
        <v>574</v>
      </c>
      <c r="E534" s="344">
        <v>4928383</v>
      </c>
      <c r="F534" s="343" t="s">
        <v>9745</v>
      </c>
      <c r="G534" s="360" t="s">
        <v>9746</v>
      </c>
      <c r="H534" s="361">
        <v>43329</v>
      </c>
      <c r="I534" s="343" t="s">
        <v>211</v>
      </c>
      <c r="J534" s="343" t="s">
        <v>909</v>
      </c>
      <c r="K534" s="343" t="s">
        <v>168</v>
      </c>
    </row>
    <row r="535" spans="1:11" ht="26.25" customHeight="1">
      <c r="A535" s="343" t="s">
        <v>161</v>
      </c>
      <c r="B535" s="344" t="s">
        <v>162</v>
      </c>
      <c r="C535" s="344">
        <v>7447</v>
      </c>
      <c r="D535" s="343" t="s">
        <v>160</v>
      </c>
      <c r="E535" s="344">
        <v>6921231</v>
      </c>
      <c r="F535" s="343" t="s">
        <v>9747</v>
      </c>
      <c r="G535" s="360" t="s">
        <v>9748</v>
      </c>
      <c r="H535" s="361">
        <v>43329</v>
      </c>
      <c r="I535" s="343" t="s">
        <v>193</v>
      </c>
      <c r="J535" s="343" t="s">
        <v>509</v>
      </c>
      <c r="K535" s="343" t="s">
        <v>168</v>
      </c>
    </row>
    <row r="536" spans="1:11" ht="26.25" customHeight="1">
      <c r="A536" s="343" t="s">
        <v>161</v>
      </c>
      <c r="B536" s="344" t="s">
        <v>162</v>
      </c>
      <c r="C536" s="344">
        <v>12242</v>
      </c>
      <c r="D536" s="343" t="s">
        <v>7276</v>
      </c>
      <c r="E536" s="344">
        <v>6678265</v>
      </c>
      <c r="F536" s="343" t="s">
        <v>9749</v>
      </c>
      <c r="G536" s="360" t="s">
        <v>9750</v>
      </c>
      <c r="H536" s="361">
        <v>43329</v>
      </c>
      <c r="I536" s="343" t="s">
        <v>3583</v>
      </c>
      <c r="J536" s="343" t="s">
        <v>9390</v>
      </c>
      <c r="K536" s="343" t="s">
        <v>173</v>
      </c>
    </row>
    <row r="537" spans="1:11" ht="26.25" customHeight="1">
      <c r="A537" s="343" t="s">
        <v>161</v>
      </c>
      <c r="B537" s="344" t="s">
        <v>162</v>
      </c>
      <c r="C537" s="344">
        <v>13546</v>
      </c>
      <c r="D537" s="343" t="s">
        <v>7700</v>
      </c>
      <c r="E537" s="344">
        <v>6845065</v>
      </c>
      <c r="F537" s="343" t="s">
        <v>9751</v>
      </c>
      <c r="G537" s="360" t="s">
        <v>9724</v>
      </c>
      <c r="H537" s="361">
        <v>43332</v>
      </c>
      <c r="I537" s="343" t="s">
        <v>166</v>
      </c>
      <c r="J537" s="343" t="s">
        <v>9752</v>
      </c>
      <c r="K537" s="343" t="s">
        <v>248</v>
      </c>
    </row>
    <row r="538" spans="1:11" ht="26.25" customHeight="1">
      <c r="A538" s="343" t="s">
        <v>161</v>
      </c>
      <c r="B538" s="344" t="s">
        <v>162</v>
      </c>
      <c r="C538" s="344">
        <v>13497</v>
      </c>
      <c r="D538" s="343" t="s">
        <v>8152</v>
      </c>
      <c r="E538" s="344">
        <v>6203996</v>
      </c>
      <c r="F538" s="343" t="s">
        <v>9753</v>
      </c>
      <c r="G538" s="360" t="s">
        <v>9603</v>
      </c>
      <c r="H538" s="361">
        <v>43332</v>
      </c>
      <c r="I538" s="343" t="s">
        <v>9754</v>
      </c>
      <c r="J538" s="343" t="s">
        <v>9755</v>
      </c>
      <c r="K538" s="343" t="s">
        <v>168</v>
      </c>
    </row>
    <row r="539" spans="1:11" ht="26.25" customHeight="1">
      <c r="A539" s="343" t="s">
        <v>161</v>
      </c>
      <c r="B539" s="344" t="s">
        <v>162</v>
      </c>
      <c r="C539" s="344">
        <v>12157</v>
      </c>
      <c r="D539" s="343" t="s">
        <v>791</v>
      </c>
      <c r="E539" s="344">
        <v>5720539</v>
      </c>
      <c r="F539" s="343" t="s">
        <v>9756</v>
      </c>
      <c r="G539" s="360" t="s">
        <v>9757</v>
      </c>
      <c r="H539" s="361">
        <v>43332</v>
      </c>
      <c r="I539" s="343" t="s">
        <v>3583</v>
      </c>
      <c r="J539" s="343" t="s">
        <v>9390</v>
      </c>
      <c r="K539" s="343" t="s">
        <v>173</v>
      </c>
    </row>
    <row r="540" spans="1:11" ht="26.25" customHeight="1">
      <c r="A540" s="343" t="s">
        <v>161</v>
      </c>
      <c r="B540" s="344" t="s">
        <v>162</v>
      </c>
      <c r="C540" s="344">
        <v>9329</v>
      </c>
      <c r="D540" s="343" t="s">
        <v>8145</v>
      </c>
      <c r="E540" s="344">
        <v>5748875</v>
      </c>
      <c r="F540" s="343" t="s">
        <v>1114</v>
      </c>
      <c r="G540" s="360" t="s">
        <v>1115</v>
      </c>
      <c r="H540" s="361">
        <v>43333</v>
      </c>
      <c r="I540" s="343" t="s">
        <v>211</v>
      </c>
      <c r="J540" s="343" t="s">
        <v>211</v>
      </c>
      <c r="K540" s="343" t="s">
        <v>168</v>
      </c>
    </row>
    <row r="541" spans="1:11" ht="26.25" customHeight="1">
      <c r="A541" s="343" t="s">
        <v>161</v>
      </c>
      <c r="B541" s="344" t="s">
        <v>162</v>
      </c>
      <c r="C541" s="344">
        <v>7450</v>
      </c>
      <c r="D541" s="343" t="s">
        <v>402</v>
      </c>
      <c r="E541" s="344">
        <v>6524302</v>
      </c>
      <c r="F541" s="343" t="s">
        <v>9758</v>
      </c>
      <c r="G541" s="360" t="s">
        <v>9759</v>
      </c>
      <c r="H541" s="361">
        <v>43333</v>
      </c>
      <c r="I541" s="343" t="s">
        <v>709</v>
      </c>
      <c r="J541" s="343" t="s">
        <v>709</v>
      </c>
      <c r="K541" s="343" t="s">
        <v>173</v>
      </c>
    </row>
    <row r="542" spans="1:11" ht="26.25" customHeight="1">
      <c r="A542" s="343" t="s">
        <v>161</v>
      </c>
      <c r="B542" s="344" t="s">
        <v>162</v>
      </c>
      <c r="C542" s="344">
        <v>7457</v>
      </c>
      <c r="D542" s="343" t="s">
        <v>338</v>
      </c>
      <c r="E542" s="344">
        <v>6467065</v>
      </c>
      <c r="F542" s="343" t="s">
        <v>9760</v>
      </c>
      <c r="G542" s="360" t="s">
        <v>9761</v>
      </c>
      <c r="H542" s="361">
        <v>43334</v>
      </c>
      <c r="I542" s="343" t="s">
        <v>9762</v>
      </c>
      <c r="J542" s="343" t="s">
        <v>9763</v>
      </c>
      <c r="K542" s="343" t="s">
        <v>168</v>
      </c>
    </row>
    <row r="543" spans="1:11" ht="26.25" customHeight="1">
      <c r="A543" s="343" t="s">
        <v>161</v>
      </c>
      <c r="B543" s="344" t="s">
        <v>162</v>
      </c>
      <c r="C543" s="344">
        <v>7444</v>
      </c>
      <c r="D543" s="343" t="s">
        <v>367</v>
      </c>
      <c r="E543" s="344">
        <v>6655949</v>
      </c>
      <c r="F543" s="343" t="s">
        <v>8246</v>
      </c>
      <c r="G543" s="360" t="s">
        <v>9764</v>
      </c>
      <c r="H543" s="361">
        <v>43336</v>
      </c>
      <c r="I543" s="343" t="s">
        <v>193</v>
      </c>
      <c r="J543" s="343" t="s">
        <v>9765</v>
      </c>
      <c r="K543" s="343" t="s">
        <v>168</v>
      </c>
    </row>
    <row r="544" spans="1:11" ht="26.25" customHeight="1">
      <c r="A544" s="343" t="s">
        <v>161</v>
      </c>
      <c r="B544" s="344" t="s">
        <v>162</v>
      </c>
      <c r="C544" s="344">
        <v>7447</v>
      </c>
      <c r="D544" s="343" t="s">
        <v>160</v>
      </c>
      <c r="E544" s="344">
        <v>6918228</v>
      </c>
      <c r="F544" s="343" t="s">
        <v>9097</v>
      </c>
      <c r="G544" s="360" t="s">
        <v>9766</v>
      </c>
      <c r="H544" s="361">
        <v>43336</v>
      </c>
      <c r="I544" s="343" t="s">
        <v>9767</v>
      </c>
      <c r="J544" s="343" t="s">
        <v>9768</v>
      </c>
      <c r="K544" s="343" t="s">
        <v>168</v>
      </c>
    </row>
    <row r="545" spans="1:11" ht="26.25" customHeight="1">
      <c r="A545" s="343" t="s">
        <v>161</v>
      </c>
      <c r="B545" s="344" t="s">
        <v>162</v>
      </c>
      <c r="C545" s="344">
        <v>7444</v>
      </c>
      <c r="D545" s="343" t="s">
        <v>367</v>
      </c>
      <c r="E545" s="344">
        <v>6793419</v>
      </c>
      <c r="F545" s="343" t="s">
        <v>9769</v>
      </c>
      <c r="G545" s="360" t="s">
        <v>9770</v>
      </c>
      <c r="H545" s="361">
        <v>43336</v>
      </c>
      <c r="I545" s="343" t="s">
        <v>802</v>
      </c>
      <c r="J545" s="343" t="s">
        <v>1075</v>
      </c>
      <c r="K545" s="343" t="s">
        <v>168</v>
      </c>
    </row>
    <row r="546" spans="1:11" ht="26.25" customHeight="1">
      <c r="A546" s="343" t="s">
        <v>161</v>
      </c>
      <c r="B546" s="344" t="s">
        <v>162</v>
      </c>
      <c r="C546" s="344">
        <v>13378</v>
      </c>
      <c r="D546" s="343" t="s">
        <v>1212</v>
      </c>
      <c r="E546" s="344">
        <v>6214287</v>
      </c>
      <c r="F546" s="343" t="s">
        <v>9771</v>
      </c>
      <c r="G546" s="360" t="s">
        <v>9772</v>
      </c>
      <c r="H546" s="361">
        <v>43336</v>
      </c>
      <c r="I546" s="343" t="s">
        <v>211</v>
      </c>
      <c r="J546" s="343" t="s">
        <v>211</v>
      </c>
      <c r="K546" s="343" t="s">
        <v>168</v>
      </c>
    </row>
    <row r="547" spans="1:11" ht="26.25" customHeight="1">
      <c r="A547" s="343" t="s">
        <v>161</v>
      </c>
      <c r="B547" s="344" t="s">
        <v>162</v>
      </c>
      <c r="C547" s="344">
        <v>9855</v>
      </c>
      <c r="D547" s="343" t="s">
        <v>411</v>
      </c>
      <c r="E547" s="344">
        <v>7026435</v>
      </c>
      <c r="F547" s="343" t="s">
        <v>9773</v>
      </c>
      <c r="G547" s="360" t="s">
        <v>9774</v>
      </c>
      <c r="H547" s="361">
        <v>43336</v>
      </c>
      <c r="I547" s="343" t="s">
        <v>166</v>
      </c>
      <c r="J547" s="343" t="s">
        <v>9775</v>
      </c>
      <c r="K547" s="343" t="s">
        <v>248</v>
      </c>
    </row>
    <row r="548" spans="1:11" ht="26.25" customHeight="1">
      <c r="A548" s="343" t="s">
        <v>161</v>
      </c>
      <c r="B548" s="344" t="s">
        <v>162</v>
      </c>
      <c r="C548" s="344">
        <v>9855</v>
      </c>
      <c r="D548" s="343" t="s">
        <v>411</v>
      </c>
      <c r="E548" s="344">
        <v>6922153</v>
      </c>
      <c r="F548" s="343" t="s">
        <v>9776</v>
      </c>
      <c r="G548" s="360" t="s">
        <v>9777</v>
      </c>
      <c r="H548" s="361">
        <v>43336</v>
      </c>
      <c r="I548" s="343" t="s">
        <v>166</v>
      </c>
      <c r="J548" s="343" t="s">
        <v>327</v>
      </c>
      <c r="K548" s="343" t="s">
        <v>168</v>
      </c>
    </row>
    <row r="549" spans="1:11" ht="26.25" customHeight="1">
      <c r="A549" s="343" t="s">
        <v>161</v>
      </c>
      <c r="B549" s="344" t="s">
        <v>162</v>
      </c>
      <c r="C549" s="344">
        <v>9913</v>
      </c>
      <c r="D549" s="343" t="s">
        <v>556</v>
      </c>
      <c r="E549" s="344">
        <v>4784511</v>
      </c>
      <c r="F549" s="343" t="s">
        <v>9778</v>
      </c>
      <c r="G549" s="360" t="s">
        <v>9779</v>
      </c>
      <c r="H549" s="361">
        <v>43336</v>
      </c>
      <c r="I549" s="343" t="s">
        <v>211</v>
      </c>
      <c r="J549" s="343" t="s">
        <v>909</v>
      </c>
      <c r="K549" s="343" t="s">
        <v>168</v>
      </c>
    </row>
    <row r="550" spans="1:11" ht="26.25" customHeight="1">
      <c r="A550" s="343" t="s">
        <v>161</v>
      </c>
      <c r="B550" s="344" t="s">
        <v>162</v>
      </c>
      <c r="C550" s="344">
        <v>9910</v>
      </c>
      <c r="D550" s="343" t="s">
        <v>664</v>
      </c>
      <c r="E550" s="344">
        <v>6219507</v>
      </c>
      <c r="F550" s="343" t="s">
        <v>507</v>
      </c>
      <c r="G550" s="360" t="s">
        <v>508</v>
      </c>
      <c r="H550" s="361">
        <v>43336</v>
      </c>
      <c r="I550" s="343" t="s">
        <v>193</v>
      </c>
      <c r="J550" s="343" t="s">
        <v>603</v>
      </c>
      <c r="K550" s="343" t="s">
        <v>168</v>
      </c>
    </row>
    <row r="551" spans="1:11" ht="26.25" customHeight="1">
      <c r="A551" s="343" t="s">
        <v>161</v>
      </c>
      <c r="B551" s="344" t="s">
        <v>162</v>
      </c>
      <c r="C551" s="344">
        <v>7447</v>
      </c>
      <c r="D551" s="343" t="s">
        <v>160</v>
      </c>
      <c r="E551" s="344">
        <v>6977423</v>
      </c>
      <c r="F551" s="343" t="s">
        <v>9780</v>
      </c>
      <c r="G551" s="360" t="s">
        <v>9781</v>
      </c>
      <c r="H551" s="361">
        <v>43336</v>
      </c>
      <c r="I551" s="343" t="s">
        <v>193</v>
      </c>
      <c r="J551" s="343" t="s">
        <v>637</v>
      </c>
      <c r="K551" s="343" t="s">
        <v>168</v>
      </c>
    </row>
    <row r="552" spans="1:11" ht="26.25" customHeight="1">
      <c r="A552" s="343" t="s">
        <v>161</v>
      </c>
      <c r="B552" s="344" t="s">
        <v>162</v>
      </c>
      <c r="C552" s="344">
        <v>7458</v>
      </c>
      <c r="D552" s="343" t="s">
        <v>207</v>
      </c>
      <c r="E552" s="344">
        <v>6976639</v>
      </c>
      <c r="F552" s="343" t="s">
        <v>9782</v>
      </c>
      <c r="G552" s="360" t="s">
        <v>9783</v>
      </c>
      <c r="H552" s="361">
        <v>43342</v>
      </c>
      <c r="I552" s="343" t="s">
        <v>784</v>
      </c>
      <c r="J552" s="343" t="s">
        <v>9784</v>
      </c>
      <c r="K552" s="343" t="s">
        <v>173</v>
      </c>
    </row>
    <row r="553" spans="1:11" ht="26.25" customHeight="1">
      <c r="A553" s="343" t="s">
        <v>161</v>
      </c>
      <c r="B553" s="344" t="s">
        <v>162</v>
      </c>
      <c r="C553" s="344">
        <v>6584</v>
      </c>
      <c r="D553" s="343" t="s">
        <v>1286</v>
      </c>
      <c r="E553" s="344">
        <v>5967385</v>
      </c>
      <c r="F553" s="343" t="s">
        <v>9785</v>
      </c>
      <c r="G553" s="360" t="s">
        <v>9786</v>
      </c>
      <c r="H553" s="361">
        <v>43342</v>
      </c>
      <c r="I553" s="343" t="s">
        <v>465</v>
      </c>
      <c r="J553" s="343" t="s">
        <v>9614</v>
      </c>
      <c r="K553" s="343" t="s">
        <v>168</v>
      </c>
    </row>
    <row r="554" spans="1:11" ht="26.25" customHeight="1">
      <c r="A554" s="343" t="s">
        <v>161</v>
      </c>
      <c r="B554" s="344" t="s">
        <v>162</v>
      </c>
      <c r="C554" s="344">
        <v>13723</v>
      </c>
      <c r="D554" s="343" t="s">
        <v>9110</v>
      </c>
      <c r="E554" s="344">
        <v>6570451</v>
      </c>
      <c r="F554" s="343" t="s">
        <v>8153</v>
      </c>
      <c r="G554" s="360" t="s">
        <v>9484</v>
      </c>
      <c r="H554" s="361">
        <v>43342</v>
      </c>
      <c r="I554" s="343" t="s">
        <v>9787</v>
      </c>
      <c r="J554" s="343" t="s">
        <v>9788</v>
      </c>
      <c r="K554" s="343" t="s">
        <v>168</v>
      </c>
    </row>
    <row r="555" spans="1:11" ht="26.25" customHeight="1">
      <c r="A555" s="343" t="s">
        <v>1627</v>
      </c>
      <c r="B555" s="344" t="s">
        <v>162</v>
      </c>
      <c r="C555" s="344">
        <v>7578</v>
      </c>
      <c r="D555" s="343" t="s">
        <v>3649</v>
      </c>
      <c r="E555" s="344">
        <v>6188045</v>
      </c>
      <c r="F555" s="343" t="s">
        <v>3650</v>
      </c>
      <c r="G555" s="360" t="s">
        <v>9789</v>
      </c>
      <c r="H555" s="361">
        <v>42038</v>
      </c>
      <c r="I555" s="343" t="s">
        <v>284</v>
      </c>
      <c r="J555" s="343" t="s">
        <v>9790</v>
      </c>
      <c r="K555" s="343" t="s">
        <v>168</v>
      </c>
    </row>
    <row r="556" spans="1:11" ht="26.25" customHeight="1">
      <c r="A556" s="343" t="s">
        <v>1627</v>
      </c>
      <c r="B556" s="344" t="s">
        <v>162</v>
      </c>
      <c r="C556" s="344">
        <v>11830</v>
      </c>
      <c r="D556" s="343" t="s">
        <v>3762</v>
      </c>
      <c r="E556" s="344">
        <v>5180626</v>
      </c>
      <c r="F556" s="343" t="s">
        <v>3764</v>
      </c>
      <c r="G556" s="360" t="s">
        <v>9791</v>
      </c>
      <c r="H556" s="361">
        <v>42186</v>
      </c>
      <c r="I556" s="343" t="s">
        <v>193</v>
      </c>
      <c r="J556" s="343" t="s">
        <v>9792</v>
      </c>
      <c r="K556" s="343" t="s">
        <v>168</v>
      </c>
    </row>
    <row r="557" spans="1:11" ht="26.25" customHeight="1">
      <c r="A557" s="343" t="s">
        <v>1627</v>
      </c>
      <c r="B557" s="344" t="s">
        <v>162</v>
      </c>
      <c r="C557" s="344">
        <v>11609</v>
      </c>
      <c r="D557" s="343" t="s">
        <v>3721</v>
      </c>
      <c r="E557" s="344">
        <v>5209809</v>
      </c>
      <c r="F557" s="343" t="s">
        <v>3727</v>
      </c>
      <c r="G557" s="360" t="s">
        <v>9793</v>
      </c>
      <c r="H557" s="361">
        <v>42256</v>
      </c>
      <c r="I557" s="343" t="s">
        <v>3728</v>
      </c>
      <c r="J557" s="343" t="s">
        <v>9794</v>
      </c>
      <c r="K557" s="343" t="s">
        <v>168</v>
      </c>
    </row>
    <row r="558" spans="1:11" ht="26.25" customHeight="1">
      <c r="A558" s="343" t="s">
        <v>1627</v>
      </c>
      <c r="B558" s="344" t="s">
        <v>162</v>
      </c>
      <c r="C558" s="344">
        <v>7089</v>
      </c>
      <c r="D558" s="343" t="s">
        <v>3742</v>
      </c>
      <c r="E558" s="344">
        <v>4728040</v>
      </c>
      <c r="F558" s="343" t="s">
        <v>3746</v>
      </c>
      <c r="G558" s="360" t="s">
        <v>9795</v>
      </c>
      <c r="H558" s="361">
        <v>42244</v>
      </c>
      <c r="I558" s="343" t="s">
        <v>465</v>
      </c>
      <c r="J558" s="343" t="s">
        <v>9796</v>
      </c>
      <c r="K558" s="343" t="s">
        <v>168</v>
      </c>
    </row>
    <row r="559" spans="1:11" ht="26.25" customHeight="1">
      <c r="A559" s="343" t="s">
        <v>1627</v>
      </c>
      <c r="B559" s="344" t="s">
        <v>162</v>
      </c>
      <c r="C559" s="344">
        <v>12884</v>
      </c>
      <c r="D559" s="343" t="s">
        <v>3644</v>
      </c>
      <c r="E559" s="344">
        <v>6155823</v>
      </c>
      <c r="F559" s="343" t="s">
        <v>3645</v>
      </c>
      <c r="G559" s="360" t="s">
        <v>9797</v>
      </c>
      <c r="H559" s="361">
        <v>42163</v>
      </c>
      <c r="I559" s="343" t="s">
        <v>193</v>
      </c>
      <c r="J559" s="343" t="s">
        <v>377</v>
      </c>
      <c r="K559" s="343" t="s">
        <v>168</v>
      </c>
    </row>
    <row r="560" spans="1:11" ht="26.25" customHeight="1">
      <c r="A560" s="343" t="s">
        <v>1627</v>
      </c>
      <c r="B560" s="344" t="s">
        <v>162</v>
      </c>
      <c r="C560" s="344">
        <v>11086</v>
      </c>
      <c r="D560" s="343" t="s">
        <v>3733</v>
      </c>
      <c r="E560" s="344">
        <v>5628744</v>
      </c>
      <c r="F560" s="343" t="s">
        <v>3739</v>
      </c>
      <c r="G560" s="360" t="s">
        <v>9798</v>
      </c>
      <c r="H560" s="361">
        <v>42073</v>
      </c>
      <c r="I560" s="343" t="s">
        <v>166</v>
      </c>
      <c r="J560" s="343" t="s">
        <v>9799</v>
      </c>
      <c r="K560" s="343" t="s">
        <v>168</v>
      </c>
    </row>
    <row r="561" spans="1:11" ht="26.25" customHeight="1">
      <c r="A561" s="343" t="s">
        <v>1627</v>
      </c>
      <c r="B561" s="344" t="s">
        <v>162</v>
      </c>
      <c r="C561" s="344">
        <v>11609</v>
      </c>
      <c r="D561" s="343" t="s">
        <v>3721</v>
      </c>
      <c r="E561" s="344">
        <v>4450345</v>
      </c>
      <c r="F561" s="343" t="s">
        <v>3730</v>
      </c>
      <c r="G561" s="360" t="s">
        <v>9800</v>
      </c>
      <c r="H561" s="361">
        <v>42153</v>
      </c>
      <c r="I561" s="343" t="s">
        <v>193</v>
      </c>
      <c r="J561" s="343" t="s">
        <v>9801</v>
      </c>
      <c r="K561" s="343" t="s">
        <v>168</v>
      </c>
    </row>
    <row r="562" spans="1:11" ht="26.25" customHeight="1">
      <c r="A562" s="343" t="s">
        <v>1627</v>
      </c>
      <c r="B562" s="344" t="s">
        <v>162</v>
      </c>
      <c r="C562" s="344">
        <v>7078</v>
      </c>
      <c r="D562" s="343" t="s">
        <v>3781</v>
      </c>
      <c r="E562" s="344">
        <v>6082835</v>
      </c>
      <c r="F562" s="343" t="s">
        <v>3783</v>
      </c>
      <c r="G562" s="360" t="s">
        <v>9802</v>
      </c>
      <c r="H562" s="361">
        <v>42283</v>
      </c>
      <c r="I562" s="343" t="s">
        <v>211</v>
      </c>
      <c r="J562" s="343" t="s">
        <v>211</v>
      </c>
      <c r="K562" s="343" t="s">
        <v>168</v>
      </c>
    </row>
    <row r="563" spans="1:11" ht="26.25" customHeight="1">
      <c r="A563" s="343" t="s">
        <v>1627</v>
      </c>
      <c r="B563" s="344" t="s">
        <v>162</v>
      </c>
      <c r="C563" s="344">
        <v>11608</v>
      </c>
      <c r="D563" s="343" t="s">
        <v>3677</v>
      </c>
      <c r="E563" s="344">
        <v>5633152</v>
      </c>
      <c r="F563" s="343" t="s">
        <v>3682</v>
      </c>
      <c r="G563" s="360" t="s">
        <v>9803</v>
      </c>
      <c r="H563" s="361">
        <v>42139</v>
      </c>
      <c r="I563" s="343" t="s">
        <v>3683</v>
      </c>
      <c r="J563" s="343" t="s">
        <v>9804</v>
      </c>
      <c r="K563" s="343" t="s">
        <v>168</v>
      </c>
    </row>
    <row r="564" spans="1:11" ht="26.25" customHeight="1">
      <c r="A564" s="343" t="s">
        <v>1627</v>
      </c>
      <c r="B564" s="344" t="s">
        <v>162</v>
      </c>
      <c r="C564" s="344">
        <v>11608</v>
      </c>
      <c r="D564" s="343" t="s">
        <v>3677</v>
      </c>
      <c r="E564" s="344">
        <v>4985821</v>
      </c>
      <c r="F564" s="343" t="s">
        <v>3679</v>
      </c>
      <c r="G564" s="360" t="s">
        <v>9805</v>
      </c>
      <c r="H564" s="361">
        <v>42138</v>
      </c>
      <c r="I564" s="343" t="s">
        <v>1182</v>
      </c>
      <c r="J564" s="343" t="s">
        <v>1183</v>
      </c>
      <c r="K564" s="343" t="s">
        <v>173</v>
      </c>
    </row>
    <row r="565" spans="1:11" ht="26.25" customHeight="1">
      <c r="A565" s="343" t="s">
        <v>1627</v>
      </c>
      <c r="B565" s="344" t="s">
        <v>162</v>
      </c>
      <c r="C565" s="344">
        <v>11608</v>
      </c>
      <c r="D565" s="343" t="s">
        <v>3677</v>
      </c>
      <c r="E565" s="344">
        <v>6085955</v>
      </c>
      <c r="F565" s="343" t="s">
        <v>3680</v>
      </c>
      <c r="G565" s="360" t="s">
        <v>9806</v>
      </c>
      <c r="H565" s="361">
        <v>42138</v>
      </c>
      <c r="I565" s="343" t="s">
        <v>3681</v>
      </c>
      <c r="J565" s="343" t="s">
        <v>9807</v>
      </c>
      <c r="K565" s="343" t="s">
        <v>173</v>
      </c>
    </row>
    <row r="566" spans="1:11" ht="26.25" customHeight="1">
      <c r="A566" s="343" t="s">
        <v>1627</v>
      </c>
      <c r="B566" s="344" t="s">
        <v>162</v>
      </c>
      <c r="C566" s="344">
        <v>11086</v>
      </c>
      <c r="D566" s="343" t="s">
        <v>3733</v>
      </c>
      <c r="E566" s="344">
        <v>5180713</v>
      </c>
      <c r="F566" s="343" t="s">
        <v>3735</v>
      </c>
      <c r="G566" s="360" t="s">
        <v>9808</v>
      </c>
      <c r="H566" s="361">
        <v>42129</v>
      </c>
      <c r="I566" s="343" t="s">
        <v>211</v>
      </c>
      <c r="J566" s="343" t="s">
        <v>9809</v>
      </c>
      <c r="K566" s="343" t="s">
        <v>168</v>
      </c>
    </row>
    <row r="567" spans="1:11" ht="26.25" customHeight="1">
      <c r="A567" s="343" t="s">
        <v>1627</v>
      </c>
      <c r="B567" s="344" t="s">
        <v>162</v>
      </c>
      <c r="C567" s="344">
        <v>7578</v>
      </c>
      <c r="D567" s="343" t="s">
        <v>3649</v>
      </c>
      <c r="E567" s="344">
        <v>6200471</v>
      </c>
      <c r="F567" s="343" t="s">
        <v>3653</v>
      </c>
      <c r="G567" s="360" t="s">
        <v>9810</v>
      </c>
      <c r="H567" s="361">
        <v>42423</v>
      </c>
      <c r="I567" s="343" t="s">
        <v>301</v>
      </c>
      <c r="J567" s="343" t="s">
        <v>302</v>
      </c>
      <c r="K567" s="343" t="s">
        <v>168</v>
      </c>
    </row>
    <row r="568" spans="1:11" ht="26.25" customHeight="1">
      <c r="A568" s="343" t="s">
        <v>1627</v>
      </c>
      <c r="B568" s="344" t="s">
        <v>162</v>
      </c>
      <c r="C568" s="344">
        <v>7085</v>
      </c>
      <c r="D568" s="343" t="s">
        <v>3700</v>
      </c>
      <c r="E568" s="344">
        <v>5310034</v>
      </c>
      <c r="F568" s="343" t="s">
        <v>3702</v>
      </c>
      <c r="G568" s="360" t="s">
        <v>9811</v>
      </c>
      <c r="H568" s="361">
        <v>42430</v>
      </c>
      <c r="I568" s="343" t="s">
        <v>166</v>
      </c>
      <c r="J568" s="343" t="s">
        <v>344</v>
      </c>
      <c r="K568" s="343" t="s">
        <v>168</v>
      </c>
    </row>
    <row r="569" spans="1:11" ht="26.25" customHeight="1">
      <c r="A569" s="343" t="s">
        <v>1627</v>
      </c>
      <c r="B569" s="344" t="s">
        <v>162</v>
      </c>
      <c r="C569" s="344">
        <v>7586</v>
      </c>
      <c r="D569" s="343" t="s">
        <v>3631</v>
      </c>
      <c r="E569" s="344">
        <v>6463858</v>
      </c>
      <c r="F569" s="343" t="s">
        <v>3635</v>
      </c>
      <c r="G569" s="360" t="s">
        <v>9812</v>
      </c>
      <c r="H569" s="361">
        <v>42432</v>
      </c>
      <c r="I569" s="343" t="s">
        <v>305</v>
      </c>
      <c r="J569" s="343" t="s">
        <v>9813</v>
      </c>
      <c r="K569" s="343" t="s">
        <v>168</v>
      </c>
    </row>
    <row r="570" spans="1:11" ht="26.25" customHeight="1">
      <c r="A570" s="343" t="s">
        <v>1627</v>
      </c>
      <c r="B570" s="344" t="s">
        <v>162</v>
      </c>
      <c r="C570" s="344">
        <v>9349</v>
      </c>
      <c r="D570" s="343" t="s">
        <v>3797</v>
      </c>
      <c r="E570" s="344">
        <v>5510875</v>
      </c>
      <c r="F570" s="343" t="s">
        <v>3800</v>
      </c>
      <c r="G570" s="360" t="s">
        <v>9814</v>
      </c>
      <c r="H570" s="361">
        <v>42439</v>
      </c>
      <c r="I570" s="343" t="s">
        <v>547</v>
      </c>
      <c r="J570" s="343" t="s">
        <v>1028</v>
      </c>
      <c r="K570" s="343" t="s">
        <v>248</v>
      </c>
    </row>
    <row r="571" spans="1:11" ht="26.25" customHeight="1">
      <c r="A571" s="343" t="s">
        <v>1627</v>
      </c>
      <c r="B571" s="344" t="s">
        <v>162</v>
      </c>
      <c r="C571" s="344">
        <v>7065</v>
      </c>
      <c r="D571" s="343" t="s">
        <v>3784</v>
      </c>
      <c r="E571" s="344">
        <v>5155692</v>
      </c>
      <c r="F571" s="343" t="s">
        <v>3785</v>
      </c>
      <c r="G571" s="360" t="s">
        <v>9815</v>
      </c>
      <c r="H571" s="361">
        <v>42439</v>
      </c>
      <c r="I571" s="343" t="s">
        <v>166</v>
      </c>
      <c r="J571" s="343" t="s">
        <v>344</v>
      </c>
      <c r="K571" s="343" t="s">
        <v>168</v>
      </c>
    </row>
    <row r="572" spans="1:11" ht="26.25" customHeight="1">
      <c r="A572" s="343" t="s">
        <v>1627</v>
      </c>
      <c r="B572" s="344" t="s">
        <v>162</v>
      </c>
      <c r="C572" s="344">
        <v>12689</v>
      </c>
      <c r="D572" s="343" t="s">
        <v>3853</v>
      </c>
      <c r="E572" s="344">
        <v>6334075</v>
      </c>
      <c r="F572" s="343" t="s">
        <v>3854</v>
      </c>
      <c r="G572" s="360" t="s">
        <v>9816</v>
      </c>
      <c r="H572" s="361">
        <v>42452</v>
      </c>
      <c r="I572" s="343" t="s">
        <v>219</v>
      </c>
      <c r="J572" s="343" t="s">
        <v>506</v>
      </c>
      <c r="K572" s="343" t="s">
        <v>173</v>
      </c>
    </row>
    <row r="573" spans="1:11" ht="26.25" customHeight="1">
      <c r="A573" s="343" t="s">
        <v>1627</v>
      </c>
      <c r="B573" s="344" t="s">
        <v>162</v>
      </c>
      <c r="C573" s="344">
        <v>10068</v>
      </c>
      <c r="D573" s="343" t="s">
        <v>3689</v>
      </c>
      <c r="E573" s="344">
        <v>6160960</v>
      </c>
      <c r="F573" s="343" t="s">
        <v>3691</v>
      </c>
      <c r="G573" s="360" t="s">
        <v>9817</v>
      </c>
      <c r="H573" s="361">
        <v>42465</v>
      </c>
      <c r="I573" s="343" t="s">
        <v>3692</v>
      </c>
      <c r="J573" s="343" t="s">
        <v>9818</v>
      </c>
      <c r="K573" s="343" t="s">
        <v>168</v>
      </c>
    </row>
    <row r="574" spans="1:11" ht="26.25" customHeight="1">
      <c r="A574" s="343" t="s">
        <v>1627</v>
      </c>
      <c r="B574" s="344" t="s">
        <v>162</v>
      </c>
      <c r="C574" s="344">
        <v>7593</v>
      </c>
      <c r="D574" s="343" t="s">
        <v>3639</v>
      </c>
      <c r="E574" s="344">
        <v>6193460</v>
      </c>
      <c r="F574" s="343" t="s">
        <v>3643</v>
      </c>
      <c r="G574" s="360" t="s">
        <v>9819</v>
      </c>
      <c r="H574" s="361">
        <v>42473</v>
      </c>
      <c r="I574" s="343" t="s">
        <v>261</v>
      </c>
      <c r="J574" s="343" t="s">
        <v>262</v>
      </c>
      <c r="K574" s="343" t="s">
        <v>168</v>
      </c>
    </row>
    <row r="575" spans="1:11" ht="26.25" customHeight="1">
      <c r="A575" s="343" t="s">
        <v>1627</v>
      </c>
      <c r="B575" s="344" t="s">
        <v>162</v>
      </c>
      <c r="C575" s="344">
        <v>7593</v>
      </c>
      <c r="D575" s="343" t="s">
        <v>3639</v>
      </c>
      <c r="E575" s="344">
        <v>6230763</v>
      </c>
      <c r="F575" s="343" t="s">
        <v>3641</v>
      </c>
      <c r="G575" s="360" t="s">
        <v>9820</v>
      </c>
      <c r="H575" s="361">
        <v>42473</v>
      </c>
      <c r="I575" s="343" t="s">
        <v>709</v>
      </c>
      <c r="J575" s="343" t="s">
        <v>9821</v>
      </c>
      <c r="K575" s="343" t="s">
        <v>168</v>
      </c>
    </row>
    <row r="576" spans="1:11" ht="26.25" customHeight="1">
      <c r="A576" s="343" t="s">
        <v>1627</v>
      </c>
      <c r="B576" s="344" t="s">
        <v>162</v>
      </c>
      <c r="C576" s="344">
        <v>7077</v>
      </c>
      <c r="D576" s="343" t="s">
        <v>3789</v>
      </c>
      <c r="E576" s="344">
        <v>3700492</v>
      </c>
      <c r="F576" s="343" t="s">
        <v>3793</v>
      </c>
      <c r="G576" s="360" t="s">
        <v>9822</v>
      </c>
      <c r="H576" s="361">
        <v>42468</v>
      </c>
      <c r="I576" s="343" t="s">
        <v>275</v>
      </c>
      <c r="J576" s="343" t="s">
        <v>9823</v>
      </c>
      <c r="K576" s="343" t="s">
        <v>173</v>
      </c>
    </row>
    <row r="577" spans="1:11" ht="26.25" customHeight="1">
      <c r="A577" s="343" t="s">
        <v>1627</v>
      </c>
      <c r="B577" s="344" t="s">
        <v>162</v>
      </c>
      <c r="C577" s="344">
        <v>9440</v>
      </c>
      <c r="D577" s="343" t="s">
        <v>3769</v>
      </c>
      <c r="E577" s="344">
        <v>5284909</v>
      </c>
      <c r="F577" s="343" t="s">
        <v>3770</v>
      </c>
      <c r="G577" s="360" t="s">
        <v>9824</v>
      </c>
      <c r="H577" s="361">
        <v>42480</v>
      </c>
      <c r="I577" s="343" t="s">
        <v>211</v>
      </c>
      <c r="J577" s="343" t="s">
        <v>211</v>
      </c>
      <c r="K577" s="343" t="s">
        <v>168</v>
      </c>
    </row>
    <row r="578" spans="1:11" ht="26.25" customHeight="1">
      <c r="A578" s="343" t="s">
        <v>1627</v>
      </c>
      <c r="B578" s="344" t="s">
        <v>162</v>
      </c>
      <c r="C578" s="344">
        <v>12525</v>
      </c>
      <c r="D578" s="343" t="s">
        <v>3808</v>
      </c>
      <c r="E578" s="344">
        <v>4543014</v>
      </c>
      <c r="F578" s="343" t="s">
        <v>3811</v>
      </c>
      <c r="G578" s="360" t="s">
        <v>9825</v>
      </c>
      <c r="H578" s="361">
        <v>42480</v>
      </c>
      <c r="I578" s="343" t="s">
        <v>3812</v>
      </c>
      <c r="J578" s="343" t="s">
        <v>9826</v>
      </c>
      <c r="K578" s="343" t="s">
        <v>168</v>
      </c>
    </row>
    <row r="579" spans="1:11" ht="26.25" customHeight="1">
      <c r="A579" s="343" t="s">
        <v>1627</v>
      </c>
      <c r="B579" s="344" t="s">
        <v>162</v>
      </c>
      <c r="C579" s="344">
        <v>7078</v>
      </c>
      <c r="D579" s="343" t="s">
        <v>3781</v>
      </c>
      <c r="E579" s="344">
        <v>5939802</v>
      </c>
      <c r="F579" s="343" t="s">
        <v>3782</v>
      </c>
      <c r="G579" s="360" t="s">
        <v>9827</v>
      </c>
      <c r="H579" s="361">
        <v>42475</v>
      </c>
      <c r="I579" s="343" t="s">
        <v>1182</v>
      </c>
      <c r="J579" s="343" t="s">
        <v>1183</v>
      </c>
      <c r="K579" s="343" t="s">
        <v>173</v>
      </c>
    </row>
    <row r="580" spans="1:11" ht="26.25" customHeight="1">
      <c r="A580" s="343" t="s">
        <v>1627</v>
      </c>
      <c r="B580" s="344" t="s">
        <v>162</v>
      </c>
      <c r="C580" s="344">
        <v>7578</v>
      </c>
      <c r="D580" s="343" t="s">
        <v>3649</v>
      </c>
      <c r="E580" s="344">
        <v>6470892</v>
      </c>
      <c r="F580" s="343" t="s">
        <v>3651</v>
      </c>
      <c r="G580" s="360" t="s">
        <v>9828</v>
      </c>
      <c r="H580" s="361">
        <v>42514</v>
      </c>
      <c r="I580" s="343" t="s">
        <v>349</v>
      </c>
      <c r="J580" s="343" t="s">
        <v>9829</v>
      </c>
      <c r="K580" s="343" t="s">
        <v>168</v>
      </c>
    </row>
    <row r="581" spans="1:11" ht="26.25" customHeight="1">
      <c r="A581" s="343" t="s">
        <v>1627</v>
      </c>
      <c r="B581" s="344" t="s">
        <v>162</v>
      </c>
      <c r="C581" s="344">
        <v>9381</v>
      </c>
      <c r="D581" s="343" t="s">
        <v>3694</v>
      </c>
      <c r="E581" s="344">
        <v>5149398</v>
      </c>
      <c r="F581" s="343" t="s">
        <v>3695</v>
      </c>
      <c r="G581" s="360" t="s">
        <v>9830</v>
      </c>
      <c r="H581" s="361">
        <v>42508</v>
      </c>
      <c r="I581" s="343" t="s">
        <v>3696</v>
      </c>
      <c r="J581" s="343" t="s">
        <v>9831</v>
      </c>
      <c r="K581" s="343" t="s">
        <v>168</v>
      </c>
    </row>
    <row r="582" spans="1:11" ht="26.25" customHeight="1">
      <c r="A582" s="343" t="s">
        <v>1627</v>
      </c>
      <c r="B582" s="344" t="s">
        <v>162</v>
      </c>
      <c r="C582" s="344">
        <v>7585</v>
      </c>
      <c r="D582" s="343" t="s">
        <v>3626</v>
      </c>
      <c r="E582" s="344">
        <v>6506718</v>
      </c>
      <c r="F582" s="343" t="s">
        <v>3630</v>
      </c>
      <c r="G582" s="360" t="s">
        <v>9832</v>
      </c>
      <c r="H582" s="361">
        <v>42502</v>
      </c>
      <c r="I582" s="343" t="s">
        <v>271</v>
      </c>
      <c r="J582" s="343" t="s">
        <v>9833</v>
      </c>
      <c r="K582" s="343" t="s">
        <v>168</v>
      </c>
    </row>
    <row r="583" spans="1:11" ht="26.25" customHeight="1">
      <c r="A583" s="343" t="s">
        <v>1627</v>
      </c>
      <c r="B583" s="344" t="s">
        <v>162</v>
      </c>
      <c r="C583" s="344">
        <v>12884</v>
      </c>
      <c r="D583" s="343" t="s">
        <v>3644</v>
      </c>
      <c r="E583" s="344">
        <v>6509359</v>
      </c>
      <c r="F583" s="343" t="s">
        <v>3646</v>
      </c>
      <c r="G583" s="360" t="s">
        <v>9834</v>
      </c>
      <c r="H583" s="361">
        <v>42524</v>
      </c>
      <c r="I583" s="343" t="s">
        <v>166</v>
      </c>
      <c r="J583" s="343" t="s">
        <v>9835</v>
      </c>
      <c r="K583" s="343" t="s">
        <v>168</v>
      </c>
    </row>
    <row r="584" spans="1:11" ht="26.25" customHeight="1">
      <c r="A584" s="343" t="s">
        <v>1627</v>
      </c>
      <c r="B584" s="344" t="s">
        <v>162</v>
      </c>
      <c r="C584" s="344">
        <v>7585</v>
      </c>
      <c r="D584" s="343" t="s">
        <v>3626</v>
      </c>
      <c r="E584" s="344">
        <v>6487858</v>
      </c>
      <c r="F584" s="343" t="s">
        <v>3628</v>
      </c>
      <c r="G584" s="360" t="s">
        <v>443</v>
      </c>
      <c r="H584" s="361">
        <v>42534</v>
      </c>
      <c r="I584" s="343" t="s">
        <v>3629</v>
      </c>
      <c r="J584" s="343" t="s">
        <v>9836</v>
      </c>
      <c r="K584" s="343" t="s">
        <v>168</v>
      </c>
    </row>
    <row r="585" spans="1:11" ht="26.25" customHeight="1">
      <c r="A585" s="343" t="s">
        <v>1627</v>
      </c>
      <c r="B585" s="344" t="s">
        <v>162</v>
      </c>
      <c r="C585" s="344">
        <v>7587</v>
      </c>
      <c r="D585" s="343" t="s">
        <v>3664</v>
      </c>
      <c r="E585" s="344">
        <v>6345194</v>
      </c>
      <c r="F585" s="343" t="s">
        <v>3667</v>
      </c>
      <c r="G585" s="360" t="s">
        <v>9837</v>
      </c>
      <c r="H585" s="361">
        <v>42576</v>
      </c>
      <c r="I585" s="343" t="s">
        <v>166</v>
      </c>
      <c r="J585" s="343" t="s">
        <v>9838</v>
      </c>
      <c r="K585" s="343" t="s">
        <v>248</v>
      </c>
    </row>
    <row r="586" spans="1:11" ht="26.25" customHeight="1">
      <c r="A586" s="343" t="s">
        <v>1627</v>
      </c>
      <c r="B586" s="344" t="s">
        <v>162</v>
      </c>
      <c r="C586" s="344">
        <v>7066</v>
      </c>
      <c r="D586" s="343" t="s">
        <v>3712</v>
      </c>
      <c r="E586" s="344">
        <v>4669857</v>
      </c>
      <c r="F586" s="343" t="s">
        <v>3714</v>
      </c>
      <c r="G586" s="360" t="s">
        <v>9839</v>
      </c>
      <c r="H586" s="361">
        <v>41785</v>
      </c>
      <c r="I586" s="343" t="s">
        <v>211</v>
      </c>
      <c r="J586" s="343" t="s">
        <v>9840</v>
      </c>
      <c r="K586" s="343" t="s">
        <v>168</v>
      </c>
    </row>
    <row r="587" spans="1:11" ht="26.25" customHeight="1">
      <c r="A587" s="343" t="s">
        <v>1627</v>
      </c>
      <c r="B587" s="344" t="s">
        <v>162</v>
      </c>
      <c r="C587" s="344">
        <v>7586</v>
      </c>
      <c r="D587" s="343" t="s">
        <v>3631</v>
      </c>
      <c r="E587" s="344">
        <v>6436457</v>
      </c>
      <c r="F587" s="343" t="s">
        <v>3633</v>
      </c>
      <c r="G587" s="360" t="s">
        <v>9841</v>
      </c>
      <c r="H587" s="361">
        <v>42569</v>
      </c>
      <c r="I587" s="343" t="s">
        <v>349</v>
      </c>
      <c r="J587" s="343" t="s">
        <v>9842</v>
      </c>
      <c r="K587" s="343" t="s">
        <v>168</v>
      </c>
    </row>
    <row r="588" spans="1:11" ht="26.25" customHeight="1">
      <c r="A588" s="343" t="s">
        <v>1627</v>
      </c>
      <c r="B588" s="344" t="s">
        <v>162</v>
      </c>
      <c r="C588" s="344">
        <v>7077</v>
      </c>
      <c r="D588" s="343" t="s">
        <v>3789</v>
      </c>
      <c r="E588" s="344">
        <v>4025610</v>
      </c>
      <c r="F588" s="343" t="s">
        <v>3796</v>
      </c>
      <c r="G588" s="360" t="s">
        <v>9843</v>
      </c>
      <c r="H588" s="361">
        <v>42569</v>
      </c>
      <c r="I588" s="343" t="s">
        <v>3687</v>
      </c>
      <c r="J588" s="343" t="s">
        <v>3687</v>
      </c>
      <c r="K588" s="343" t="s">
        <v>168</v>
      </c>
    </row>
    <row r="589" spans="1:11" ht="26.25" customHeight="1">
      <c r="A589" s="343" t="s">
        <v>1627</v>
      </c>
      <c r="B589" s="344" t="s">
        <v>162</v>
      </c>
      <c r="C589" s="344">
        <v>12525</v>
      </c>
      <c r="D589" s="343" t="s">
        <v>3808</v>
      </c>
      <c r="E589" s="344">
        <v>5673665</v>
      </c>
      <c r="F589" s="343" t="s">
        <v>3809</v>
      </c>
      <c r="G589" s="360" t="s">
        <v>9844</v>
      </c>
      <c r="H589" s="361">
        <v>42585</v>
      </c>
      <c r="I589" s="343" t="s">
        <v>193</v>
      </c>
      <c r="J589" s="343" t="s">
        <v>377</v>
      </c>
      <c r="K589" s="343" t="s">
        <v>168</v>
      </c>
    </row>
    <row r="590" spans="1:11" ht="26.25" customHeight="1">
      <c r="A590" s="343" t="s">
        <v>1627</v>
      </c>
      <c r="B590" s="344" t="s">
        <v>162</v>
      </c>
      <c r="C590" s="344">
        <v>7077</v>
      </c>
      <c r="D590" s="343" t="s">
        <v>3789</v>
      </c>
      <c r="E590" s="344">
        <v>5180976</v>
      </c>
      <c r="F590" s="343" t="s">
        <v>3792</v>
      </c>
      <c r="G590" s="360" t="s">
        <v>9845</v>
      </c>
      <c r="H590" s="361">
        <v>42598</v>
      </c>
      <c r="I590" s="343" t="s">
        <v>193</v>
      </c>
      <c r="J590" s="343" t="s">
        <v>600</v>
      </c>
      <c r="K590" s="343" t="s">
        <v>168</v>
      </c>
    </row>
    <row r="591" spans="1:11" ht="26.25" customHeight="1">
      <c r="A591" s="343" t="s">
        <v>1627</v>
      </c>
      <c r="B591" s="344" t="s">
        <v>162</v>
      </c>
      <c r="C591" s="344">
        <v>7084</v>
      </c>
      <c r="D591" s="343" t="s">
        <v>3706</v>
      </c>
      <c r="E591" s="344">
        <v>5060633</v>
      </c>
      <c r="F591" s="343" t="s">
        <v>3709</v>
      </c>
      <c r="G591" s="360" t="s">
        <v>9846</v>
      </c>
      <c r="H591" s="361">
        <v>42593</v>
      </c>
      <c r="I591" s="343" t="s">
        <v>547</v>
      </c>
      <c r="J591" s="343" t="s">
        <v>1028</v>
      </c>
      <c r="K591" s="343" t="s">
        <v>248</v>
      </c>
    </row>
    <row r="592" spans="1:11" ht="26.25" customHeight="1">
      <c r="A592" s="343" t="s">
        <v>1627</v>
      </c>
      <c r="B592" s="344" t="s">
        <v>162</v>
      </c>
      <c r="C592" s="344">
        <v>11086</v>
      </c>
      <c r="D592" s="343" t="s">
        <v>3733</v>
      </c>
      <c r="E592" s="344">
        <v>5664237</v>
      </c>
      <c r="F592" s="343" t="s">
        <v>3741</v>
      </c>
      <c r="G592" s="360" t="s">
        <v>584</v>
      </c>
      <c r="H592" s="361">
        <v>42607</v>
      </c>
      <c r="I592" s="343" t="s">
        <v>275</v>
      </c>
      <c r="J592" s="343" t="s">
        <v>9847</v>
      </c>
      <c r="K592" s="343" t="s">
        <v>173</v>
      </c>
    </row>
    <row r="593" spans="1:11" ht="26.25" customHeight="1">
      <c r="A593" s="343" t="s">
        <v>1627</v>
      </c>
      <c r="B593" s="344" t="s">
        <v>162</v>
      </c>
      <c r="C593" s="344">
        <v>11086</v>
      </c>
      <c r="D593" s="343" t="s">
        <v>3733</v>
      </c>
      <c r="E593" s="344">
        <v>5672733</v>
      </c>
      <c r="F593" s="343" t="s">
        <v>3734</v>
      </c>
      <c r="G593" s="360" t="s">
        <v>9848</v>
      </c>
      <c r="H593" s="361">
        <v>42607</v>
      </c>
      <c r="I593" s="343" t="s">
        <v>366</v>
      </c>
      <c r="J593" s="343" t="s">
        <v>9849</v>
      </c>
      <c r="K593" s="343" t="s">
        <v>168</v>
      </c>
    </row>
    <row r="594" spans="1:11" ht="26.25" customHeight="1">
      <c r="A594" s="343" t="s">
        <v>1627</v>
      </c>
      <c r="B594" s="344" t="s">
        <v>162</v>
      </c>
      <c r="C594" s="344">
        <v>7593</v>
      </c>
      <c r="D594" s="343" t="s">
        <v>3639</v>
      </c>
      <c r="E594" s="344">
        <v>6533631</v>
      </c>
      <c r="F594" s="343" t="s">
        <v>3642</v>
      </c>
      <c r="G594" s="360" t="s">
        <v>9622</v>
      </c>
      <c r="H594" s="361">
        <v>42600</v>
      </c>
      <c r="I594" s="343" t="s">
        <v>3629</v>
      </c>
      <c r="J594" s="343" t="s">
        <v>9850</v>
      </c>
      <c r="K594" s="343" t="s">
        <v>168</v>
      </c>
    </row>
    <row r="595" spans="1:11" ht="26.25" customHeight="1">
      <c r="A595" s="343" t="s">
        <v>1627</v>
      </c>
      <c r="B595" s="344" t="s">
        <v>162</v>
      </c>
      <c r="C595" s="344">
        <v>7087</v>
      </c>
      <c r="D595" s="343" t="s">
        <v>3771</v>
      </c>
      <c r="E595" s="344">
        <v>5231657</v>
      </c>
      <c r="F595" s="343" t="s">
        <v>3772</v>
      </c>
      <c r="G595" s="360" t="s">
        <v>9851</v>
      </c>
      <c r="H595" s="361">
        <v>42612</v>
      </c>
      <c r="I595" s="343" t="s">
        <v>211</v>
      </c>
      <c r="J595" s="343" t="s">
        <v>211</v>
      </c>
      <c r="K595" s="343" t="s">
        <v>168</v>
      </c>
    </row>
    <row r="596" spans="1:11" ht="26.25" customHeight="1">
      <c r="A596" s="343" t="s">
        <v>1627</v>
      </c>
      <c r="B596" s="344" t="s">
        <v>162</v>
      </c>
      <c r="C596" s="344">
        <v>11609</v>
      </c>
      <c r="D596" s="343" t="s">
        <v>3721</v>
      </c>
      <c r="E596" s="344">
        <v>4471196</v>
      </c>
      <c r="F596" s="343" t="s">
        <v>3732</v>
      </c>
      <c r="G596" s="360" t="s">
        <v>9852</v>
      </c>
      <c r="H596" s="361">
        <v>42622</v>
      </c>
      <c r="I596" s="343" t="s">
        <v>742</v>
      </c>
      <c r="J596" s="343" t="s">
        <v>742</v>
      </c>
      <c r="K596" s="343" t="s">
        <v>168</v>
      </c>
    </row>
    <row r="597" spans="1:11" ht="26.25" customHeight="1">
      <c r="A597" s="343" t="s">
        <v>1627</v>
      </c>
      <c r="B597" s="344" t="s">
        <v>162</v>
      </c>
      <c r="C597" s="344">
        <v>7084</v>
      </c>
      <c r="D597" s="343" t="s">
        <v>3706</v>
      </c>
      <c r="E597" s="344">
        <v>5089446</v>
      </c>
      <c r="F597" s="343" t="s">
        <v>3707</v>
      </c>
      <c r="G597" s="360" t="s">
        <v>9853</v>
      </c>
      <c r="H597" s="361">
        <v>42656</v>
      </c>
      <c r="I597" s="343" t="s">
        <v>3708</v>
      </c>
      <c r="J597" s="343" t="s">
        <v>3708</v>
      </c>
      <c r="K597" s="343" t="s">
        <v>168</v>
      </c>
    </row>
    <row r="598" spans="1:11" ht="26.25" customHeight="1">
      <c r="A598" s="343" t="s">
        <v>1627</v>
      </c>
      <c r="B598" s="344" t="s">
        <v>162</v>
      </c>
      <c r="C598" s="344">
        <v>12092</v>
      </c>
      <c r="D598" s="343" t="s">
        <v>3778</v>
      </c>
      <c r="E598" s="344">
        <v>4354154</v>
      </c>
      <c r="F598" s="343" t="s">
        <v>3779</v>
      </c>
      <c r="G598" s="360" t="s">
        <v>9854</v>
      </c>
      <c r="H598" s="361">
        <v>42670</v>
      </c>
      <c r="I598" s="343" t="s">
        <v>193</v>
      </c>
      <c r="J598" s="343" t="s">
        <v>637</v>
      </c>
      <c r="K598" s="343" t="s">
        <v>168</v>
      </c>
    </row>
    <row r="599" spans="1:11" ht="26.25" customHeight="1">
      <c r="A599" s="343" t="s">
        <v>1627</v>
      </c>
      <c r="B599" s="344" t="s">
        <v>162</v>
      </c>
      <c r="C599" s="344">
        <v>7080</v>
      </c>
      <c r="D599" s="343" t="s">
        <v>3753</v>
      </c>
      <c r="E599" s="344">
        <v>5616144</v>
      </c>
      <c r="F599" s="343" t="s">
        <v>3757</v>
      </c>
      <c r="G599" s="360" t="s">
        <v>9855</v>
      </c>
      <c r="H599" s="361">
        <v>42670</v>
      </c>
      <c r="I599" s="343" t="s">
        <v>211</v>
      </c>
      <c r="J599" s="343" t="s">
        <v>211</v>
      </c>
      <c r="K599" s="343" t="s">
        <v>168</v>
      </c>
    </row>
    <row r="600" spans="1:11" ht="26.25" customHeight="1">
      <c r="A600" s="343" t="s">
        <v>1627</v>
      </c>
      <c r="B600" s="344" t="s">
        <v>162</v>
      </c>
      <c r="C600" s="344">
        <v>6737</v>
      </c>
      <c r="D600" s="343" t="s">
        <v>3889</v>
      </c>
      <c r="E600" s="344">
        <v>5749386</v>
      </c>
      <c r="F600" s="343" t="s">
        <v>3897</v>
      </c>
      <c r="G600" s="360" t="s">
        <v>9856</v>
      </c>
      <c r="H600" s="361">
        <v>42682</v>
      </c>
      <c r="I600" s="343" t="s">
        <v>193</v>
      </c>
      <c r="J600" s="343" t="s">
        <v>637</v>
      </c>
      <c r="K600" s="343" t="s">
        <v>168</v>
      </c>
    </row>
    <row r="601" spans="1:11" ht="26.25" customHeight="1">
      <c r="A601" s="343" t="s">
        <v>1627</v>
      </c>
      <c r="B601" s="344" t="s">
        <v>162</v>
      </c>
      <c r="C601" s="344">
        <v>6730</v>
      </c>
      <c r="D601" s="343" t="s">
        <v>3834</v>
      </c>
      <c r="E601" s="344">
        <v>5144194</v>
      </c>
      <c r="F601" s="343" t="s">
        <v>3835</v>
      </c>
      <c r="G601" s="360" t="s">
        <v>1394</v>
      </c>
      <c r="H601" s="361">
        <v>42685</v>
      </c>
      <c r="I601" s="343" t="s">
        <v>193</v>
      </c>
      <c r="J601" s="343" t="s">
        <v>637</v>
      </c>
      <c r="K601" s="343" t="s">
        <v>168</v>
      </c>
    </row>
    <row r="602" spans="1:11" ht="26.25" customHeight="1">
      <c r="A602" s="343" t="s">
        <v>1627</v>
      </c>
      <c r="B602" s="344" t="s">
        <v>162</v>
      </c>
      <c r="C602" s="344">
        <v>9349</v>
      </c>
      <c r="D602" s="343" t="s">
        <v>3797</v>
      </c>
      <c r="E602" s="344">
        <v>4343587</v>
      </c>
      <c r="F602" s="343" t="s">
        <v>3799</v>
      </c>
      <c r="G602" s="360" t="s">
        <v>9857</v>
      </c>
      <c r="H602" s="361">
        <v>42685</v>
      </c>
      <c r="I602" s="343" t="s">
        <v>3692</v>
      </c>
      <c r="J602" s="343" t="s">
        <v>9858</v>
      </c>
      <c r="K602" s="343" t="s">
        <v>168</v>
      </c>
    </row>
    <row r="603" spans="1:11" ht="26.25" customHeight="1">
      <c r="A603" s="343" t="s">
        <v>1627</v>
      </c>
      <c r="B603" s="344" t="s">
        <v>162</v>
      </c>
      <c r="C603" s="344">
        <v>7077</v>
      </c>
      <c r="D603" s="343" t="s">
        <v>3789</v>
      </c>
      <c r="E603" s="344">
        <v>4246990</v>
      </c>
      <c r="F603" s="343" t="s">
        <v>3791</v>
      </c>
      <c r="G603" s="360" t="s">
        <v>9859</v>
      </c>
      <c r="H603" s="361">
        <v>41660</v>
      </c>
      <c r="I603" s="343" t="s">
        <v>193</v>
      </c>
      <c r="J603" s="343" t="s">
        <v>228</v>
      </c>
      <c r="K603" s="343" t="s">
        <v>168</v>
      </c>
    </row>
    <row r="604" spans="1:11" ht="26.25" customHeight="1">
      <c r="A604" s="343" t="s">
        <v>1627</v>
      </c>
      <c r="B604" s="344" t="s">
        <v>162</v>
      </c>
      <c r="C604" s="344">
        <v>7075</v>
      </c>
      <c r="D604" s="343" t="s">
        <v>3758</v>
      </c>
      <c r="E604" s="344">
        <v>4902589</v>
      </c>
      <c r="F604" s="343" t="s">
        <v>3761</v>
      </c>
      <c r="G604" s="360" t="s">
        <v>9860</v>
      </c>
      <c r="H604" s="361">
        <v>41670</v>
      </c>
      <c r="I604" s="343" t="s">
        <v>193</v>
      </c>
      <c r="J604" s="343" t="s">
        <v>167</v>
      </c>
      <c r="K604" s="343" t="s">
        <v>168</v>
      </c>
    </row>
    <row r="605" spans="1:11" ht="26.25" customHeight="1">
      <c r="A605" s="343" t="s">
        <v>1627</v>
      </c>
      <c r="B605" s="344" t="s">
        <v>162</v>
      </c>
      <c r="C605" s="344">
        <v>7089</v>
      </c>
      <c r="D605" s="343" t="s">
        <v>3742</v>
      </c>
      <c r="E605" s="344">
        <v>4649093</v>
      </c>
      <c r="F605" s="343" t="s">
        <v>3747</v>
      </c>
      <c r="G605" s="360" t="s">
        <v>9861</v>
      </c>
      <c r="H605" s="361">
        <v>41682</v>
      </c>
      <c r="I605" s="343" t="s">
        <v>3748</v>
      </c>
      <c r="J605" s="343" t="s">
        <v>9862</v>
      </c>
      <c r="K605" s="343" t="s">
        <v>173</v>
      </c>
    </row>
    <row r="606" spans="1:11" ht="26.25" customHeight="1">
      <c r="A606" s="343" t="s">
        <v>1627</v>
      </c>
      <c r="B606" s="344" t="s">
        <v>162</v>
      </c>
      <c r="C606" s="344">
        <v>7067</v>
      </c>
      <c r="D606" s="343" t="s">
        <v>3786</v>
      </c>
      <c r="E606" s="344">
        <v>3905619</v>
      </c>
      <c r="F606" s="343" t="s">
        <v>3787</v>
      </c>
      <c r="G606" s="360" t="s">
        <v>9863</v>
      </c>
      <c r="H606" s="361">
        <v>40766</v>
      </c>
      <c r="I606" s="343" t="s">
        <v>3788</v>
      </c>
      <c r="J606" s="343" t="s">
        <v>9864</v>
      </c>
      <c r="K606" s="343" t="s">
        <v>168</v>
      </c>
    </row>
    <row r="607" spans="1:11" ht="26.25" customHeight="1">
      <c r="A607" s="343" t="s">
        <v>1627</v>
      </c>
      <c r="B607" s="344" t="s">
        <v>162</v>
      </c>
      <c r="C607" s="344">
        <v>9381</v>
      </c>
      <c r="D607" s="343" t="s">
        <v>3694</v>
      </c>
      <c r="E607" s="344">
        <v>3853831</v>
      </c>
      <c r="F607" s="343" t="s">
        <v>3697</v>
      </c>
      <c r="G607" s="360" t="s">
        <v>9865</v>
      </c>
      <c r="H607" s="361">
        <v>40984</v>
      </c>
      <c r="I607" s="343" t="s">
        <v>3698</v>
      </c>
      <c r="J607" s="343" t="s">
        <v>9866</v>
      </c>
      <c r="K607" s="343" t="s">
        <v>168</v>
      </c>
    </row>
    <row r="608" spans="1:11" ht="26.25" customHeight="1">
      <c r="A608" s="343" t="s">
        <v>1627</v>
      </c>
      <c r="B608" s="344" t="s">
        <v>162</v>
      </c>
      <c r="C608" s="344">
        <v>7089</v>
      </c>
      <c r="D608" s="343" t="s">
        <v>3742</v>
      </c>
      <c r="E608" s="344">
        <v>4237074</v>
      </c>
      <c r="F608" s="343" t="s">
        <v>3751</v>
      </c>
      <c r="G608" s="360" t="s">
        <v>9867</v>
      </c>
      <c r="H608" s="361">
        <v>40984</v>
      </c>
      <c r="I608" s="343" t="s">
        <v>3752</v>
      </c>
      <c r="J608" s="343" t="s">
        <v>9868</v>
      </c>
      <c r="K608" s="343" t="s">
        <v>168</v>
      </c>
    </row>
    <row r="609" spans="1:11" ht="26.25" customHeight="1">
      <c r="A609" s="343" t="s">
        <v>1627</v>
      </c>
      <c r="B609" s="344" t="s">
        <v>162</v>
      </c>
      <c r="C609" s="344">
        <v>7066</v>
      </c>
      <c r="D609" s="343" t="s">
        <v>3712</v>
      </c>
      <c r="E609" s="344">
        <v>3894447</v>
      </c>
      <c r="F609" s="343" t="s">
        <v>3715</v>
      </c>
      <c r="G609" s="360" t="s">
        <v>9869</v>
      </c>
      <c r="H609" s="361">
        <v>41012</v>
      </c>
      <c r="I609" s="343" t="s">
        <v>211</v>
      </c>
      <c r="J609" s="343" t="s">
        <v>909</v>
      </c>
      <c r="K609" s="343" t="s">
        <v>168</v>
      </c>
    </row>
    <row r="610" spans="1:11" ht="26.25" customHeight="1">
      <c r="A610" s="343" t="s">
        <v>1627</v>
      </c>
      <c r="B610" s="344" t="s">
        <v>162</v>
      </c>
      <c r="C610" s="344">
        <v>12217</v>
      </c>
      <c r="D610" s="343" t="s">
        <v>3718</v>
      </c>
      <c r="E610" s="344">
        <v>4633406</v>
      </c>
      <c r="F610" s="343" t="s">
        <v>3720</v>
      </c>
      <c r="G610" s="360" t="s">
        <v>9870</v>
      </c>
      <c r="H610" s="361">
        <v>41038</v>
      </c>
      <c r="I610" s="343" t="s">
        <v>166</v>
      </c>
      <c r="J610" s="343" t="s">
        <v>9871</v>
      </c>
      <c r="K610" s="343" t="s">
        <v>168</v>
      </c>
    </row>
    <row r="611" spans="1:11" ht="26.25" customHeight="1">
      <c r="A611" s="343" t="s">
        <v>1627</v>
      </c>
      <c r="B611" s="344" t="s">
        <v>162</v>
      </c>
      <c r="C611" s="344">
        <v>11830</v>
      </c>
      <c r="D611" s="343" t="s">
        <v>3762</v>
      </c>
      <c r="E611" s="344">
        <v>4787785</v>
      </c>
      <c r="F611" s="343" t="s">
        <v>3763</v>
      </c>
      <c r="G611" s="360" t="s">
        <v>9872</v>
      </c>
      <c r="H611" s="361">
        <v>41326</v>
      </c>
      <c r="I611" s="343" t="s">
        <v>211</v>
      </c>
      <c r="J611" s="343" t="s">
        <v>211</v>
      </c>
      <c r="K611" s="343" t="s">
        <v>168</v>
      </c>
    </row>
    <row r="612" spans="1:11" ht="26.25" customHeight="1">
      <c r="A612" s="343" t="s">
        <v>1627</v>
      </c>
      <c r="B612" s="344" t="s">
        <v>162</v>
      </c>
      <c r="C612" s="344">
        <v>9349</v>
      </c>
      <c r="D612" s="343" t="s">
        <v>3797</v>
      </c>
      <c r="E612" s="344">
        <v>5289395</v>
      </c>
      <c r="F612" s="343" t="s">
        <v>3804</v>
      </c>
      <c r="G612" s="360" t="s">
        <v>9873</v>
      </c>
      <c r="H612" s="361">
        <v>41691</v>
      </c>
      <c r="I612" s="343" t="s">
        <v>3805</v>
      </c>
      <c r="J612" s="343" t="s">
        <v>9874</v>
      </c>
      <c r="K612" s="343" t="s">
        <v>173</v>
      </c>
    </row>
    <row r="613" spans="1:11" ht="26.25" customHeight="1">
      <c r="A613" s="343" t="s">
        <v>1627</v>
      </c>
      <c r="B613" s="344" t="s">
        <v>162</v>
      </c>
      <c r="C613" s="344">
        <v>7085</v>
      </c>
      <c r="D613" s="343" t="s">
        <v>3700</v>
      </c>
      <c r="E613" s="344">
        <v>4515365</v>
      </c>
      <c r="F613" s="343" t="s">
        <v>3701</v>
      </c>
      <c r="G613" s="360" t="s">
        <v>9875</v>
      </c>
      <c r="H613" s="361">
        <v>42132</v>
      </c>
      <c r="I613" s="343" t="s">
        <v>193</v>
      </c>
      <c r="J613" s="343" t="s">
        <v>377</v>
      </c>
      <c r="K613" s="343" t="s">
        <v>168</v>
      </c>
    </row>
    <row r="614" spans="1:11" ht="26.25" customHeight="1">
      <c r="A614" s="343" t="s">
        <v>1627</v>
      </c>
      <c r="B614" s="344" t="s">
        <v>162</v>
      </c>
      <c r="C614" s="344">
        <v>7080</v>
      </c>
      <c r="D614" s="343" t="s">
        <v>3753</v>
      </c>
      <c r="E614" s="344">
        <v>4576657</v>
      </c>
      <c r="F614" s="343" t="s">
        <v>3754</v>
      </c>
      <c r="G614" s="360" t="s">
        <v>9876</v>
      </c>
      <c r="H614" s="361">
        <v>41334</v>
      </c>
      <c r="I614" s="343" t="s">
        <v>3755</v>
      </c>
      <c r="J614" s="343" t="s">
        <v>9877</v>
      </c>
      <c r="K614" s="343" t="s">
        <v>168</v>
      </c>
    </row>
    <row r="615" spans="1:11" ht="26.25" customHeight="1">
      <c r="A615" s="343" t="s">
        <v>1627</v>
      </c>
      <c r="B615" s="344" t="s">
        <v>162</v>
      </c>
      <c r="C615" s="344">
        <v>7069</v>
      </c>
      <c r="D615" s="343" t="s">
        <v>3710</v>
      </c>
      <c r="E615" s="344">
        <v>4240604</v>
      </c>
      <c r="F615" s="343" t="s">
        <v>3711</v>
      </c>
      <c r="G615" s="360" t="s">
        <v>9878</v>
      </c>
      <c r="H615" s="361">
        <v>41549</v>
      </c>
      <c r="I615" s="343" t="s">
        <v>742</v>
      </c>
      <c r="J615" s="343" t="s">
        <v>742</v>
      </c>
      <c r="K615" s="343" t="s">
        <v>168</v>
      </c>
    </row>
    <row r="616" spans="1:11" ht="26.25" customHeight="1">
      <c r="A616" s="343" t="s">
        <v>1627</v>
      </c>
      <c r="B616" s="344" t="s">
        <v>162</v>
      </c>
      <c r="C616" s="344">
        <v>11609</v>
      </c>
      <c r="D616" s="343" t="s">
        <v>3721</v>
      </c>
      <c r="E616" s="344">
        <v>3737455</v>
      </c>
      <c r="F616" s="343" t="s">
        <v>3731</v>
      </c>
      <c r="G616" s="360" t="s">
        <v>9879</v>
      </c>
      <c r="H616" s="361">
        <v>41346</v>
      </c>
      <c r="I616" s="343" t="s">
        <v>193</v>
      </c>
      <c r="J616" s="343" t="s">
        <v>9880</v>
      </c>
      <c r="K616" s="343" t="s">
        <v>168</v>
      </c>
    </row>
    <row r="617" spans="1:11" ht="26.25" customHeight="1">
      <c r="A617" s="343" t="s">
        <v>1627</v>
      </c>
      <c r="B617" s="344" t="s">
        <v>162</v>
      </c>
      <c r="C617" s="344">
        <v>11609</v>
      </c>
      <c r="D617" s="343" t="s">
        <v>3721</v>
      </c>
      <c r="E617" s="344">
        <v>5242613</v>
      </c>
      <c r="F617" s="343" t="s">
        <v>3729</v>
      </c>
      <c r="G617" s="360" t="s">
        <v>9881</v>
      </c>
      <c r="H617" s="361">
        <v>41346</v>
      </c>
      <c r="I617" s="343" t="s">
        <v>366</v>
      </c>
      <c r="J617" s="343" t="s">
        <v>366</v>
      </c>
      <c r="K617" s="343" t="s">
        <v>168</v>
      </c>
    </row>
    <row r="618" spans="1:11" ht="26.25" customHeight="1">
      <c r="A618" s="343" t="s">
        <v>1627</v>
      </c>
      <c r="B618" s="344" t="s">
        <v>162</v>
      </c>
      <c r="C618" s="344">
        <v>11086</v>
      </c>
      <c r="D618" s="343" t="s">
        <v>3733</v>
      </c>
      <c r="E618" s="344">
        <v>4696502</v>
      </c>
      <c r="F618" s="343" t="s">
        <v>3738</v>
      </c>
      <c r="G618" s="360" t="s">
        <v>9882</v>
      </c>
      <c r="H618" s="361">
        <v>41540</v>
      </c>
      <c r="I618" s="343" t="s">
        <v>465</v>
      </c>
      <c r="J618" s="343" t="s">
        <v>9796</v>
      </c>
      <c r="K618" s="343" t="s">
        <v>168</v>
      </c>
    </row>
    <row r="619" spans="1:11" ht="26.25" customHeight="1">
      <c r="A619" s="343" t="s">
        <v>1627</v>
      </c>
      <c r="B619" s="344" t="s">
        <v>162</v>
      </c>
      <c r="C619" s="344">
        <v>11086</v>
      </c>
      <c r="D619" s="343" t="s">
        <v>3733</v>
      </c>
      <c r="E619" s="344">
        <v>4050922</v>
      </c>
      <c r="F619" s="343" t="s">
        <v>3740</v>
      </c>
      <c r="G619" s="360" t="s">
        <v>9883</v>
      </c>
      <c r="H619" s="361">
        <v>41533</v>
      </c>
      <c r="I619" s="343" t="s">
        <v>709</v>
      </c>
      <c r="J619" s="343" t="s">
        <v>9884</v>
      </c>
      <c r="K619" s="343" t="s">
        <v>168</v>
      </c>
    </row>
    <row r="620" spans="1:11" ht="26.25" customHeight="1">
      <c r="A620" s="343" t="s">
        <v>1627</v>
      </c>
      <c r="B620" s="344" t="s">
        <v>162</v>
      </c>
      <c r="C620" s="344">
        <v>7089</v>
      </c>
      <c r="D620" s="343" t="s">
        <v>3742</v>
      </c>
      <c r="E620" s="344">
        <v>5097444</v>
      </c>
      <c r="F620" s="343" t="s">
        <v>3743</v>
      </c>
      <c r="G620" s="360" t="s">
        <v>9885</v>
      </c>
      <c r="H620" s="361">
        <v>42719</v>
      </c>
      <c r="I620" s="343" t="s">
        <v>219</v>
      </c>
      <c r="J620" s="343" t="s">
        <v>506</v>
      </c>
      <c r="K620" s="343" t="s">
        <v>173</v>
      </c>
    </row>
    <row r="621" spans="1:11" ht="26.25" customHeight="1">
      <c r="A621" s="343" t="s">
        <v>1627</v>
      </c>
      <c r="B621" s="344" t="s">
        <v>162</v>
      </c>
      <c r="C621" s="344">
        <v>12526</v>
      </c>
      <c r="D621" s="343" t="s">
        <v>3775</v>
      </c>
      <c r="E621" s="344">
        <v>4439490</v>
      </c>
      <c r="F621" s="343" t="s">
        <v>3777</v>
      </c>
      <c r="G621" s="360" t="s">
        <v>9886</v>
      </c>
      <c r="H621" s="361">
        <v>41711</v>
      </c>
      <c r="I621" s="343" t="s">
        <v>211</v>
      </c>
      <c r="J621" s="343" t="s">
        <v>212</v>
      </c>
      <c r="K621" s="343" t="s">
        <v>168</v>
      </c>
    </row>
    <row r="622" spans="1:11" ht="26.25" customHeight="1">
      <c r="A622" s="343" t="s">
        <v>1627</v>
      </c>
      <c r="B622" s="344" t="s">
        <v>162</v>
      </c>
      <c r="C622" s="344">
        <v>11086</v>
      </c>
      <c r="D622" s="343" t="s">
        <v>3733</v>
      </c>
      <c r="E622" s="344">
        <v>4984833</v>
      </c>
      <c r="F622" s="343" t="s">
        <v>3736</v>
      </c>
      <c r="G622" s="360" t="s">
        <v>9887</v>
      </c>
      <c r="H622" s="361">
        <v>41716</v>
      </c>
      <c r="I622" s="343" t="s">
        <v>3737</v>
      </c>
      <c r="J622" s="343" t="s">
        <v>9888</v>
      </c>
      <c r="K622" s="343" t="s">
        <v>173</v>
      </c>
    </row>
    <row r="623" spans="1:11" ht="26.25" customHeight="1">
      <c r="A623" s="343" t="s">
        <v>1627</v>
      </c>
      <c r="B623" s="344" t="s">
        <v>162</v>
      </c>
      <c r="C623" s="344">
        <v>12526</v>
      </c>
      <c r="D623" s="343" t="s">
        <v>3775</v>
      </c>
      <c r="E623" s="344">
        <v>4848838</v>
      </c>
      <c r="F623" s="343" t="s">
        <v>3776</v>
      </c>
      <c r="G623" s="360" t="s">
        <v>9889</v>
      </c>
      <c r="H623" s="361">
        <v>41723</v>
      </c>
      <c r="I623" s="343" t="s">
        <v>166</v>
      </c>
      <c r="J623" s="343" t="s">
        <v>167</v>
      </c>
      <c r="K623" s="343" t="s">
        <v>168</v>
      </c>
    </row>
    <row r="624" spans="1:11" ht="26.25" customHeight="1">
      <c r="A624" s="343" t="s">
        <v>1627</v>
      </c>
      <c r="B624" s="344" t="s">
        <v>162</v>
      </c>
      <c r="C624" s="344">
        <v>12525</v>
      </c>
      <c r="D624" s="343" t="s">
        <v>3808</v>
      </c>
      <c r="E624" s="344">
        <v>3683000</v>
      </c>
      <c r="F624" s="343" t="s">
        <v>3813</v>
      </c>
      <c r="G624" s="360" t="s">
        <v>9890</v>
      </c>
      <c r="H624" s="361">
        <v>41729</v>
      </c>
      <c r="I624" s="343" t="s">
        <v>670</v>
      </c>
      <c r="J624" s="343" t="s">
        <v>9891</v>
      </c>
      <c r="K624" s="343" t="s">
        <v>173</v>
      </c>
    </row>
    <row r="625" spans="1:11" ht="26.25" customHeight="1">
      <c r="A625" s="343" t="s">
        <v>1627</v>
      </c>
      <c r="B625" s="344" t="s">
        <v>162</v>
      </c>
      <c r="C625" s="344">
        <v>7089</v>
      </c>
      <c r="D625" s="343" t="s">
        <v>3742</v>
      </c>
      <c r="E625" s="344">
        <v>4237723</v>
      </c>
      <c r="F625" s="343" t="s">
        <v>3749</v>
      </c>
      <c r="G625" s="360" t="s">
        <v>9892</v>
      </c>
      <c r="H625" s="361">
        <v>41388</v>
      </c>
      <c r="I625" s="343" t="s">
        <v>211</v>
      </c>
      <c r="J625" s="343" t="s">
        <v>211</v>
      </c>
      <c r="K625" s="343" t="s">
        <v>168</v>
      </c>
    </row>
    <row r="626" spans="1:11" ht="26.25" customHeight="1">
      <c r="A626" s="343" t="s">
        <v>1627</v>
      </c>
      <c r="B626" s="344" t="s">
        <v>162</v>
      </c>
      <c r="C626" s="344">
        <v>7089</v>
      </c>
      <c r="D626" s="343" t="s">
        <v>3742</v>
      </c>
      <c r="E626" s="344">
        <v>4591159</v>
      </c>
      <c r="F626" s="343" t="s">
        <v>3750</v>
      </c>
      <c r="G626" s="360" t="s">
        <v>9893</v>
      </c>
      <c r="H626" s="361">
        <v>42745</v>
      </c>
      <c r="I626" s="343" t="s">
        <v>193</v>
      </c>
      <c r="J626" s="343" t="s">
        <v>637</v>
      </c>
      <c r="K626" s="343" t="s">
        <v>168</v>
      </c>
    </row>
    <row r="627" spans="1:11" ht="26.25" customHeight="1">
      <c r="A627" s="343" t="s">
        <v>1627</v>
      </c>
      <c r="B627" s="344" t="s">
        <v>162</v>
      </c>
      <c r="C627" s="344">
        <v>6725</v>
      </c>
      <c r="D627" s="343" t="s">
        <v>3861</v>
      </c>
      <c r="E627" s="344">
        <v>5586816</v>
      </c>
      <c r="F627" s="343" t="s">
        <v>3863</v>
      </c>
      <c r="G627" s="360" t="s">
        <v>9894</v>
      </c>
      <c r="H627" s="361">
        <v>42746</v>
      </c>
      <c r="I627" s="343" t="s">
        <v>301</v>
      </c>
      <c r="J627" s="343" t="s">
        <v>9895</v>
      </c>
      <c r="K627" s="343" t="s">
        <v>173</v>
      </c>
    </row>
    <row r="628" spans="1:11" ht="26.25" customHeight="1">
      <c r="A628" s="343" t="s">
        <v>1627</v>
      </c>
      <c r="B628" s="344" t="s">
        <v>162</v>
      </c>
      <c r="C628" s="344">
        <v>11609</v>
      </c>
      <c r="D628" s="343" t="s">
        <v>3721</v>
      </c>
      <c r="E628" s="344">
        <v>5142665</v>
      </c>
      <c r="F628" s="343" t="s">
        <v>3722</v>
      </c>
      <c r="G628" s="360" t="s">
        <v>9896</v>
      </c>
      <c r="H628" s="361">
        <v>42746</v>
      </c>
      <c r="I628" s="343" t="s">
        <v>193</v>
      </c>
      <c r="J628" s="343" t="s">
        <v>9897</v>
      </c>
      <c r="K628" s="343" t="s">
        <v>168</v>
      </c>
    </row>
    <row r="629" spans="1:11" ht="26.25" customHeight="1">
      <c r="A629" s="343" t="s">
        <v>1627</v>
      </c>
      <c r="B629" s="344" t="s">
        <v>162</v>
      </c>
      <c r="C629" s="344">
        <v>9349</v>
      </c>
      <c r="D629" s="343" t="s">
        <v>3797</v>
      </c>
      <c r="E629" s="344">
        <v>6497122</v>
      </c>
      <c r="F629" s="343" t="s">
        <v>3807</v>
      </c>
      <c r="G629" s="360" t="s">
        <v>9898</v>
      </c>
      <c r="H629" s="361">
        <v>42503</v>
      </c>
      <c r="I629" s="343" t="s">
        <v>580</v>
      </c>
      <c r="J629" s="343" t="s">
        <v>9899</v>
      </c>
      <c r="K629" s="343" t="s">
        <v>248</v>
      </c>
    </row>
    <row r="630" spans="1:11" ht="26.25" customHeight="1">
      <c r="A630" s="343" t="s">
        <v>1627</v>
      </c>
      <c r="B630" s="344" t="s">
        <v>162</v>
      </c>
      <c r="C630" s="344">
        <v>6725</v>
      </c>
      <c r="D630" s="343" t="s">
        <v>3861</v>
      </c>
      <c r="E630" s="344">
        <v>6201185</v>
      </c>
      <c r="F630" s="343" t="s">
        <v>3864</v>
      </c>
      <c r="G630" s="360" t="s">
        <v>9900</v>
      </c>
      <c r="H630" s="361">
        <v>42769</v>
      </c>
      <c r="I630" s="343" t="s">
        <v>301</v>
      </c>
      <c r="J630" s="343" t="s">
        <v>9895</v>
      </c>
      <c r="K630" s="343" t="s">
        <v>173</v>
      </c>
    </row>
    <row r="631" spans="1:11" ht="26.25" customHeight="1">
      <c r="A631" s="343" t="s">
        <v>1627</v>
      </c>
      <c r="B631" s="344" t="s">
        <v>162</v>
      </c>
      <c r="C631" s="344">
        <v>6737</v>
      </c>
      <c r="D631" s="343" t="s">
        <v>3889</v>
      </c>
      <c r="E631" s="344">
        <v>5931797</v>
      </c>
      <c r="F631" s="343" t="s">
        <v>3893</v>
      </c>
      <c r="G631" s="360" t="s">
        <v>9901</v>
      </c>
      <c r="H631" s="361">
        <v>42769</v>
      </c>
      <c r="I631" s="343" t="s">
        <v>193</v>
      </c>
      <c r="J631" s="343" t="s">
        <v>637</v>
      </c>
      <c r="K631" s="343" t="s">
        <v>168</v>
      </c>
    </row>
    <row r="632" spans="1:11" ht="26.25" customHeight="1">
      <c r="A632" s="343" t="s">
        <v>1627</v>
      </c>
      <c r="B632" s="344" t="s">
        <v>162</v>
      </c>
      <c r="C632" s="344">
        <v>6737</v>
      </c>
      <c r="D632" s="343" t="s">
        <v>3889</v>
      </c>
      <c r="E632" s="344">
        <v>6310807</v>
      </c>
      <c r="F632" s="343" t="s">
        <v>3898</v>
      </c>
      <c r="G632" s="360" t="s">
        <v>9902</v>
      </c>
      <c r="H632" s="361">
        <v>42769</v>
      </c>
      <c r="I632" s="343" t="s">
        <v>193</v>
      </c>
      <c r="J632" s="343" t="s">
        <v>9511</v>
      </c>
      <c r="K632" s="343" t="s">
        <v>168</v>
      </c>
    </row>
    <row r="633" spans="1:11" ht="26.25" customHeight="1">
      <c r="A633" s="343" t="s">
        <v>1627</v>
      </c>
      <c r="B633" s="344" t="s">
        <v>162</v>
      </c>
      <c r="C633" s="344">
        <v>6737</v>
      </c>
      <c r="D633" s="343" t="s">
        <v>3889</v>
      </c>
      <c r="E633" s="344">
        <v>6157016</v>
      </c>
      <c r="F633" s="343" t="s">
        <v>3894</v>
      </c>
      <c r="G633" s="360" t="s">
        <v>639</v>
      </c>
      <c r="H633" s="361">
        <v>42769</v>
      </c>
      <c r="I633" s="343" t="s">
        <v>193</v>
      </c>
      <c r="J633" s="343" t="s">
        <v>637</v>
      </c>
      <c r="K633" s="343" t="s">
        <v>168</v>
      </c>
    </row>
    <row r="634" spans="1:11" ht="26.25" customHeight="1">
      <c r="A634" s="343" t="s">
        <v>1627</v>
      </c>
      <c r="B634" s="344" t="s">
        <v>162</v>
      </c>
      <c r="C634" s="344">
        <v>10535</v>
      </c>
      <c r="D634" s="343" t="s">
        <v>3654</v>
      </c>
      <c r="E634" s="344">
        <v>6612185</v>
      </c>
      <c r="F634" s="343" t="s">
        <v>3655</v>
      </c>
      <c r="G634" s="360" t="s">
        <v>9903</v>
      </c>
      <c r="H634" s="361">
        <v>42774</v>
      </c>
      <c r="I634" s="343" t="s">
        <v>301</v>
      </c>
      <c r="J634" s="343" t="s">
        <v>1113</v>
      </c>
      <c r="K634" s="343" t="s">
        <v>168</v>
      </c>
    </row>
    <row r="635" spans="1:11" ht="26.25" customHeight="1">
      <c r="A635" s="343" t="s">
        <v>1627</v>
      </c>
      <c r="B635" s="344" t="s">
        <v>162</v>
      </c>
      <c r="C635" s="344">
        <v>7087</v>
      </c>
      <c r="D635" s="343" t="s">
        <v>3771</v>
      </c>
      <c r="E635" s="344">
        <v>5113935</v>
      </c>
      <c r="F635" s="343" t="s">
        <v>3774</v>
      </c>
      <c r="G635" s="360" t="s">
        <v>9904</v>
      </c>
      <c r="H635" s="361">
        <v>42775</v>
      </c>
      <c r="I635" s="343" t="s">
        <v>166</v>
      </c>
      <c r="J635" s="343" t="s">
        <v>296</v>
      </c>
      <c r="K635" s="343" t="s">
        <v>168</v>
      </c>
    </row>
    <row r="636" spans="1:11" ht="26.25" customHeight="1">
      <c r="A636" s="343" t="s">
        <v>1627</v>
      </c>
      <c r="B636" s="344" t="s">
        <v>162</v>
      </c>
      <c r="C636" s="344">
        <v>7072</v>
      </c>
      <c r="D636" s="343" t="s">
        <v>3703</v>
      </c>
      <c r="E636" s="344">
        <v>5105847</v>
      </c>
      <c r="F636" s="343" t="s">
        <v>3704</v>
      </c>
      <c r="G636" s="360" t="s">
        <v>558</v>
      </c>
      <c r="H636" s="361">
        <v>42775</v>
      </c>
      <c r="I636" s="343" t="s">
        <v>1463</v>
      </c>
      <c r="J636" s="343" t="s">
        <v>9905</v>
      </c>
      <c r="K636" s="343" t="s">
        <v>248</v>
      </c>
    </row>
    <row r="637" spans="1:11" ht="26.25" customHeight="1">
      <c r="A637" s="343" t="s">
        <v>1627</v>
      </c>
      <c r="B637" s="344" t="s">
        <v>162</v>
      </c>
      <c r="C637" s="344">
        <v>9349</v>
      </c>
      <c r="D637" s="343" t="s">
        <v>3797</v>
      </c>
      <c r="E637" s="344">
        <v>6225587</v>
      </c>
      <c r="F637" s="343" t="s">
        <v>3803</v>
      </c>
      <c r="G637" s="360" t="s">
        <v>9906</v>
      </c>
      <c r="H637" s="361">
        <v>42781</v>
      </c>
      <c r="I637" s="343" t="s">
        <v>180</v>
      </c>
      <c r="J637" s="343" t="s">
        <v>9907</v>
      </c>
      <c r="K637" s="343" t="s">
        <v>168</v>
      </c>
    </row>
    <row r="638" spans="1:11" ht="26.25" customHeight="1">
      <c r="A638" s="343" t="s">
        <v>1627</v>
      </c>
      <c r="B638" s="344" t="s">
        <v>162</v>
      </c>
      <c r="C638" s="344">
        <v>8569</v>
      </c>
      <c r="D638" s="343" t="s">
        <v>3902</v>
      </c>
      <c r="E638" s="344">
        <v>6129793</v>
      </c>
      <c r="F638" s="343" t="s">
        <v>3906</v>
      </c>
      <c r="G638" s="360" t="s">
        <v>495</v>
      </c>
      <c r="H638" s="361">
        <v>42776</v>
      </c>
      <c r="I638" s="343" t="s">
        <v>3907</v>
      </c>
      <c r="J638" s="343" t="s">
        <v>9908</v>
      </c>
      <c r="K638" s="343" t="s">
        <v>248</v>
      </c>
    </row>
    <row r="639" spans="1:11" ht="26.25" customHeight="1">
      <c r="A639" s="343" t="s">
        <v>1627</v>
      </c>
      <c r="B639" s="344" t="s">
        <v>162</v>
      </c>
      <c r="C639" s="344">
        <v>6722</v>
      </c>
      <c r="D639" s="343" t="s">
        <v>3878</v>
      </c>
      <c r="E639" s="344">
        <v>6124025</v>
      </c>
      <c r="F639" s="343" t="s">
        <v>3879</v>
      </c>
      <c r="G639" s="360" t="s">
        <v>9909</v>
      </c>
      <c r="H639" s="361">
        <v>42780</v>
      </c>
      <c r="I639" s="343" t="s">
        <v>3880</v>
      </c>
      <c r="J639" s="343" t="s">
        <v>9910</v>
      </c>
      <c r="K639" s="343" t="s">
        <v>168</v>
      </c>
    </row>
    <row r="640" spans="1:11" ht="26.25" customHeight="1">
      <c r="A640" s="343" t="s">
        <v>1627</v>
      </c>
      <c r="B640" s="344" t="s">
        <v>162</v>
      </c>
      <c r="C640" s="344">
        <v>6740</v>
      </c>
      <c r="D640" s="343" t="s">
        <v>3855</v>
      </c>
      <c r="E640" s="344">
        <v>5861102</v>
      </c>
      <c r="F640" s="343" t="s">
        <v>3856</v>
      </c>
      <c r="G640" s="360" t="s">
        <v>9911</v>
      </c>
      <c r="H640" s="361">
        <v>42780</v>
      </c>
      <c r="I640" s="343" t="s">
        <v>166</v>
      </c>
      <c r="J640" s="343" t="s">
        <v>296</v>
      </c>
      <c r="K640" s="343" t="s">
        <v>168</v>
      </c>
    </row>
    <row r="641" spans="1:11" ht="26.25" customHeight="1">
      <c r="A641" s="343" t="s">
        <v>1627</v>
      </c>
      <c r="B641" s="344" t="s">
        <v>162</v>
      </c>
      <c r="C641" s="344">
        <v>11829</v>
      </c>
      <c r="D641" s="343" t="s">
        <v>3840</v>
      </c>
      <c r="E641" s="344">
        <v>5898605</v>
      </c>
      <c r="F641" s="343" t="s">
        <v>3841</v>
      </c>
      <c r="G641" s="360" t="s">
        <v>9912</v>
      </c>
      <c r="H641" s="361">
        <v>42780</v>
      </c>
      <c r="I641" s="343" t="s">
        <v>193</v>
      </c>
      <c r="J641" s="343" t="s">
        <v>966</v>
      </c>
      <c r="K641" s="343" t="s">
        <v>168</v>
      </c>
    </row>
    <row r="642" spans="1:11" ht="26.25" customHeight="1">
      <c r="A642" s="343" t="s">
        <v>1627</v>
      </c>
      <c r="B642" s="344" t="s">
        <v>162</v>
      </c>
      <c r="C642" s="344">
        <v>9168</v>
      </c>
      <c r="D642" s="343" t="s">
        <v>3911</v>
      </c>
      <c r="E642" s="344">
        <v>5700252</v>
      </c>
      <c r="F642" s="343" t="s">
        <v>3913</v>
      </c>
      <c r="G642" s="360" t="s">
        <v>1104</v>
      </c>
      <c r="H642" s="361">
        <v>42780</v>
      </c>
      <c r="I642" s="343" t="s">
        <v>193</v>
      </c>
      <c r="J642" s="343" t="s">
        <v>966</v>
      </c>
      <c r="K642" s="343" t="s">
        <v>168</v>
      </c>
    </row>
    <row r="643" spans="1:11" ht="26.25" customHeight="1">
      <c r="A643" s="343" t="s">
        <v>1627</v>
      </c>
      <c r="B643" s="344" t="s">
        <v>162</v>
      </c>
      <c r="C643" s="344">
        <v>11609</v>
      </c>
      <c r="D643" s="343" t="s">
        <v>3721</v>
      </c>
      <c r="E643" s="344">
        <v>5923276</v>
      </c>
      <c r="F643" s="343" t="s">
        <v>3724</v>
      </c>
      <c r="G643" s="360" t="s">
        <v>9913</v>
      </c>
      <c r="H643" s="361">
        <v>42780</v>
      </c>
      <c r="I643" s="343" t="s">
        <v>3725</v>
      </c>
      <c r="J643" s="343" t="s">
        <v>9914</v>
      </c>
      <c r="K643" s="343" t="s">
        <v>168</v>
      </c>
    </row>
    <row r="644" spans="1:11" ht="26.25" customHeight="1">
      <c r="A644" s="343" t="s">
        <v>1627</v>
      </c>
      <c r="B644" s="344" t="s">
        <v>162</v>
      </c>
      <c r="C644" s="344">
        <v>11609</v>
      </c>
      <c r="D644" s="343" t="s">
        <v>3721</v>
      </c>
      <c r="E644" s="344">
        <v>4930701</v>
      </c>
      <c r="F644" s="343" t="s">
        <v>3726</v>
      </c>
      <c r="G644" s="360" t="s">
        <v>9915</v>
      </c>
      <c r="H644" s="361">
        <v>42780</v>
      </c>
      <c r="I644" s="343" t="s">
        <v>275</v>
      </c>
      <c r="J644" s="343" t="s">
        <v>9916</v>
      </c>
      <c r="K644" s="343" t="s">
        <v>168</v>
      </c>
    </row>
    <row r="645" spans="1:11" ht="26.25" customHeight="1">
      <c r="A645" s="343" t="s">
        <v>1627</v>
      </c>
      <c r="B645" s="344" t="s">
        <v>162</v>
      </c>
      <c r="C645" s="344">
        <v>11609</v>
      </c>
      <c r="D645" s="343" t="s">
        <v>3721</v>
      </c>
      <c r="E645" s="344">
        <v>5909760</v>
      </c>
      <c r="F645" s="343" t="s">
        <v>3723</v>
      </c>
      <c r="G645" s="360" t="s">
        <v>9917</v>
      </c>
      <c r="H645" s="361">
        <v>42780</v>
      </c>
      <c r="I645" s="343" t="s">
        <v>465</v>
      </c>
      <c r="J645" s="343" t="s">
        <v>1118</v>
      </c>
      <c r="K645" s="343" t="s">
        <v>168</v>
      </c>
    </row>
    <row r="646" spans="1:11" ht="26.25" customHeight="1">
      <c r="A646" s="343" t="s">
        <v>1627</v>
      </c>
      <c r="B646" s="344" t="s">
        <v>162</v>
      </c>
      <c r="C646" s="344">
        <v>7071</v>
      </c>
      <c r="D646" s="343" t="s">
        <v>3767</v>
      </c>
      <c r="E646" s="344">
        <v>5249145</v>
      </c>
      <c r="F646" s="343" t="s">
        <v>3768</v>
      </c>
      <c r="G646" s="360" t="s">
        <v>9918</v>
      </c>
      <c r="H646" s="361">
        <v>42779</v>
      </c>
      <c r="I646" s="343" t="s">
        <v>166</v>
      </c>
      <c r="J646" s="343" t="s">
        <v>327</v>
      </c>
      <c r="K646" s="343" t="s">
        <v>168</v>
      </c>
    </row>
    <row r="647" spans="1:11" ht="26.25" customHeight="1">
      <c r="A647" s="343" t="s">
        <v>1627</v>
      </c>
      <c r="B647" s="344" t="s">
        <v>162</v>
      </c>
      <c r="C647" s="344">
        <v>6722</v>
      </c>
      <c r="D647" s="343" t="s">
        <v>3878</v>
      </c>
      <c r="E647" s="344">
        <v>5946513</v>
      </c>
      <c r="F647" s="343" t="s">
        <v>3882</v>
      </c>
      <c r="G647" s="360" t="s">
        <v>9919</v>
      </c>
      <c r="H647" s="361">
        <v>42779</v>
      </c>
      <c r="I647" s="343" t="s">
        <v>366</v>
      </c>
      <c r="J647" s="343" t="s">
        <v>366</v>
      </c>
      <c r="K647" s="343" t="s">
        <v>168</v>
      </c>
    </row>
    <row r="648" spans="1:11" ht="26.25" customHeight="1">
      <c r="A648" s="343" t="s">
        <v>1627</v>
      </c>
      <c r="B648" s="344" t="s">
        <v>162</v>
      </c>
      <c r="C648" s="344">
        <v>6718</v>
      </c>
      <c r="D648" s="343" t="s">
        <v>3874</v>
      </c>
      <c r="E648" s="344">
        <v>5809607</v>
      </c>
      <c r="F648" s="343" t="s">
        <v>3876</v>
      </c>
      <c r="G648" s="360" t="s">
        <v>1329</v>
      </c>
      <c r="H648" s="361">
        <v>42780</v>
      </c>
      <c r="I648" s="343" t="s">
        <v>802</v>
      </c>
      <c r="J648" s="343" t="s">
        <v>1075</v>
      </c>
      <c r="K648" s="343" t="s">
        <v>168</v>
      </c>
    </row>
    <row r="649" spans="1:11" ht="26.25" customHeight="1">
      <c r="A649" s="343" t="s">
        <v>1627</v>
      </c>
      <c r="B649" s="344" t="s">
        <v>162</v>
      </c>
      <c r="C649" s="344">
        <v>8569</v>
      </c>
      <c r="D649" s="343" t="s">
        <v>3902</v>
      </c>
      <c r="E649" s="344">
        <v>5948524</v>
      </c>
      <c r="F649" s="343" t="s">
        <v>3904</v>
      </c>
      <c r="G649" s="360" t="s">
        <v>9920</v>
      </c>
      <c r="H649" s="361">
        <v>42780</v>
      </c>
      <c r="I649" s="343" t="s">
        <v>465</v>
      </c>
      <c r="J649" s="343" t="s">
        <v>1118</v>
      </c>
      <c r="K649" s="343" t="s">
        <v>168</v>
      </c>
    </row>
    <row r="650" spans="1:11" ht="26.25" customHeight="1">
      <c r="A650" s="343" t="s">
        <v>1627</v>
      </c>
      <c r="B650" s="344" t="s">
        <v>162</v>
      </c>
      <c r="C650" s="344">
        <v>11697</v>
      </c>
      <c r="D650" s="343" t="s">
        <v>3674</v>
      </c>
      <c r="E650" s="344">
        <v>6343912</v>
      </c>
      <c r="F650" s="343" t="s">
        <v>3676</v>
      </c>
      <c r="G650" s="360" t="s">
        <v>9921</v>
      </c>
      <c r="H650" s="361">
        <v>42787</v>
      </c>
      <c r="I650" s="343" t="s">
        <v>1038</v>
      </c>
      <c r="J650" s="343" t="s">
        <v>9369</v>
      </c>
      <c r="K650" s="343" t="s">
        <v>168</v>
      </c>
    </row>
    <row r="651" spans="1:11" ht="26.25" customHeight="1">
      <c r="A651" s="343" t="s">
        <v>1627</v>
      </c>
      <c r="B651" s="344" t="s">
        <v>162</v>
      </c>
      <c r="C651" s="344">
        <v>12525</v>
      </c>
      <c r="D651" s="343" t="s">
        <v>3808</v>
      </c>
      <c r="E651" s="344">
        <v>5613063</v>
      </c>
      <c r="F651" s="343" t="s">
        <v>3810</v>
      </c>
      <c r="G651" s="360" t="s">
        <v>9922</v>
      </c>
      <c r="H651" s="361">
        <v>42787</v>
      </c>
      <c r="I651" s="343" t="s">
        <v>1082</v>
      </c>
      <c r="J651" s="343" t="s">
        <v>9923</v>
      </c>
      <c r="K651" s="343" t="s">
        <v>173</v>
      </c>
    </row>
    <row r="652" spans="1:11" ht="26.25" customHeight="1">
      <c r="A652" s="343" t="s">
        <v>1627</v>
      </c>
      <c r="B652" s="344" t="s">
        <v>162</v>
      </c>
      <c r="C652" s="344">
        <v>12525</v>
      </c>
      <c r="D652" s="343" t="s">
        <v>3808</v>
      </c>
      <c r="E652" s="344">
        <v>5836702</v>
      </c>
      <c r="F652" s="343" t="s">
        <v>3814</v>
      </c>
      <c r="G652" s="360" t="s">
        <v>9924</v>
      </c>
      <c r="H652" s="361">
        <v>42787</v>
      </c>
      <c r="I652" s="343" t="s">
        <v>193</v>
      </c>
      <c r="J652" s="343" t="s">
        <v>1089</v>
      </c>
      <c r="K652" s="343" t="s">
        <v>168</v>
      </c>
    </row>
    <row r="653" spans="1:11" ht="26.25" customHeight="1">
      <c r="A653" s="343" t="s">
        <v>1627</v>
      </c>
      <c r="B653" s="344" t="s">
        <v>162</v>
      </c>
      <c r="C653" s="344">
        <v>9095</v>
      </c>
      <c r="D653" s="343" t="s">
        <v>3821</v>
      </c>
      <c r="E653" s="344">
        <v>5804740</v>
      </c>
      <c r="F653" s="343" t="s">
        <v>3823</v>
      </c>
      <c r="G653" s="360" t="s">
        <v>9925</v>
      </c>
      <c r="H653" s="361">
        <v>42787</v>
      </c>
      <c r="I653" s="343" t="s">
        <v>670</v>
      </c>
      <c r="J653" s="343" t="s">
        <v>671</v>
      </c>
      <c r="K653" s="343" t="s">
        <v>173</v>
      </c>
    </row>
    <row r="654" spans="1:11" ht="26.25" customHeight="1">
      <c r="A654" s="343" t="s">
        <v>1627</v>
      </c>
      <c r="B654" s="344" t="s">
        <v>162</v>
      </c>
      <c r="C654" s="344">
        <v>11829</v>
      </c>
      <c r="D654" s="343" t="s">
        <v>3840</v>
      </c>
      <c r="E654" s="344">
        <v>6100197</v>
      </c>
      <c r="F654" s="343" t="s">
        <v>3842</v>
      </c>
      <c r="G654" s="360" t="s">
        <v>9926</v>
      </c>
      <c r="H654" s="361">
        <v>42787</v>
      </c>
      <c r="I654" s="343" t="s">
        <v>349</v>
      </c>
      <c r="J654" s="343" t="s">
        <v>9927</v>
      </c>
      <c r="K654" s="343" t="s">
        <v>168</v>
      </c>
    </row>
    <row r="655" spans="1:11" ht="26.25" customHeight="1">
      <c r="A655" s="343" t="s">
        <v>1627</v>
      </c>
      <c r="B655" s="344" t="s">
        <v>162</v>
      </c>
      <c r="C655" s="344">
        <v>7080</v>
      </c>
      <c r="D655" s="343" t="s">
        <v>3753</v>
      </c>
      <c r="E655" s="344">
        <v>5774661</v>
      </c>
      <c r="F655" s="343" t="s">
        <v>3756</v>
      </c>
      <c r="G655" s="360" t="s">
        <v>9928</v>
      </c>
      <c r="H655" s="361">
        <v>42787</v>
      </c>
      <c r="I655" s="343" t="s">
        <v>211</v>
      </c>
      <c r="J655" s="343" t="s">
        <v>909</v>
      </c>
      <c r="K655" s="343" t="s">
        <v>168</v>
      </c>
    </row>
    <row r="656" spans="1:11" ht="26.25" customHeight="1">
      <c r="A656" s="343" t="s">
        <v>1627</v>
      </c>
      <c r="B656" s="344" t="s">
        <v>162</v>
      </c>
      <c r="C656" s="344">
        <v>8503</v>
      </c>
      <c r="D656" s="343" t="s">
        <v>3831</v>
      </c>
      <c r="E656" s="344">
        <v>5920409</v>
      </c>
      <c r="F656" s="343" t="s">
        <v>3833</v>
      </c>
      <c r="G656" s="360" t="s">
        <v>9929</v>
      </c>
      <c r="H656" s="361">
        <v>42787</v>
      </c>
      <c r="I656" s="343" t="s">
        <v>301</v>
      </c>
      <c r="J656" s="343" t="s">
        <v>9895</v>
      </c>
      <c r="K656" s="343" t="s">
        <v>173</v>
      </c>
    </row>
    <row r="657" spans="1:11" ht="26.25" customHeight="1">
      <c r="A657" s="343" t="s">
        <v>1627</v>
      </c>
      <c r="B657" s="344" t="s">
        <v>162</v>
      </c>
      <c r="C657" s="344">
        <v>6737</v>
      </c>
      <c r="D657" s="343" t="s">
        <v>3889</v>
      </c>
      <c r="E657" s="344">
        <v>5900515</v>
      </c>
      <c r="F657" s="343" t="s">
        <v>3892</v>
      </c>
      <c r="G657" s="360" t="s">
        <v>9930</v>
      </c>
      <c r="H657" s="361">
        <v>42782</v>
      </c>
      <c r="I657" s="343" t="s">
        <v>271</v>
      </c>
      <c r="J657" s="343" t="s">
        <v>9931</v>
      </c>
      <c r="K657" s="343" t="s">
        <v>168</v>
      </c>
    </row>
    <row r="658" spans="1:11" ht="26.25" customHeight="1">
      <c r="A658" s="343" t="s">
        <v>1627</v>
      </c>
      <c r="B658" s="344" t="s">
        <v>162</v>
      </c>
      <c r="C658" s="344">
        <v>9349</v>
      </c>
      <c r="D658" s="343" t="s">
        <v>3797</v>
      </c>
      <c r="E658" s="344">
        <v>6226729</v>
      </c>
      <c r="F658" s="343" t="s">
        <v>3801</v>
      </c>
      <c r="G658" s="360" t="s">
        <v>9932</v>
      </c>
      <c r="H658" s="361">
        <v>42800</v>
      </c>
      <c r="I658" s="343" t="s">
        <v>180</v>
      </c>
      <c r="J658" s="343" t="s">
        <v>9933</v>
      </c>
      <c r="K658" s="343" t="s">
        <v>173</v>
      </c>
    </row>
    <row r="659" spans="1:11" ht="26.25" customHeight="1">
      <c r="A659" s="343" t="s">
        <v>1627</v>
      </c>
      <c r="B659" s="344" t="s">
        <v>162</v>
      </c>
      <c r="C659" s="344">
        <v>11608</v>
      </c>
      <c r="D659" s="343" t="s">
        <v>3677</v>
      </c>
      <c r="E659" s="344">
        <v>6019792</v>
      </c>
      <c r="F659" s="343" t="s">
        <v>3684</v>
      </c>
      <c r="G659" s="360" t="s">
        <v>9934</v>
      </c>
      <c r="H659" s="361">
        <v>42789</v>
      </c>
      <c r="I659" s="343" t="s">
        <v>3685</v>
      </c>
      <c r="J659" s="343" t="s">
        <v>9935</v>
      </c>
      <c r="K659" s="343" t="s">
        <v>248</v>
      </c>
    </row>
    <row r="660" spans="1:11" ht="26.25" customHeight="1">
      <c r="A660" s="343" t="s">
        <v>1627</v>
      </c>
      <c r="B660" s="344" t="s">
        <v>162</v>
      </c>
      <c r="C660" s="344">
        <v>6726</v>
      </c>
      <c r="D660" s="343" t="s">
        <v>3885</v>
      </c>
      <c r="E660" s="344">
        <v>5758275</v>
      </c>
      <c r="F660" s="343" t="s">
        <v>3886</v>
      </c>
      <c r="G660" s="360" t="s">
        <v>9936</v>
      </c>
      <c r="H660" s="361">
        <v>42789</v>
      </c>
      <c r="I660" s="343" t="s">
        <v>166</v>
      </c>
      <c r="J660" s="343" t="s">
        <v>296</v>
      </c>
      <c r="K660" s="343" t="s">
        <v>168</v>
      </c>
    </row>
    <row r="661" spans="1:11" ht="26.25" customHeight="1">
      <c r="A661" s="343" t="s">
        <v>1627</v>
      </c>
      <c r="B661" s="344" t="s">
        <v>162</v>
      </c>
      <c r="C661" s="344">
        <v>11608</v>
      </c>
      <c r="D661" s="343" t="s">
        <v>3677</v>
      </c>
      <c r="E661" s="344">
        <v>6005564</v>
      </c>
      <c r="F661" s="343" t="s">
        <v>3678</v>
      </c>
      <c r="G661" s="360" t="s">
        <v>9937</v>
      </c>
      <c r="H661" s="361">
        <v>42789</v>
      </c>
      <c r="I661" s="343" t="s">
        <v>211</v>
      </c>
      <c r="J661" s="343" t="s">
        <v>909</v>
      </c>
      <c r="K661" s="343" t="s">
        <v>168</v>
      </c>
    </row>
    <row r="662" spans="1:11" ht="26.25" customHeight="1">
      <c r="A662" s="343" t="s">
        <v>1627</v>
      </c>
      <c r="B662" s="344" t="s">
        <v>162</v>
      </c>
      <c r="C662" s="344">
        <v>7075</v>
      </c>
      <c r="D662" s="343" t="s">
        <v>3758</v>
      </c>
      <c r="E662" s="344">
        <v>4591823</v>
      </c>
      <c r="F662" s="343" t="s">
        <v>3760</v>
      </c>
      <c r="G662" s="360" t="s">
        <v>9938</v>
      </c>
      <c r="H662" s="361">
        <v>42803</v>
      </c>
      <c r="I662" s="343" t="s">
        <v>180</v>
      </c>
      <c r="J662" s="343" t="s">
        <v>9939</v>
      </c>
      <c r="K662" s="343" t="s">
        <v>168</v>
      </c>
    </row>
    <row r="663" spans="1:11" ht="26.25" customHeight="1">
      <c r="A663" s="343" t="s">
        <v>1627</v>
      </c>
      <c r="B663" s="344" t="s">
        <v>162</v>
      </c>
      <c r="C663" s="344">
        <v>6739</v>
      </c>
      <c r="D663" s="343" t="s">
        <v>3916</v>
      </c>
      <c r="E663" s="344">
        <v>6326490</v>
      </c>
      <c r="F663" s="343" t="s">
        <v>3917</v>
      </c>
      <c r="G663" s="360" t="s">
        <v>9940</v>
      </c>
      <c r="H663" s="361">
        <v>42796</v>
      </c>
      <c r="I663" s="343" t="s">
        <v>193</v>
      </c>
      <c r="J663" s="343" t="s">
        <v>194</v>
      </c>
      <c r="K663" s="343" t="s">
        <v>168</v>
      </c>
    </row>
    <row r="664" spans="1:11" ht="26.25" customHeight="1">
      <c r="A664" s="343" t="s">
        <v>1627</v>
      </c>
      <c r="B664" s="344" t="s">
        <v>162</v>
      </c>
      <c r="C664" s="344">
        <v>7077</v>
      </c>
      <c r="D664" s="343" t="s">
        <v>3789</v>
      </c>
      <c r="E664" s="344">
        <v>4964802</v>
      </c>
      <c r="F664" s="343" t="s">
        <v>3790</v>
      </c>
      <c r="G664" s="360" t="s">
        <v>9941</v>
      </c>
      <c r="H664" s="361">
        <v>42800</v>
      </c>
      <c r="I664" s="343" t="s">
        <v>166</v>
      </c>
      <c r="J664" s="343" t="s">
        <v>296</v>
      </c>
      <c r="K664" s="343" t="s">
        <v>168</v>
      </c>
    </row>
    <row r="665" spans="1:11" ht="26.25" customHeight="1">
      <c r="A665" s="343" t="s">
        <v>1627</v>
      </c>
      <c r="B665" s="344" t="s">
        <v>162</v>
      </c>
      <c r="C665" s="344">
        <v>10535</v>
      </c>
      <c r="D665" s="343" t="s">
        <v>3654</v>
      </c>
      <c r="E665" s="344">
        <v>6129425</v>
      </c>
      <c r="F665" s="343" t="s">
        <v>3657</v>
      </c>
      <c r="G665" s="360" t="s">
        <v>9942</v>
      </c>
      <c r="H665" s="361">
        <v>42800</v>
      </c>
      <c r="I665" s="343" t="s">
        <v>193</v>
      </c>
      <c r="J665" s="343" t="s">
        <v>9943</v>
      </c>
      <c r="K665" s="343" t="s">
        <v>168</v>
      </c>
    </row>
    <row r="666" spans="1:11" ht="26.25" customHeight="1">
      <c r="A666" s="343" t="s">
        <v>1627</v>
      </c>
      <c r="B666" s="344" t="s">
        <v>162</v>
      </c>
      <c r="C666" s="344">
        <v>12773</v>
      </c>
      <c r="D666" s="343" t="s">
        <v>3887</v>
      </c>
      <c r="E666" s="344">
        <v>6475963</v>
      </c>
      <c r="F666" s="343" t="s">
        <v>3888</v>
      </c>
      <c r="G666" s="360" t="s">
        <v>9944</v>
      </c>
      <c r="H666" s="361">
        <v>42821</v>
      </c>
      <c r="I666" s="343" t="s">
        <v>180</v>
      </c>
      <c r="J666" s="343" t="s">
        <v>9945</v>
      </c>
      <c r="K666" s="343" t="s">
        <v>168</v>
      </c>
    </row>
    <row r="667" spans="1:11" ht="26.25" customHeight="1">
      <c r="A667" s="343" t="s">
        <v>1627</v>
      </c>
      <c r="B667" s="344" t="s">
        <v>162</v>
      </c>
      <c r="C667" s="344">
        <v>7593</v>
      </c>
      <c r="D667" s="343" t="s">
        <v>3639</v>
      </c>
      <c r="E667" s="344">
        <v>6419386</v>
      </c>
      <c r="F667" s="343" t="s">
        <v>3640</v>
      </c>
      <c r="G667" s="360" t="s">
        <v>232</v>
      </c>
      <c r="H667" s="361">
        <v>42780</v>
      </c>
      <c r="I667" s="343" t="s">
        <v>166</v>
      </c>
      <c r="J667" s="343" t="s">
        <v>327</v>
      </c>
      <c r="K667" s="343" t="s">
        <v>168</v>
      </c>
    </row>
    <row r="668" spans="1:11" ht="26.25" customHeight="1">
      <c r="A668" s="343" t="s">
        <v>1627</v>
      </c>
      <c r="B668" s="344" t="s">
        <v>162</v>
      </c>
      <c r="C668" s="344">
        <v>6725</v>
      </c>
      <c r="D668" s="343" t="s">
        <v>3861</v>
      </c>
      <c r="E668" s="344">
        <v>6118578</v>
      </c>
      <c r="F668" s="343" t="s">
        <v>3865</v>
      </c>
      <c r="G668" s="360" t="s">
        <v>1168</v>
      </c>
      <c r="H668" s="361">
        <v>42807</v>
      </c>
      <c r="I668" s="343" t="s">
        <v>3866</v>
      </c>
      <c r="J668" s="343" t="s">
        <v>9946</v>
      </c>
      <c r="K668" s="343" t="s">
        <v>168</v>
      </c>
    </row>
    <row r="669" spans="1:11" ht="26.25" customHeight="1">
      <c r="A669" s="343" t="s">
        <v>1627</v>
      </c>
      <c r="B669" s="344" t="s">
        <v>162</v>
      </c>
      <c r="C669" s="344">
        <v>7072</v>
      </c>
      <c r="D669" s="343" t="s">
        <v>3703</v>
      </c>
      <c r="E669" s="344">
        <v>5284039</v>
      </c>
      <c r="F669" s="343" t="s">
        <v>3705</v>
      </c>
      <c r="G669" s="360" t="s">
        <v>9947</v>
      </c>
      <c r="H669" s="361">
        <v>42804</v>
      </c>
      <c r="I669" s="343" t="s">
        <v>166</v>
      </c>
      <c r="J669" s="343" t="s">
        <v>296</v>
      </c>
      <c r="K669" s="343" t="s">
        <v>168</v>
      </c>
    </row>
    <row r="670" spans="1:11" ht="26.25" customHeight="1">
      <c r="A670" s="343" t="s">
        <v>1627</v>
      </c>
      <c r="B670" s="344" t="s">
        <v>162</v>
      </c>
      <c r="C670" s="344">
        <v>6730</v>
      </c>
      <c r="D670" s="343" t="s">
        <v>3834</v>
      </c>
      <c r="E670" s="344">
        <v>5170652</v>
      </c>
      <c r="F670" s="343" t="s">
        <v>3836</v>
      </c>
      <c r="G670" s="360" t="s">
        <v>9817</v>
      </c>
      <c r="H670" s="361">
        <v>42814</v>
      </c>
      <c r="I670" s="343" t="s">
        <v>3837</v>
      </c>
      <c r="J670" s="343" t="s">
        <v>9948</v>
      </c>
      <c r="K670" s="343" t="s">
        <v>168</v>
      </c>
    </row>
    <row r="671" spans="1:11" ht="26.25" customHeight="1">
      <c r="A671" s="343" t="s">
        <v>1627</v>
      </c>
      <c r="B671" s="344" t="s">
        <v>162</v>
      </c>
      <c r="C671" s="344">
        <v>6725</v>
      </c>
      <c r="D671" s="343" t="s">
        <v>3861</v>
      </c>
      <c r="E671" s="344">
        <v>6199489</v>
      </c>
      <c r="F671" s="343" t="s">
        <v>3868</v>
      </c>
      <c r="G671" s="360" t="s">
        <v>1348</v>
      </c>
      <c r="H671" s="361">
        <v>42814</v>
      </c>
      <c r="I671" s="343" t="s">
        <v>887</v>
      </c>
      <c r="J671" s="343" t="s">
        <v>888</v>
      </c>
      <c r="K671" s="343" t="s">
        <v>168</v>
      </c>
    </row>
    <row r="672" spans="1:11" ht="26.25" customHeight="1">
      <c r="A672" s="343" t="s">
        <v>1627</v>
      </c>
      <c r="B672" s="344" t="s">
        <v>162</v>
      </c>
      <c r="C672" s="344">
        <v>9651</v>
      </c>
      <c r="D672" s="343" t="s">
        <v>3622</v>
      </c>
      <c r="E672" s="344">
        <v>6613737</v>
      </c>
      <c r="F672" s="343" t="s">
        <v>3623</v>
      </c>
      <c r="G672" s="360" t="s">
        <v>9949</v>
      </c>
      <c r="H672" s="361">
        <v>42810</v>
      </c>
      <c r="I672" s="343" t="s">
        <v>271</v>
      </c>
      <c r="J672" s="343" t="s">
        <v>9950</v>
      </c>
      <c r="K672" s="343" t="s">
        <v>168</v>
      </c>
    </row>
    <row r="673" spans="1:11" ht="26.25" customHeight="1">
      <c r="A673" s="343" t="s">
        <v>1627</v>
      </c>
      <c r="B673" s="344" t="s">
        <v>162</v>
      </c>
      <c r="C673" s="344">
        <v>6725</v>
      </c>
      <c r="D673" s="343" t="s">
        <v>3861</v>
      </c>
      <c r="E673" s="344">
        <v>5844528</v>
      </c>
      <c r="F673" s="343" t="s">
        <v>3867</v>
      </c>
      <c r="G673" s="360" t="s">
        <v>9951</v>
      </c>
      <c r="H673" s="361">
        <v>42810</v>
      </c>
      <c r="I673" s="343" t="s">
        <v>366</v>
      </c>
      <c r="J673" s="343" t="s">
        <v>366</v>
      </c>
      <c r="K673" s="343" t="s">
        <v>168</v>
      </c>
    </row>
    <row r="674" spans="1:11" ht="26.25" customHeight="1">
      <c r="A674" s="343" t="s">
        <v>1627</v>
      </c>
      <c r="B674" s="344" t="s">
        <v>162</v>
      </c>
      <c r="C674" s="344">
        <v>6735</v>
      </c>
      <c r="D674" s="343" t="s">
        <v>3869</v>
      </c>
      <c r="E674" s="344">
        <v>5904521</v>
      </c>
      <c r="F674" s="343" t="s">
        <v>3871</v>
      </c>
      <c r="G674" s="360" t="s">
        <v>9952</v>
      </c>
      <c r="H674" s="361">
        <v>42810</v>
      </c>
      <c r="I674" s="343" t="s">
        <v>3872</v>
      </c>
      <c r="J674" s="343" t="s">
        <v>9953</v>
      </c>
      <c r="K674" s="343" t="s">
        <v>173</v>
      </c>
    </row>
    <row r="675" spans="1:11" ht="26.25" customHeight="1">
      <c r="A675" s="343" t="s">
        <v>1627</v>
      </c>
      <c r="B675" s="344" t="s">
        <v>162</v>
      </c>
      <c r="C675" s="344">
        <v>9762</v>
      </c>
      <c r="D675" s="343" t="s">
        <v>3825</v>
      </c>
      <c r="E675" s="344">
        <v>5855805</v>
      </c>
      <c r="F675" s="343" t="s">
        <v>3826</v>
      </c>
      <c r="G675" s="360" t="s">
        <v>9954</v>
      </c>
      <c r="H675" s="361">
        <v>42808</v>
      </c>
      <c r="I675" s="343" t="s">
        <v>166</v>
      </c>
      <c r="J675" s="343" t="s">
        <v>296</v>
      </c>
      <c r="K675" s="343" t="s">
        <v>168</v>
      </c>
    </row>
    <row r="676" spans="1:11" ht="26.25" customHeight="1">
      <c r="A676" s="343" t="s">
        <v>1627</v>
      </c>
      <c r="B676" s="344" t="s">
        <v>162</v>
      </c>
      <c r="C676" s="344">
        <v>11830</v>
      </c>
      <c r="D676" s="343" t="s">
        <v>3762</v>
      </c>
      <c r="E676" s="344">
        <v>5194890</v>
      </c>
      <c r="F676" s="343" t="s">
        <v>3765</v>
      </c>
      <c r="G676" s="360" t="s">
        <v>9955</v>
      </c>
      <c r="H676" s="361">
        <v>42810</v>
      </c>
      <c r="I676" s="343" t="s">
        <v>193</v>
      </c>
      <c r="J676" s="343" t="s">
        <v>194</v>
      </c>
      <c r="K676" s="343" t="s">
        <v>168</v>
      </c>
    </row>
    <row r="677" spans="1:11" ht="26.25" customHeight="1">
      <c r="A677" s="343" t="s">
        <v>1627</v>
      </c>
      <c r="B677" s="344" t="s">
        <v>162</v>
      </c>
      <c r="C677" s="344">
        <v>7066</v>
      </c>
      <c r="D677" s="343" t="s">
        <v>3712</v>
      </c>
      <c r="E677" s="344">
        <v>5591369</v>
      </c>
      <c r="F677" s="343" t="s">
        <v>3713</v>
      </c>
      <c r="G677" s="360" t="s">
        <v>9956</v>
      </c>
      <c r="H677" s="361">
        <v>42843</v>
      </c>
      <c r="I677" s="343" t="s">
        <v>211</v>
      </c>
      <c r="J677" s="343" t="s">
        <v>909</v>
      </c>
      <c r="K677" s="343" t="s">
        <v>168</v>
      </c>
    </row>
    <row r="678" spans="1:11" ht="26.25" customHeight="1">
      <c r="A678" s="343" t="s">
        <v>1627</v>
      </c>
      <c r="B678" s="344" t="s">
        <v>162</v>
      </c>
      <c r="C678" s="344">
        <v>6737</v>
      </c>
      <c r="D678" s="343" t="s">
        <v>3889</v>
      </c>
      <c r="E678" s="344">
        <v>6078875</v>
      </c>
      <c r="F678" s="343" t="s">
        <v>3895</v>
      </c>
      <c r="G678" s="360" t="s">
        <v>9957</v>
      </c>
      <c r="H678" s="361">
        <v>42843</v>
      </c>
      <c r="I678" s="343" t="s">
        <v>193</v>
      </c>
      <c r="J678" s="343" t="s">
        <v>472</v>
      </c>
      <c r="K678" s="343" t="s">
        <v>168</v>
      </c>
    </row>
    <row r="679" spans="1:11" ht="26.25" customHeight="1">
      <c r="A679" s="343" t="s">
        <v>1627</v>
      </c>
      <c r="B679" s="344" t="s">
        <v>162</v>
      </c>
      <c r="C679" s="344">
        <v>8503</v>
      </c>
      <c r="D679" s="343" t="s">
        <v>3831</v>
      </c>
      <c r="E679" s="344">
        <v>6499314</v>
      </c>
      <c r="F679" s="343" t="s">
        <v>3832</v>
      </c>
      <c r="G679" s="360" t="s">
        <v>9958</v>
      </c>
      <c r="H679" s="361">
        <v>42844</v>
      </c>
      <c r="I679" s="343" t="s">
        <v>802</v>
      </c>
      <c r="J679" s="343" t="s">
        <v>1172</v>
      </c>
      <c r="K679" s="343" t="s">
        <v>168</v>
      </c>
    </row>
    <row r="680" spans="1:11" ht="26.25" customHeight="1">
      <c r="A680" s="343" t="s">
        <v>1627</v>
      </c>
      <c r="B680" s="344" t="s">
        <v>162</v>
      </c>
      <c r="C680" s="344">
        <v>11608</v>
      </c>
      <c r="D680" s="343" t="s">
        <v>3677</v>
      </c>
      <c r="E680" s="344">
        <v>4285467</v>
      </c>
      <c r="F680" s="343" t="s">
        <v>3688</v>
      </c>
      <c r="G680" s="360" t="s">
        <v>9959</v>
      </c>
      <c r="H680" s="361">
        <v>42844</v>
      </c>
      <c r="I680" s="343" t="s">
        <v>193</v>
      </c>
      <c r="J680" s="343" t="s">
        <v>194</v>
      </c>
      <c r="K680" s="343" t="s">
        <v>168</v>
      </c>
    </row>
    <row r="681" spans="1:11" ht="26.25" customHeight="1">
      <c r="A681" s="343" t="s">
        <v>1627</v>
      </c>
      <c r="B681" s="344" t="s">
        <v>162</v>
      </c>
      <c r="C681" s="344">
        <v>7586</v>
      </c>
      <c r="D681" s="343" t="s">
        <v>3631</v>
      </c>
      <c r="E681" s="344">
        <v>6192377</v>
      </c>
      <c r="F681" s="343" t="s">
        <v>3632</v>
      </c>
      <c r="G681" s="360" t="s">
        <v>9942</v>
      </c>
      <c r="H681" s="361">
        <v>42844</v>
      </c>
      <c r="I681" s="343" t="s">
        <v>193</v>
      </c>
      <c r="J681" s="343" t="s">
        <v>194</v>
      </c>
      <c r="K681" s="343" t="s">
        <v>168</v>
      </c>
    </row>
    <row r="682" spans="1:11" ht="26.25" customHeight="1">
      <c r="A682" s="343" t="s">
        <v>1627</v>
      </c>
      <c r="B682" s="344" t="s">
        <v>162</v>
      </c>
      <c r="C682" s="344">
        <v>7089</v>
      </c>
      <c r="D682" s="343" t="s">
        <v>3742</v>
      </c>
      <c r="E682" s="344">
        <v>5628405</v>
      </c>
      <c r="F682" s="343" t="s">
        <v>3744</v>
      </c>
      <c r="G682" s="360" t="s">
        <v>9960</v>
      </c>
      <c r="H682" s="361">
        <v>42844</v>
      </c>
      <c r="I682" s="343" t="s">
        <v>3745</v>
      </c>
      <c r="J682" s="343" t="s">
        <v>9961</v>
      </c>
      <c r="K682" s="343" t="s">
        <v>173</v>
      </c>
    </row>
    <row r="683" spans="1:11" ht="26.25" customHeight="1">
      <c r="A683" s="343" t="s">
        <v>1627</v>
      </c>
      <c r="B683" s="344" t="s">
        <v>162</v>
      </c>
      <c r="C683" s="344">
        <v>9651</v>
      </c>
      <c r="D683" s="343" t="s">
        <v>3622</v>
      </c>
      <c r="E683" s="344">
        <v>6634486</v>
      </c>
      <c r="F683" s="343" t="s">
        <v>3625</v>
      </c>
      <c r="G683" s="360" t="s">
        <v>9600</v>
      </c>
      <c r="H683" s="361">
        <v>42850</v>
      </c>
      <c r="I683" s="343" t="s">
        <v>261</v>
      </c>
      <c r="J683" s="343" t="s">
        <v>631</v>
      </c>
      <c r="K683" s="343" t="s">
        <v>168</v>
      </c>
    </row>
    <row r="684" spans="1:11" ht="26.25" customHeight="1">
      <c r="A684" s="343" t="s">
        <v>1627</v>
      </c>
      <c r="B684" s="344" t="s">
        <v>162</v>
      </c>
      <c r="C684" s="344">
        <v>6723</v>
      </c>
      <c r="D684" s="343" t="s">
        <v>3883</v>
      </c>
      <c r="E684" s="344">
        <v>6295991</v>
      </c>
      <c r="F684" s="343" t="s">
        <v>3884</v>
      </c>
      <c r="G684" s="360" t="s">
        <v>1332</v>
      </c>
      <c r="H684" s="361">
        <v>42850</v>
      </c>
      <c r="I684" s="343" t="s">
        <v>887</v>
      </c>
      <c r="J684" s="343" t="s">
        <v>888</v>
      </c>
      <c r="K684" s="343" t="s">
        <v>168</v>
      </c>
    </row>
    <row r="685" spans="1:11" ht="26.25" customHeight="1">
      <c r="A685" s="343" t="s">
        <v>1627</v>
      </c>
      <c r="B685" s="344" t="s">
        <v>162</v>
      </c>
      <c r="C685" s="344">
        <v>6734</v>
      </c>
      <c r="D685" s="343" t="s">
        <v>3843</v>
      </c>
      <c r="E685" s="344">
        <v>5922586</v>
      </c>
      <c r="F685" s="343" t="s">
        <v>3845</v>
      </c>
      <c r="G685" s="360" t="s">
        <v>1353</v>
      </c>
      <c r="H685" s="361">
        <v>42850</v>
      </c>
      <c r="I685" s="343" t="s">
        <v>193</v>
      </c>
      <c r="J685" s="343" t="s">
        <v>194</v>
      </c>
      <c r="K685" s="343" t="s">
        <v>168</v>
      </c>
    </row>
    <row r="686" spans="1:11" ht="26.25" customHeight="1">
      <c r="A686" s="343" t="s">
        <v>1627</v>
      </c>
      <c r="B686" s="344" t="s">
        <v>162</v>
      </c>
      <c r="C686" s="344">
        <v>7578</v>
      </c>
      <c r="D686" s="343" t="s">
        <v>3649</v>
      </c>
      <c r="E686" s="344">
        <v>6755247</v>
      </c>
      <c r="F686" s="343" t="s">
        <v>3652</v>
      </c>
      <c r="G686" s="360" t="s">
        <v>9962</v>
      </c>
      <c r="H686" s="361">
        <v>42851</v>
      </c>
      <c r="I686" s="343" t="s">
        <v>284</v>
      </c>
      <c r="J686" s="343" t="s">
        <v>9963</v>
      </c>
      <c r="K686" s="343" t="s">
        <v>168</v>
      </c>
    </row>
    <row r="687" spans="1:11" ht="26.25" customHeight="1">
      <c r="A687" s="343" t="s">
        <v>1627</v>
      </c>
      <c r="B687" s="344" t="s">
        <v>162</v>
      </c>
      <c r="C687" s="344">
        <v>8569</v>
      </c>
      <c r="D687" s="343" t="s">
        <v>3902</v>
      </c>
      <c r="E687" s="344">
        <v>6739801</v>
      </c>
      <c r="F687" s="343" t="s">
        <v>3903</v>
      </c>
      <c r="G687" s="360" t="s">
        <v>9964</v>
      </c>
      <c r="H687" s="361">
        <v>42858</v>
      </c>
      <c r="I687" s="343" t="s">
        <v>193</v>
      </c>
      <c r="J687" s="343" t="s">
        <v>194</v>
      </c>
      <c r="K687" s="343" t="s">
        <v>168</v>
      </c>
    </row>
    <row r="688" spans="1:11" ht="26.25" customHeight="1">
      <c r="A688" s="343" t="s">
        <v>1627</v>
      </c>
      <c r="B688" s="344" t="s">
        <v>162</v>
      </c>
      <c r="C688" s="344">
        <v>12092</v>
      </c>
      <c r="D688" s="343" t="s">
        <v>3778</v>
      </c>
      <c r="E688" s="344">
        <v>4707674</v>
      </c>
      <c r="F688" s="343" t="s">
        <v>3780</v>
      </c>
      <c r="G688" s="360" t="s">
        <v>9965</v>
      </c>
      <c r="H688" s="361">
        <v>42863</v>
      </c>
      <c r="I688" s="343" t="s">
        <v>211</v>
      </c>
      <c r="J688" s="343" t="s">
        <v>909</v>
      </c>
      <c r="K688" s="343" t="s">
        <v>168</v>
      </c>
    </row>
    <row r="689" spans="1:11" ht="26.25" customHeight="1">
      <c r="A689" s="343" t="s">
        <v>1627</v>
      </c>
      <c r="B689" s="344" t="s">
        <v>162</v>
      </c>
      <c r="C689" s="344">
        <v>7077</v>
      </c>
      <c r="D689" s="343" t="s">
        <v>3789</v>
      </c>
      <c r="E689" s="344">
        <v>5158217</v>
      </c>
      <c r="F689" s="343" t="s">
        <v>3794</v>
      </c>
      <c r="G689" s="360" t="s">
        <v>9966</v>
      </c>
      <c r="H689" s="361">
        <v>42863</v>
      </c>
      <c r="I689" s="343" t="s">
        <v>3795</v>
      </c>
      <c r="J689" s="343" t="s">
        <v>9967</v>
      </c>
      <c r="K689" s="343" t="s">
        <v>168</v>
      </c>
    </row>
    <row r="690" spans="1:11" ht="26.25" customHeight="1">
      <c r="A690" s="343" t="s">
        <v>1627</v>
      </c>
      <c r="B690" s="344" t="s">
        <v>162</v>
      </c>
      <c r="C690" s="344">
        <v>8162</v>
      </c>
      <c r="D690" s="343" t="s">
        <v>3614</v>
      </c>
      <c r="E690" s="344">
        <v>6371435</v>
      </c>
      <c r="F690" s="343" t="s">
        <v>3617</v>
      </c>
      <c r="G690" s="360" t="s">
        <v>9968</v>
      </c>
      <c r="H690" s="361">
        <v>42863</v>
      </c>
      <c r="I690" s="343" t="s">
        <v>802</v>
      </c>
      <c r="J690" s="343" t="s">
        <v>1075</v>
      </c>
      <c r="K690" s="343" t="s">
        <v>168</v>
      </c>
    </row>
    <row r="691" spans="1:11" ht="26.25" customHeight="1">
      <c r="A691" s="343" t="s">
        <v>1627</v>
      </c>
      <c r="B691" s="344" t="s">
        <v>162</v>
      </c>
      <c r="C691" s="344">
        <v>6737</v>
      </c>
      <c r="D691" s="343" t="s">
        <v>3889</v>
      </c>
      <c r="E691" s="344">
        <v>5746985</v>
      </c>
      <c r="F691" s="343" t="s">
        <v>3891</v>
      </c>
      <c r="G691" s="360" t="s">
        <v>9969</v>
      </c>
      <c r="H691" s="361">
        <v>42866</v>
      </c>
      <c r="I691" s="343" t="s">
        <v>193</v>
      </c>
      <c r="J691" s="343" t="s">
        <v>612</v>
      </c>
      <c r="K691" s="343" t="s">
        <v>168</v>
      </c>
    </row>
    <row r="692" spans="1:11" ht="26.25" customHeight="1">
      <c r="A692" s="343" t="s">
        <v>1627</v>
      </c>
      <c r="B692" s="344" t="s">
        <v>162</v>
      </c>
      <c r="C692" s="344">
        <v>6731</v>
      </c>
      <c r="D692" s="343" t="s">
        <v>3819</v>
      </c>
      <c r="E692" s="344">
        <v>5913990</v>
      </c>
      <c r="F692" s="343" t="s">
        <v>3820</v>
      </c>
      <c r="G692" s="360" t="s">
        <v>9970</v>
      </c>
      <c r="H692" s="361">
        <v>42873</v>
      </c>
      <c r="I692" s="343" t="s">
        <v>193</v>
      </c>
      <c r="J692" s="343" t="s">
        <v>194</v>
      </c>
      <c r="K692" s="343" t="s">
        <v>168</v>
      </c>
    </row>
    <row r="693" spans="1:11" ht="26.25" customHeight="1">
      <c r="A693" s="343" t="s">
        <v>1627</v>
      </c>
      <c r="B693" s="344" t="s">
        <v>162</v>
      </c>
      <c r="C693" s="344">
        <v>10068</v>
      </c>
      <c r="D693" s="343" t="s">
        <v>3689</v>
      </c>
      <c r="E693" s="344">
        <v>5776717</v>
      </c>
      <c r="F693" s="343" t="s">
        <v>3690</v>
      </c>
      <c r="G693" s="360" t="s">
        <v>9971</v>
      </c>
      <c r="H693" s="361">
        <v>42873</v>
      </c>
      <c r="I693" s="343" t="s">
        <v>261</v>
      </c>
      <c r="J693" s="343" t="s">
        <v>631</v>
      </c>
      <c r="K693" s="343" t="s">
        <v>168</v>
      </c>
    </row>
    <row r="694" spans="1:11" ht="26.25" customHeight="1">
      <c r="A694" s="343" t="s">
        <v>1627</v>
      </c>
      <c r="B694" s="344" t="s">
        <v>162</v>
      </c>
      <c r="C694" s="344">
        <v>11563</v>
      </c>
      <c r="D694" s="343" t="s">
        <v>3610</v>
      </c>
      <c r="E694" s="344">
        <v>6783225</v>
      </c>
      <c r="F694" s="343" t="s">
        <v>3611</v>
      </c>
      <c r="G694" s="360" t="s">
        <v>9972</v>
      </c>
      <c r="H694" s="361">
        <v>42870</v>
      </c>
      <c r="I694" s="343" t="s">
        <v>193</v>
      </c>
      <c r="J694" s="343" t="s">
        <v>194</v>
      </c>
      <c r="K694" s="343" t="s">
        <v>168</v>
      </c>
    </row>
    <row r="695" spans="1:11" ht="26.25" customHeight="1">
      <c r="A695" s="343" t="s">
        <v>1627</v>
      </c>
      <c r="B695" s="344" t="s">
        <v>162</v>
      </c>
      <c r="C695" s="344">
        <v>8162</v>
      </c>
      <c r="D695" s="343" t="s">
        <v>3614</v>
      </c>
      <c r="E695" s="344">
        <v>6127611</v>
      </c>
      <c r="F695" s="343" t="s">
        <v>3615</v>
      </c>
      <c r="G695" s="360" t="s">
        <v>9730</v>
      </c>
      <c r="H695" s="361">
        <v>42866</v>
      </c>
      <c r="I695" s="343" t="s">
        <v>166</v>
      </c>
      <c r="J695" s="343" t="s">
        <v>9973</v>
      </c>
      <c r="K695" s="343" t="s">
        <v>168</v>
      </c>
    </row>
    <row r="696" spans="1:11" ht="26.25" customHeight="1">
      <c r="A696" s="343" t="s">
        <v>1627</v>
      </c>
      <c r="B696" s="344" t="s">
        <v>162</v>
      </c>
      <c r="C696" s="344">
        <v>8162</v>
      </c>
      <c r="D696" s="343" t="s">
        <v>3614</v>
      </c>
      <c r="E696" s="344">
        <v>6254568</v>
      </c>
      <c r="F696" s="343" t="s">
        <v>3619</v>
      </c>
      <c r="G696" s="360" t="s">
        <v>9974</v>
      </c>
      <c r="H696" s="361">
        <v>42866</v>
      </c>
      <c r="I696" s="343" t="s">
        <v>166</v>
      </c>
      <c r="J696" s="343" t="s">
        <v>9975</v>
      </c>
      <c r="K696" s="343" t="s">
        <v>168</v>
      </c>
    </row>
    <row r="697" spans="1:11" ht="26.25" customHeight="1">
      <c r="A697" s="343" t="s">
        <v>1627</v>
      </c>
      <c r="B697" s="344" t="s">
        <v>162</v>
      </c>
      <c r="C697" s="344">
        <v>8162</v>
      </c>
      <c r="D697" s="343" t="s">
        <v>3614</v>
      </c>
      <c r="E697" s="344">
        <v>6531678</v>
      </c>
      <c r="F697" s="343" t="s">
        <v>3620</v>
      </c>
      <c r="G697" s="360" t="s">
        <v>9383</v>
      </c>
      <c r="H697" s="361">
        <v>42866</v>
      </c>
      <c r="I697" s="343" t="s">
        <v>3621</v>
      </c>
      <c r="J697" s="343" t="s">
        <v>9976</v>
      </c>
      <c r="K697" s="343" t="s">
        <v>168</v>
      </c>
    </row>
    <row r="698" spans="1:11" ht="26.25" customHeight="1">
      <c r="A698" s="343" t="s">
        <v>1627</v>
      </c>
      <c r="B698" s="344" t="s">
        <v>162</v>
      </c>
      <c r="C698" s="344">
        <v>8162</v>
      </c>
      <c r="D698" s="343" t="s">
        <v>3614</v>
      </c>
      <c r="E698" s="344">
        <v>6467448</v>
      </c>
      <c r="F698" s="343" t="s">
        <v>3618</v>
      </c>
      <c r="G698" s="360" t="s">
        <v>9977</v>
      </c>
      <c r="H698" s="361">
        <v>42866</v>
      </c>
      <c r="I698" s="343" t="s">
        <v>166</v>
      </c>
      <c r="J698" s="343" t="s">
        <v>9978</v>
      </c>
      <c r="K698" s="343" t="s">
        <v>168</v>
      </c>
    </row>
    <row r="699" spans="1:11" ht="26.25" customHeight="1">
      <c r="A699" s="343" t="s">
        <v>1627</v>
      </c>
      <c r="B699" s="344" t="s">
        <v>162</v>
      </c>
      <c r="C699" s="344">
        <v>8162</v>
      </c>
      <c r="D699" s="343" t="s">
        <v>3614</v>
      </c>
      <c r="E699" s="344">
        <v>6452800</v>
      </c>
      <c r="F699" s="343" t="s">
        <v>3616</v>
      </c>
      <c r="G699" s="360" t="s">
        <v>9979</v>
      </c>
      <c r="H699" s="361">
        <v>42866</v>
      </c>
      <c r="I699" s="343" t="s">
        <v>193</v>
      </c>
      <c r="J699" s="343" t="s">
        <v>194</v>
      </c>
      <c r="K699" s="343" t="s">
        <v>168</v>
      </c>
    </row>
    <row r="700" spans="1:11" ht="26.25" customHeight="1">
      <c r="A700" s="343" t="s">
        <v>1627</v>
      </c>
      <c r="B700" s="344" t="s">
        <v>162</v>
      </c>
      <c r="C700" s="344">
        <v>7589</v>
      </c>
      <c r="D700" s="343" t="s">
        <v>3669</v>
      </c>
      <c r="E700" s="344">
        <v>6399524</v>
      </c>
      <c r="F700" s="343" t="s">
        <v>3670</v>
      </c>
      <c r="G700" s="360" t="s">
        <v>9980</v>
      </c>
      <c r="H700" s="361">
        <v>42866</v>
      </c>
      <c r="I700" s="343" t="s">
        <v>3601</v>
      </c>
      <c r="J700" s="343" t="s">
        <v>9981</v>
      </c>
      <c r="K700" s="343" t="s">
        <v>168</v>
      </c>
    </row>
    <row r="701" spans="1:11" ht="26.25" customHeight="1">
      <c r="A701" s="343" t="s">
        <v>1627</v>
      </c>
      <c r="B701" s="344" t="s">
        <v>162</v>
      </c>
      <c r="C701" s="344">
        <v>6734</v>
      </c>
      <c r="D701" s="343" t="s">
        <v>3843</v>
      </c>
      <c r="E701" s="344">
        <v>6056140</v>
      </c>
      <c r="F701" s="343" t="s">
        <v>3844</v>
      </c>
      <c r="G701" s="360" t="s">
        <v>9954</v>
      </c>
      <c r="H701" s="361">
        <v>42866</v>
      </c>
      <c r="I701" s="343" t="s">
        <v>166</v>
      </c>
      <c r="J701" s="343" t="s">
        <v>327</v>
      </c>
      <c r="K701" s="343" t="s">
        <v>168</v>
      </c>
    </row>
    <row r="702" spans="1:11" ht="26.25" customHeight="1">
      <c r="A702" s="343" t="s">
        <v>1627</v>
      </c>
      <c r="B702" s="344" t="s">
        <v>162</v>
      </c>
      <c r="C702" s="344">
        <v>11608</v>
      </c>
      <c r="D702" s="343" t="s">
        <v>3677</v>
      </c>
      <c r="E702" s="344">
        <v>6086465</v>
      </c>
      <c r="F702" s="343" t="s">
        <v>3686</v>
      </c>
      <c r="G702" s="360" t="s">
        <v>9982</v>
      </c>
      <c r="H702" s="361">
        <v>42866</v>
      </c>
      <c r="I702" s="343" t="s">
        <v>3687</v>
      </c>
      <c r="J702" s="343" t="s">
        <v>3687</v>
      </c>
      <c r="K702" s="343" t="s">
        <v>168</v>
      </c>
    </row>
    <row r="703" spans="1:11" ht="26.25" customHeight="1">
      <c r="A703" s="343" t="s">
        <v>1627</v>
      </c>
      <c r="B703" s="344" t="s">
        <v>162</v>
      </c>
      <c r="C703" s="344">
        <v>8569</v>
      </c>
      <c r="D703" s="343" t="s">
        <v>3902</v>
      </c>
      <c r="E703" s="344">
        <v>5900502</v>
      </c>
      <c r="F703" s="343" t="s">
        <v>3905</v>
      </c>
      <c r="G703" s="360" t="s">
        <v>9425</v>
      </c>
      <c r="H703" s="361">
        <v>42880</v>
      </c>
      <c r="I703" s="343" t="s">
        <v>271</v>
      </c>
      <c r="J703" s="343" t="s">
        <v>9983</v>
      </c>
      <c r="K703" s="343" t="s">
        <v>168</v>
      </c>
    </row>
    <row r="704" spans="1:11" ht="26.25" customHeight="1">
      <c r="A704" s="343" t="s">
        <v>1627</v>
      </c>
      <c r="B704" s="344" t="s">
        <v>162</v>
      </c>
      <c r="C704" s="344">
        <v>6721</v>
      </c>
      <c r="D704" s="343" t="s">
        <v>3908</v>
      </c>
      <c r="E704" s="344">
        <v>5775374</v>
      </c>
      <c r="F704" s="343" t="s">
        <v>3909</v>
      </c>
      <c r="G704" s="360" t="s">
        <v>9984</v>
      </c>
      <c r="H704" s="361">
        <v>42881</v>
      </c>
      <c r="I704" s="343" t="s">
        <v>3910</v>
      </c>
      <c r="J704" s="343" t="s">
        <v>9985</v>
      </c>
      <c r="K704" s="343" t="s">
        <v>173</v>
      </c>
    </row>
    <row r="705" spans="1:11" ht="26.25" customHeight="1">
      <c r="A705" s="343" t="s">
        <v>1627</v>
      </c>
      <c r="B705" s="344" t="s">
        <v>162</v>
      </c>
      <c r="C705" s="344">
        <v>7587</v>
      </c>
      <c r="D705" s="343" t="s">
        <v>3664</v>
      </c>
      <c r="E705" s="344">
        <v>6423798</v>
      </c>
      <c r="F705" s="343" t="s">
        <v>3665</v>
      </c>
      <c r="G705" s="360" t="s">
        <v>9441</v>
      </c>
      <c r="H705" s="361">
        <v>42884</v>
      </c>
      <c r="I705" s="343" t="s">
        <v>3666</v>
      </c>
      <c r="J705" s="343" t="s">
        <v>9986</v>
      </c>
      <c r="K705" s="343" t="s">
        <v>168</v>
      </c>
    </row>
    <row r="706" spans="1:11" ht="26.25" customHeight="1">
      <c r="A706" s="343" t="s">
        <v>1627</v>
      </c>
      <c r="B706" s="344" t="s">
        <v>162</v>
      </c>
      <c r="C706" s="344">
        <v>6722</v>
      </c>
      <c r="D706" s="343" t="s">
        <v>3878</v>
      </c>
      <c r="E706" s="344">
        <v>5988149</v>
      </c>
      <c r="F706" s="343" t="s">
        <v>3881</v>
      </c>
      <c r="G706" s="360" t="s">
        <v>602</v>
      </c>
      <c r="H706" s="361">
        <v>42881</v>
      </c>
      <c r="I706" s="343" t="s">
        <v>193</v>
      </c>
      <c r="J706" s="343" t="s">
        <v>472</v>
      </c>
      <c r="K706" s="343" t="s">
        <v>168</v>
      </c>
    </row>
    <row r="707" spans="1:11" ht="26.25" customHeight="1">
      <c r="A707" s="343" t="s">
        <v>1627</v>
      </c>
      <c r="B707" s="344" t="s">
        <v>162</v>
      </c>
      <c r="C707" s="344">
        <v>6727</v>
      </c>
      <c r="D707" s="343" t="s">
        <v>3847</v>
      </c>
      <c r="E707" s="344">
        <v>6166260</v>
      </c>
      <c r="F707" s="343" t="s">
        <v>3848</v>
      </c>
      <c r="G707" s="360" t="s">
        <v>9987</v>
      </c>
      <c r="H707" s="361">
        <v>42908</v>
      </c>
      <c r="I707" s="343" t="s">
        <v>3849</v>
      </c>
      <c r="J707" s="343" t="s">
        <v>3849</v>
      </c>
      <c r="K707" s="343" t="s">
        <v>173</v>
      </c>
    </row>
    <row r="708" spans="1:11" ht="26.25" customHeight="1">
      <c r="A708" s="343" t="s">
        <v>1627</v>
      </c>
      <c r="B708" s="344" t="s">
        <v>162</v>
      </c>
      <c r="C708" s="344">
        <v>6732</v>
      </c>
      <c r="D708" s="343" t="s">
        <v>3828</v>
      </c>
      <c r="E708" s="344">
        <v>5994172</v>
      </c>
      <c r="F708" s="343" t="s">
        <v>3829</v>
      </c>
      <c r="G708" s="360" t="s">
        <v>9988</v>
      </c>
      <c r="H708" s="361">
        <v>42908</v>
      </c>
      <c r="I708" s="343" t="s">
        <v>366</v>
      </c>
      <c r="J708" s="343" t="s">
        <v>366</v>
      </c>
      <c r="K708" s="343" t="s">
        <v>168</v>
      </c>
    </row>
    <row r="709" spans="1:11" ht="26.25" customHeight="1">
      <c r="A709" s="343" t="s">
        <v>1627</v>
      </c>
      <c r="B709" s="344" t="s">
        <v>162</v>
      </c>
      <c r="C709" s="344">
        <v>9651</v>
      </c>
      <c r="D709" s="343" t="s">
        <v>3622</v>
      </c>
      <c r="E709" s="344">
        <v>6800566</v>
      </c>
      <c r="F709" s="343" t="s">
        <v>3624</v>
      </c>
      <c r="G709" s="360" t="s">
        <v>9989</v>
      </c>
      <c r="H709" s="361">
        <v>42908</v>
      </c>
      <c r="I709" s="343" t="s">
        <v>193</v>
      </c>
      <c r="J709" s="343" t="s">
        <v>9511</v>
      </c>
      <c r="K709" s="343" t="s">
        <v>168</v>
      </c>
    </row>
    <row r="710" spans="1:11" ht="26.25" customHeight="1">
      <c r="A710" s="343" t="s">
        <v>1627</v>
      </c>
      <c r="B710" s="344" t="s">
        <v>162</v>
      </c>
      <c r="C710" s="344">
        <v>9095</v>
      </c>
      <c r="D710" s="343" t="s">
        <v>3821</v>
      </c>
      <c r="E710" s="344">
        <v>6277485</v>
      </c>
      <c r="F710" s="343" t="s">
        <v>3822</v>
      </c>
      <c r="G710" s="360" t="s">
        <v>9990</v>
      </c>
      <c r="H710" s="361">
        <v>42886</v>
      </c>
      <c r="I710" s="343" t="s">
        <v>166</v>
      </c>
      <c r="J710" s="343" t="s">
        <v>296</v>
      </c>
      <c r="K710" s="343" t="s">
        <v>168</v>
      </c>
    </row>
    <row r="711" spans="1:11" ht="26.25" customHeight="1">
      <c r="A711" s="343" t="s">
        <v>1627</v>
      </c>
      <c r="B711" s="344" t="s">
        <v>162</v>
      </c>
      <c r="C711" s="344">
        <v>12217</v>
      </c>
      <c r="D711" s="343" t="s">
        <v>3718</v>
      </c>
      <c r="E711" s="344">
        <v>4941952</v>
      </c>
      <c r="F711" s="343" t="s">
        <v>3719</v>
      </c>
      <c r="G711" s="360" t="s">
        <v>9991</v>
      </c>
      <c r="H711" s="361">
        <v>42893</v>
      </c>
      <c r="I711" s="343" t="s">
        <v>193</v>
      </c>
      <c r="J711" s="343" t="s">
        <v>1089</v>
      </c>
      <c r="K711" s="343" t="s">
        <v>168</v>
      </c>
    </row>
    <row r="712" spans="1:11" ht="26.25" customHeight="1">
      <c r="A712" s="343" t="s">
        <v>1627</v>
      </c>
      <c r="B712" s="344" t="s">
        <v>162</v>
      </c>
      <c r="C712" s="344">
        <v>8669</v>
      </c>
      <c r="D712" s="343" t="s">
        <v>3899</v>
      </c>
      <c r="E712" s="344">
        <v>6231908</v>
      </c>
      <c r="F712" s="343" t="s">
        <v>3900</v>
      </c>
      <c r="G712" s="360" t="s">
        <v>9992</v>
      </c>
      <c r="H712" s="361">
        <v>42891</v>
      </c>
      <c r="I712" s="343" t="s">
        <v>166</v>
      </c>
      <c r="J712" s="343" t="s">
        <v>296</v>
      </c>
      <c r="K712" s="343" t="s">
        <v>168</v>
      </c>
    </row>
    <row r="713" spans="1:11" ht="26.25" customHeight="1">
      <c r="A713" s="343" t="s">
        <v>1627</v>
      </c>
      <c r="B713" s="344" t="s">
        <v>162</v>
      </c>
      <c r="C713" s="344">
        <v>7588</v>
      </c>
      <c r="D713" s="343" t="s">
        <v>3636</v>
      </c>
      <c r="E713" s="344">
        <v>6703562</v>
      </c>
      <c r="F713" s="343" t="s">
        <v>3638</v>
      </c>
      <c r="G713" s="360" t="s">
        <v>9993</v>
      </c>
      <c r="H713" s="361">
        <v>42915</v>
      </c>
      <c r="I713" s="343" t="s">
        <v>193</v>
      </c>
      <c r="J713" s="343" t="s">
        <v>9994</v>
      </c>
      <c r="K713" s="343" t="s">
        <v>168</v>
      </c>
    </row>
    <row r="714" spans="1:11" ht="26.25" customHeight="1">
      <c r="A714" s="343" t="s">
        <v>1627</v>
      </c>
      <c r="B714" s="344" t="s">
        <v>162</v>
      </c>
      <c r="C714" s="344">
        <v>6728</v>
      </c>
      <c r="D714" s="343" t="s">
        <v>3815</v>
      </c>
      <c r="E714" s="344">
        <v>6361097</v>
      </c>
      <c r="F714" s="343" t="s">
        <v>3816</v>
      </c>
      <c r="G714" s="360" t="s">
        <v>9995</v>
      </c>
      <c r="H714" s="361">
        <v>42915</v>
      </c>
      <c r="I714" s="343" t="s">
        <v>193</v>
      </c>
      <c r="J714" s="343" t="s">
        <v>637</v>
      </c>
      <c r="K714" s="343" t="s">
        <v>168</v>
      </c>
    </row>
    <row r="715" spans="1:11" ht="26.25" customHeight="1">
      <c r="A715" s="343" t="s">
        <v>1627</v>
      </c>
      <c r="B715" s="344" t="s">
        <v>162</v>
      </c>
      <c r="C715" s="344">
        <v>6737</v>
      </c>
      <c r="D715" s="343" t="s">
        <v>3889</v>
      </c>
      <c r="E715" s="344">
        <v>6291863</v>
      </c>
      <c r="F715" s="343" t="s">
        <v>3890</v>
      </c>
      <c r="G715" s="360" t="s">
        <v>9919</v>
      </c>
      <c r="H715" s="361">
        <v>42919</v>
      </c>
      <c r="I715" s="343" t="s">
        <v>261</v>
      </c>
      <c r="J715" s="343" t="s">
        <v>9996</v>
      </c>
      <c r="K715" s="343" t="s">
        <v>168</v>
      </c>
    </row>
    <row r="716" spans="1:11" ht="26.25" customHeight="1">
      <c r="A716" s="343" t="s">
        <v>1627</v>
      </c>
      <c r="B716" s="344" t="s">
        <v>162</v>
      </c>
      <c r="C716" s="344">
        <v>9168</v>
      </c>
      <c r="D716" s="343" t="s">
        <v>3911</v>
      </c>
      <c r="E716" s="344">
        <v>5830494</v>
      </c>
      <c r="F716" s="343" t="s">
        <v>3912</v>
      </c>
      <c r="G716" s="360" t="s">
        <v>9997</v>
      </c>
      <c r="H716" s="361">
        <v>42919</v>
      </c>
      <c r="I716" s="343" t="s">
        <v>261</v>
      </c>
      <c r="J716" s="343" t="s">
        <v>9400</v>
      </c>
      <c r="K716" s="343" t="s">
        <v>168</v>
      </c>
    </row>
    <row r="717" spans="1:11" ht="26.25" customHeight="1">
      <c r="A717" s="343" t="s">
        <v>1627</v>
      </c>
      <c r="B717" s="344" t="s">
        <v>162</v>
      </c>
      <c r="C717" s="344">
        <v>6735</v>
      </c>
      <c r="D717" s="343" t="s">
        <v>3869</v>
      </c>
      <c r="E717" s="344">
        <v>5883187</v>
      </c>
      <c r="F717" s="343" t="s">
        <v>3870</v>
      </c>
      <c r="G717" s="360" t="s">
        <v>643</v>
      </c>
      <c r="H717" s="361">
        <v>42919</v>
      </c>
      <c r="I717" s="343" t="s">
        <v>1305</v>
      </c>
      <c r="J717" s="343" t="s">
        <v>9998</v>
      </c>
      <c r="K717" s="343" t="s">
        <v>173</v>
      </c>
    </row>
    <row r="718" spans="1:11" ht="26.25" customHeight="1">
      <c r="A718" s="343" t="s">
        <v>1627</v>
      </c>
      <c r="B718" s="344" t="s">
        <v>162</v>
      </c>
      <c r="C718" s="344">
        <v>9349</v>
      </c>
      <c r="D718" s="343" t="s">
        <v>3797</v>
      </c>
      <c r="E718" s="344">
        <v>5129325</v>
      </c>
      <c r="F718" s="343" t="s">
        <v>3806</v>
      </c>
      <c r="G718" s="360" t="s">
        <v>9999</v>
      </c>
      <c r="H718" s="361">
        <v>42926</v>
      </c>
      <c r="I718" s="343" t="s">
        <v>366</v>
      </c>
      <c r="J718" s="343" t="s">
        <v>366</v>
      </c>
      <c r="K718" s="343" t="s">
        <v>168</v>
      </c>
    </row>
    <row r="719" spans="1:11" ht="26.25" customHeight="1">
      <c r="A719" s="343" t="s">
        <v>1627</v>
      </c>
      <c r="B719" s="344" t="s">
        <v>162</v>
      </c>
      <c r="C719" s="344">
        <v>9349</v>
      </c>
      <c r="D719" s="343" t="s">
        <v>3797</v>
      </c>
      <c r="E719" s="344">
        <v>5576007</v>
      </c>
      <c r="F719" s="343" t="s">
        <v>3802</v>
      </c>
      <c r="G719" s="360" t="s">
        <v>1428</v>
      </c>
      <c r="H719" s="361">
        <v>42926</v>
      </c>
      <c r="I719" s="343" t="s">
        <v>366</v>
      </c>
      <c r="J719" s="343" t="s">
        <v>366</v>
      </c>
      <c r="K719" s="343" t="s">
        <v>168</v>
      </c>
    </row>
    <row r="720" spans="1:11" ht="26.25" customHeight="1">
      <c r="A720" s="343" t="s">
        <v>1627</v>
      </c>
      <c r="B720" s="344" t="s">
        <v>162</v>
      </c>
      <c r="C720" s="344">
        <v>7590</v>
      </c>
      <c r="D720" s="343" t="s">
        <v>3647</v>
      </c>
      <c r="E720" s="344">
        <v>6706147</v>
      </c>
      <c r="F720" s="343" t="s">
        <v>3648</v>
      </c>
      <c r="G720" s="360" t="s">
        <v>10000</v>
      </c>
      <c r="H720" s="361">
        <v>42929</v>
      </c>
      <c r="I720" s="343" t="s">
        <v>193</v>
      </c>
      <c r="J720" s="343" t="s">
        <v>194</v>
      </c>
      <c r="K720" s="343" t="s">
        <v>168</v>
      </c>
    </row>
    <row r="721" spans="1:11" ht="26.25" customHeight="1">
      <c r="A721" s="343" t="s">
        <v>1627</v>
      </c>
      <c r="B721" s="344" t="s">
        <v>162</v>
      </c>
      <c r="C721" s="344">
        <v>7586</v>
      </c>
      <c r="D721" s="343" t="s">
        <v>3631</v>
      </c>
      <c r="E721" s="344">
        <v>6507829</v>
      </c>
      <c r="F721" s="343" t="s">
        <v>3634</v>
      </c>
      <c r="G721" s="360" t="s">
        <v>10001</v>
      </c>
      <c r="H721" s="361">
        <v>42947</v>
      </c>
      <c r="I721" s="343" t="s">
        <v>166</v>
      </c>
      <c r="J721" s="343" t="s">
        <v>9413</v>
      </c>
      <c r="K721" s="343" t="s">
        <v>168</v>
      </c>
    </row>
    <row r="722" spans="1:11" ht="26.25" customHeight="1">
      <c r="A722" s="343" t="s">
        <v>1627</v>
      </c>
      <c r="B722" s="344" t="s">
        <v>162</v>
      </c>
      <c r="C722" s="344">
        <v>7579</v>
      </c>
      <c r="D722" s="343" t="s">
        <v>3659</v>
      </c>
      <c r="E722" s="344">
        <v>6749394</v>
      </c>
      <c r="F722" s="343" t="s">
        <v>3660</v>
      </c>
      <c r="G722" s="360" t="s">
        <v>9506</v>
      </c>
      <c r="H722" s="361">
        <v>42954</v>
      </c>
      <c r="I722" s="343" t="s">
        <v>271</v>
      </c>
      <c r="J722" s="343" t="s">
        <v>533</v>
      </c>
      <c r="K722" s="343" t="s">
        <v>168</v>
      </c>
    </row>
    <row r="723" spans="1:11" ht="26.25" customHeight="1">
      <c r="A723" s="343" t="s">
        <v>1627</v>
      </c>
      <c r="B723" s="344" t="s">
        <v>162</v>
      </c>
      <c r="C723" s="344">
        <v>8669</v>
      </c>
      <c r="D723" s="343" t="s">
        <v>3899</v>
      </c>
      <c r="E723" s="344">
        <v>5759139</v>
      </c>
      <c r="F723" s="343" t="s">
        <v>3901</v>
      </c>
      <c r="G723" s="360" t="s">
        <v>10002</v>
      </c>
      <c r="H723" s="361">
        <v>42954</v>
      </c>
      <c r="I723" s="343" t="s">
        <v>198</v>
      </c>
      <c r="J723" s="343" t="s">
        <v>198</v>
      </c>
      <c r="K723" s="343" t="s">
        <v>168</v>
      </c>
    </row>
    <row r="724" spans="1:11" ht="26.25" customHeight="1">
      <c r="A724" s="343" t="s">
        <v>1627</v>
      </c>
      <c r="B724" s="344" t="s">
        <v>162</v>
      </c>
      <c r="C724" s="344">
        <v>6729</v>
      </c>
      <c r="D724" s="343" t="s">
        <v>3838</v>
      </c>
      <c r="E724" s="344">
        <v>5804049</v>
      </c>
      <c r="F724" s="343" t="s">
        <v>3839</v>
      </c>
      <c r="G724" s="360" t="s">
        <v>10003</v>
      </c>
      <c r="H724" s="361">
        <v>42958</v>
      </c>
      <c r="I724" s="343" t="s">
        <v>366</v>
      </c>
      <c r="J724" s="343" t="s">
        <v>366</v>
      </c>
      <c r="K724" s="343" t="s">
        <v>168</v>
      </c>
    </row>
    <row r="725" spans="1:11" ht="26.25" customHeight="1">
      <c r="A725" s="343" t="s">
        <v>1627</v>
      </c>
      <c r="B725" s="344" t="s">
        <v>162</v>
      </c>
      <c r="C725" s="344">
        <v>10535</v>
      </c>
      <c r="D725" s="343" t="s">
        <v>3654</v>
      </c>
      <c r="E725" s="344">
        <v>6791727</v>
      </c>
      <c r="F725" s="343" t="s">
        <v>3656</v>
      </c>
      <c r="G725" s="360" t="s">
        <v>9458</v>
      </c>
      <c r="H725" s="361">
        <v>42958</v>
      </c>
      <c r="I725" s="343" t="s">
        <v>284</v>
      </c>
      <c r="J725" s="343" t="s">
        <v>10004</v>
      </c>
      <c r="K725" s="343" t="s">
        <v>168</v>
      </c>
    </row>
    <row r="726" spans="1:11" ht="26.25" customHeight="1">
      <c r="A726" s="343" t="s">
        <v>1627</v>
      </c>
      <c r="B726" s="344" t="s">
        <v>162</v>
      </c>
      <c r="C726" s="344">
        <v>7591</v>
      </c>
      <c r="D726" s="343" t="s">
        <v>7043</v>
      </c>
      <c r="E726" s="344">
        <v>6693896</v>
      </c>
      <c r="F726" s="343" t="s">
        <v>7162</v>
      </c>
      <c r="G726" s="360" t="s">
        <v>10001</v>
      </c>
      <c r="H726" s="361">
        <v>42968</v>
      </c>
      <c r="I726" s="343" t="s">
        <v>166</v>
      </c>
      <c r="J726" s="343" t="s">
        <v>417</v>
      </c>
      <c r="K726" s="343" t="s">
        <v>248</v>
      </c>
    </row>
    <row r="727" spans="1:11" ht="26.25" customHeight="1">
      <c r="A727" s="343" t="s">
        <v>1627</v>
      </c>
      <c r="B727" s="344" t="s">
        <v>162</v>
      </c>
      <c r="C727" s="344">
        <v>6733</v>
      </c>
      <c r="D727" s="343" t="s">
        <v>3824</v>
      </c>
      <c r="E727" s="344">
        <v>6323794</v>
      </c>
      <c r="F727" s="343" t="s">
        <v>7154</v>
      </c>
      <c r="G727" s="360" t="s">
        <v>10005</v>
      </c>
      <c r="H727" s="361">
        <v>42972</v>
      </c>
      <c r="I727" s="343" t="s">
        <v>166</v>
      </c>
      <c r="J727" s="343" t="s">
        <v>327</v>
      </c>
      <c r="K727" s="343" t="s">
        <v>168</v>
      </c>
    </row>
    <row r="728" spans="1:11" ht="26.25" customHeight="1">
      <c r="A728" s="343" t="s">
        <v>1627</v>
      </c>
      <c r="B728" s="344" t="s">
        <v>162</v>
      </c>
      <c r="C728" s="344">
        <v>11608</v>
      </c>
      <c r="D728" s="343" t="s">
        <v>3677</v>
      </c>
      <c r="E728" s="344">
        <v>5188320</v>
      </c>
      <c r="F728" s="343" t="s">
        <v>7173</v>
      </c>
      <c r="G728" s="360" t="s">
        <v>10006</v>
      </c>
      <c r="H728" s="361">
        <v>42972</v>
      </c>
      <c r="I728" s="343" t="s">
        <v>802</v>
      </c>
      <c r="J728" s="343" t="s">
        <v>1172</v>
      </c>
      <c r="K728" s="343" t="s">
        <v>168</v>
      </c>
    </row>
    <row r="729" spans="1:11" ht="26.25" customHeight="1">
      <c r="A729" s="343" t="s">
        <v>1627</v>
      </c>
      <c r="B729" s="344" t="s">
        <v>162</v>
      </c>
      <c r="C729" s="344">
        <v>7089</v>
      </c>
      <c r="D729" s="343" t="s">
        <v>3742</v>
      </c>
      <c r="E729" s="344">
        <v>4669453</v>
      </c>
      <c r="F729" s="343" t="s">
        <v>7157</v>
      </c>
      <c r="G729" s="360" t="s">
        <v>10007</v>
      </c>
      <c r="H729" s="361">
        <v>42975</v>
      </c>
      <c r="I729" s="343" t="s">
        <v>3708</v>
      </c>
      <c r="J729" s="343" t="s">
        <v>10008</v>
      </c>
      <c r="K729" s="343" t="s">
        <v>173</v>
      </c>
    </row>
    <row r="730" spans="1:11" ht="26.25" customHeight="1">
      <c r="A730" s="343" t="s">
        <v>1627</v>
      </c>
      <c r="B730" s="344" t="s">
        <v>162</v>
      </c>
      <c r="C730" s="344">
        <v>9651</v>
      </c>
      <c r="D730" s="343" t="s">
        <v>3622</v>
      </c>
      <c r="E730" s="344">
        <v>6645585</v>
      </c>
      <c r="F730" s="343" t="s">
        <v>7165</v>
      </c>
      <c r="G730" s="360" t="s">
        <v>10009</v>
      </c>
      <c r="H730" s="361">
        <v>42976</v>
      </c>
      <c r="I730" s="343" t="s">
        <v>3583</v>
      </c>
      <c r="J730" s="343" t="s">
        <v>9390</v>
      </c>
      <c r="K730" s="343" t="s">
        <v>173</v>
      </c>
    </row>
    <row r="731" spans="1:11" ht="26.25" customHeight="1">
      <c r="A731" s="343" t="s">
        <v>1627</v>
      </c>
      <c r="B731" s="344" t="s">
        <v>162</v>
      </c>
      <c r="C731" s="344">
        <v>7068</v>
      </c>
      <c r="D731" s="343" t="s">
        <v>3766</v>
      </c>
      <c r="E731" s="344">
        <v>5605728</v>
      </c>
      <c r="F731" s="343" t="s">
        <v>7155</v>
      </c>
      <c r="G731" s="360" t="s">
        <v>9918</v>
      </c>
      <c r="H731" s="361">
        <v>42978</v>
      </c>
      <c r="I731" s="343" t="s">
        <v>1269</v>
      </c>
      <c r="J731" s="343" t="s">
        <v>10010</v>
      </c>
      <c r="K731" s="343" t="s">
        <v>168</v>
      </c>
    </row>
    <row r="732" spans="1:11" ht="26.25" customHeight="1">
      <c r="A732" s="343" t="s">
        <v>1627</v>
      </c>
      <c r="B732" s="344" t="s">
        <v>162</v>
      </c>
      <c r="C732" s="344">
        <v>7087</v>
      </c>
      <c r="D732" s="343" t="s">
        <v>3771</v>
      </c>
      <c r="E732" s="344">
        <v>6004472</v>
      </c>
      <c r="F732" s="343" t="s">
        <v>3773</v>
      </c>
      <c r="G732" s="360" t="s">
        <v>10011</v>
      </c>
      <c r="H732" s="361">
        <v>42978</v>
      </c>
      <c r="I732" s="343" t="s">
        <v>180</v>
      </c>
      <c r="J732" s="343" t="s">
        <v>10012</v>
      </c>
      <c r="K732" s="343" t="s">
        <v>168</v>
      </c>
    </row>
    <row r="733" spans="1:11" ht="26.25" customHeight="1">
      <c r="A733" s="343" t="s">
        <v>1627</v>
      </c>
      <c r="B733" s="344" t="s">
        <v>162</v>
      </c>
      <c r="C733" s="344">
        <v>9651</v>
      </c>
      <c r="D733" s="343" t="s">
        <v>3622</v>
      </c>
      <c r="E733" s="344">
        <v>6730388</v>
      </c>
      <c r="F733" s="343" t="s">
        <v>7166</v>
      </c>
      <c r="G733" s="360" t="s">
        <v>10013</v>
      </c>
      <c r="H733" s="361">
        <v>42978</v>
      </c>
      <c r="I733" s="343" t="s">
        <v>3583</v>
      </c>
      <c r="J733" s="343" t="s">
        <v>10014</v>
      </c>
      <c r="K733" s="343" t="s">
        <v>173</v>
      </c>
    </row>
    <row r="734" spans="1:11" ht="26.25" customHeight="1">
      <c r="A734" s="343" t="s">
        <v>1627</v>
      </c>
      <c r="B734" s="344" t="s">
        <v>162</v>
      </c>
      <c r="C734" s="344">
        <v>9651</v>
      </c>
      <c r="D734" s="343" t="s">
        <v>3622</v>
      </c>
      <c r="E734" s="344">
        <v>6673093</v>
      </c>
      <c r="F734" s="343" t="s">
        <v>7167</v>
      </c>
      <c r="G734" s="360" t="s">
        <v>9433</v>
      </c>
      <c r="H734" s="361">
        <v>42978</v>
      </c>
      <c r="I734" s="343" t="s">
        <v>3583</v>
      </c>
      <c r="J734" s="343" t="s">
        <v>10015</v>
      </c>
      <c r="K734" s="343" t="s">
        <v>173</v>
      </c>
    </row>
    <row r="735" spans="1:11" ht="26.25" customHeight="1">
      <c r="A735" s="343" t="s">
        <v>1627</v>
      </c>
      <c r="B735" s="344" t="s">
        <v>162</v>
      </c>
      <c r="C735" s="344">
        <v>9651</v>
      </c>
      <c r="D735" s="343" t="s">
        <v>3622</v>
      </c>
      <c r="E735" s="344">
        <v>6673095</v>
      </c>
      <c r="F735" s="343" t="s">
        <v>7168</v>
      </c>
      <c r="G735" s="360" t="s">
        <v>9433</v>
      </c>
      <c r="H735" s="361">
        <v>42978</v>
      </c>
      <c r="I735" s="343" t="s">
        <v>3583</v>
      </c>
      <c r="J735" s="343" t="s">
        <v>10014</v>
      </c>
      <c r="K735" s="343" t="s">
        <v>173</v>
      </c>
    </row>
    <row r="736" spans="1:11" ht="26.25" customHeight="1">
      <c r="A736" s="343" t="s">
        <v>1627</v>
      </c>
      <c r="B736" s="344" t="s">
        <v>162</v>
      </c>
      <c r="C736" s="344">
        <v>6720</v>
      </c>
      <c r="D736" s="343" t="s">
        <v>3877</v>
      </c>
      <c r="E736" s="344">
        <v>5755437</v>
      </c>
      <c r="F736" s="343" t="s">
        <v>7152</v>
      </c>
      <c r="G736" s="360" t="s">
        <v>1292</v>
      </c>
      <c r="H736" s="361">
        <v>42982</v>
      </c>
      <c r="I736" s="343" t="s">
        <v>366</v>
      </c>
      <c r="J736" s="343" t="s">
        <v>366</v>
      </c>
      <c r="K736" s="343" t="s">
        <v>168</v>
      </c>
    </row>
    <row r="737" spans="1:11" ht="26.25" customHeight="1">
      <c r="A737" s="343" t="s">
        <v>1627</v>
      </c>
      <c r="B737" s="344" t="s">
        <v>162</v>
      </c>
      <c r="C737" s="344">
        <v>10058</v>
      </c>
      <c r="D737" s="343" t="s">
        <v>3671</v>
      </c>
      <c r="E737" s="344">
        <v>6319447</v>
      </c>
      <c r="F737" s="343" t="s">
        <v>7170</v>
      </c>
      <c r="G737" s="360" t="s">
        <v>9358</v>
      </c>
      <c r="H737" s="361">
        <v>42989</v>
      </c>
      <c r="I737" s="343" t="s">
        <v>166</v>
      </c>
      <c r="J737" s="343" t="s">
        <v>682</v>
      </c>
      <c r="K737" s="343" t="s">
        <v>168</v>
      </c>
    </row>
    <row r="738" spans="1:11" ht="26.25" customHeight="1">
      <c r="A738" s="343" t="s">
        <v>1627</v>
      </c>
      <c r="B738" s="344" t="s">
        <v>162</v>
      </c>
      <c r="C738" s="344">
        <v>7586</v>
      </c>
      <c r="D738" s="343" t="s">
        <v>3631</v>
      </c>
      <c r="E738" s="344">
        <v>6358486</v>
      </c>
      <c r="F738" s="343" t="s">
        <v>7160</v>
      </c>
      <c r="G738" s="360" t="s">
        <v>10016</v>
      </c>
      <c r="H738" s="361">
        <v>42989</v>
      </c>
      <c r="I738" s="343" t="s">
        <v>193</v>
      </c>
      <c r="J738" s="343" t="s">
        <v>637</v>
      </c>
      <c r="K738" s="343" t="s">
        <v>168</v>
      </c>
    </row>
    <row r="739" spans="1:11" ht="26.25" customHeight="1">
      <c r="A739" s="343" t="s">
        <v>1627</v>
      </c>
      <c r="B739" s="344" t="s">
        <v>162</v>
      </c>
      <c r="C739" s="344">
        <v>6732</v>
      </c>
      <c r="D739" s="343" t="s">
        <v>3828</v>
      </c>
      <c r="E739" s="344">
        <v>5953363</v>
      </c>
      <c r="F739" s="343" t="s">
        <v>7153</v>
      </c>
      <c r="G739" s="360" t="s">
        <v>10017</v>
      </c>
      <c r="H739" s="361">
        <v>42989</v>
      </c>
      <c r="I739" s="343" t="s">
        <v>193</v>
      </c>
      <c r="J739" s="343" t="s">
        <v>637</v>
      </c>
      <c r="K739" s="343" t="s">
        <v>168</v>
      </c>
    </row>
    <row r="740" spans="1:11" ht="26.25" customHeight="1">
      <c r="A740" s="343" t="s">
        <v>1627</v>
      </c>
      <c r="B740" s="344" t="s">
        <v>162</v>
      </c>
      <c r="C740" s="344">
        <v>11563</v>
      </c>
      <c r="D740" s="343" t="s">
        <v>3610</v>
      </c>
      <c r="E740" s="344">
        <v>6533516</v>
      </c>
      <c r="F740" s="343" t="s">
        <v>7172</v>
      </c>
      <c r="G740" s="360" t="s">
        <v>9542</v>
      </c>
      <c r="H740" s="361">
        <v>42998</v>
      </c>
      <c r="I740" s="343" t="s">
        <v>349</v>
      </c>
      <c r="J740" s="343" t="s">
        <v>10018</v>
      </c>
      <c r="K740" s="343" t="s">
        <v>168</v>
      </c>
    </row>
    <row r="741" spans="1:11" ht="26.25" customHeight="1">
      <c r="A741" s="343" t="s">
        <v>1627</v>
      </c>
      <c r="B741" s="344" t="s">
        <v>162</v>
      </c>
      <c r="C741" s="344">
        <v>7585</v>
      </c>
      <c r="D741" s="343" t="s">
        <v>3626</v>
      </c>
      <c r="E741" s="344">
        <v>6320801</v>
      </c>
      <c r="F741" s="343" t="s">
        <v>7159</v>
      </c>
      <c r="G741" s="360" t="s">
        <v>10019</v>
      </c>
      <c r="H741" s="361">
        <v>42998</v>
      </c>
      <c r="I741" s="343" t="s">
        <v>166</v>
      </c>
      <c r="J741" s="343" t="s">
        <v>10020</v>
      </c>
      <c r="K741" s="343" t="s">
        <v>248</v>
      </c>
    </row>
    <row r="742" spans="1:11" ht="26.25" customHeight="1">
      <c r="A742" s="343" t="s">
        <v>1627</v>
      </c>
      <c r="B742" s="344" t="s">
        <v>162</v>
      </c>
      <c r="C742" s="344">
        <v>7587</v>
      </c>
      <c r="D742" s="343" t="s">
        <v>3664</v>
      </c>
      <c r="E742" s="344">
        <v>6354361</v>
      </c>
      <c r="F742" s="343" t="s">
        <v>7161</v>
      </c>
      <c r="G742" s="360" t="s">
        <v>10021</v>
      </c>
      <c r="H742" s="361">
        <v>42998</v>
      </c>
      <c r="I742" s="343" t="s">
        <v>166</v>
      </c>
      <c r="J742" s="343" t="s">
        <v>10022</v>
      </c>
      <c r="K742" s="343" t="s">
        <v>168</v>
      </c>
    </row>
    <row r="743" spans="1:11" ht="26.25" customHeight="1">
      <c r="A743" s="343" t="s">
        <v>1627</v>
      </c>
      <c r="B743" s="344" t="s">
        <v>162</v>
      </c>
      <c r="C743" s="344">
        <v>9095</v>
      </c>
      <c r="D743" s="343" t="s">
        <v>3821</v>
      </c>
      <c r="E743" s="344">
        <v>6077225</v>
      </c>
      <c r="F743" s="343" t="s">
        <v>7164</v>
      </c>
      <c r="G743" s="360" t="s">
        <v>10023</v>
      </c>
      <c r="H743" s="361">
        <v>43003</v>
      </c>
      <c r="I743" s="343" t="s">
        <v>187</v>
      </c>
      <c r="J743" s="343" t="s">
        <v>10024</v>
      </c>
      <c r="K743" s="343" t="s">
        <v>173</v>
      </c>
    </row>
    <row r="744" spans="1:11" ht="26.25" customHeight="1">
      <c r="A744" s="343" t="s">
        <v>1627</v>
      </c>
      <c r="B744" s="344" t="s">
        <v>162</v>
      </c>
      <c r="C744" s="344">
        <v>7077</v>
      </c>
      <c r="D744" s="343" t="s">
        <v>3789</v>
      </c>
      <c r="E744" s="344">
        <v>6930076</v>
      </c>
      <c r="F744" s="343" t="s">
        <v>7156</v>
      </c>
      <c r="G744" s="360" t="s">
        <v>10025</v>
      </c>
      <c r="H744" s="361">
        <v>43011</v>
      </c>
      <c r="I744" s="343" t="s">
        <v>3583</v>
      </c>
      <c r="J744" s="343" t="s">
        <v>9390</v>
      </c>
      <c r="K744" s="343" t="s">
        <v>173</v>
      </c>
    </row>
    <row r="745" spans="1:11" ht="26.25" customHeight="1">
      <c r="A745" s="343" t="s">
        <v>1627</v>
      </c>
      <c r="B745" s="344" t="s">
        <v>162</v>
      </c>
      <c r="C745" s="344">
        <v>9651</v>
      </c>
      <c r="D745" s="343" t="s">
        <v>3622</v>
      </c>
      <c r="E745" s="344">
        <v>6724641</v>
      </c>
      <c r="F745" s="343" t="s">
        <v>7287</v>
      </c>
      <c r="G745" s="360" t="s">
        <v>10026</v>
      </c>
      <c r="H745" s="361">
        <v>43019</v>
      </c>
      <c r="I745" s="343" t="s">
        <v>3583</v>
      </c>
      <c r="J745" s="343" t="s">
        <v>9390</v>
      </c>
      <c r="K745" s="343" t="s">
        <v>173</v>
      </c>
    </row>
    <row r="746" spans="1:11" ht="26.25" customHeight="1">
      <c r="A746" s="343" t="s">
        <v>1627</v>
      </c>
      <c r="B746" s="344" t="s">
        <v>162</v>
      </c>
      <c r="C746" s="344">
        <v>9349</v>
      </c>
      <c r="D746" s="343" t="s">
        <v>3797</v>
      </c>
      <c r="E746" s="344">
        <v>4524071</v>
      </c>
      <c r="F746" s="343" t="s">
        <v>3798</v>
      </c>
      <c r="G746" s="360" t="s">
        <v>10027</v>
      </c>
      <c r="H746" s="361">
        <v>43019</v>
      </c>
      <c r="I746" s="343" t="s">
        <v>198</v>
      </c>
      <c r="J746" s="343" t="s">
        <v>198</v>
      </c>
      <c r="K746" s="343" t="s">
        <v>168</v>
      </c>
    </row>
    <row r="747" spans="1:11" ht="26.25" customHeight="1">
      <c r="A747" s="343" t="s">
        <v>1627</v>
      </c>
      <c r="B747" s="344" t="s">
        <v>162</v>
      </c>
      <c r="C747" s="344">
        <v>7076</v>
      </c>
      <c r="D747" s="343" t="s">
        <v>7284</v>
      </c>
      <c r="E747" s="344">
        <v>4972900</v>
      </c>
      <c r="F747" s="343" t="s">
        <v>7285</v>
      </c>
      <c r="G747" s="360" t="s">
        <v>10028</v>
      </c>
      <c r="H747" s="361">
        <v>43019</v>
      </c>
      <c r="I747" s="343" t="s">
        <v>366</v>
      </c>
      <c r="J747" s="343" t="s">
        <v>366</v>
      </c>
      <c r="K747" s="343" t="s">
        <v>168</v>
      </c>
    </row>
    <row r="748" spans="1:11" ht="26.25" customHeight="1">
      <c r="A748" s="343" t="s">
        <v>1627</v>
      </c>
      <c r="B748" s="344" t="s">
        <v>162</v>
      </c>
      <c r="C748" s="344">
        <v>11563</v>
      </c>
      <c r="D748" s="343" t="s">
        <v>3610</v>
      </c>
      <c r="E748" s="344">
        <v>6427970</v>
      </c>
      <c r="F748" s="343" t="s">
        <v>3612</v>
      </c>
      <c r="G748" s="360" t="s">
        <v>10029</v>
      </c>
      <c r="H748" s="361">
        <v>43019</v>
      </c>
      <c r="I748" s="343" t="s">
        <v>166</v>
      </c>
      <c r="J748" s="343" t="s">
        <v>9641</v>
      </c>
      <c r="K748" s="343" t="s">
        <v>168</v>
      </c>
    </row>
    <row r="749" spans="1:11" ht="26.25" customHeight="1">
      <c r="A749" s="343" t="s">
        <v>1627</v>
      </c>
      <c r="B749" s="344" t="s">
        <v>162</v>
      </c>
      <c r="C749" s="344">
        <v>6732</v>
      </c>
      <c r="D749" s="343" t="s">
        <v>3828</v>
      </c>
      <c r="E749" s="344">
        <v>5909318</v>
      </c>
      <c r="F749" s="343" t="s">
        <v>3830</v>
      </c>
      <c r="G749" s="360" t="s">
        <v>10030</v>
      </c>
      <c r="H749" s="361">
        <v>43018</v>
      </c>
      <c r="I749" s="343" t="s">
        <v>166</v>
      </c>
      <c r="J749" s="343" t="s">
        <v>10031</v>
      </c>
      <c r="K749" s="343" t="s">
        <v>168</v>
      </c>
    </row>
    <row r="750" spans="1:11" ht="26.25" customHeight="1">
      <c r="A750" s="343" t="s">
        <v>1627</v>
      </c>
      <c r="B750" s="344" t="s">
        <v>162</v>
      </c>
      <c r="C750" s="344">
        <v>6741</v>
      </c>
      <c r="D750" s="343" t="s">
        <v>3860</v>
      </c>
      <c r="E750" s="344">
        <v>5959701</v>
      </c>
      <c r="F750" s="343" t="s">
        <v>7281</v>
      </c>
      <c r="G750" s="360" t="s">
        <v>10032</v>
      </c>
      <c r="H750" s="361">
        <v>43026</v>
      </c>
      <c r="I750" s="343" t="s">
        <v>7282</v>
      </c>
      <c r="J750" s="343" t="s">
        <v>10033</v>
      </c>
      <c r="K750" s="343" t="s">
        <v>168</v>
      </c>
    </row>
    <row r="751" spans="1:11" ht="26.25" customHeight="1">
      <c r="A751" s="343" t="s">
        <v>1627</v>
      </c>
      <c r="B751" s="344" t="s">
        <v>162</v>
      </c>
      <c r="C751" s="344">
        <v>11829</v>
      </c>
      <c r="D751" s="343" t="s">
        <v>3840</v>
      </c>
      <c r="E751" s="344">
        <v>6203920</v>
      </c>
      <c r="F751" s="343" t="s">
        <v>7288</v>
      </c>
      <c r="G751" s="360" t="s">
        <v>1204</v>
      </c>
      <c r="H751" s="361">
        <v>43032</v>
      </c>
      <c r="I751" s="343" t="s">
        <v>193</v>
      </c>
      <c r="J751" s="343" t="s">
        <v>509</v>
      </c>
      <c r="K751" s="343" t="s">
        <v>168</v>
      </c>
    </row>
    <row r="752" spans="1:11" ht="26.25" customHeight="1">
      <c r="A752" s="343" t="s">
        <v>1627</v>
      </c>
      <c r="B752" s="344" t="s">
        <v>162</v>
      </c>
      <c r="C752" s="344">
        <v>7585</v>
      </c>
      <c r="D752" s="343" t="s">
        <v>3626</v>
      </c>
      <c r="E752" s="344">
        <v>6548960</v>
      </c>
      <c r="F752" s="343" t="s">
        <v>7286</v>
      </c>
      <c r="G752" s="360" t="s">
        <v>10034</v>
      </c>
      <c r="H752" s="361">
        <v>43032</v>
      </c>
      <c r="I752" s="343" t="s">
        <v>4742</v>
      </c>
      <c r="J752" s="343" t="s">
        <v>10035</v>
      </c>
      <c r="K752" s="343" t="s">
        <v>168</v>
      </c>
    </row>
    <row r="753" spans="1:11" ht="26.25" customHeight="1">
      <c r="A753" s="343" t="s">
        <v>1627</v>
      </c>
      <c r="B753" s="344" t="s">
        <v>162</v>
      </c>
      <c r="C753" s="344">
        <v>6737</v>
      </c>
      <c r="D753" s="343" t="s">
        <v>3889</v>
      </c>
      <c r="E753" s="344">
        <v>6072617</v>
      </c>
      <c r="F753" s="343" t="s">
        <v>7280</v>
      </c>
      <c r="G753" s="360" t="s">
        <v>1370</v>
      </c>
      <c r="H753" s="361">
        <v>43035</v>
      </c>
      <c r="I753" s="343" t="s">
        <v>193</v>
      </c>
      <c r="J753" s="343" t="s">
        <v>472</v>
      </c>
      <c r="K753" s="343" t="s">
        <v>168</v>
      </c>
    </row>
    <row r="754" spans="1:11" ht="26.25" customHeight="1">
      <c r="A754" s="343" t="s">
        <v>1627</v>
      </c>
      <c r="B754" s="344" t="s">
        <v>162</v>
      </c>
      <c r="C754" s="344">
        <v>6722</v>
      </c>
      <c r="D754" s="343" t="s">
        <v>3878</v>
      </c>
      <c r="E754" s="344">
        <v>6071925</v>
      </c>
      <c r="F754" s="343" t="s">
        <v>7279</v>
      </c>
      <c r="G754" s="360" t="s">
        <v>614</v>
      </c>
      <c r="H754" s="361">
        <v>43039</v>
      </c>
      <c r="I754" s="343" t="s">
        <v>3583</v>
      </c>
      <c r="J754" s="343" t="s">
        <v>10014</v>
      </c>
      <c r="K754" s="343" t="s">
        <v>173</v>
      </c>
    </row>
    <row r="755" spans="1:11" ht="26.25" customHeight="1">
      <c r="A755" s="343" t="s">
        <v>1627</v>
      </c>
      <c r="B755" s="344" t="s">
        <v>162</v>
      </c>
      <c r="C755" s="344">
        <v>7065</v>
      </c>
      <c r="D755" s="343" t="s">
        <v>3784</v>
      </c>
      <c r="E755" s="344">
        <v>5557415</v>
      </c>
      <c r="F755" s="343" t="s">
        <v>7283</v>
      </c>
      <c r="G755" s="360" t="s">
        <v>10036</v>
      </c>
      <c r="H755" s="361">
        <v>43048</v>
      </c>
      <c r="I755" s="343" t="s">
        <v>709</v>
      </c>
      <c r="J755" s="343" t="s">
        <v>10037</v>
      </c>
      <c r="K755" s="343" t="s">
        <v>173</v>
      </c>
    </row>
    <row r="756" spans="1:11" ht="26.25" customHeight="1">
      <c r="A756" s="343" t="s">
        <v>1627</v>
      </c>
      <c r="B756" s="344" t="s">
        <v>162</v>
      </c>
      <c r="C756" s="344">
        <v>6735</v>
      </c>
      <c r="D756" s="343" t="s">
        <v>3869</v>
      </c>
      <c r="E756" s="344">
        <v>6285990</v>
      </c>
      <c r="F756" s="343" t="s">
        <v>3818</v>
      </c>
      <c r="G756" s="360" t="s">
        <v>10038</v>
      </c>
      <c r="H756" s="361">
        <v>43055</v>
      </c>
      <c r="I756" s="343" t="s">
        <v>193</v>
      </c>
      <c r="J756" s="343" t="s">
        <v>966</v>
      </c>
      <c r="K756" s="343" t="s">
        <v>168</v>
      </c>
    </row>
    <row r="757" spans="1:11" ht="26.25" customHeight="1">
      <c r="A757" s="343" t="s">
        <v>1627</v>
      </c>
      <c r="B757" s="344" t="s">
        <v>162</v>
      </c>
      <c r="C757" s="344">
        <v>7064</v>
      </c>
      <c r="D757" s="343" t="s">
        <v>7406</v>
      </c>
      <c r="E757" s="344">
        <v>5765428</v>
      </c>
      <c r="F757" s="343" t="s">
        <v>7407</v>
      </c>
      <c r="G757" s="360" t="s">
        <v>10039</v>
      </c>
      <c r="H757" s="361">
        <v>43074</v>
      </c>
      <c r="I757" s="343" t="s">
        <v>275</v>
      </c>
      <c r="J757" s="343" t="s">
        <v>585</v>
      </c>
      <c r="K757" s="343" t="s">
        <v>173</v>
      </c>
    </row>
    <row r="758" spans="1:11" ht="26.25" customHeight="1">
      <c r="A758" s="343" t="s">
        <v>1627</v>
      </c>
      <c r="B758" s="344" t="s">
        <v>162</v>
      </c>
      <c r="C758" s="344">
        <v>9168</v>
      </c>
      <c r="D758" s="343" t="s">
        <v>3911</v>
      </c>
      <c r="E758" s="344">
        <v>5905215</v>
      </c>
      <c r="F758" s="343" t="s">
        <v>7408</v>
      </c>
      <c r="G758" s="360" t="s">
        <v>10040</v>
      </c>
      <c r="H758" s="361">
        <v>43076</v>
      </c>
      <c r="I758" s="343" t="s">
        <v>166</v>
      </c>
      <c r="J758" s="343" t="s">
        <v>327</v>
      </c>
      <c r="K758" s="343" t="s">
        <v>168</v>
      </c>
    </row>
    <row r="759" spans="1:11" ht="26.25" customHeight="1">
      <c r="A759" s="343" t="s">
        <v>1627</v>
      </c>
      <c r="B759" s="344" t="s">
        <v>162</v>
      </c>
      <c r="C759" s="344">
        <v>9762</v>
      </c>
      <c r="D759" s="343" t="s">
        <v>3825</v>
      </c>
      <c r="E759" s="344">
        <v>6875802</v>
      </c>
      <c r="F759" s="343" t="s">
        <v>7464</v>
      </c>
      <c r="G759" s="360" t="s">
        <v>10041</v>
      </c>
      <c r="H759" s="361">
        <v>43080</v>
      </c>
      <c r="I759" s="343" t="s">
        <v>7263</v>
      </c>
      <c r="J759" s="343" t="s">
        <v>9429</v>
      </c>
      <c r="K759" s="343" t="s">
        <v>173</v>
      </c>
    </row>
    <row r="760" spans="1:11" ht="26.25" customHeight="1">
      <c r="A760" s="343" t="s">
        <v>1627</v>
      </c>
      <c r="B760" s="344" t="s">
        <v>162</v>
      </c>
      <c r="C760" s="344">
        <v>9168</v>
      </c>
      <c r="D760" s="343" t="s">
        <v>3911</v>
      </c>
      <c r="E760" s="344">
        <v>6463458</v>
      </c>
      <c r="F760" s="343" t="s">
        <v>3875</v>
      </c>
      <c r="G760" s="360" t="s">
        <v>10042</v>
      </c>
      <c r="H760" s="361">
        <v>43102</v>
      </c>
      <c r="I760" s="343" t="s">
        <v>166</v>
      </c>
      <c r="J760" s="343" t="s">
        <v>9587</v>
      </c>
      <c r="K760" s="343" t="s">
        <v>168</v>
      </c>
    </row>
    <row r="761" spans="1:11" ht="26.25" customHeight="1">
      <c r="A761" s="343" t="s">
        <v>1627</v>
      </c>
      <c r="B761" s="344" t="s">
        <v>162</v>
      </c>
      <c r="C761" s="344">
        <v>6735</v>
      </c>
      <c r="D761" s="343" t="s">
        <v>3869</v>
      </c>
      <c r="E761" s="344">
        <v>5964325</v>
      </c>
      <c r="F761" s="343" t="s">
        <v>3873</v>
      </c>
      <c r="G761" s="360" t="s">
        <v>10043</v>
      </c>
      <c r="H761" s="361">
        <v>43122</v>
      </c>
      <c r="I761" s="343" t="s">
        <v>166</v>
      </c>
      <c r="J761" s="343" t="s">
        <v>10044</v>
      </c>
      <c r="K761" s="343" t="s">
        <v>168</v>
      </c>
    </row>
    <row r="762" spans="1:11" ht="26.25" customHeight="1">
      <c r="A762" s="343" t="s">
        <v>1627</v>
      </c>
      <c r="B762" s="344" t="s">
        <v>162</v>
      </c>
      <c r="C762" s="344">
        <v>6725</v>
      </c>
      <c r="D762" s="343" t="s">
        <v>3861</v>
      </c>
      <c r="E762" s="344">
        <v>6784942</v>
      </c>
      <c r="F762" s="343" t="s">
        <v>7608</v>
      </c>
      <c r="G762" s="360" t="s">
        <v>9726</v>
      </c>
      <c r="H762" s="361">
        <v>43133</v>
      </c>
      <c r="I762" s="343" t="s">
        <v>5318</v>
      </c>
      <c r="J762" s="343" t="s">
        <v>10045</v>
      </c>
      <c r="K762" s="343" t="s">
        <v>168</v>
      </c>
    </row>
    <row r="763" spans="1:11" ht="26.25" customHeight="1">
      <c r="A763" s="343" t="s">
        <v>1627</v>
      </c>
      <c r="B763" s="344" t="s">
        <v>162</v>
      </c>
      <c r="C763" s="344">
        <v>9651</v>
      </c>
      <c r="D763" s="343" t="s">
        <v>3622</v>
      </c>
      <c r="E763" s="344">
        <v>6475805</v>
      </c>
      <c r="F763" s="343" t="s">
        <v>7609</v>
      </c>
      <c r="G763" s="360" t="s">
        <v>10046</v>
      </c>
      <c r="H763" s="361">
        <v>43138</v>
      </c>
      <c r="I763" s="343" t="s">
        <v>166</v>
      </c>
      <c r="J763" s="343" t="s">
        <v>296</v>
      </c>
      <c r="K763" s="343" t="s">
        <v>168</v>
      </c>
    </row>
    <row r="764" spans="1:11" ht="26.25" customHeight="1">
      <c r="A764" s="343" t="s">
        <v>1627</v>
      </c>
      <c r="B764" s="344" t="s">
        <v>162</v>
      </c>
      <c r="C764" s="344">
        <v>12526</v>
      </c>
      <c r="D764" s="343" t="s">
        <v>3775</v>
      </c>
      <c r="E764" s="344">
        <v>6128140</v>
      </c>
      <c r="F764" s="343" t="s">
        <v>3817</v>
      </c>
      <c r="G764" s="360" t="s">
        <v>10047</v>
      </c>
      <c r="H764" s="361">
        <v>43138</v>
      </c>
      <c r="I764" s="343" t="s">
        <v>166</v>
      </c>
      <c r="J764" s="343" t="s">
        <v>10048</v>
      </c>
      <c r="K764" s="343" t="s">
        <v>248</v>
      </c>
    </row>
    <row r="765" spans="1:11" ht="26.25" customHeight="1">
      <c r="A765" s="343" t="s">
        <v>1627</v>
      </c>
      <c r="B765" s="344" t="s">
        <v>162</v>
      </c>
      <c r="C765" s="344">
        <v>6719</v>
      </c>
      <c r="D765" s="343" t="s">
        <v>3851</v>
      </c>
      <c r="E765" s="344">
        <v>5972286</v>
      </c>
      <c r="F765" s="343" t="s">
        <v>7610</v>
      </c>
      <c r="G765" s="360" t="s">
        <v>10049</v>
      </c>
      <c r="H765" s="361">
        <v>43139</v>
      </c>
      <c r="I765" s="343" t="s">
        <v>166</v>
      </c>
      <c r="J765" s="343" t="s">
        <v>10050</v>
      </c>
      <c r="K765" s="343" t="s">
        <v>168</v>
      </c>
    </row>
    <row r="766" spans="1:11" ht="26.25" customHeight="1">
      <c r="A766" s="343" t="s">
        <v>1627</v>
      </c>
      <c r="B766" s="344" t="s">
        <v>162</v>
      </c>
      <c r="C766" s="344">
        <v>12773</v>
      </c>
      <c r="D766" s="343" t="s">
        <v>3887</v>
      </c>
      <c r="E766" s="344">
        <v>6523338</v>
      </c>
      <c r="F766" s="343" t="s">
        <v>3661</v>
      </c>
      <c r="G766" s="360" t="s">
        <v>10051</v>
      </c>
      <c r="H766" s="361">
        <v>43145</v>
      </c>
      <c r="I766" s="343" t="s">
        <v>3662</v>
      </c>
      <c r="J766" s="343" t="s">
        <v>10052</v>
      </c>
      <c r="K766" s="343" t="s">
        <v>168</v>
      </c>
    </row>
    <row r="767" spans="1:11" ht="26.25" customHeight="1">
      <c r="A767" s="343" t="s">
        <v>1627</v>
      </c>
      <c r="B767" s="344" t="s">
        <v>162</v>
      </c>
      <c r="C767" s="344">
        <v>6725</v>
      </c>
      <c r="D767" s="343" t="s">
        <v>3861</v>
      </c>
      <c r="E767" s="344">
        <v>6394270</v>
      </c>
      <c r="F767" s="343" t="s">
        <v>7611</v>
      </c>
      <c r="G767" s="360" t="s">
        <v>10053</v>
      </c>
      <c r="H767" s="361">
        <v>43145</v>
      </c>
      <c r="I767" s="343" t="s">
        <v>490</v>
      </c>
      <c r="J767" s="343" t="s">
        <v>667</v>
      </c>
      <c r="K767" s="343" t="s">
        <v>168</v>
      </c>
    </row>
    <row r="768" spans="1:11" ht="26.25" customHeight="1">
      <c r="A768" s="343" t="s">
        <v>1627</v>
      </c>
      <c r="B768" s="344" t="s">
        <v>162</v>
      </c>
      <c r="C768" s="344">
        <v>6722</v>
      </c>
      <c r="D768" s="343" t="s">
        <v>3878</v>
      </c>
      <c r="E768" s="344">
        <v>6283168</v>
      </c>
      <c r="F768" s="343" t="s">
        <v>7158</v>
      </c>
      <c r="G768" s="360" t="s">
        <v>9516</v>
      </c>
      <c r="H768" s="361">
        <v>43145</v>
      </c>
      <c r="I768" s="343" t="s">
        <v>166</v>
      </c>
      <c r="J768" s="343" t="s">
        <v>296</v>
      </c>
      <c r="K768" s="343" t="s">
        <v>168</v>
      </c>
    </row>
    <row r="769" spans="1:11" ht="26.25" customHeight="1">
      <c r="A769" s="343" t="s">
        <v>1627</v>
      </c>
      <c r="B769" s="344" t="s">
        <v>162</v>
      </c>
      <c r="C769" s="344">
        <v>6739</v>
      </c>
      <c r="D769" s="343" t="s">
        <v>3916</v>
      </c>
      <c r="E769" s="344">
        <v>6157083</v>
      </c>
      <c r="F769" s="343" t="s">
        <v>7612</v>
      </c>
      <c r="G769" s="360" t="s">
        <v>10054</v>
      </c>
      <c r="H769" s="361">
        <v>43145</v>
      </c>
      <c r="I769" s="343" t="s">
        <v>219</v>
      </c>
      <c r="J769" s="343" t="s">
        <v>220</v>
      </c>
      <c r="K769" s="343" t="s">
        <v>173</v>
      </c>
    </row>
    <row r="770" spans="1:11" ht="26.25" customHeight="1">
      <c r="A770" s="343" t="s">
        <v>1627</v>
      </c>
      <c r="B770" s="344" t="s">
        <v>162</v>
      </c>
      <c r="C770" s="344">
        <v>11606</v>
      </c>
      <c r="D770" s="343" t="s">
        <v>3699</v>
      </c>
      <c r="E770" s="344">
        <v>5114877</v>
      </c>
      <c r="F770" s="343" t="s">
        <v>7613</v>
      </c>
      <c r="G770" s="360" t="s">
        <v>10055</v>
      </c>
      <c r="H770" s="361">
        <v>43145</v>
      </c>
      <c r="I770" s="343" t="s">
        <v>211</v>
      </c>
      <c r="J770" s="343" t="s">
        <v>211</v>
      </c>
      <c r="K770" s="343" t="s">
        <v>168</v>
      </c>
    </row>
    <row r="771" spans="1:11" ht="26.25" customHeight="1">
      <c r="A771" s="343" t="s">
        <v>1627</v>
      </c>
      <c r="B771" s="344" t="s">
        <v>162</v>
      </c>
      <c r="C771" s="344">
        <v>6737</v>
      </c>
      <c r="D771" s="343" t="s">
        <v>3889</v>
      </c>
      <c r="E771" s="344">
        <v>6362243</v>
      </c>
      <c r="F771" s="343" t="s">
        <v>7614</v>
      </c>
      <c r="G771" s="360" t="s">
        <v>10056</v>
      </c>
      <c r="H771" s="361">
        <v>43145</v>
      </c>
      <c r="I771" s="343" t="s">
        <v>193</v>
      </c>
      <c r="J771" s="343" t="s">
        <v>637</v>
      </c>
      <c r="K771" s="343" t="s">
        <v>168</v>
      </c>
    </row>
    <row r="772" spans="1:11" ht="26.25" customHeight="1">
      <c r="A772" s="343" t="s">
        <v>1627</v>
      </c>
      <c r="B772" s="344" t="s">
        <v>162</v>
      </c>
      <c r="C772" s="344">
        <v>6725</v>
      </c>
      <c r="D772" s="343" t="s">
        <v>3861</v>
      </c>
      <c r="E772" s="344">
        <v>6310828</v>
      </c>
      <c r="F772" s="343" t="s">
        <v>7615</v>
      </c>
      <c r="G772" s="360" t="s">
        <v>10057</v>
      </c>
      <c r="H772" s="361">
        <v>43145</v>
      </c>
      <c r="I772" s="343" t="s">
        <v>275</v>
      </c>
      <c r="J772" s="343" t="s">
        <v>9392</v>
      </c>
      <c r="K772" s="343" t="s">
        <v>173</v>
      </c>
    </row>
    <row r="773" spans="1:11" ht="26.25" customHeight="1">
      <c r="A773" s="343" t="s">
        <v>1627</v>
      </c>
      <c r="B773" s="344" t="s">
        <v>162</v>
      </c>
      <c r="C773" s="344">
        <v>6725</v>
      </c>
      <c r="D773" s="343" t="s">
        <v>3861</v>
      </c>
      <c r="E773" s="344">
        <v>6441682</v>
      </c>
      <c r="F773" s="343" t="s">
        <v>7711</v>
      </c>
      <c r="G773" s="360" t="s">
        <v>10058</v>
      </c>
      <c r="H773" s="361">
        <v>43151</v>
      </c>
      <c r="I773" s="343" t="s">
        <v>219</v>
      </c>
      <c r="J773" s="343" t="s">
        <v>10059</v>
      </c>
      <c r="K773" s="343" t="s">
        <v>173</v>
      </c>
    </row>
    <row r="774" spans="1:11" ht="26.25" customHeight="1">
      <c r="A774" s="343" t="s">
        <v>1627</v>
      </c>
      <c r="B774" s="344" t="s">
        <v>162</v>
      </c>
      <c r="C774" s="344">
        <v>12773</v>
      </c>
      <c r="D774" s="343" t="s">
        <v>3887</v>
      </c>
      <c r="E774" s="344">
        <v>5920950</v>
      </c>
      <c r="F774" s="343" t="s">
        <v>7712</v>
      </c>
      <c r="G774" s="360" t="s">
        <v>10060</v>
      </c>
      <c r="H774" s="361">
        <v>43152</v>
      </c>
      <c r="I774" s="343" t="s">
        <v>366</v>
      </c>
      <c r="J774" s="343" t="s">
        <v>366</v>
      </c>
      <c r="K774" s="343" t="s">
        <v>168</v>
      </c>
    </row>
    <row r="775" spans="1:11" ht="26.25" customHeight="1">
      <c r="A775" s="343" t="s">
        <v>1627</v>
      </c>
      <c r="B775" s="344" t="s">
        <v>162</v>
      </c>
      <c r="C775" s="344">
        <v>6734</v>
      </c>
      <c r="D775" s="343" t="s">
        <v>3843</v>
      </c>
      <c r="E775" s="344">
        <v>6312309</v>
      </c>
      <c r="F775" s="343" t="s">
        <v>7713</v>
      </c>
      <c r="G775" s="360" t="s">
        <v>10061</v>
      </c>
      <c r="H775" s="361">
        <v>43152</v>
      </c>
      <c r="I775" s="343" t="s">
        <v>166</v>
      </c>
      <c r="J775" s="343" t="s">
        <v>327</v>
      </c>
      <c r="K775" s="343" t="s">
        <v>168</v>
      </c>
    </row>
    <row r="776" spans="1:11" ht="26.25" customHeight="1">
      <c r="A776" s="343" t="s">
        <v>1627</v>
      </c>
      <c r="B776" s="344" t="s">
        <v>162</v>
      </c>
      <c r="C776" s="344">
        <v>6739</v>
      </c>
      <c r="D776" s="343" t="s">
        <v>3916</v>
      </c>
      <c r="E776" s="344">
        <v>6804190</v>
      </c>
      <c r="F776" s="343" t="s">
        <v>7715</v>
      </c>
      <c r="G776" s="360" t="s">
        <v>10062</v>
      </c>
      <c r="H776" s="361">
        <v>43152</v>
      </c>
      <c r="I776" s="343" t="s">
        <v>7478</v>
      </c>
      <c r="J776" s="343" t="s">
        <v>10063</v>
      </c>
      <c r="K776" s="343" t="s">
        <v>168</v>
      </c>
    </row>
    <row r="777" spans="1:11" ht="26.25" customHeight="1">
      <c r="A777" s="343" t="s">
        <v>1627</v>
      </c>
      <c r="B777" s="344" t="s">
        <v>162</v>
      </c>
      <c r="C777" s="344">
        <v>6739</v>
      </c>
      <c r="D777" s="343" t="s">
        <v>3916</v>
      </c>
      <c r="E777" s="344">
        <v>5838556</v>
      </c>
      <c r="F777" s="343" t="s">
        <v>7716</v>
      </c>
      <c r="G777" s="360" t="s">
        <v>10064</v>
      </c>
      <c r="H777" s="361">
        <v>43152</v>
      </c>
      <c r="I777" s="343" t="s">
        <v>301</v>
      </c>
      <c r="J777" s="343" t="s">
        <v>530</v>
      </c>
      <c r="K777" s="343" t="s">
        <v>168</v>
      </c>
    </row>
    <row r="778" spans="1:11" ht="26.25" customHeight="1">
      <c r="A778" s="343" t="s">
        <v>1627</v>
      </c>
      <c r="B778" s="344" t="s">
        <v>162</v>
      </c>
      <c r="C778" s="344">
        <v>12217</v>
      </c>
      <c r="D778" s="343" t="s">
        <v>3718</v>
      </c>
      <c r="E778" s="344">
        <v>6196185</v>
      </c>
      <c r="F778" s="343" t="s">
        <v>3896</v>
      </c>
      <c r="G778" s="360" t="s">
        <v>10065</v>
      </c>
      <c r="H778" s="361">
        <v>43152</v>
      </c>
      <c r="I778" s="343" t="s">
        <v>166</v>
      </c>
      <c r="J778" s="343" t="s">
        <v>296</v>
      </c>
      <c r="K778" s="343" t="s">
        <v>168</v>
      </c>
    </row>
    <row r="779" spans="1:11" ht="26.25" customHeight="1">
      <c r="A779" s="343" t="s">
        <v>1627</v>
      </c>
      <c r="B779" s="344" t="s">
        <v>162</v>
      </c>
      <c r="C779" s="344">
        <v>12689</v>
      </c>
      <c r="D779" s="343" t="s">
        <v>3853</v>
      </c>
      <c r="E779" s="344">
        <v>6715658</v>
      </c>
      <c r="F779" s="343" t="s">
        <v>7717</v>
      </c>
      <c r="G779" s="360" t="s">
        <v>10066</v>
      </c>
      <c r="H779" s="361">
        <v>43152</v>
      </c>
      <c r="I779" s="343" t="s">
        <v>7718</v>
      </c>
      <c r="J779" s="343" t="s">
        <v>10067</v>
      </c>
      <c r="K779" s="343" t="s">
        <v>168</v>
      </c>
    </row>
    <row r="780" spans="1:11" ht="26.25" customHeight="1">
      <c r="A780" s="343" t="s">
        <v>1627</v>
      </c>
      <c r="B780" s="344" t="s">
        <v>162</v>
      </c>
      <c r="C780" s="344">
        <v>7586</v>
      </c>
      <c r="D780" s="343" t="s">
        <v>3631</v>
      </c>
      <c r="E780" s="344">
        <v>6884056</v>
      </c>
      <c r="F780" s="343" t="s">
        <v>7719</v>
      </c>
      <c r="G780" s="360" t="s">
        <v>10068</v>
      </c>
      <c r="H780" s="361">
        <v>43152</v>
      </c>
      <c r="I780" s="343" t="s">
        <v>7720</v>
      </c>
      <c r="J780" s="343" t="s">
        <v>10069</v>
      </c>
      <c r="K780" s="343" t="s">
        <v>168</v>
      </c>
    </row>
    <row r="781" spans="1:11" ht="26.25" customHeight="1">
      <c r="A781" s="343" t="s">
        <v>1627</v>
      </c>
      <c r="B781" s="344" t="s">
        <v>162</v>
      </c>
      <c r="C781" s="344">
        <v>6728</v>
      </c>
      <c r="D781" s="343" t="s">
        <v>3815</v>
      </c>
      <c r="E781" s="344">
        <v>6238559</v>
      </c>
      <c r="F781" s="343" t="s">
        <v>7721</v>
      </c>
      <c r="G781" s="360" t="s">
        <v>10070</v>
      </c>
      <c r="H781" s="361">
        <v>43152</v>
      </c>
      <c r="I781" s="343" t="s">
        <v>193</v>
      </c>
      <c r="J781" s="343" t="s">
        <v>637</v>
      </c>
      <c r="K781" s="343" t="s">
        <v>168</v>
      </c>
    </row>
    <row r="782" spans="1:11" ht="26.25" customHeight="1">
      <c r="A782" s="343" t="s">
        <v>1627</v>
      </c>
      <c r="B782" s="344" t="s">
        <v>162</v>
      </c>
      <c r="C782" s="344">
        <v>6728</v>
      </c>
      <c r="D782" s="343" t="s">
        <v>3815</v>
      </c>
      <c r="E782" s="344">
        <v>6392627</v>
      </c>
      <c r="F782" s="343" t="s">
        <v>7722</v>
      </c>
      <c r="G782" s="360" t="s">
        <v>10071</v>
      </c>
      <c r="H782" s="361">
        <v>43152</v>
      </c>
      <c r="I782" s="343" t="s">
        <v>211</v>
      </c>
      <c r="J782" s="343" t="s">
        <v>211</v>
      </c>
      <c r="K782" s="343" t="s">
        <v>168</v>
      </c>
    </row>
    <row r="783" spans="1:11" ht="26.25" customHeight="1">
      <c r="A783" s="343" t="s">
        <v>1627</v>
      </c>
      <c r="B783" s="344" t="s">
        <v>162</v>
      </c>
      <c r="C783" s="344">
        <v>8503</v>
      </c>
      <c r="D783" s="343" t="s">
        <v>3831</v>
      </c>
      <c r="E783" s="344">
        <v>6609456</v>
      </c>
      <c r="F783" s="343" t="s">
        <v>7723</v>
      </c>
      <c r="G783" s="360" t="s">
        <v>10072</v>
      </c>
      <c r="H783" s="361">
        <v>43153</v>
      </c>
      <c r="I783" s="343" t="s">
        <v>193</v>
      </c>
      <c r="J783" s="343" t="s">
        <v>637</v>
      </c>
      <c r="K783" s="343" t="s">
        <v>168</v>
      </c>
    </row>
    <row r="784" spans="1:11" ht="26.25" customHeight="1">
      <c r="A784" s="343" t="s">
        <v>1627</v>
      </c>
      <c r="B784" s="344" t="s">
        <v>162</v>
      </c>
      <c r="C784" s="344">
        <v>10068</v>
      </c>
      <c r="D784" s="343" t="s">
        <v>3689</v>
      </c>
      <c r="E784" s="344">
        <v>6379551</v>
      </c>
      <c r="F784" s="343" t="s">
        <v>7724</v>
      </c>
      <c r="G784" s="360" t="s">
        <v>10056</v>
      </c>
      <c r="H784" s="361">
        <v>43153</v>
      </c>
      <c r="I784" s="343" t="s">
        <v>166</v>
      </c>
      <c r="J784" s="343" t="s">
        <v>296</v>
      </c>
      <c r="K784" s="343" t="s">
        <v>168</v>
      </c>
    </row>
    <row r="785" spans="1:11" ht="26.25" customHeight="1">
      <c r="A785" s="343" t="s">
        <v>1627</v>
      </c>
      <c r="B785" s="344" t="s">
        <v>162</v>
      </c>
      <c r="C785" s="344">
        <v>7590</v>
      </c>
      <c r="D785" s="343" t="s">
        <v>3647</v>
      </c>
      <c r="E785" s="344">
        <v>6551269</v>
      </c>
      <c r="F785" s="343" t="s">
        <v>7725</v>
      </c>
      <c r="G785" s="360" t="s">
        <v>10001</v>
      </c>
      <c r="H785" s="361">
        <v>43154</v>
      </c>
      <c r="I785" s="343" t="s">
        <v>193</v>
      </c>
      <c r="J785" s="343" t="s">
        <v>637</v>
      </c>
      <c r="K785" s="343" t="s">
        <v>168</v>
      </c>
    </row>
    <row r="786" spans="1:11" ht="26.25" customHeight="1">
      <c r="A786" s="343" t="s">
        <v>1627</v>
      </c>
      <c r="B786" s="344" t="s">
        <v>162</v>
      </c>
      <c r="C786" s="344">
        <v>7065</v>
      </c>
      <c r="D786" s="343" t="s">
        <v>3784</v>
      </c>
      <c r="E786" s="344">
        <v>5159727</v>
      </c>
      <c r="F786" s="343" t="s">
        <v>7728</v>
      </c>
      <c r="G786" s="360" t="s">
        <v>9817</v>
      </c>
      <c r="H786" s="361">
        <v>43154</v>
      </c>
      <c r="I786" s="343" t="s">
        <v>261</v>
      </c>
      <c r="J786" s="343" t="s">
        <v>10073</v>
      </c>
      <c r="K786" s="343" t="s">
        <v>168</v>
      </c>
    </row>
    <row r="787" spans="1:11" ht="26.25" customHeight="1">
      <c r="A787" s="343" t="s">
        <v>1627</v>
      </c>
      <c r="B787" s="344" t="s">
        <v>162</v>
      </c>
      <c r="C787" s="344">
        <v>9762</v>
      </c>
      <c r="D787" s="343" t="s">
        <v>3825</v>
      </c>
      <c r="E787" s="344">
        <v>6448097</v>
      </c>
      <c r="F787" s="343" t="s">
        <v>7729</v>
      </c>
      <c r="G787" s="360" t="s">
        <v>9786</v>
      </c>
      <c r="H787" s="361">
        <v>43154</v>
      </c>
      <c r="I787" s="343" t="s">
        <v>166</v>
      </c>
      <c r="J787" s="343" t="s">
        <v>327</v>
      </c>
      <c r="K787" s="343" t="s">
        <v>168</v>
      </c>
    </row>
    <row r="788" spans="1:11" ht="26.25" customHeight="1">
      <c r="A788" s="343" t="s">
        <v>1627</v>
      </c>
      <c r="B788" s="344" t="s">
        <v>162</v>
      </c>
      <c r="C788" s="344">
        <v>6721</v>
      </c>
      <c r="D788" s="343" t="s">
        <v>3908</v>
      </c>
      <c r="E788" s="344">
        <v>6747343</v>
      </c>
      <c r="F788" s="343" t="s">
        <v>7730</v>
      </c>
      <c r="G788" s="360" t="s">
        <v>10074</v>
      </c>
      <c r="H788" s="361">
        <v>43158</v>
      </c>
      <c r="I788" s="343" t="s">
        <v>301</v>
      </c>
      <c r="J788" s="343" t="s">
        <v>530</v>
      </c>
      <c r="K788" s="343" t="s">
        <v>168</v>
      </c>
    </row>
    <row r="789" spans="1:11" ht="26.25" customHeight="1">
      <c r="A789" s="343" t="s">
        <v>1627</v>
      </c>
      <c r="B789" s="344" t="s">
        <v>162</v>
      </c>
      <c r="C789" s="344">
        <v>6721</v>
      </c>
      <c r="D789" s="343" t="s">
        <v>3908</v>
      </c>
      <c r="E789" s="344">
        <v>5988091</v>
      </c>
      <c r="F789" s="343" t="s">
        <v>7731</v>
      </c>
      <c r="G789" s="360" t="s">
        <v>10075</v>
      </c>
      <c r="H789" s="361">
        <v>43158</v>
      </c>
      <c r="I789" s="343" t="s">
        <v>670</v>
      </c>
      <c r="J789" s="343" t="s">
        <v>10076</v>
      </c>
      <c r="K789" s="343" t="s">
        <v>173</v>
      </c>
    </row>
    <row r="790" spans="1:11" ht="26.25" customHeight="1">
      <c r="A790" s="343" t="s">
        <v>1627</v>
      </c>
      <c r="B790" s="344" t="s">
        <v>162</v>
      </c>
      <c r="C790" s="344">
        <v>6729</v>
      </c>
      <c r="D790" s="343" t="s">
        <v>3838</v>
      </c>
      <c r="E790" s="344">
        <v>5984589</v>
      </c>
      <c r="F790" s="343" t="s">
        <v>3613</v>
      </c>
      <c r="G790" s="360" t="s">
        <v>9520</v>
      </c>
      <c r="H790" s="361">
        <v>43158</v>
      </c>
      <c r="I790" s="343" t="s">
        <v>166</v>
      </c>
      <c r="J790" s="343" t="s">
        <v>296</v>
      </c>
      <c r="K790" s="343" t="s">
        <v>168</v>
      </c>
    </row>
    <row r="791" spans="1:11" ht="26.25" customHeight="1">
      <c r="A791" s="343" t="s">
        <v>1627</v>
      </c>
      <c r="B791" s="344" t="s">
        <v>162</v>
      </c>
      <c r="C791" s="344">
        <v>7085</v>
      </c>
      <c r="D791" s="343" t="s">
        <v>3700</v>
      </c>
      <c r="E791" s="344">
        <v>5745479</v>
      </c>
      <c r="F791" s="343" t="s">
        <v>3846</v>
      </c>
      <c r="G791" s="360" t="s">
        <v>10077</v>
      </c>
      <c r="H791" s="361">
        <v>43158</v>
      </c>
      <c r="I791" s="343" t="s">
        <v>271</v>
      </c>
      <c r="J791" s="343" t="s">
        <v>533</v>
      </c>
      <c r="K791" s="343" t="s">
        <v>168</v>
      </c>
    </row>
    <row r="792" spans="1:11" ht="26.25" customHeight="1">
      <c r="A792" s="343" t="s">
        <v>1627</v>
      </c>
      <c r="B792" s="344" t="s">
        <v>162</v>
      </c>
      <c r="C792" s="344">
        <v>6737</v>
      </c>
      <c r="D792" s="343" t="s">
        <v>3889</v>
      </c>
      <c r="E792" s="344">
        <v>5974768</v>
      </c>
      <c r="F792" s="343" t="s">
        <v>7732</v>
      </c>
      <c r="G792" s="360" t="s">
        <v>10078</v>
      </c>
      <c r="H792" s="361">
        <v>43158</v>
      </c>
      <c r="I792" s="343" t="s">
        <v>166</v>
      </c>
      <c r="J792" s="343" t="s">
        <v>682</v>
      </c>
      <c r="K792" s="343" t="s">
        <v>168</v>
      </c>
    </row>
    <row r="793" spans="1:11" ht="26.25" customHeight="1">
      <c r="A793" s="343" t="s">
        <v>1627</v>
      </c>
      <c r="B793" s="344" t="s">
        <v>162</v>
      </c>
      <c r="C793" s="344">
        <v>11829</v>
      </c>
      <c r="D793" s="343" t="s">
        <v>3840</v>
      </c>
      <c r="E793" s="344">
        <v>5883771</v>
      </c>
      <c r="F793" s="343" t="s">
        <v>7734</v>
      </c>
      <c r="G793" s="360" t="s">
        <v>9408</v>
      </c>
      <c r="H793" s="361">
        <v>43158</v>
      </c>
      <c r="I793" s="343" t="s">
        <v>380</v>
      </c>
      <c r="J793" s="343" t="s">
        <v>10079</v>
      </c>
      <c r="K793" s="343" t="s">
        <v>173</v>
      </c>
    </row>
    <row r="794" spans="1:11" ht="26.25" customHeight="1">
      <c r="A794" s="343" t="s">
        <v>1627</v>
      </c>
      <c r="B794" s="344" t="s">
        <v>162</v>
      </c>
      <c r="C794" s="344">
        <v>8569</v>
      </c>
      <c r="D794" s="343" t="s">
        <v>3902</v>
      </c>
      <c r="E794" s="344">
        <v>6127804</v>
      </c>
      <c r="F794" s="343" t="s">
        <v>7735</v>
      </c>
      <c r="G794" s="360" t="s">
        <v>10080</v>
      </c>
      <c r="H794" s="361">
        <v>43158</v>
      </c>
      <c r="I794" s="343" t="s">
        <v>193</v>
      </c>
      <c r="J794" s="343" t="s">
        <v>637</v>
      </c>
      <c r="K794" s="343" t="s">
        <v>168</v>
      </c>
    </row>
    <row r="795" spans="1:11" ht="26.25" customHeight="1">
      <c r="A795" s="343" t="s">
        <v>1627</v>
      </c>
      <c r="B795" s="344" t="s">
        <v>162</v>
      </c>
      <c r="C795" s="344">
        <v>6737</v>
      </c>
      <c r="D795" s="343" t="s">
        <v>3889</v>
      </c>
      <c r="E795" s="344">
        <v>6202721</v>
      </c>
      <c r="F795" s="343" t="s">
        <v>7736</v>
      </c>
      <c r="G795" s="360" t="s">
        <v>10081</v>
      </c>
      <c r="H795" s="361">
        <v>43158</v>
      </c>
      <c r="I795" s="343" t="s">
        <v>166</v>
      </c>
      <c r="J795" s="343" t="s">
        <v>296</v>
      </c>
      <c r="K795" s="343" t="s">
        <v>168</v>
      </c>
    </row>
    <row r="796" spans="1:11" ht="26.25" customHeight="1">
      <c r="A796" s="343" t="s">
        <v>1627</v>
      </c>
      <c r="B796" s="344" t="s">
        <v>162</v>
      </c>
      <c r="C796" s="344">
        <v>6719</v>
      </c>
      <c r="D796" s="343" t="s">
        <v>3851</v>
      </c>
      <c r="E796" s="344">
        <v>6195532</v>
      </c>
      <c r="F796" s="343" t="s">
        <v>7737</v>
      </c>
      <c r="G796" s="360" t="s">
        <v>10082</v>
      </c>
      <c r="H796" s="361">
        <v>43158</v>
      </c>
      <c r="I796" s="343" t="s">
        <v>193</v>
      </c>
      <c r="J796" s="343" t="s">
        <v>10083</v>
      </c>
      <c r="K796" s="343" t="s">
        <v>168</v>
      </c>
    </row>
    <row r="797" spans="1:11" ht="26.25" customHeight="1">
      <c r="A797" s="343" t="s">
        <v>1627</v>
      </c>
      <c r="B797" s="344" t="s">
        <v>162</v>
      </c>
      <c r="C797" s="344">
        <v>6726</v>
      </c>
      <c r="D797" s="343" t="s">
        <v>3885</v>
      </c>
      <c r="E797" s="344">
        <v>6754048</v>
      </c>
      <c r="F797" s="343" t="s">
        <v>7738</v>
      </c>
      <c r="G797" s="360" t="s">
        <v>10057</v>
      </c>
      <c r="H797" s="361">
        <v>43158</v>
      </c>
      <c r="I797" s="343" t="s">
        <v>166</v>
      </c>
      <c r="J797" s="343" t="s">
        <v>327</v>
      </c>
      <c r="K797" s="343" t="s">
        <v>168</v>
      </c>
    </row>
    <row r="798" spans="1:11" ht="26.25" customHeight="1">
      <c r="A798" s="343" t="s">
        <v>1627</v>
      </c>
      <c r="B798" s="344" t="s">
        <v>162</v>
      </c>
      <c r="C798" s="344">
        <v>6726</v>
      </c>
      <c r="D798" s="343" t="s">
        <v>3885</v>
      </c>
      <c r="E798" s="344">
        <v>5871067</v>
      </c>
      <c r="F798" s="343" t="s">
        <v>7739</v>
      </c>
      <c r="G798" s="360" t="s">
        <v>10084</v>
      </c>
      <c r="H798" s="361">
        <v>43158</v>
      </c>
      <c r="I798" s="343" t="s">
        <v>193</v>
      </c>
      <c r="J798" s="343" t="s">
        <v>603</v>
      </c>
      <c r="K798" s="343" t="s">
        <v>168</v>
      </c>
    </row>
    <row r="799" spans="1:11" ht="26.25" customHeight="1">
      <c r="A799" s="343" t="s">
        <v>1627</v>
      </c>
      <c r="B799" s="344" t="s">
        <v>162</v>
      </c>
      <c r="C799" s="344">
        <v>6719</v>
      </c>
      <c r="D799" s="343" t="s">
        <v>3851</v>
      </c>
      <c r="E799" s="344">
        <v>6035512</v>
      </c>
      <c r="F799" s="343" t="s">
        <v>3852</v>
      </c>
      <c r="G799" s="360" t="s">
        <v>10085</v>
      </c>
      <c r="H799" s="361">
        <v>43158</v>
      </c>
      <c r="I799" s="343" t="s">
        <v>547</v>
      </c>
      <c r="J799" s="343" t="s">
        <v>1028</v>
      </c>
      <c r="K799" s="343" t="s">
        <v>248</v>
      </c>
    </row>
    <row r="800" spans="1:11" ht="26.25" customHeight="1">
      <c r="A800" s="343" t="s">
        <v>1627</v>
      </c>
      <c r="B800" s="344" t="s">
        <v>162</v>
      </c>
      <c r="C800" s="344">
        <v>6740</v>
      </c>
      <c r="D800" s="343" t="s">
        <v>3855</v>
      </c>
      <c r="E800" s="344">
        <v>6067165</v>
      </c>
      <c r="F800" s="343" t="s">
        <v>7740</v>
      </c>
      <c r="G800" s="360" t="s">
        <v>10086</v>
      </c>
      <c r="H800" s="361">
        <v>43159</v>
      </c>
      <c r="I800" s="343" t="s">
        <v>166</v>
      </c>
      <c r="J800" s="343" t="s">
        <v>296</v>
      </c>
      <c r="K800" s="343" t="s">
        <v>168</v>
      </c>
    </row>
    <row r="801" spans="1:11" ht="26.25" customHeight="1">
      <c r="A801" s="343" t="s">
        <v>1627</v>
      </c>
      <c r="B801" s="344" t="s">
        <v>162</v>
      </c>
      <c r="C801" s="344">
        <v>6740</v>
      </c>
      <c r="D801" s="343" t="s">
        <v>3855</v>
      </c>
      <c r="E801" s="344">
        <v>6691065</v>
      </c>
      <c r="F801" s="343" t="s">
        <v>7741</v>
      </c>
      <c r="G801" s="360" t="s">
        <v>10087</v>
      </c>
      <c r="H801" s="361">
        <v>43159</v>
      </c>
      <c r="I801" s="343" t="s">
        <v>802</v>
      </c>
      <c r="J801" s="343" t="s">
        <v>1075</v>
      </c>
      <c r="K801" s="343" t="s">
        <v>168</v>
      </c>
    </row>
    <row r="802" spans="1:11" ht="26.25" customHeight="1">
      <c r="A802" s="343" t="s">
        <v>1627</v>
      </c>
      <c r="B802" s="344" t="s">
        <v>162</v>
      </c>
      <c r="C802" s="344">
        <v>6740</v>
      </c>
      <c r="D802" s="343" t="s">
        <v>3855</v>
      </c>
      <c r="E802" s="344">
        <v>5805662</v>
      </c>
      <c r="F802" s="343" t="s">
        <v>3858</v>
      </c>
      <c r="G802" s="360" t="s">
        <v>9925</v>
      </c>
      <c r="H802" s="361">
        <v>43159</v>
      </c>
      <c r="I802" s="343" t="s">
        <v>4396</v>
      </c>
      <c r="J802" s="343" t="s">
        <v>10088</v>
      </c>
      <c r="K802" s="343" t="s">
        <v>168</v>
      </c>
    </row>
    <row r="803" spans="1:11" ht="26.25" customHeight="1">
      <c r="A803" s="343" t="s">
        <v>1627</v>
      </c>
      <c r="B803" s="344" t="s">
        <v>162</v>
      </c>
      <c r="C803" s="344">
        <v>6732</v>
      </c>
      <c r="D803" s="343" t="s">
        <v>3828</v>
      </c>
      <c r="E803" s="344">
        <v>6283246</v>
      </c>
      <c r="F803" s="343" t="s">
        <v>7163</v>
      </c>
      <c r="G803" s="360" t="s">
        <v>10072</v>
      </c>
      <c r="H803" s="361">
        <v>43164</v>
      </c>
      <c r="I803" s="343" t="s">
        <v>7743</v>
      </c>
      <c r="J803" s="343" t="s">
        <v>10089</v>
      </c>
      <c r="K803" s="343" t="s">
        <v>168</v>
      </c>
    </row>
    <row r="804" spans="1:11" ht="26.25" customHeight="1">
      <c r="A804" s="343" t="s">
        <v>1627</v>
      </c>
      <c r="B804" s="344" t="s">
        <v>162</v>
      </c>
      <c r="C804" s="344">
        <v>6739</v>
      </c>
      <c r="D804" s="343" t="s">
        <v>3916</v>
      </c>
      <c r="E804" s="344">
        <v>6157787</v>
      </c>
      <c r="F804" s="343" t="s">
        <v>7744</v>
      </c>
      <c r="G804" s="360" t="s">
        <v>9461</v>
      </c>
      <c r="H804" s="361">
        <v>43171</v>
      </c>
      <c r="I804" s="343" t="s">
        <v>193</v>
      </c>
      <c r="J804" s="343" t="s">
        <v>637</v>
      </c>
      <c r="K804" s="343" t="s">
        <v>168</v>
      </c>
    </row>
    <row r="805" spans="1:11" ht="26.25" customHeight="1">
      <c r="A805" s="343" t="s">
        <v>1627</v>
      </c>
      <c r="B805" s="344" t="s">
        <v>162</v>
      </c>
      <c r="C805" s="344">
        <v>6729</v>
      </c>
      <c r="D805" s="343" t="s">
        <v>3838</v>
      </c>
      <c r="E805" s="344">
        <v>6115385</v>
      </c>
      <c r="F805" s="343" t="s">
        <v>7745</v>
      </c>
      <c r="G805" s="360" t="s">
        <v>10090</v>
      </c>
      <c r="H805" s="361">
        <v>43171</v>
      </c>
      <c r="I805" s="343" t="s">
        <v>1205</v>
      </c>
      <c r="J805" s="343" t="s">
        <v>10091</v>
      </c>
      <c r="K805" s="343" t="s">
        <v>168</v>
      </c>
    </row>
    <row r="806" spans="1:11" ht="26.25" customHeight="1">
      <c r="A806" s="343" t="s">
        <v>1627</v>
      </c>
      <c r="B806" s="344" t="s">
        <v>162</v>
      </c>
      <c r="C806" s="344">
        <v>9651</v>
      </c>
      <c r="D806" s="343" t="s">
        <v>3622</v>
      </c>
      <c r="E806" s="344">
        <v>6970119</v>
      </c>
      <c r="F806" s="343" t="s">
        <v>7746</v>
      </c>
      <c r="G806" s="360" t="s">
        <v>10092</v>
      </c>
      <c r="H806" s="361">
        <v>43171</v>
      </c>
      <c r="I806" s="343" t="s">
        <v>284</v>
      </c>
      <c r="J806" s="343" t="s">
        <v>9963</v>
      </c>
      <c r="K806" s="343" t="s">
        <v>168</v>
      </c>
    </row>
    <row r="807" spans="1:11" ht="26.25" customHeight="1">
      <c r="A807" s="343" t="s">
        <v>1627</v>
      </c>
      <c r="B807" s="344" t="s">
        <v>162</v>
      </c>
      <c r="C807" s="344">
        <v>8162</v>
      </c>
      <c r="D807" s="343" t="s">
        <v>3614</v>
      </c>
      <c r="E807" s="344">
        <v>6797583</v>
      </c>
      <c r="F807" s="343" t="s">
        <v>7747</v>
      </c>
      <c r="G807" s="360" t="s">
        <v>10093</v>
      </c>
      <c r="H807" s="361">
        <v>43143</v>
      </c>
      <c r="I807" s="343" t="s">
        <v>166</v>
      </c>
      <c r="J807" s="343" t="s">
        <v>327</v>
      </c>
      <c r="K807" s="343" t="s">
        <v>168</v>
      </c>
    </row>
    <row r="808" spans="1:11" ht="26.25" customHeight="1">
      <c r="A808" s="343" t="s">
        <v>1627</v>
      </c>
      <c r="B808" s="344" t="s">
        <v>162</v>
      </c>
      <c r="C808" s="344">
        <v>6718</v>
      </c>
      <c r="D808" s="343" t="s">
        <v>3874</v>
      </c>
      <c r="E808" s="344">
        <v>6670699</v>
      </c>
      <c r="F808" s="343" t="s">
        <v>7748</v>
      </c>
      <c r="G808" s="360" t="s">
        <v>9974</v>
      </c>
      <c r="H808" s="361">
        <v>43171</v>
      </c>
      <c r="I808" s="343" t="s">
        <v>6166</v>
      </c>
      <c r="J808" s="343" t="s">
        <v>10094</v>
      </c>
      <c r="K808" s="343" t="s">
        <v>173</v>
      </c>
    </row>
    <row r="809" spans="1:11" ht="26.25" customHeight="1">
      <c r="A809" s="343" t="s">
        <v>1627</v>
      </c>
      <c r="B809" s="344" t="s">
        <v>162</v>
      </c>
      <c r="C809" s="344">
        <v>6740</v>
      </c>
      <c r="D809" s="343" t="s">
        <v>3855</v>
      </c>
      <c r="E809" s="344">
        <v>6198479</v>
      </c>
      <c r="F809" s="343" t="s">
        <v>7749</v>
      </c>
      <c r="G809" s="360" t="s">
        <v>9619</v>
      </c>
      <c r="H809" s="361">
        <v>43171</v>
      </c>
      <c r="I809" s="343" t="s">
        <v>198</v>
      </c>
      <c r="J809" s="343" t="s">
        <v>10095</v>
      </c>
      <c r="K809" s="343" t="s">
        <v>168</v>
      </c>
    </row>
    <row r="810" spans="1:11" ht="26.25" customHeight="1">
      <c r="A810" s="343" t="s">
        <v>1627</v>
      </c>
      <c r="B810" s="344" t="s">
        <v>162</v>
      </c>
      <c r="C810" s="344">
        <v>12773</v>
      </c>
      <c r="D810" s="343" t="s">
        <v>3887</v>
      </c>
      <c r="E810" s="344">
        <v>6077954</v>
      </c>
      <c r="F810" s="343" t="s">
        <v>7750</v>
      </c>
      <c r="G810" s="360" t="s">
        <v>9543</v>
      </c>
      <c r="H810" s="361">
        <v>43171</v>
      </c>
      <c r="I810" s="343" t="s">
        <v>166</v>
      </c>
      <c r="J810" s="343" t="s">
        <v>296</v>
      </c>
      <c r="K810" s="343" t="s">
        <v>168</v>
      </c>
    </row>
    <row r="811" spans="1:11" ht="26.25" customHeight="1">
      <c r="A811" s="343" t="s">
        <v>1627</v>
      </c>
      <c r="B811" s="344" t="s">
        <v>162</v>
      </c>
      <c r="C811" s="344">
        <v>10068</v>
      </c>
      <c r="D811" s="343" t="s">
        <v>3689</v>
      </c>
      <c r="E811" s="344">
        <v>6420167</v>
      </c>
      <c r="F811" s="343" t="s">
        <v>7751</v>
      </c>
      <c r="G811" s="360" t="s">
        <v>10096</v>
      </c>
      <c r="H811" s="361">
        <v>43171</v>
      </c>
      <c r="I811" s="343" t="s">
        <v>7752</v>
      </c>
      <c r="J811" s="343" t="s">
        <v>10097</v>
      </c>
      <c r="K811" s="343" t="s">
        <v>168</v>
      </c>
    </row>
    <row r="812" spans="1:11" ht="26.25" customHeight="1">
      <c r="A812" s="343" t="s">
        <v>1627</v>
      </c>
      <c r="B812" s="344" t="s">
        <v>162</v>
      </c>
      <c r="C812" s="344">
        <v>11563</v>
      </c>
      <c r="D812" s="343" t="s">
        <v>3610</v>
      </c>
      <c r="E812" s="344">
        <v>6854681</v>
      </c>
      <c r="F812" s="343" t="s">
        <v>7753</v>
      </c>
      <c r="G812" s="360" t="s">
        <v>10098</v>
      </c>
      <c r="H812" s="361">
        <v>43171</v>
      </c>
      <c r="I812" s="343" t="s">
        <v>1016</v>
      </c>
      <c r="J812" s="343" t="s">
        <v>10099</v>
      </c>
      <c r="K812" s="343" t="s">
        <v>168</v>
      </c>
    </row>
    <row r="813" spans="1:11" ht="26.25" customHeight="1">
      <c r="A813" s="343" t="s">
        <v>1627</v>
      </c>
      <c r="B813" s="344" t="s">
        <v>162</v>
      </c>
      <c r="C813" s="344">
        <v>10058</v>
      </c>
      <c r="D813" s="343" t="s">
        <v>3671</v>
      </c>
      <c r="E813" s="344">
        <v>6779101</v>
      </c>
      <c r="F813" s="343" t="s">
        <v>7754</v>
      </c>
      <c r="G813" s="360" t="s">
        <v>10100</v>
      </c>
      <c r="H813" s="361">
        <v>43171</v>
      </c>
      <c r="I813" s="343" t="s">
        <v>3629</v>
      </c>
      <c r="J813" s="343" t="s">
        <v>10101</v>
      </c>
      <c r="K813" s="343" t="s">
        <v>168</v>
      </c>
    </row>
    <row r="814" spans="1:11" ht="26.25" customHeight="1">
      <c r="A814" s="343" t="s">
        <v>1627</v>
      </c>
      <c r="B814" s="344" t="s">
        <v>162</v>
      </c>
      <c r="C814" s="344">
        <v>12689</v>
      </c>
      <c r="D814" s="343" t="s">
        <v>3853</v>
      </c>
      <c r="E814" s="344">
        <v>6266892</v>
      </c>
      <c r="F814" s="343" t="s">
        <v>7755</v>
      </c>
      <c r="G814" s="360" t="s">
        <v>10102</v>
      </c>
      <c r="H814" s="361">
        <v>43173</v>
      </c>
      <c r="I814" s="343" t="s">
        <v>193</v>
      </c>
      <c r="J814" s="343" t="s">
        <v>509</v>
      </c>
      <c r="K814" s="343" t="s">
        <v>168</v>
      </c>
    </row>
    <row r="815" spans="1:11" ht="26.25" customHeight="1">
      <c r="A815" s="343" t="s">
        <v>1627</v>
      </c>
      <c r="B815" s="344" t="s">
        <v>162</v>
      </c>
      <c r="C815" s="344">
        <v>12689</v>
      </c>
      <c r="D815" s="343" t="s">
        <v>3853</v>
      </c>
      <c r="E815" s="344">
        <v>6185453</v>
      </c>
      <c r="F815" s="343" t="s">
        <v>7756</v>
      </c>
      <c r="G815" s="360" t="s">
        <v>10103</v>
      </c>
      <c r="H815" s="361">
        <v>43173</v>
      </c>
      <c r="I815" s="343" t="s">
        <v>166</v>
      </c>
      <c r="J815" s="343" t="s">
        <v>327</v>
      </c>
      <c r="K815" s="343" t="s">
        <v>168</v>
      </c>
    </row>
    <row r="816" spans="1:11" ht="26.25" customHeight="1">
      <c r="A816" s="343" t="s">
        <v>1627</v>
      </c>
      <c r="B816" s="344" t="s">
        <v>162</v>
      </c>
      <c r="C816" s="344">
        <v>10058</v>
      </c>
      <c r="D816" s="343" t="s">
        <v>3671</v>
      </c>
      <c r="E816" s="344">
        <v>6551372</v>
      </c>
      <c r="F816" s="343" t="s">
        <v>7171</v>
      </c>
      <c r="G816" s="360" t="s">
        <v>10104</v>
      </c>
      <c r="H816" s="361">
        <v>43173</v>
      </c>
      <c r="I816" s="343" t="s">
        <v>193</v>
      </c>
      <c r="J816" s="343" t="s">
        <v>637</v>
      </c>
      <c r="K816" s="343" t="s">
        <v>168</v>
      </c>
    </row>
    <row r="817" spans="1:11" ht="26.25" customHeight="1">
      <c r="A817" s="343" t="s">
        <v>1627</v>
      </c>
      <c r="B817" s="344" t="s">
        <v>162</v>
      </c>
      <c r="C817" s="344">
        <v>9762</v>
      </c>
      <c r="D817" s="343" t="s">
        <v>3825</v>
      </c>
      <c r="E817" s="344">
        <v>6112730</v>
      </c>
      <c r="F817" s="343" t="s">
        <v>7757</v>
      </c>
      <c r="G817" s="360" t="s">
        <v>10105</v>
      </c>
      <c r="H817" s="361">
        <v>43173</v>
      </c>
      <c r="I817" s="343" t="s">
        <v>465</v>
      </c>
      <c r="J817" s="343" t="s">
        <v>9614</v>
      </c>
      <c r="K817" s="343" t="s">
        <v>168</v>
      </c>
    </row>
    <row r="818" spans="1:11" ht="26.25" customHeight="1">
      <c r="A818" s="343" t="s">
        <v>1627</v>
      </c>
      <c r="B818" s="344" t="s">
        <v>162</v>
      </c>
      <c r="C818" s="344">
        <v>12773</v>
      </c>
      <c r="D818" s="343" t="s">
        <v>3887</v>
      </c>
      <c r="E818" s="344">
        <v>5871498</v>
      </c>
      <c r="F818" s="343" t="s">
        <v>7758</v>
      </c>
      <c r="G818" s="360" t="s">
        <v>10106</v>
      </c>
      <c r="H818" s="361">
        <v>43174</v>
      </c>
      <c r="I818" s="343" t="s">
        <v>366</v>
      </c>
      <c r="J818" s="343" t="s">
        <v>366</v>
      </c>
      <c r="K818" s="343" t="s">
        <v>168</v>
      </c>
    </row>
    <row r="819" spans="1:11" ht="26.25" customHeight="1">
      <c r="A819" s="343" t="s">
        <v>1627</v>
      </c>
      <c r="B819" s="344" t="s">
        <v>162</v>
      </c>
      <c r="C819" s="344">
        <v>9762</v>
      </c>
      <c r="D819" s="343" t="s">
        <v>3825</v>
      </c>
      <c r="E819" s="344">
        <v>5865071</v>
      </c>
      <c r="F819" s="343" t="s">
        <v>3827</v>
      </c>
      <c r="G819" s="360" t="s">
        <v>10107</v>
      </c>
      <c r="H819" s="361">
        <v>43174</v>
      </c>
      <c r="I819" s="343" t="s">
        <v>193</v>
      </c>
      <c r="J819" s="343" t="s">
        <v>509</v>
      </c>
      <c r="K819" s="343" t="s">
        <v>168</v>
      </c>
    </row>
    <row r="820" spans="1:11" ht="26.25" customHeight="1">
      <c r="A820" s="343" t="s">
        <v>1627</v>
      </c>
      <c r="B820" s="344" t="s">
        <v>162</v>
      </c>
      <c r="C820" s="344">
        <v>6721</v>
      </c>
      <c r="D820" s="343" t="s">
        <v>3908</v>
      </c>
      <c r="E820" s="344">
        <v>6072421</v>
      </c>
      <c r="F820" s="343" t="s">
        <v>7759</v>
      </c>
      <c r="G820" s="360" t="s">
        <v>10108</v>
      </c>
      <c r="H820" s="361">
        <v>43174</v>
      </c>
      <c r="I820" s="343" t="s">
        <v>166</v>
      </c>
      <c r="J820" s="343" t="s">
        <v>327</v>
      </c>
      <c r="K820" s="343" t="s">
        <v>168</v>
      </c>
    </row>
    <row r="821" spans="1:11" ht="26.25" customHeight="1">
      <c r="A821" s="343" t="s">
        <v>1627</v>
      </c>
      <c r="B821" s="344" t="s">
        <v>162</v>
      </c>
      <c r="C821" s="344">
        <v>11829</v>
      </c>
      <c r="D821" s="343" t="s">
        <v>3840</v>
      </c>
      <c r="E821" s="344">
        <v>5967013</v>
      </c>
      <c r="F821" s="343" t="s">
        <v>8282</v>
      </c>
      <c r="G821" s="360" t="s">
        <v>9734</v>
      </c>
      <c r="H821" s="361">
        <v>43182</v>
      </c>
      <c r="I821" s="343" t="s">
        <v>271</v>
      </c>
      <c r="J821" s="343" t="s">
        <v>533</v>
      </c>
      <c r="K821" s="343" t="s">
        <v>168</v>
      </c>
    </row>
    <row r="822" spans="1:11" ht="26.25" customHeight="1">
      <c r="A822" s="343" t="s">
        <v>1627</v>
      </c>
      <c r="B822" s="344" t="s">
        <v>162</v>
      </c>
      <c r="C822" s="344">
        <v>11697</v>
      </c>
      <c r="D822" s="343" t="s">
        <v>3674</v>
      </c>
      <c r="E822" s="344">
        <v>6700471</v>
      </c>
      <c r="F822" s="343" t="s">
        <v>8283</v>
      </c>
      <c r="G822" s="360" t="s">
        <v>10109</v>
      </c>
      <c r="H822" s="361">
        <v>43182</v>
      </c>
      <c r="I822" s="343" t="s">
        <v>193</v>
      </c>
      <c r="J822" s="343" t="s">
        <v>637</v>
      </c>
      <c r="K822" s="343" t="s">
        <v>168</v>
      </c>
    </row>
    <row r="823" spans="1:11" ht="26.25" customHeight="1">
      <c r="A823" s="343" t="s">
        <v>1627</v>
      </c>
      <c r="B823" s="344" t="s">
        <v>162</v>
      </c>
      <c r="C823" s="344">
        <v>7064</v>
      </c>
      <c r="D823" s="343" t="s">
        <v>7406</v>
      </c>
      <c r="E823" s="344">
        <v>5719996</v>
      </c>
      <c r="F823" s="343" t="s">
        <v>8284</v>
      </c>
      <c r="G823" s="360" t="s">
        <v>1335</v>
      </c>
      <c r="H823" s="361">
        <v>43182</v>
      </c>
      <c r="I823" s="343" t="s">
        <v>211</v>
      </c>
      <c r="J823" s="343" t="s">
        <v>211</v>
      </c>
      <c r="K823" s="343" t="s">
        <v>168</v>
      </c>
    </row>
    <row r="824" spans="1:11" ht="26.25" customHeight="1">
      <c r="A824" s="343" t="s">
        <v>1627</v>
      </c>
      <c r="B824" s="344" t="s">
        <v>162</v>
      </c>
      <c r="C824" s="344">
        <v>7081</v>
      </c>
      <c r="D824" s="343" t="s">
        <v>8285</v>
      </c>
      <c r="E824" s="344">
        <v>5640004</v>
      </c>
      <c r="F824" s="343" t="s">
        <v>8286</v>
      </c>
      <c r="G824" s="360" t="s">
        <v>1266</v>
      </c>
      <c r="H824" s="361">
        <v>43182</v>
      </c>
      <c r="I824" s="343" t="s">
        <v>211</v>
      </c>
      <c r="J824" s="343" t="s">
        <v>211</v>
      </c>
      <c r="K824" s="343" t="s">
        <v>168</v>
      </c>
    </row>
    <row r="825" spans="1:11" ht="26.25" customHeight="1">
      <c r="A825" s="343" t="s">
        <v>1627</v>
      </c>
      <c r="B825" s="344" t="s">
        <v>162</v>
      </c>
      <c r="C825" s="344">
        <v>8503</v>
      </c>
      <c r="D825" s="343" t="s">
        <v>3831</v>
      </c>
      <c r="E825" s="344">
        <v>6118122</v>
      </c>
      <c r="F825" s="343" t="s">
        <v>8287</v>
      </c>
      <c r="G825" s="360" t="s">
        <v>10110</v>
      </c>
      <c r="H825" s="361">
        <v>43182</v>
      </c>
      <c r="I825" s="343" t="s">
        <v>1038</v>
      </c>
      <c r="J825" s="343" t="s">
        <v>1039</v>
      </c>
      <c r="K825" s="343" t="s">
        <v>168</v>
      </c>
    </row>
    <row r="826" spans="1:11" ht="26.25" customHeight="1">
      <c r="A826" s="343" t="s">
        <v>1627</v>
      </c>
      <c r="B826" s="344" t="s">
        <v>162</v>
      </c>
      <c r="C826" s="344">
        <v>9168</v>
      </c>
      <c r="D826" s="343" t="s">
        <v>3911</v>
      </c>
      <c r="E826" s="344">
        <v>6952985</v>
      </c>
      <c r="F826" s="343" t="s">
        <v>8288</v>
      </c>
      <c r="G826" s="360" t="s">
        <v>445</v>
      </c>
      <c r="H826" s="361">
        <v>43182</v>
      </c>
      <c r="I826" s="343" t="s">
        <v>166</v>
      </c>
      <c r="J826" s="343" t="s">
        <v>10111</v>
      </c>
      <c r="K826" s="343" t="s">
        <v>173</v>
      </c>
    </row>
    <row r="827" spans="1:11" ht="26.25" customHeight="1">
      <c r="A827" s="343" t="s">
        <v>1627</v>
      </c>
      <c r="B827" s="344" t="s">
        <v>162</v>
      </c>
      <c r="C827" s="344">
        <v>6728</v>
      </c>
      <c r="D827" s="343" t="s">
        <v>3815</v>
      </c>
      <c r="E827" s="344">
        <v>6285953</v>
      </c>
      <c r="F827" s="343" t="s">
        <v>8289</v>
      </c>
      <c r="G827" s="360" t="s">
        <v>10112</v>
      </c>
      <c r="H827" s="361">
        <v>43182</v>
      </c>
      <c r="I827" s="343" t="s">
        <v>187</v>
      </c>
      <c r="J827" s="343" t="s">
        <v>187</v>
      </c>
      <c r="K827" s="343" t="s">
        <v>168</v>
      </c>
    </row>
    <row r="828" spans="1:11" ht="26.25" customHeight="1">
      <c r="A828" s="343" t="s">
        <v>1627</v>
      </c>
      <c r="B828" s="344" t="s">
        <v>162</v>
      </c>
      <c r="C828" s="344">
        <v>8162</v>
      </c>
      <c r="D828" s="343" t="s">
        <v>3614</v>
      </c>
      <c r="E828" s="344">
        <v>6749571</v>
      </c>
      <c r="F828" s="343" t="s">
        <v>8290</v>
      </c>
      <c r="G828" s="360" t="s">
        <v>10113</v>
      </c>
      <c r="H828" s="361">
        <v>43182</v>
      </c>
      <c r="I828" s="343" t="s">
        <v>166</v>
      </c>
      <c r="J828" s="343" t="s">
        <v>327</v>
      </c>
      <c r="K828" s="343" t="s">
        <v>168</v>
      </c>
    </row>
    <row r="829" spans="1:11" ht="26.25" customHeight="1">
      <c r="A829" s="343" t="s">
        <v>1627</v>
      </c>
      <c r="B829" s="344" t="s">
        <v>162</v>
      </c>
      <c r="C829" s="344">
        <v>11829</v>
      </c>
      <c r="D829" s="343" t="s">
        <v>3840</v>
      </c>
      <c r="E829" s="344">
        <v>6089596</v>
      </c>
      <c r="F829" s="343" t="s">
        <v>8291</v>
      </c>
      <c r="G829" s="360" t="s">
        <v>209</v>
      </c>
      <c r="H829" s="361">
        <v>43182</v>
      </c>
      <c r="I829" s="343" t="s">
        <v>465</v>
      </c>
      <c r="J829" s="343" t="s">
        <v>9697</v>
      </c>
      <c r="K829" s="343" t="s">
        <v>168</v>
      </c>
    </row>
    <row r="830" spans="1:11" ht="26.25" customHeight="1">
      <c r="A830" s="343" t="s">
        <v>1627</v>
      </c>
      <c r="B830" s="344" t="s">
        <v>162</v>
      </c>
      <c r="C830" s="344">
        <v>7587</v>
      </c>
      <c r="D830" s="343" t="s">
        <v>3664</v>
      </c>
      <c r="E830" s="344">
        <v>6949008</v>
      </c>
      <c r="F830" s="343" t="s">
        <v>8292</v>
      </c>
      <c r="G830" s="360" t="s">
        <v>10114</v>
      </c>
      <c r="H830" s="361">
        <v>43182</v>
      </c>
      <c r="I830" s="343" t="s">
        <v>284</v>
      </c>
      <c r="J830" s="343" t="s">
        <v>10115</v>
      </c>
      <c r="K830" s="343" t="s">
        <v>168</v>
      </c>
    </row>
    <row r="831" spans="1:11" ht="26.25" customHeight="1">
      <c r="A831" s="343" t="s">
        <v>1627</v>
      </c>
      <c r="B831" s="344" t="s">
        <v>162</v>
      </c>
      <c r="C831" s="344">
        <v>7587</v>
      </c>
      <c r="D831" s="343" t="s">
        <v>3664</v>
      </c>
      <c r="E831" s="344">
        <v>6949011</v>
      </c>
      <c r="F831" s="343" t="s">
        <v>8293</v>
      </c>
      <c r="G831" s="360" t="s">
        <v>10114</v>
      </c>
      <c r="H831" s="361">
        <v>43182</v>
      </c>
      <c r="I831" s="343" t="s">
        <v>284</v>
      </c>
      <c r="J831" s="343" t="s">
        <v>10115</v>
      </c>
      <c r="K831" s="343" t="s">
        <v>168</v>
      </c>
    </row>
    <row r="832" spans="1:11" ht="26.25" customHeight="1">
      <c r="A832" s="343" t="s">
        <v>1627</v>
      </c>
      <c r="B832" s="344" t="s">
        <v>162</v>
      </c>
      <c r="C832" s="344">
        <v>7585</v>
      </c>
      <c r="D832" s="343" t="s">
        <v>3626</v>
      </c>
      <c r="E832" s="344">
        <v>6784920</v>
      </c>
      <c r="F832" s="343" t="s">
        <v>8294</v>
      </c>
      <c r="G832" s="360" t="s">
        <v>10116</v>
      </c>
      <c r="H832" s="361">
        <v>43185</v>
      </c>
      <c r="I832" s="343" t="s">
        <v>166</v>
      </c>
      <c r="J832" s="343" t="s">
        <v>327</v>
      </c>
      <c r="K832" s="343" t="s">
        <v>168</v>
      </c>
    </row>
    <row r="833" spans="1:11" ht="26.25" customHeight="1">
      <c r="A833" s="343" t="s">
        <v>1627</v>
      </c>
      <c r="B833" s="344" t="s">
        <v>162</v>
      </c>
      <c r="C833" s="344">
        <v>10058</v>
      </c>
      <c r="D833" s="343" t="s">
        <v>3671</v>
      </c>
      <c r="E833" s="344">
        <v>6643065</v>
      </c>
      <c r="F833" s="343" t="s">
        <v>3673</v>
      </c>
      <c r="G833" s="360" t="s">
        <v>9706</v>
      </c>
      <c r="H833" s="361">
        <v>43166</v>
      </c>
      <c r="I833" s="343" t="s">
        <v>193</v>
      </c>
      <c r="J833" s="343" t="s">
        <v>637</v>
      </c>
      <c r="K833" s="343" t="s">
        <v>168</v>
      </c>
    </row>
    <row r="834" spans="1:11" ht="26.25" customHeight="1">
      <c r="A834" s="343" t="s">
        <v>1627</v>
      </c>
      <c r="B834" s="344" t="s">
        <v>162</v>
      </c>
      <c r="C834" s="344">
        <v>6734</v>
      </c>
      <c r="D834" s="343" t="s">
        <v>3843</v>
      </c>
      <c r="E834" s="344">
        <v>6028054</v>
      </c>
      <c r="F834" s="343" t="s">
        <v>3658</v>
      </c>
      <c r="G834" s="360" t="s">
        <v>10117</v>
      </c>
      <c r="H834" s="361">
        <v>43194</v>
      </c>
      <c r="I834" s="343" t="s">
        <v>366</v>
      </c>
      <c r="J834" s="343" t="s">
        <v>366</v>
      </c>
      <c r="K834" s="343" t="s">
        <v>168</v>
      </c>
    </row>
    <row r="835" spans="1:11" ht="26.25" customHeight="1">
      <c r="A835" s="343" t="s">
        <v>1627</v>
      </c>
      <c r="B835" s="344" t="s">
        <v>162</v>
      </c>
      <c r="C835" s="344">
        <v>6728</v>
      </c>
      <c r="D835" s="343" t="s">
        <v>3815</v>
      </c>
      <c r="E835" s="344">
        <v>7052519</v>
      </c>
      <c r="F835" s="343" t="s">
        <v>8295</v>
      </c>
      <c r="G835" s="360" t="s">
        <v>419</v>
      </c>
      <c r="H835" s="361">
        <v>43195</v>
      </c>
      <c r="I835" s="343" t="s">
        <v>8296</v>
      </c>
      <c r="J835" s="343" t="s">
        <v>10118</v>
      </c>
      <c r="K835" s="343" t="s">
        <v>168</v>
      </c>
    </row>
    <row r="836" spans="1:11" ht="26.25" customHeight="1">
      <c r="A836" s="343" t="s">
        <v>1627</v>
      </c>
      <c r="B836" s="344" t="s">
        <v>162</v>
      </c>
      <c r="C836" s="344">
        <v>6738</v>
      </c>
      <c r="D836" s="343" t="s">
        <v>8297</v>
      </c>
      <c r="E836" s="344">
        <v>6250561</v>
      </c>
      <c r="F836" s="343" t="s">
        <v>8298</v>
      </c>
      <c r="G836" s="360" t="s">
        <v>10119</v>
      </c>
      <c r="H836" s="361">
        <v>43200</v>
      </c>
      <c r="I836" s="343" t="s">
        <v>4026</v>
      </c>
      <c r="J836" s="343" t="s">
        <v>10120</v>
      </c>
      <c r="K836" s="343" t="s">
        <v>168</v>
      </c>
    </row>
    <row r="837" spans="1:11" ht="26.25" customHeight="1">
      <c r="A837" s="343" t="s">
        <v>1627</v>
      </c>
      <c r="B837" s="344" t="s">
        <v>162</v>
      </c>
      <c r="C837" s="344">
        <v>8503</v>
      </c>
      <c r="D837" s="343" t="s">
        <v>3831</v>
      </c>
      <c r="E837" s="344">
        <v>5993334</v>
      </c>
      <c r="F837" s="343" t="s">
        <v>8299</v>
      </c>
      <c r="G837" s="360" t="s">
        <v>10121</v>
      </c>
      <c r="H837" s="361">
        <v>43203</v>
      </c>
      <c r="I837" s="343" t="s">
        <v>166</v>
      </c>
      <c r="J837" s="343" t="s">
        <v>296</v>
      </c>
      <c r="K837" s="343" t="s">
        <v>168</v>
      </c>
    </row>
    <row r="838" spans="1:11" ht="26.25" customHeight="1">
      <c r="A838" s="343" t="s">
        <v>1627</v>
      </c>
      <c r="B838" s="344" t="s">
        <v>162</v>
      </c>
      <c r="C838" s="344">
        <v>6735</v>
      </c>
      <c r="D838" s="343" t="s">
        <v>3869</v>
      </c>
      <c r="E838" s="344">
        <v>5941412</v>
      </c>
      <c r="F838" s="343" t="s">
        <v>7463</v>
      </c>
      <c r="G838" s="360" t="s">
        <v>9549</v>
      </c>
      <c r="H838" s="361">
        <v>43203</v>
      </c>
      <c r="I838" s="343" t="s">
        <v>166</v>
      </c>
      <c r="J838" s="343" t="s">
        <v>682</v>
      </c>
      <c r="K838" s="343" t="s">
        <v>168</v>
      </c>
    </row>
    <row r="839" spans="1:11" ht="26.25" customHeight="1">
      <c r="A839" s="343" t="s">
        <v>1627</v>
      </c>
      <c r="B839" s="344" t="s">
        <v>162</v>
      </c>
      <c r="C839" s="344">
        <v>6728</v>
      </c>
      <c r="D839" s="343" t="s">
        <v>3815</v>
      </c>
      <c r="E839" s="344">
        <v>6345012</v>
      </c>
      <c r="F839" s="343" t="s">
        <v>8300</v>
      </c>
      <c r="G839" s="360" t="s">
        <v>10122</v>
      </c>
      <c r="H839" s="361">
        <v>43203</v>
      </c>
      <c r="I839" s="343" t="s">
        <v>193</v>
      </c>
      <c r="J839" s="343" t="s">
        <v>10123</v>
      </c>
      <c r="K839" s="343" t="s">
        <v>168</v>
      </c>
    </row>
    <row r="840" spans="1:11" ht="26.25" customHeight="1">
      <c r="A840" s="343" t="s">
        <v>1627</v>
      </c>
      <c r="B840" s="344" t="s">
        <v>162</v>
      </c>
      <c r="C840" s="344">
        <v>7590</v>
      </c>
      <c r="D840" s="343" t="s">
        <v>3647</v>
      </c>
      <c r="E840" s="344">
        <v>6636976</v>
      </c>
      <c r="F840" s="343" t="s">
        <v>8301</v>
      </c>
      <c r="G840" s="360" t="s">
        <v>10124</v>
      </c>
      <c r="H840" s="361">
        <v>43203</v>
      </c>
      <c r="I840" s="343" t="s">
        <v>193</v>
      </c>
      <c r="J840" s="343" t="s">
        <v>637</v>
      </c>
      <c r="K840" s="343" t="s">
        <v>168</v>
      </c>
    </row>
    <row r="841" spans="1:11" ht="26.25" customHeight="1">
      <c r="A841" s="343" t="s">
        <v>1627</v>
      </c>
      <c r="B841" s="344" t="s">
        <v>162</v>
      </c>
      <c r="C841" s="344">
        <v>6720</v>
      </c>
      <c r="D841" s="343" t="s">
        <v>3877</v>
      </c>
      <c r="E841" s="344">
        <v>6141020</v>
      </c>
      <c r="F841" s="343" t="s">
        <v>8302</v>
      </c>
      <c r="G841" s="360" t="s">
        <v>10080</v>
      </c>
      <c r="H841" s="361">
        <v>43208</v>
      </c>
      <c r="I841" s="343" t="s">
        <v>166</v>
      </c>
      <c r="J841" s="343" t="s">
        <v>296</v>
      </c>
      <c r="K841" s="343" t="s">
        <v>168</v>
      </c>
    </row>
    <row r="842" spans="1:11" ht="26.25" customHeight="1">
      <c r="A842" s="343" t="s">
        <v>1627</v>
      </c>
      <c r="B842" s="344" t="s">
        <v>162</v>
      </c>
      <c r="C842" s="344">
        <v>7578</v>
      </c>
      <c r="D842" s="343" t="s">
        <v>3649</v>
      </c>
      <c r="E842" s="344">
        <v>6787597</v>
      </c>
      <c r="F842" s="343" t="s">
        <v>8303</v>
      </c>
      <c r="G842" s="360" t="s">
        <v>10125</v>
      </c>
      <c r="H842" s="361">
        <v>43208</v>
      </c>
      <c r="I842" s="343" t="s">
        <v>166</v>
      </c>
      <c r="J842" s="343" t="s">
        <v>327</v>
      </c>
      <c r="K842" s="343" t="s">
        <v>168</v>
      </c>
    </row>
    <row r="843" spans="1:11" ht="26.25" customHeight="1">
      <c r="A843" s="343" t="s">
        <v>1627</v>
      </c>
      <c r="B843" s="344" t="s">
        <v>162</v>
      </c>
      <c r="C843" s="344">
        <v>7578</v>
      </c>
      <c r="D843" s="343" t="s">
        <v>3649</v>
      </c>
      <c r="E843" s="344">
        <v>6962247</v>
      </c>
      <c r="F843" s="343" t="s">
        <v>8304</v>
      </c>
      <c r="G843" s="360" t="s">
        <v>10126</v>
      </c>
      <c r="H843" s="361">
        <v>43208</v>
      </c>
      <c r="I843" s="343" t="s">
        <v>166</v>
      </c>
      <c r="J843" s="343" t="s">
        <v>10127</v>
      </c>
      <c r="K843" s="343" t="s">
        <v>248</v>
      </c>
    </row>
    <row r="844" spans="1:11" ht="26.25" customHeight="1">
      <c r="A844" s="343" t="s">
        <v>1627</v>
      </c>
      <c r="B844" s="344" t="s">
        <v>162</v>
      </c>
      <c r="C844" s="344">
        <v>7585</v>
      </c>
      <c r="D844" s="343" t="s">
        <v>3626</v>
      </c>
      <c r="E844" s="344">
        <v>6753555</v>
      </c>
      <c r="F844" s="343" t="s">
        <v>3627</v>
      </c>
      <c r="G844" s="360" t="s">
        <v>10128</v>
      </c>
      <c r="H844" s="361">
        <v>43209</v>
      </c>
      <c r="I844" s="343" t="s">
        <v>349</v>
      </c>
      <c r="J844" s="343" t="s">
        <v>10129</v>
      </c>
      <c r="K844" s="343" t="s">
        <v>168</v>
      </c>
    </row>
    <row r="845" spans="1:11" ht="26.25" customHeight="1">
      <c r="A845" s="343" t="s">
        <v>1627</v>
      </c>
      <c r="B845" s="344" t="s">
        <v>162</v>
      </c>
      <c r="C845" s="344">
        <v>12884</v>
      </c>
      <c r="D845" s="343" t="s">
        <v>3644</v>
      </c>
      <c r="E845" s="344">
        <v>6950944</v>
      </c>
      <c r="F845" s="343" t="s">
        <v>8305</v>
      </c>
      <c r="G845" s="360" t="s">
        <v>10130</v>
      </c>
      <c r="H845" s="361">
        <v>43209</v>
      </c>
      <c r="I845" s="343" t="s">
        <v>193</v>
      </c>
      <c r="J845" s="343" t="s">
        <v>201</v>
      </c>
      <c r="K845" s="343" t="s">
        <v>168</v>
      </c>
    </row>
    <row r="846" spans="1:11" ht="26.25" customHeight="1">
      <c r="A846" s="343" t="s">
        <v>1627</v>
      </c>
      <c r="B846" s="344" t="s">
        <v>162</v>
      </c>
      <c r="C846" s="344">
        <v>6731</v>
      </c>
      <c r="D846" s="343" t="s">
        <v>3819</v>
      </c>
      <c r="E846" s="344">
        <v>6065759</v>
      </c>
      <c r="F846" s="343" t="s">
        <v>8306</v>
      </c>
      <c r="G846" s="360" t="s">
        <v>10131</v>
      </c>
      <c r="H846" s="361">
        <v>43217</v>
      </c>
      <c r="I846" s="343" t="s">
        <v>275</v>
      </c>
      <c r="J846" s="343" t="s">
        <v>585</v>
      </c>
      <c r="K846" s="343" t="s">
        <v>173</v>
      </c>
    </row>
    <row r="847" spans="1:11" ht="26.25" customHeight="1">
      <c r="A847" s="343" t="s">
        <v>1627</v>
      </c>
      <c r="B847" s="344" t="s">
        <v>162</v>
      </c>
      <c r="C847" s="344">
        <v>6731</v>
      </c>
      <c r="D847" s="343" t="s">
        <v>3819</v>
      </c>
      <c r="E847" s="344">
        <v>6074062</v>
      </c>
      <c r="F847" s="343" t="s">
        <v>8307</v>
      </c>
      <c r="G847" s="360" t="s">
        <v>10132</v>
      </c>
      <c r="H847" s="361">
        <v>43217</v>
      </c>
      <c r="I847" s="343" t="s">
        <v>8308</v>
      </c>
      <c r="J847" s="343" t="s">
        <v>10133</v>
      </c>
      <c r="K847" s="343" t="s">
        <v>168</v>
      </c>
    </row>
    <row r="848" spans="1:11" ht="26.25" customHeight="1">
      <c r="A848" s="343" t="s">
        <v>1627</v>
      </c>
      <c r="B848" s="344" t="s">
        <v>162</v>
      </c>
      <c r="C848" s="344">
        <v>11563</v>
      </c>
      <c r="D848" s="343" t="s">
        <v>3610</v>
      </c>
      <c r="E848" s="344">
        <v>6835931</v>
      </c>
      <c r="F848" s="343" t="s">
        <v>8309</v>
      </c>
      <c r="G848" s="360" t="s">
        <v>10134</v>
      </c>
      <c r="H848" s="361">
        <v>43217</v>
      </c>
      <c r="I848" s="343" t="s">
        <v>514</v>
      </c>
      <c r="J848" s="343" t="s">
        <v>9587</v>
      </c>
      <c r="K848" s="343" t="s">
        <v>168</v>
      </c>
    </row>
    <row r="849" spans="1:11" ht="26.25" customHeight="1">
      <c r="A849" s="343" t="s">
        <v>1627</v>
      </c>
      <c r="B849" s="344" t="s">
        <v>162</v>
      </c>
      <c r="C849" s="344">
        <v>7079</v>
      </c>
      <c r="D849" s="343" t="s">
        <v>3716</v>
      </c>
      <c r="E849" s="344">
        <v>6247408</v>
      </c>
      <c r="F849" s="343" t="s">
        <v>3717</v>
      </c>
      <c r="G849" s="360" t="s">
        <v>9913</v>
      </c>
      <c r="H849" s="361">
        <v>43220</v>
      </c>
      <c r="I849" s="343" t="s">
        <v>193</v>
      </c>
      <c r="J849" s="343" t="s">
        <v>637</v>
      </c>
      <c r="K849" s="343" t="s">
        <v>168</v>
      </c>
    </row>
    <row r="850" spans="1:11" ht="26.25" customHeight="1">
      <c r="A850" s="343" t="s">
        <v>1627</v>
      </c>
      <c r="B850" s="344" t="s">
        <v>162</v>
      </c>
      <c r="C850" s="344">
        <v>10535</v>
      </c>
      <c r="D850" s="343" t="s">
        <v>3654</v>
      </c>
      <c r="E850" s="344">
        <v>6550716</v>
      </c>
      <c r="F850" s="343" t="s">
        <v>8311</v>
      </c>
      <c r="G850" s="360" t="s">
        <v>10135</v>
      </c>
      <c r="H850" s="361">
        <v>43224</v>
      </c>
      <c r="I850" s="343" t="s">
        <v>3583</v>
      </c>
      <c r="J850" s="343" t="s">
        <v>9613</v>
      </c>
      <c r="K850" s="343" t="s">
        <v>173</v>
      </c>
    </row>
    <row r="851" spans="1:11" ht="26.25" customHeight="1">
      <c r="A851" s="343" t="s">
        <v>1627</v>
      </c>
      <c r="B851" s="344" t="s">
        <v>162</v>
      </c>
      <c r="C851" s="344">
        <v>6729</v>
      </c>
      <c r="D851" s="343" t="s">
        <v>3838</v>
      </c>
      <c r="E851" s="344">
        <v>6095244</v>
      </c>
      <c r="F851" s="343" t="s">
        <v>7733</v>
      </c>
      <c r="G851" s="360" t="s">
        <v>10136</v>
      </c>
      <c r="H851" s="361">
        <v>43224</v>
      </c>
      <c r="I851" s="343" t="s">
        <v>193</v>
      </c>
      <c r="J851" s="343" t="s">
        <v>637</v>
      </c>
      <c r="K851" s="343" t="s">
        <v>168</v>
      </c>
    </row>
    <row r="852" spans="1:11" ht="26.25" customHeight="1">
      <c r="A852" s="343" t="s">
        <v>1627</v>
      </c>
      <c r="B852" s="344" t="s">
        <v>162</v>
      </c>
      <c r="C852" s="344">
        <v>6729</v>
      </c>
      <c r="D852" s="343" t="s">
        <v>3838</v>
      </c>
      <c r="E852" s="344">
        <v>6105301</v>
      </c>
      <c r="F852" s="343" t="s">
        <v>8312</v>
      </c>
      <c r="G852" s="360" t="s">
        <v>10137</v>
      </c>
      <c r="H852" s="361">
        <v>43224</v>
      </c>
      <c r="I852" s="343" t="s">
        <v>261</v>
      </c>
      <c r="J852" s="343" t="s">
        <v>9505</v>
      </c>
      <c r="K852" s="343" t="s">
        <v>168</v>
      </c>
    </row>
    <row r="853" spans="1:11" ht="26.25" customHeight="1">
      <c r="A853" s="343" t="s">
        <v>1627</v>
      </c>
      <c r="B853" s="344" t="s">
        <v>162</v>
      </c>
      <c r="C853" s="344">
        <v>9762</v>
      </c>
      <c r="D853" s="343" t="s">
        <v>3825</v>
      </c>
      <c r="E853" s="344">
        <v>6401726</v>
      </c>
      <c r="F853" s="343" t="s">
        <v>8313</v>
      </c>
      <c r="G853" s="360" t="s">
        <v>9466</v>
      </c>
      <c r="H853" s="361">
        <v>43224</v>
      </c>
      <c r="I853" s="343" t="s">
        <v>193</v>
      </c>
      <c r="J853" s="343" t="s">
        <v>10138</v>
      </c>
      <c r="K853" s="343" t="s">
        <v>168</v>
      </c>
    </row>
    <row r="854" spans="1:11" ht="26.25" customHeight="1">
      <c r="A854" s="343" t="s">
        <v>1627</v>
      </c>
      <c r="B854" s="344" t="s">
        <v>162</v>
      </c>
      <c r="C854" s="344">
        <v>9762</v>
      </c>
      <c r="D854" s="343" t="s">
        <v>3825</v>
      </c>
      <c r="E854" s="344">
        <v>6318688</v>
      </c>
      <c r="F854" s="343" t="s">
        <v>7169</v>
      </c>
      <c r="G854" s="360" t="s">
        <v>9649</v>
      </c>
      <c r="H854" s="361">
        <v>43224</v>
      </c>
      <c r="I854" s="343" t="s">
        <v>211</v>
      </c>
      <c r="J854" s="343" t="s">
        <v>10139</v>
      </c>
      <c r="K854" s="343" t="s">
        <v>168</v>
      </c>
    </row>
    <row r="855" spans="1:11" ht="26.25" customHeight="1">
      <c r="A855" s="343" t="s">
        <v>1627</v>
      </c>
      <c r="B855" s="344" t="s">
        <v>162</v>
      </c>
      <c r="C855" s="344">
        <v>9095</v>
      </c>
      <c r="D855" s="343" t="s">
        <v>3821</v>
      </c>
      <c r="E855" s="344">
        <v>6194172</v>
      </c>
      <c r="F855" s="343" t="s">
        <v>8314</v>
      </c>
      <c r="G855" s="360" t="s">
        <v>10140</v>
      </c>
      <c r="H855" s="361">
        <v>43230</v>
      </c>
      <c r="I855" s="343" t="s">
        <v>8315</v>
      </c>
      <c r="J855" s="343" t="s">
        <v>10141</v>
      </c>
      <c r="K855" s="343" t="s">
        <v>168</v>
      </c>
    </row>
    <row r="856" spans="1:11" ht="26.25" customHeight="1">
      <c r="A856" s="343" t="s">
        <v>1627</v>
      </c>
      <c r="B856" s="344" t="s">
        <v>162</v>
      </c>
      <c r="C856" s="344">
        <v>10058</v>
      </c>
      <c r="D856" s="343" t="s">
        <v>3671</v>
      </c>
      <c r="E856" s="344">
        <v>6569890</v>
      </c>
      <c r="F856" s="343" t="s">
        <v>8316</v>
      </c>
      <c r="G856" s="360" t="s">
        <v>9777</v>
      </c>
      <c r="H856" s="361">
        <v>43230</v>
      </c>
      <c r="I856" s="343" t="s">
        <v>349</v>
      </c>
      <c r="J856" s="343" t="s">
        <v>10142</v>
      </c>
      <c r="K856" s="343" t="s">
        <v>168</v>
      </c>
    </row>
    <row r="857" spans="1:11" ht="26.25" customHeight="1">
      <c r="A857" s="343" t="s">
        <v>1627</v>
      </c>
      <c r="B857" s="344" t="s">
        <v>162</v>
      </c>
      <c r="C857" s="344">
        <v>6718</v>
      </c>
      <c r="D857" s="343" t="s">
        <v>3874</v>
      </c>
      <c r="E857" s="344">
        <v>6327829</v>
      </c>
      <c r="F857" s="343" t="s">
        <v>8317</v>
      </c>
      <c r="G857" s="360" t="s">
        <v>9591</v>
      </c>
      <c r="H857" s="361">
        <v>43230</v>
      </c>
      <c r="I857" s="343" t="s">
        <v>8318</v>
      </c>
      <c r="J857" s="343" t="s">
        <v>10143</v>
      </c>
      <c r="K857" s="343" t="s">
        <v>168</v>
      </c>
    </row>
    <row r="858" spans="1:11" ht="26.25" customHeight="1">
      <c r="A858" s="343" t="s">
        <v>1627</v>
      </c>
      <c r="B858" s="344" t="s">
        <v>162</v>
      </c>
      <c r="C858" s="344">
        <v>9095</v>
      </c>
      <c r="D858" s="343" t="s">
        <v>3821</v>
      </c>
      <c r="E858" s="344">
        <v>7009905</v>
      </c>
      <c r="F858" s="343" t="s">
        <v>8319</v>
      </c>
      <c r="G858" s="360" t="s">
        <v>10144</v>
      </c>
      <c r="H858" s="361">
        <v>43230</v>
      </c>
      <c r="I858" s="343" t="s">
        <v>301</v>
      </c>
      <c r="J858" s="343" t="s">
        <v>1113</v>
      </c>
      <c r="K858" s="343" t="s">
        <v>168</v>
      </c>
    </row>
    <row r="859" spans="1:11" ht="26.25" customHeight="1">
      <c r="A859" s="343" t="s">
        <v>1627</v>
      </c>
      <c r="B859" s="344" t="s">
        <v>162</v>
      </c>
      <c r="C859" s="344">
        <v>6726</v>
      </c>
      <c r="D859" s="343" t="s">
        <v>3885</v>
      </c>
      <c r="E859" s="344">
        <v>6098734</v>
      </c>
      <c r="F859" s="343" t="s">
        <v>8320</v>
      </c>
      <c r="G859" s="360" t="s">
        <v>10140</v>
      </c>
      <c r="H859" s="361">
        <v>43234</v>
      </c>
      <c r="I859" s="343" t="s">
        <v>1362</v>
      </c>
      <c r="J859" s="343" t="s">
        <v>10145</v>
      </c>
      <c r="K859" s="343" t="s">
        <v>248</v>
      </c>
    </row>
    <row r="860" spans="1:11" ht="26.25" customHeight="1">
      <c r="A860" s="343" t="s">
        <v>1627</v>
      </c>
      <c r="B860" s="344" t="s">
        <v>162</v>
      </c>
      <c r="C860" s="344">
        <v>6718</v>
      </c>
      <c r="D860" s="343" t="s">
        <v>3874</v>
      </c>
      <c r="E860" s="344">
        <v>6909293</v>
      </c>
      <c r="F860" s="343" t="s">
        <v>8321</v>
      </c>
      <c r="G860" s="360" t="s">
        <v>10062</v>
      </c>
      <c r="H860" s="361">
        <v>43235</v>
      </c>
      <c r="I860" s="343" t="s">
        <v>166</v>
      </c>
      <c r="J860" s="343" t="s">
        <v>296</v>
      </c>
      <c r="K860" s="343" t="s">
        <v>168</v>
      </c>
    </row>
    <row r="861" spans="1:11" ht="26.25" customHeight="1">
      <c r="A861" s="343" t="s">
        <v>1627</v>
      </c>
      <c r="B861" s="344" t="s">
        <v>162</v>
      </c>
      <c r="C861" s="344">
        <v>6718</v>
      </c>
      <c r="D861" s="343" t="s">
        <v>3874</v>
      </c>
      <c r="E861" s="344">
        <v>6976246</v>
      </c>
      <c r="F861" s="343" t="s">
        <v>8322</v>
      </c>
      <c r="G861" s="360" t="s">
        <v>9642</v>
      </c>
      <c r="H861" s="361">
        <v>43235</v>
      </c>
      <c r="I861" s="343" t="s">
        <v>166</v>
      </c>
      <c r="J861" s="343" t="s">
        <v>296</v>
      </c>
      <c r="K861" s="343" t="s">
        <v>168</v>
      </c>
    </row>
    <row r="862" spans="1:11" ht="26.25" customHeight="1">
      <c r="A862" s="343" t="s">
        <v>1627</v>
      </c>
      <c r="B862" s="344" t="s">
        <v>162</v>
      </c>
      <c r="C862" s="344">
        <v>6727</v>
      </c>
      <c r="D862" s="343" t="s">
        <v>3847</v>
      </c>
      <c r="E862" s="344">
        <v>6751437</v>
      </c>
      <c r="F862" s="343" t="s">
        <v>7742</v>
      </c>
      <c r="G862" s="360" t="s">
        <v>10146</v>
      </c>
      <c r="H862" s="361">
        <v>43236</v>
      </c>
      <c r="I862" s="343" t="s">
        <v>8323</v>
      </c>
      <c r="J862" s="343" t="s">
        <v>10147</v>
      </c>
      <c r="K862" s="343" t="s">
        <v>168</v>
      </c>
    </row>
    <row r="863" spans="1:11" ht="26.25" customHeight="1">
      <c r="A863" s="343" t="s">
        <v>1627</v>
      </c>
      <c r="B863" s="344" t="s">
        <v>162</v>
      </c>
      <c r="C863" s="344">
        <v>7072</v>
      </c>
      <c r="D863" s="343" t="s">
        <v>3703</v>
      </c>
      <c r="E863" s="344">
        <v>5590219</v>
      </c>
      <c r="F863" s="343" t="s">
        <v>8324</v>
      </c>
      <c r="G863" s="360" t="s">
        <v>10148</v>
      </c>
      <c r="H863" s="361">
        <v>43237</v>
      </c>
      <c r="I863" s="343" t="s">
        <v>742</v>
      </c>
      <c r="J863" s="343" t="s">
        <v>742</v>
      </c>
      <c r="K863" s="343" t="s">
        <v>168</v>
      </c>
    </row>
    <row r="864" spans="1:11" ht="26.25" customHeight="1">
      <c r="A864" s="343" t="s">
        <v>1627</v>
      </c>
      <c r="B864" s="344" t="s">
        <v>162</v>
      </c>
      <c r="C864" s="344">
        <v>6732</v>
      </c>
      <c r="D864" s="343" t="s">
        <v>3828</v>
      </c>
      <c r="E864" s="344">
        <v>6708734</v>
      </c>
      <c r="F864" s="343" t="s">
        <v>8325</v>
      </c>
      <c r="G864" s="360" t="s">
        <v>1332</v>
      </c>
      <c r="H864" s="361">
        <v>43237</v>
      </c>
      <c r="I864" s="343" t="s">
        <v>1208</v>
      </c>
      <c r="J864" s="343" t="s">
        <v>1209</v>
      </c>
      <c r="K864" s="343" t="s">
        <v>248</v>
      </c>
    </row>
    <row r="865" spans="1:11" ht="26.25" customHeight="1">
      <c r="A865" s="343" t="s">
        <v>1627</v>
      </c>
      <c r="B865" s="344" t="s">
        <v>162</v>
      </c>
      <c r="C865" s="344">
        <v>11607</v>
      </c>
      <c r="D865" s="343" t="s">
        <v>3693</v>
      </c>
      <c r="E865" s="344">
        <v>6157971</v>
      </c>
      <c r="F865" s="343" t="s">
        <v>3675</v>
      </c>
      <c r="G865" s="360" t="s">
        <v>10149</v>
      </c>
      <c r="H865" s="361">
        <v>43174</v>
      </c>
      <c r="I865" s="343" t="s">
        <v>271</v>
      </c>
      <c r="J865" s="343" t="s">
        <v>10150</v>
      </c>
      <c r="K865" s="343" t="s">
        <v>168</v>
      </c>
    </row>
    <row r="866" spans="1:11" ht="26.25" customHeight="1">
      <c r="A866" s="343" t="s">
        <v>1627</v>
      </c>
      <c r="B866" s="344" t="s">
        <v>162</v>
      </c>
      <c r="C866" s="344">
        <v>6728</v>
      </c>
      <c r="D866" s="343" t="s">
        <v>3815</v>
      </c>
      <c r="E866" s="344">
        <v>6312769</v>
      </c>
      <c r="F866" s="343" t="s">
        <v>8326</v>
      </c>
      <c r="G866" s="360" t="s">
        <v>10151</v>
      </c>
      <c r="H866" s="361">
        <v>43243</v>
      </c>
      <c r="I866" s="343" t="s">
        <v>490</v>
      </c>
      <c r="J866" s="343" t="s">
        <v>10152</v>
      </c>
      <c r="K866" s="343" t="s">
        <v>168</v>
      </c>
    </row>
    <row r="867" spans="1:11" ht="26.25" customHeight="1">
      <c r="A867" s="343" t="s">
        <v>1627</v>
      </c>
      <c r="B867" s="344" t="s">
        <v>162</v>
      </c>
      <c r="C867" s="344">
        <v>9762</v>
      </c>
      <c r="D867" s="343" t="s">
        <v>3825</v>
      </c>
      <c r="E867" s="344">
        <v>6213860</v>
      </c>
      <c r="F867" s="343" t="s">
        <v>8327</v>
      </c>
      <c r="G867" s="360" t="s">
        <v>10153</v>
      </c>
      <c r="H867" s="361">
        <v>43243</v>
      </c>
      <c r="I867" s="343" t="s">
        <v>465</v>
      </c>
      <c r="J867" s="343" t="s">
        <v>9697</v>
      </c>
      <c r="K867" s="343" t="s">
        <v>168</v>
      </c>
    </row>
    <row r="868" spans="1:11" ht="26.25" customHeight="1">
      <c r="A868" s="343" t="s">
        <v>1627</v>
      </c>
      <c r="B868" s="344" t="s">
        <v>162</v>
      </c>
      <c r="C868" s="344">
        <v>6733</v>
      </c>
      <c r="D868" s="343" t="s">
        <v>3824</v>
      </c>
      <c r="E868" s="344">
        <v>5939532</v>
      </c>
      <c r="F868" s="343" t="s">
        <v>8328</v>
      </c>
      <c r="G868" s="360" t="s">
        <v>10154</v>
      </c>
      <c r="H868" s="361">
        <v>43244</v>
      </c>
      <c r="I868" s="343" t="s">
        <v>193</v>
      </c>
      <c r="J868" s="343" t="s">
        <v>637</v>
      </c>
      <c r="K868" s="343" t="s">
        <v>168</v>
      </c>
    </row>
    <row r="869" spans="1:11" ht="26.25" customHeight="1">
      <c r="A869" s="343" t="s">
        <v>1627</v>
      </c>
      <c r="B869" s="344" t="s">
        <v>162</v>
      </c>
      <c r="C869" s="344">
        <v>12092</v>
      </c>
      <c r="D869" s="343" t="s">
        <v>3778</v>
      </c>
      <c r="E869" s="344">
        <v>5686531</v>
      </c>
      <c r="F869" s="343" t="s">
        <v>8329</v>
      </c>
      <c r="G869" s="360" t="s">
        <v>10155</v>
      </c>
      <c r="H869" s="361">
        <v>43244</v>
      </c>
      <c r="I869" s="343" t="s">
        <v>166</v>
      </c>
      <c r="J869" s="343" t="s">
        <v>682</v>
      </c>
      <c r="K869" s="343" t="s">
        <v>168</v>
      </c>
    </row>
    <row r="870" spans="1:11" ht="26.25" customHeight="1">
      <c r="A870" s="343" t="s">
        <v>1627</v>
      </c>
      <c r="B870" s="344" t="s">
        <v>162</v>
      </c>
      <c r="C870" s="344">
        <v>6739</v>
      </c>
      <c r="D870" s="343" t="s">
        <v>3916</v>
      </c>
      <c r="E870" s="344">
        <v>6381534</v>
      </c>
      <c r="F870" s="343" t="s">
        <v>8330</v>
      </c>
      <c r="G870" s="360" t="s">
        <v>9653</v>
      </c>
      <c r="H870" s="361">
        <v>43244</v>
      </c>
      <c r="I870" s="343" t="s">
        <v>193</v>
      </c>
      <c r="J870" s="343" t="s">
        <v>9765</v>
      </c>
      <c r="K870" s="343" t="s">
        <v>168</v>
      </c>
    </row>
    <row r="871" spans="1:11" ht="26.25" customHeight="1">
      <c r="A871" s="343" t="s">
        <v>1627</v>
      </c>
      <c r="B871" s="344" t="s">
        <v>162</v>
      </c>
      <c r="C871" s="344">
        <v>11607</v>
      </c>
      <c r="D871" s="343" t="s">
        <v>3693</v>
      </c>
      <c r="E871" s="344">
        <v>6073222</v>
      </c>
      <c r="F871" s="343" t="s">
        <v>8331</v>
      </c>
      <c r="G871" s="360" t="s">
        <v>10156</v>
      </c>
      <c r="H871" s="361">
        <v>43244</v>
      </c>
      <c r="I871" s="343" t="s">
        <v>193</v>
      </c>
      <c r="J871" s="343" t="s">
        <v>637</v>
      </c>
      <c r="K871" s="343" t="s">
        <v>168</v>
      </c>
    </row>
    <row r="872" spans="1:11" ht="26.25" customHeight="1">
      <c r="A872" s="343" t="s">
        <v>1627</v>
      </c>
      <c r="B872" s="344" t="s">
        <v>162</v>
      </c>
      <c r="C872" s="344">
        <v>7085</v>
      </c>
      <c r="D872" s="343" t="s">
        <v>3700</v>
      </c>
      <c r="E872" s="344">
        <v>5179623</v>
      </c>
      <c r="F872" s="343" t="s">
        <v>8332</v>
      </c>
      <c r="G872" s="360" t="s">
        <v>10157</v>
      </c>
      <c r="H872" s="361">
        <v>43244</v>
      </c>
      <c r="I872" s="343" t="s">
        <v>211</v>
      </c>
      <c r="J872" s="343" t="s">
        <v>211</v>
      </c>
      <c r="K872" s="343" t="s">
        <v>168</v>
      </c>
    </row>
    <row r="873" spans="1:11" ht="26.25" customHeight="1">
      <c r="A873" s="343" t="s">
        <v>1627</v>
      </c>
      <c r="B873" s="344" t="s">
        <v>162</v>
      </c>
      <c r="C873" s="344">
        <v>7579</v>
      </c>
      <c r="D873" s="343" t="s">
        <v>3659</v>
      </c>
      <c r="E873" s="344">
        <v>6657580</v>
      </c>
      <c r="F873" s="343" t="s">
        <v>3663</v>
      </c>
      <c r="G873" s="360" t="s">
        <v>10158</v>
      </c>
      <c r="H873" s="361">
        <v>43245</v>
      </c>
      <c r="I873" s="343" t="s">
        <v>1038</v>
      </c>
      <c r="J873" s="343" t="s">
        <v>1039</v>
      </c>
      <c r="K873" s="343" t="s">
        <v>168</v>
      </c>
    </row>
    <row r="874" spans="1:11" ht="26.25" customHeight="1">
      <c r="A874" s="343" t="s">
        <v>1627</v>
      </c>
      <c r="B874" s="344" t="s">
        <v>162</v>
      </c>
      <c r="C874" s="344">
        <v>7587</v>
      </c>
      <c r="D874" s="343" t="s">
        <v>3664</v>
      </c>
      <c r="E874" s="344">
        <v>6761221</v>
      </c>
      <c r="F874" s="343" t="s">
        <v>8333</v>
      </c>
      <c r="G874" s="360" t="s">
        <v>9828</v>
      </c>
      <c r="H874" s="361">
        <v>43248</v>
      </c>
      <c r="I874" s="343" t="s">
        <v>336</v>
      </c>
      <c r="J874" s="343" t="s">
        <v>10159</v>
      </c>
      <c r="K874" s="343" t="s">
        <v>168</v>
      </c>
    </row>
    <row r="875" spans="1:11" ht="26.25" customHeight="1">
      <c r="A875" s="343" t="s">
        <v>1627</v>
      </c>
      <c r="B875" s="344" t="s">
        <v>162</v>
      </c>
      <c r="C875" s="344">
        <v>7588</v>
      </c>
      <c r="D875" s="343" t="s">
        <v>3636</v>
      </c>
      <c r="E875" s="344">
        <v>6689758</v>
      </c>
      <c r="F875" s="343" t="s">
        <v>8335</v>
      </c>
      <c r="G875" s="360" t="s">
        <v>10160</v>
      </c>
      <c r="H875" s="361">
        <v>43256</v>
      </c>
      <c r="I875" s="343" t="s">
        <v>166</v>
      </c>
      <c r="J875" s="343" t="s">
        <v>327</v>
      </c>
      <c r="K875" s="343" t="s">
        <v>168</v>
      </c>
    </row>
    <row r="876" spans="1:11" ht="26.25" customHeight="1">
      <c r="A876" s="343" t="s">
        <v>1627</v>
      </c>
      <c r="B876" s="344" t="s">
        <v>162</v>
      </c>
      <c r="C876" s="344">
        <v>7065</v>
      </c>
      <c r="D876" s="343" t="s">
        <v>3784</v>
      </c>
      <c r="E876" s="344">
        <v>7065005</v>
      </c>
      <c r="F876" s="343" t="s">
        <v>8336</v>
      </c>
      <c r="G876" s="360" t="s">
        <v>10161</v>
      </c>
      <c r="H876" s="361">
        <v>43257</v>
      </c>
      <c r="I876" s="343" t="s">
        <v>784</v>
      </c>
      <c r="J876" s="343" t="s">
        <v>10162</v>
      </c>
      <c r="K876" s="343" t="s">
        <v>168</v>
      </c>
    </row>
    <row r="877" spans="1:11" ht="26.25" customHeight="1">
      <c r="A877" s="343" t="s">
        <v>1627</v>
      </c>
      <c r="B877" s="344" t="s">
        <v>162</v>
      </c>
      <c r="C877" s="344">
        <v>7076</v>
      </c>
      <c r="D877" s="343" t="s">
        <v>7284</v>
      </c>
      <c r="E877" s="344">
        <v>5632130</v>
      </c>
      <c r="F877" s="343" t="s">
        <v>8337</v>
      </c>
      <c r="G877" s="360" t="s">
        <v>1150</v>
      </c>
      <c r="H877" s="361">
        <v>43258</v>
      </c>
      <c r="I877" s="343" t="s">
        <v>198</v>
      </c>
      <c r="J877" s="343" t="s">
        <v>198</v>
      </c>
      <c r="K877" s="343" t="s">
        <v>168</v>
      </c>
    </row>
    <row r="878" spans="1:11" ht="26.25" customHeight="1">
      <c r="A878" s="343" t="s">
        <v>1627</v>
      </c>
      <c r="B878" s="344" t="s">
        <v>162</v>
      </c>
      <c r="C878" s="344">
        <v>9095</v>
      </c>
      <c r="D878" s="343" t="s">
        <v>3821</v>
      </c>
      <c r="E878" s="344">
        <v>6206285</v>
      </c>
      <c r="F878" s="343" t="s">
        <v>8338</v>
      </c>
      <c r="G878" s="360" t="s">
        <v>10163</v>
      </c>
      <c r="H878" s="361">
        <v>43263</v>
      </c>
      <c r="I878" s="343" t="s">
        <v>198</v>
      </c>
      <c r="J878" s="343" t="s">
        <v>198</v>
      </c>
      <c r="K878" s="343" t="s">
        <v>168</v>
      </c>
    </row>
    <row r="879" spans="1:11" ht="26.25" customHeight="1">
      <c r="A879" s="343" t="s">
        <v>1627</v>
      </c>
      <c r="B879" s="344" t="s">
        <v>162</v>
      </c>
      <c r="C879" s="344">
        <v>9095</v>
      </c>
      <c r="D879" s="343" t="s">
        <v>3821</v>
      </c>
      <c r="E879" s="344">
        <v>6235972</v>
      </c>
      <c r="F879" s="343" t="s">
        <v>8339</v>
      </c>
      <c r="G879" s="360" t="s">
        <v>10164</v>
      </c>
      <c r="H879" s="361">
        <v>43263</v>
      </c>
      <c r="I879" s="343" t="s">
        <v>193</v>
      </c>
      <c r="J879" s="343" t="s">
        <v>637</v>
      </c>
      <c r="K879" s="343" t="s">
        <v>168</v>
      </c>
    </row>
    <row r="880" spans="1:11" ht="26.25" customHeight="1">
      <c r="A880" s="343" t="s">
        <v>1627</v>
      </c>
      <c r="B880" s="344" t="s">
        <v>162</v>
      </c>
      <c r="C880" s="344">
        <v>11829</v>
      </c>
      <c r="D880" s="343" t="s">
        <v>3840</v>
      </c>
      <c r="E880" s="344">
        <v>6187926</v>
      </c>
      <c r="F880" s="343" t="s">
        <v>8340</v>
      </c>
      <c r="G880" s="360" t="s">
        <v>10165</v>
      </c>
      <c r="H880" s="361">
        <v>43264</v>
      </c>
      <c r="I880" s="343" t="s">
        <v>802</v>
      </c>
      <c r="J880" s="343" t="s">
        <v>1075</v>
      </c>
      <c r="K880" s="343" t="s">
        <v>168</v>
      </c>
    </row>
    <row r="881" spans="1:11" ht="26.25" customHeight="1">
      <c r="A881" s="343" t="s">
        <v>1627</v>
      </c>
      <c r="B881" s="344" t="s">
        <v>162</v>
      </c>
      <c r="C881" s="344">
        <v>7586</v>
      </c>
      <c r="D881" s="343" t="s">
        <v>3631</v>
      </c>
      <c r="E881" s="344">
        <v>6581077</v>
      </c>
      <c r="F881" s="343" t="s">
        <v>8341</v>
      </c>
      <c r="G881" s="360" t="s">
        <v>10166</v>
      </c>
      <c r="H881" s="361">
        <v>43264</v>
      </c>
      <c r="I881" s="343" t="s">
        <v>354</v>
      </c>
      <c r="J881" s="343" t="s">
        <v>9564</v>
      </c>
      <c r="K881" s="343" t="s">
        <v>168</v>
      </c>
    </row>
    <row r="882" spans="1:11" ht="26.25" customHeight="1">
      <c r="A882" s="343" t="s">
        <v>1627</v>
      </c>
      <c r="B882" s="344" t="s">
        <v>162</v>
      </c>
      <c r="C882" s="344">
        <v>12217</v>
      </c>
      <c r="D882" s="343" t="s">
        <v>3718</v>
      </c>
      <c r="E882" s="344">
        <v>4503574</v>
      </c>
      <c r="F882" s="343" t="s">
        <v>8342</v>
      </c>
      <c r="G882" s="360" t="s">
        <v>10167</v>
      </c>
      <c r="H882" s="361">
        <v>43264</v>
      </c>
      <c r="I882" s="343" t="s">
        <v>211</v>
      </c>
      <c r="J882" s="343" t="s">
        <v>909</v>
      </c>
      <c r="K882" s="343" t="s">
        <v>168</v>
      </c>
    </row>
    <row r="883" spans="1:11" ht="26.25" customHeight="1">
      <c r="A883" s="343" t="s">
        <v>1627</v>
      </c>
      <c r="B883" s="344" t="s">
        <v>162</v>
      </c>
      <c r="C883" s="344">
        <v>7079</v>
      </c>
      <c r="D883" s="343" t="s">
        <v>3716</v>
      </c>
      <c r="E883" s="344">
        <v>5138515</v>
      </c>
      <c r="F883" s="343" t="s">
        <v>8343</v>
      </c>
      <c r="G883" s="360" t="s">
        <v>10168</v>
      </c>
      <c r="H883" s="361">
        <v>43264</v>
      </c>
      <c r="I883" s="343" t="s">
        <v>8344</v>
      </c>
      <c r="J883" s="343" t="s">
        <v>10169</v>
      </c>
      <c r="K883" s="343" t="s">
        <v>248</v>
      </c>
    </row>
    <row r="884" spans="1:11" ht="26.25" customHeight="1">
      <c r="A884" s="343" t="s">
        <v>1627</v>
      </c>
      <c r="B884" s="344" t="s">
        <v>162</v>
      </c>
      <c r="C884" s="344">
        <v>7579</v>
      </c>
      <c r="D884" s="343" t="s">
        <v>3659</v>
      </c>
      <c r="E884" s="344">
        <v>6751308</v>
      </c>
      <c r="F884" s="343" t="s">
        <v>8345</v>
      </c>
      <c r="G884" s="360" t="s">
        <v>10170</v>
      </c>
      <c r="H884" s="361">
        <v>43269</v>
      </c>
      <c r="I884" s="343" t="s">
        <v>271</v>
      </c>
      <c r="J884" s="343" t="s">
        <v>10171</v>
      </c>
      <c r="K884" s="343" t="s">
        <v>168</v>
      </c>
    </row>
    <row r="885" spans="1:11" ht="26.25" customHeight="1">
      <c r="A885" s="343" t="s">
        <v>1627</v>
      </c>
      <c r="B885" s="344" t="s">
        <v>162</v>
      </c>
      <c r="C885" s="344">
        <v>6721</v>
      </c>
      <c r="D885" s="343" t="s">
        <v>3908</v>
      </c>
      <c r="E885" s="344">
        <v>5877721</v>
      </c>
      <c r="F885" s="343" t="s">
        <v>8346</v>
      </c>
      <c r="G885" s="360" t="s">
        <v>655</v>
      </c>
      <c r="H885" s="361">
        <v>43269</v>
      </c>
      <c r="I885" s="343" t="s">
        <v>8347</v>
      </c>
      <c r="J885" s="343" t="s">
        <v>10172</v>
      </c>
      <c r="K885" s="343" t="s">
        <v>168</v>
      </c>
    </row>
    <row r="886" spans="1:11" ht="26.25" customHeight="1">
      <c r="A886" s="343" t="s">
        <v>1627</v>
      </c>
      <c r="B886" s="344" t="s">
        <v>162</v>
      </c>
      <c r="C886" s="344">
        <v>6721</v>
      </c>
      <c r="D886" s="343" t="s">
        <v>3908</v>
      </c>
      <c r="E886" s="344">
        <v>5712025</v>
      </c>
      <c r="F886" s="343" t="s">
        <v>8348</v>
      </c>
      <c r="G886" s="360" t="s">
        <v>10173</v>
      </c>
      <c r="H886" s="361">
        <v>43269</v>
      </c>
      <c r="I886" s="343" t="s">
        <v>166</v>
      </c>
      <c r="J886" s="343" t="s">
        <v>296</v>
      </c>
      <c r="K886" s="343" t="s">
        <v>168</v>
      </c>
    </row>
    <row r="887" spans="1:11" ht="26.25" customHeight="1">
      <c r="A887" s="343" t="s">
        <v>1627</v>
      </c>
      <c r="B887" s="344" t="s">
        <v>162</v>
      </c>
      <c r="C887" s="344">
        <v>9651</v>
      </c>
      <c r="D887" s="343" t="s">
        <v>3622</v>
      </c>
      <c r="E887" s="344">
        <v>6347360</v>
      </c>
      <c r="F887" s="343" t="s">
        <v>8349</v>
      </c>
      <c r="G887" s="360" t="s">
        <v>10174</v>
      </c>
      <c r="H887" s="361">
        <v>43269</v>
      </c>
      <c r="I887" s="343" t="s">
        <v>8350</v>
      </c>
      <c r="J887" s="343" t="s">
        <v>10175</v>
      </c>
      <c r="K887" s="343" t="s">
        <v>173</v>
      </c>
    </row>
    <row r="888" spans="1:11" ht="26.25" customHeight="1">
      <c r="A888" s="343" t="s">
        <v>1627</v>
      </c>
      <c r="B888" s="344" t="s">
        <v>162</v>
      </c>
      <c r="C888" s="344">
        <v>6738</v>
      </c>
      <c r="D888" s="343" t="s">
        <v>8297</v>
      </c>
      <c r="E888" s="344">
        <v>6250173</v>
      </c>
      <c r="F888" s="343" t="s">
        <v>9113</v>
      </c>
      <c r="G888" s="360" t="s">
        <v>9646</v>
      </c>
      <c r="H888" s="361">
        <v>43272</v>
      </c>
      <c r="I888" s="343" t="s">
        <v>193</v>
      </c>
      <c r="J888" s="343" t="s">
        <v>10176</v>
      </c>
      <c r="K888" s="343" t="s">
        <v>168</v>
      </c>
    </row>
    <row r="889" spans="1:11" ht="26.25" customHeight="1">
      <c r="A889" s="343" t="s">
        <v>1627</v>
      </c>
      <c r="B889" s="344" t="s">
        <v>162</v>
      </c>
      <c r="C889" s="344">
        <v>9349</v>
      </c>
      <c r="D889" s="343" t="s">
        <v>3797</v>
      </c>
      <c r="E889" s="344">
        <v>5802396</v>
      </c>
      <c r="F889" s="343" t="s">
        <v>9114</v>
      </c>
      <c r="G889" s="360" t="s">
        <v>10177</v>
      </c>
      <c r="H889" s="361">
        <v>43272</v>
      </c>
      <c r="I889" s="343" t="s">
        <v>9115</v>
      </c>
      <c r="J889" s="343" t="s">
        <v>10178</v>
      </c>
      <c r="K889" s="343" t="s">
        <v>168</v>
      </c>
    </row>
    <row r="890" spans="1:11" ht="26.25" customHeight="1">
      <c r="A890" s="343" t="s">
        <v>1627</v>
      </c>
      <c r="B890" s="344" t="s">
        <v>162</v>
      </c>
      <c r="C890" s="344">
        <v>7585</v>
      </c>
      <c r="D890" s="343" t="s">
        <v>3626</v>
      </c>
      <c r="E890" s="344">
        <v>7001763</v>
      </c>
      <c r="F890" s="343" t="s">
        <v>9116</v>
      </c>
      <c r="G890" s="360" t="s">
        <v>10179</v>
      </c>
      <c r="H890" s="361">
        <v>43276</v>
      </c>
      <c r="I890" s="343" t="s">
        <v>271</v>
      </c>
      <c r="J890" s="343" t="s">
        <v>10180</v>
      </c>
      <c r="K890" s="343" t="s">
        <v>168</v>
      </c>
    </row>
    <row r="891" spans="1:11" ht="26.25" customHeight="1">
      <c r="A891" s="343" t="s">
        <v>1627</v>
      </c>
      <c r="B891" s="344" t="s">
        <v>162</v>
      </c>
      <c r="C891" s="344">
        <v>9440</v>
      </c>
      <c r="D891" s="343" t="s">
        <v>3769</v>
      </c>
      <c r="E891" s="344">
        <v>5658498</v>
      </c>
      <c r="F891" s="343" t="s">
        <v>9117</v>
      </c>
      <c r="G891" s="360" t="s">
        <v>10181</v>
      </c>
      <c r="H891" s="361">
        <v>43276</v>
      </c>
      <c r="I891" s="343" t="s">
        <v>354</v>
      </c>
      <c r="J891" s="343" t="s">
        <v>9564</v>
      </c>
      <c r="K891" s="343" t="s">
        <v>168</v>
      </c>
    </row>
    <row r="892" spans="1:11" ht="26.25" customHeight="1">
      <c r="A892" s="343" t="s">
        <v>1627</v>
      </c>
      <c r="B892" s="344" t="s">
        <v>162</v>
      </c>
      <c r="C892" s="344">
        <v>8569</v>
      </c>
      <c r="D892" s="343" t="s">
        <v>3902</v>
      </c>
      <c r="E892" s="344">
        <v>6306054</v>
      </c>
      <c r="F892" s="343" t="s">
        <v>9118</v>
      </c>
      <c r="G892" s="360" t="s">
        <v>10182</v>
      </c>
      <c r="H892" s="361">
        <v>43277</v>
      </c>
      <c r="I892" s="343" t="s">
        <v>301</v>
      </c>
      <c r="J892" s="343" t="s">
        <v>530</v>
      </c>
      <c r="K892" s="343" t="s">
        <v>168</v>
      </c>
    </row>
    <row r="893" spans="1:11" ht="26.25" customHeight="1">
      <c r="A893" s="343" t="s">
        <v>1627</v>
      </c>
      <c r="B893" s="344" t="s">
        <v>162</v>
      </c>
      <c r="C893" s="344">
        <v>6725</v>
      </c>
      <c r="D893" s="343" t="s">
        <v>3861</v>
      </c>
      <c r="E893" s="344">
        <v>6264290</v>
      </c>
      <c r="F893" s="343" t="s">
        <v>3862</v>
      </c>
      <c r="G893" s="360" t="s">
        <v>9936</v>
      </c>
      <c r="H893" s="361">
        <v>43278</v>
      </c>
      <c r="I893" s="343" t="s">
        <v>180</v>
      </c>
      <c r="J893" s="343" t="s">
        <v>10183</v>
      </c>
      <c r="K893" s="343" t="s">
        <v>168</v>
      </c>
    </row>
    <row r="894" spans="1:11" ht="26.25" customHeight="1">
      <c r="A894" s="343" t="s">
        <v>1627</v>
      </c>
      <c r="B894" s="344" t="s">
        <v>162</v>
      </c>
      <c r="C894" s="344">
        <v>9651</v>
      </c>
      <c r="D894" s="343" t="s">
        <v>3622</v>
      </c>
      <c r="E894" s="344">
        <v>7050769</v>
      </c>
      <c r="F894" s="343" t="s">
        <v>9119</v>
      </c>
      <c r="G894" s="360" t="s">
        <v>10184</v>
      </c>
      <c r="H894" s="361">
        <v>43278</v>
      </c>
      <c r="I894" s="343" t="s">
        <v>193</v>
      </c>
      <c r="J894" s="343" t="s">
        <v>10185</v>
      </c>
      <c r="K894" s="343" t="s">
        <v>168</v>
      </c>
    </row>
    <row r="895" spans="1:11" ht="26.25" customHeight="1">
      <c r="A895" s="343" t="s">
        <v>1627</v>
      </c>
      <c r="B895" s="344" t="s">
        <v>162</v>
      </c>
      <c r="C895" s="344">
        <v>7080</v>
      </c>
      <c r="D895" s="343" t="s">
        <v>3753</v>
      </c>
      <c r="E895" s="344">
        <v>6753304</v>
      </c>
      <c r="F895" s="343" t="s">
        <v>9120</v>
      </c>
      <c r="G895" s="360" t="s">
        <v>10181</v>
      </c>
      <c r="H895" s="361">
        <v>43278</v>
      </c>
      <c r="I895" s="343" t="s">
        <v>193</v>
      </c>
      <c r="J895" s="343" t="s">
        <v>637</v>
      </c>
      <c r="K895" s="343" t="s">
        <v>168</v>
      </c>
    </row>
    <row r="896" spans="1:11" ht="26.25" customHeight="1">
      <c r="A896" s="343" t="s">
        <v>1627</v>
      </c>
      <c r="B896" s="344" t="s">
        <v>162</v>
      </c>
      <c r="C896" s="344">
        <v>12773</v>
      </c>
      <c r="D896" s="343" t="s">
        <v>3887</v>
      </c>
      <c r="E896" s="344">
        <v>6151176</v>
      </c>
      <c r="F896" s="343" t="s">
        <v>9121</v>
      </c>
      <c r="G896" s="360" t="s">
        <v>10071</v>
      </c>
      <c r="H896" s="361">
        <v>43286</v>
      </c>
      <c r="I896" s="343" t="s">
        <v>366</v>
      </c>
      <c r="J896" s="343" t="s">
        <v>366</v>
      </c>
      <c r="K896" s="343" t="s">
        <v>168</v>
      </c>
    </row>
    <row r="897" spans="1:11" ht="26.25" customHeight="1">
      <c r="A897" s="343" t="s">
        <v>1627</v>
      </c>
      <c r="B897" s="344" t="s">
        <v>162</v>
      </c>
      <c r="C897" s="344">
        <v>7587</v>
      </c>
      <c r="D897" s="343" t="s">
        <v>3664</v>
      </c>
      <c r="E897" s="344">
        <v>6876547</v>
      </c>
      <c r="F897" s="343" t="s">
        <v>9122</v>
      </c>
      <c r="G897" s="360" t="s">
        <v>10186</v>
      </c>
      <c r="H897" s="361">
        <v>43286</v>
      </c>
      <c r="I897" s="343" t="s">
        <v>802</v>
      </c>
      <c r="J897" s="343" t="s">
        <v>1172</v>
      </c>
      <c r="K897" s="343" t="s">
        <v>168</v>
      </c>
    </row>
    <row r="898" spans="1:11" ht="26.25" customHeight="1">
      <c r="A898" s="343" t="s">
        <v>1627</v>
      </c>
      <c r="B898" s="344" t="s">
        <v>162</v>
      </c>
      <c r="C898" s="344">
        <v>7587</v>
      </c>
      <c r="D898" s="343" t="s">
        <v>3664</v>
      </c>
      <c r="E898" s="344">
        <v>6517720</v>
      </c>
      <c r="F898" s="343" t="s">
        <v>8310</v>
      </c>
      <c r="G898" s="360" t="s">
        <v>10187</v>
      </c>
      <c r="H898" s="361">
        <v>43286</v>
      </c>
      <c r="I898" s="343" t="s">
        <v>9123</v>
      </c>
      <c r="J898" s="343" t="s">
        <v>10188</v>
      </c>
      <c r="K898" s="343" t="s">
        <v>168</v>
      </c>
    </row>
    <row r="899" spans="1:11" ht="26.25" customHeight="1">
      <c r="A899" s="343" t="s">
        <v>1627</v>
      </c>
      <c r="B899" s="344" t="s">
        <v>162</v>
      </c>
      <c r="C899" s="344">
        <v>9762</v>
      </c>
      <c r="D899" s="343" t="s">
        <v>3825</v>
      </c>
      <c r="E899" s="344">
        <v>6611688</v>
      </c>
      <c r="F899" s="343" t="s">
        <v>9212</v>
      </c>
      <c r="G899" s="360" t="s">
        <v>10189</v>
      </c>
      <c r="H899" s="361">
        <v>43292</v>
      </c>
      <c r="I899" s="343" t="s">
        <v>709</v>
      </c>
      <c r="J899" s="343" t="s">
        <v>9629</v>
      </c>
      <c r="K899" s="343" t="s">
        <v>168</v>
      </c>
    </row>
    <row r="900" spans="1:11" ht="26.25" customHeight="1">
      <c r="A900" s="343" t="s">
        <v>1627</v>
      </c>
      <c r="B900" s="344" t="s">
        <v>162</v>
      </c>
      <c r="C900" s="344">
        <v>7578</v>
      </c>
      <c r="D900" s="343" t="s">
        <v>3649</v>
      </c>
      <c r="E900" s="344">
        <v>7023161</v>
      </c>
      <c r="F900" s="343" t="s">
        <v>9213</v>
      </c>
      <c r="G900" s="360" t="s">
        <v>10190</v>
      </c>
      <c r="H900" s="361">
        <v>43292</v>
      </c>
      <c r="I900" s="343" t="s">
        <v>166</v>
      </c>
      <c r="J900" s="343" t="s">
        <v>9413</v>
      </c>
      <c r="K900" s="343" t="s">
        <v>168</v>
      </c>
    </row>
    <row r="901" spans="1:11" ht="26.25" customHeight="1">
      <c r="A901" s="343" t="s">
        <v>1627</v>
      </c>
      <c r="B901" s="344" t="s">
        <v>162</v>
      </c>
      <c r="C901" s="344">
        <v>12526</v>
      </c>
      <c r="D901" s="343" t="s">
        <v>3775</v>
      </c>
      <c r="E901" s="344">
        <v>4236609</v>
      </c>
      <c r="F901" s="343" t="s">
        <v>9216</v>
      </c>
      <c r="G901" s="360" t="s">
        <v>10191</v>
      </c>
      <c r="H901" s="361">
        <v>43312</v>
      </c>
      <c r="I901" s="343" t="s">
        <v>211</v>
      </c>
      <c r="J901" s="343" t="s">
        <v>211</v>
      </c>
      <c r="K901" s="343" t="s">
        <v>168</v>
      </c>
    </row>
    <row r="902" spans="1:11" ht="26.25" customHeight="1">
      <c r="A902" s="343" t="s">
        <v>1627</v>
      </c>
      <c r="B902" s="344" t="s">
        <v>162</v>
      </c>
      <c r="C902" s="344">
        <v>7585</v>
      </c>
      <c r="D902" s="343" t="s">
        <v>3626</v>
      </c>
      <c r="E902" s="344">
        <v>6466947</v>
      </c>
      <c r="F902" s="343" t="s">
        <v>3637</v>
      </c>
      <c r="G902" s="360" t="s">
        <v>10192</v>
      </c>
      <c r="H902" s="361">
        <v>43312</v>
      </c>
      <c r="I902" s="343" t="s">
        <v>193</v>
      </c>
      <c r="J902" s="343" t="s">
        <v>10193</v>
      </c>
      <c r="K902" s="343" t="s">
        <v>168</v>
      </c>
    </row>
    <row r="903" spans="1:11" ht="26.25" customHeight="1">
      <c r="A903" s="343" t="s">
        <v>1627</v>
      </c>
      <c r="B903" s="344" t="s">
        <v>162</v>
      </c>
      <c r="C903" s="344">
        <v>6724</v>
      </c>
      <c r="D903" s="343" t="s">
        <v>7726</v>
      </c>
      <c r="E903" s="344">
        <v>6326784</v>
      </c>
      <c r="F903" s="343" t="s">
        <v>7727</v>
      </c>
      <c r="G903" s="360" t="s">
        <v>10194</v>
      </c>
      <c r="H903" s="361">
        <v>43312</v>
      </c>
      <c r="I903" s="343" t="s">
        <v>9215</v>
      </c>
      <c r="J903" s="343" t="s">
        <v>10195</v>
      </c>
      <c r="K903" s="343" t="s">
        <v>168</v>
      </c>
    </row>
    <row r="904" spans="1:11" ht="26.25" customHeight="1">
      <c r="A904" s="343" t="s">
        <v>1627</v>
      </c>
      <c r="B904" s="344" t="s">
        <v>162</v>
      </c>
      <c r="C904" s="344">
        <v>6732</v>
      </c>
      <c r="D904" s="343" t="s">
        <v>3828</v>
      </c>
      <c r="E904" s="344">
        <v>6120289</v>
      </c>
      <c r="F904" s="343" t="s">
        <v>9219</v>
      </c>
      <c r="G904" s="360" t="s">
        <v>10196</v>
      </c>
      <c r="H904" s="361">
        <v>43312</v>
      </c>
      <c r="I904" s="343" t="s">
        <v>301</v>
      </c>
      <c r="J904" s="343" t="s">
        <v>10197</v>
      </c>
      <c r="K904" s="343" t="s">
        <v>168</v>
      </c>
    </row>
    <row r="905" spans="1:11" ht="26.25" customHeight="1">
      <c r="A905" s="343" t="s">
        <v>1627</v>
      </c>
      <c r="B905" s="344" t="s">
        <v>162</v>
      </c>
      <c r="C905" s="344">
        <v>6725</v>
      </c>
      <c r="D905" s="343" t="s">
        <v>3861</v>
      </c>
      <c r="E905" s="344">
        <v>5807257</v>
      </c>
      <c r="F905" s="343" t="s">
        <v>9214</v>
      </c>
      <c r="G905" s="360" t="s">
        <v>10198</v>
      </c>
      <c r="H905" s="361">
        <v>43320</v>
      </c>
      <c r="I905" s="343" t="s">
        <v>8666</v>
      </c>
      <c r="J905" s="343" t="s">
        <v>10199</v>
      </c>
      <c r="K905" s="343" t="s">
        <v>248</v>
      </c>
    </row>
    <row r="906" spans="1:11" ht="26.25" customHeight="1">
      <c r="A906" s="343" t="s">
        <v>1627</v>
      </c>
      <c r="B906" s="344" t="s">
        <v>162</v>
      </c>
      <c r="C906" s="344">
        <v>7077</v>
      </c>
      <c r="D906" s="343" t="s">
        <v>3789</v>
      </c>
      <c r="E906" s="344">
        <v>4962041</v>
      </c>
      <c r="F906" s="343" t="s">
        <v>9217</v>
      </c>
      <c r="G906" s="360" t="s">
        <v>10200</v>
      </c>
      <c r="H906" s="361">
        <v>43320</v>
      </c>
      <c r="I906" s="343" t="s">
        <v>9218</v>
      </c>
      <c r="J906" s="343" t="s">
        <v>10201</v>
      </c>
      <c r="K906" s="343" t="s">
        <v>168</v>
      </c>
    </row>
    <row r="907" spans="1:11" ht="26.25" customHeight="1">
      <c r="A907" s="343" t="s">
        <v>1627</v>
      </c>
      <c r="B907" s="344" t="s">
        <v>162</v>
      </c>
      <c r="C907" s="344">
        <v>12092</v>
      </c>
      <c r="D907" s="343" t="s">
        <v>3778</v>
      </c>
      <c r="E907" s="344">
        <v>6242990</v>
      </c>
      <c r="F907" s="343" t="s">
        <v>9220</v>
      </c>
      <c r="G907" s="360" t="s">
        <v>9694</v>
      </c>
      <c r="H907" s="361">
        <v>43326</v>
      </c>
      <c r="I907" s="343" t="s">
        <v>166</v>
      </c>
      <c r="J907" s="343" t="s">
        <v>296</v>
      </c>
      <c r="K907" s="343" t="s">
        <v>168</v>
      </c>
    </row>
    <row r="908" spans="1:11" ht="26.25" customHeight="1">
      <c r="A908" s="343" t="s">
        <v>1627</v>
      </c>
      <c r="B908" s="344" t="s">
        <v>162</v>
      </c>
      <c r="C908" s="344">
        <v>7586</v>
      </c>
      <c r="D908" s="343" t="s">
        <v>3631</v>
      </c>
      <c r="E908" s="344">
        <v>6988543</v>
      </c>
      <c r="F908" s="343" t="s">
        <v>8334</v>
      </c>
      <c r="G908" s="360" t="s">
        <v>10202</v>
      </c>
      <c r="H908" s="361">
        <v>43327</v>
      </c>
      <c r="I908" s="343" t="s">
        <v>166</v>
      </c>
      <c r="J908" s="343" t="s">
        <v>10203</v>
      </c>
      <c r="K908" s="343" t="s">
        <v>168</v>
      </c>
    </row>
    <row r="909" spans="1:11" ht="26.25" customHeight="1">
      <c r="A909" s="343" t="s">
        <v>1627</v>
      </c>
      <c r="B909" s="344" t="s">
        <v>162</v>
      </c>
      <c r="C909" s="344">
        <v>11608</v>
      </c>
      <c r="D909" s="343" t="s">
        <v>3677</v>
      </c>
      <c r="E909" s="344">
        <v>5139844</v>
      </c>
      <c r="F909" s="343" t="s">
        <v>10204</v>
      </c>
      <c r="G909" s="360" t="s">
        <v>10205</v>
      </c>
      <c r="H909" s="361">
        <v>43328</v>
      </c>
      <c r="I909" s="343" t="s">
        <v>7254</v>
      </c>
      <c r="J909" s="343" t="s">
        <v>10206</v>
      </c>
      <c r="K909" s="343" t="s">
        <v>168</v>
      </c>
    </row>
    <row r="910" spans="1:11" ht="26.25" customHeight="1">
      <c r="A910" s="343" t="s">
        <v>1627</v>
      </c>
      <c r="B910" s="344" t="s">
        <v>162</v>
      </c>
      <c r="C910" s="344">
        <v>6723</v>
      </c>
      <c r="D910" s="343" t="s">
        <v>3883</v>
      </c>
      <c r="E910" s="344">
        <v>5930452</v>
      </c>
      <c r="F910" s="343" t="s">
        <v>10207</v>
      </c>
      <c r="G910" s="360" t="s">
        <v>10208</v>
      </c>
      <c r="H910" s="361">
        <v>43328</v>
      </c>
      <c r="I910" s="343" t="s">
        <v>198</v>
      </c>
      <c r="J910" s="343" t="s">
        <v>198</v>
      </c>
      <c r="K910" s="343" t="s">
        <v>168</v>
      </c>
    </row>
    <row r="911" spans="1:11" ht="26.25" customHeight="1">
      <c r="A911" s="343" t="s">
        <v>1627</v>
      </c>
      <c r="B911" s="344" t="s">
        <v>162</v>
      </c>
      <c r="C911" s="344">
        <v>6731</v>
      </c>
      <c r="D911" s="343" t="s">
        <v>3819</v>
      </c>
      <c r="E911" s="344">
        <v>6130886</v>
      </c>
      <c r="F911" s="343" t="s">
        <v>3668</v>
      </c>
      <c r="G911" s="360" t="s">
        <v>10209</v>
      </c>
      <c r="H911" s="361">
        <v>43328</v>
      </c>
      <c r="I911" s="343" t="s">
        <v>166</v>
      </c>
      <c r="J911" s="343" t="s">
        <v>327</v>
      </c>
      <c r="K911" s="343" t="s">
        <v>168</v>
      </c>
    </row>
    <row r="912" spans="1:11" ht="26.25" customHeight="1">
      <c r="A912" s="343" t="s">
        <v>1627</v>
      </c>
      <c r="B912" s="344" t="s">
        <v>162</v>
      </c>
      <c r="C912" s="344">
        <v>6718</v>
      </c>
      <c r="D912" s="343" t="s">
        <v>3874</v>
      </c>
      <c r="E912" s="344">
        <v>6037017</v>
      </c>
      <c r="F912" s="343" t="s">
        <v>10210</v>
      </c>
      <c r="G912" s="360" t="s">
        <v>10122</v>
      </c>
      <c r="H912" s="361">
        <v>43328</v>
      </c>
      <c r="I912" s="343" t="s">
        <v>193</v>
      </c>
      <c r="J912" s="343" t="s">
        <v>637</v>
      </c>
      <c r="K912" s="343" t="s">
        <v>168</v>
      </c>
    </row>
    <row r="913" spans="1:11" ht="26.25" customHeight="1">
      <c r="A913" s="343" t="s">
        <v>1627</v>
      </c>
      <c r="B913" s="344" t="s">
        <v>162</v>
      </c>
      <c r="C913" s="344">
        <v>11563</v>
      </c>
      <c r="D913" s="343" t="s">
        <v>3610</v>
      </c>
      <c r="E913" s="344">
        <v>6459785</v>
      </c>
      <c r="F913" s="343" t="s">
        <v>10211</v>
      </c>
      <c r="G913" s="360" t="s">
        <v>10212</v>
      </c>
      <c r="H913" s="361">
        <v>43329</v>
      </c>
      <c r="I913" s="343" t="s">
        <v>180</v>
      </c>
      <c r="J913" s="343" t="s">
        <v>10213</v>
      </c>
      <c r="K913" s="343" t="s">
        <v>173</v>
      </c>
    </row>
    <row r="914" spans="1:11" ht="26.25" customHeight="1">
      <c r="A914" s="343" t="s">
        <v>1627</v>
      </c>
      <c r="B914" s="344" t="s">
        <v>162</v>
      </c>
      <c r="C914" s="344">
        <v>9349</v>
      </c>
      <c r="D914" s="343" t="s">
        <v>3797</v>
      </c>
      <c r="E914" s="344">
        <v>5581766</v>
      </c>
      <c r="F914" s="343" t="s">
        <v>10214</v>
      </c>
      <c r="G914" s="360" t="s">
        <v>10215</v>
      </c>
      <c r="H914" s="361">
        <v>43332</v>
      </c>
      <c r="I914" s="343" t="s">
        <v>580</v>
      </c>
      <c r="J914" s="343" t="s">
        <v>10216</v>
      </c>
      <c r="K914" s="343" t="s">
        <v>248</v>
      </c>
    </row>
    <row r="915" spans="1:11" ht="26.25" customHeight="1">
      <c r="A915" s="343" t="s">
        <v>1627</v>
      </c>
      <c r="B915" s="344" t="s">
        <v>162</v>
      </c>
      <c r="C915" s="344">
        <v>8162</v>
      </c>
      <c r="D915" s="343" t="s">
        <v>3614</v>
      </c>
      <c r="E915" s="344">
        <v>7072861</v>
      </c>
      <c r="F915" s="343" t="s">
        <v>10217</v>
      </c>
      <c r="G915" s="360" t="s">
        <v>10218</v>
      </c>
      <c r="H915" s="361">
        <v>43333</v>
      </c>
      <c r="I915" s="343" t="s">
        <v>366</v>
      </c>
      <c r="J915" s="343" t="s">
        <v>366</v>
      </c>
      <c r="K915" s="343" t="s">
        <v>168</v>
      </c>
    </row>
    <row r="916" spans="1:11" ht="26.25" customHeight="1">
      <c r="A916" s="343" t="s">
        <v>1627</v>
      </c>
      <c r="B916" s="344" t="s">
        <v>162</v>
      </c>
      <c r="C916" s="344">
        <v>7586</v>
      </c>
      <c r="D916" s="343" t="s">
        <v>3631</v>
      </c>
      <c r="E916" s="344">
        <v>6738315</v>
      </c>
      <c r="F916" s="343" t="s">
        <v>10219</v>
      </c>
      <c r="G916" s="360" t="s">
        <v>10220</v>
      </c>
      <c r="H916" s="361">
        <v>43333</v>
      </c>
      <c r="I916" s="343" t="s">
        <v>166</v>
      </c>
      <c r="J916" s="343" t="s">
        <v>327</v>
      </c>
      <c r="K916" s="343" t="s">
        <v>168</v>
      </c>
    </row>
    <row r="917" spans="1:11" ht="26.25" customHeight="1">
      <c r="A917" s="343" t="s">
        <v>1627</v>
      </c>
      <c r="B917" s="344" t="s">
        <v>162</v>
      </c>
      <c r="C917" s="344">
        <v>7078</v>
      </c>
      <c r="D917" s="343" t="s">
        <v>3781</v>
      </c>
      <c r="E917" s="344">
        <v>4471168</v>
      </c>
      <c r="F917" s="343" t="s">
        <v>10221</v>
      </c>
      <c r="G917" s="360" t="s">
        <v>10222</v>
      </c>
      <c r="H917" s="361">
        <v>43333</v>
      </c>
      <c r="I917" s="343" t="s">
        <v>354</v>
      </c>
      <c r="J917" s="343" t="s">
        <v>9564</v>
      </c>
      <c r="K917" s="343" t="s">
        <v>168</v>
      </c>
    </row>
    <row r="918" spans="1:11" ht="26.25" customHeight="1">
      <c r="A918" s="343" t="s">
        <v>1627</v>
      </c>
      <c r="B918" s="344" t="s">
        <v>162</v>
      </c>
      <c r="C918" s="344">
        <v>9440</v>
      </c>
      <c r="D918" s="343" t="s">
        <v>3769</v>
      </c>
      <c r="E918" s="344">
        <v>4774682</v>
      </c>
      <c r="F918" s="343" t="s">
        <v>10223</v>
      </c>
      <c r="G918" s="360" t="s">
        <v>10224</v>
      </c>
      <c r="H918" s="361">
        <v>43333</v>
      </c>
      <c r="I918" s="343" t="s">
        <v>9004</v>
      </c>
      <c r="J918" s="343" t="s">
        <v>10225</v>
      </c>
      <c r="K918" s="343" t="s">
        <v>168</v>
      </c>
    </row>
    <row r="919" spans="1:11" ht="26.25" customHeight="1">
      <c r="A919" s="343" t="s">
        <v>1627</v>
      </c>
      <c r="B919" s="344" t="s">
        <v>162</v>
      </c>
      <c r="C919" s="344">
        <v>11563</v>
      </c>
      <c r="D919" s="343" t="s">
        <v>3610</v>
      </c>
      <c r="E919" s="344">
        <v>6673161</v>
      </c>
      <c r="F919" s="343" t="s">
        <v>10226</v>
      </c>
      <c r="G919" s="360" t="s">
        <v>10227</v>
      </c>
      <c r="H919" s="361">
        <v>43333</v>
      </c>
      <c r="I919" s="343" t="s">
        <v>166</v>
      </c>
      <c r="J919" s="343" t="s">
        <v>296</v>
      </c>
      <c r="K919" s="343" t="s">
        <v>168</v>
      </c>
    </row>
    <row r="920" spans="1:11" ht="26.25" customHeight="1">
      <c r="A920" s="343" t="s">
        <v>1627</v>
      </c>
      <c r="B920" s="344" t="s">
        <v>162</v>
      </c>
      <c r="C920" s="344">
        <v>6733</v>
      </c>
      <c r="D920" s="343" t="s">
        <v>3824</v>
      </c>
      <c r="E920" s="344">
        <v>5792351</v>
      </c>
      <c r="F920" s="343" t="s">
        <v>10228</v>
      </c>
      <c r="G920" s="360" t="s">
        <v>10229</v>
      </c>
      <c r="H920" s="361">
        <v>43333</v>
      </c>
      <c r="I920" s="343" t="s">
        <v>8258</v>
      </c>
      <c r="J920" s="343" t="s">
        <v>10230</v>
      </c>
      <c r="K920" s="343" t="s">
        <v>168</v>
      </c>
    </row>
    <row r="921" spans="1:11" ht="26.25" customHeight="1">
      <c r="A921" s="343" t="s">
        <v>1627</v>
      </c>
      <c r="B921" s="344" t="s">
        <v>162</v>
      </c>
      <c r="C921" s="344">
        <v>11697</v>
      </c>
      <c r="D921" s="343" t="s">
        <v>3674</v>
      </c>
      <c r="E921" s="344">
        <v>6935391</v>
      </c>
      <c r="F921" s="343" t="s">
        <v>7714</v>
      </c>
      <c r="G921" s="360" t="s">
        <v>10231</v>
      </c>
      <c r="H921" s="361">
        <v>43333</v>
      </c>
      <c r="I921" s="343" t="s">
        <v>193</v>
      </c>
      <c r="J921" s="343" t="s">
        <v>637</v>
      </c>
      <c r="K921" s="343" t="s">
        <v>168</v>
      </c>
    </row>
    <row r="922" spans="1:11" ht="26.25" customHeight="1">
      <c r="A922" s="343" t="s">
        <v>1627</v>
      </c>
      <c r="B922" s="344" t="s">
        <v>162</v>
      </c>
      <c r="C922" s="344">
        <v>9651</v>
      </c>
      <c r="D922" s="343" t="s">
        <v>3622</v>
      </c>
      <c r="E922" s="344">
        <v>6404279</v>
      </c>
      <c r="F922" s="343" t="s">
        <v>10232</v>
      </c>
      <c r="G922" s="360" t="s">
        <v>10233</v>
      </c>
      <c r="H922" s="361">
        <v>43333</v>
      </c>
      <c r="I922" s="343" t="s">
        <v>313</v>
      </c>
      <c r="J922" s="343" t="s">
        <v>10234</v>
      </c>
      <c r="K922" s="343" t="s">
        <v>173</v>
      </c>
    </row>
    <row r="923" spans="1:11" ht="26.25" customHeight="1">
      <c r="A923" s="343" t="s">
        <v>1627</v>
      </c>
      <c r="B923" s="344" t="s">
        <v>162</v>
      </c>
      <c r="C923" s="344">
        <v>6718</v>
      </c>
      <c r="D923" s="343" t="s">
        <v>3874</v>
      </c>
      <c r="E923" s="344">
        <v>5992160</v>
      </c>
      <c r="F923" s="343" t="s">
        <v>10235</v>
      </c>
      <c r="G923" s="360" t="s">
        <v>10121</v>
      </c>
      <c r="H923" s="361">
        <v>43333</v>
      </c>
      <c r="I923" s="343" t="s">
        <v>301</v>
      </c>
      <c r="J923" s="343" t="s">
        <v>530</v>
      </c>
      <c r="K923" s="343" t="s">
        <v>168</v>
      </c>
    </row>
    <row r="924" spans="1:11" ht="26.25" customHeight="1">
      <c r="A924" s="343" t="s">
        <v>1627</v>
      </c>
      <c r="B924" s="344" t="s">
        <v>162</v>
      </c>
      <c r="C924" s="344">
        <v>10058</v>
      </c>
      <c r="D924" s="343" t="s">
        <v>3671</v>
      </c>
      <c r="E924" s="344">
        <v>6262225</v>
      </c>
      <c r="F924" s="343" t="s">
        <v>3672</v>
      </c>
      <c r="G924" s="360" t="s">
        <v>10236</v>
      </c>
      <c r="H924" s="361">
        <v>43327</v>
      </c>
      <c r="I924" s="343" t="s">
        <v>10237</v>
      </c>
      <c r="J924" s="343" t="s">
        <v>10238</v>
      </c>
      <c r="K924" s="343" t="s">
        <v>168</v>
      </c>
    </row>
    <row r="925" spans="1:11" ht="26.25" customHeight="1">
      <c r="A925" s="343" t="s">
        <v>1627</v>
      </c>
      <c r="B925" s="344" t="s">
        <v>162</v>
      </c>
      <c r="C925" s="344">
        <v>6732</v>
      </c>
      <c r="D925" s="343" t="s">
        <v>3828</v>
      </c>
      <c r="E925" s="344">
        <v>6677972</v>
      </c>
      <c r="F925" s="343" t="s">
        <v>10239</v>
      </c>
      <c r="G925" s="360" t="s">
        <v>10240</v>
      </c>
      <c r="H925" s="361">
        <v>43333</v>
      </c>
      <c r="I925" s="343" t="s">
        <v>580</v>
      </c>
      <c r="J925" s="343" t="s">
        <v>10241</v>
      </c>
      <c r="K925" s="343" t="s">
        <v>248</v>
      </c>
    </row>
    <row r="926" spans="1:11" ht="26.25" customHeight="1">
      <c r="A926" s="343" t="s">
        <v>1627</v>
      </c>
      <c r="B926" s="344" t="s">
        <v>162</v>
      </c>
      <c r="C926" s="344">
        <v>7593</v>
      </c>
      <c r="D926" s="343" t="s">
        <v>3639</v>
      </c>
      <c r="E926" s="344">
        <v>6866086</v>
      </c>
      <c r="F926" s="343" t="s">
        <v>10242</v>
      </c>
      <c r="G926" s="360" t="s">
        <v>10098</v>
      </c>
      <c r="H926" s="361">
        <v>43335</v>
      </c>
      <c r="I926" s="343" t="s">
        <v>423</v>
      </c>
      <c r="J926" s="343" t="s">
        <v>10243</v>
      </c>
      <c r="K926" s="343" t="s">
        <v>168</v>
      </c>
    </row>
    <row r="927" spans="1:11" ht="26.25" customHeight="1">
      <c r="A927" s="343" t="s">
        <v>1627</v>
      </c>
      <c r="B927" s="344" t="s">
        <v>162</v>
      </c>
      <c r="C927" s="344">
        <v>9651</v>
      </c>
      <c r="D927" s="343" t="s">
        <v>3622</v>
      </c>
      <c r="E927" s="344">
        <v>6946053</v>
      </c>
      <c r="F927" s="343" t="s">
        <v>10244</v>
      </c>
      <c r="G927" s="360" t="s">
        <v>10245</v>
      </c>
      <c r="H927" s="361">
        <v>43335</v>
      </c>
      <c r="I927" s="343" t="s">
        <v>313</v>
      </c>
      <c r="J927" s="343" t="s">
        <v>10246</v>
      </c>
      <c r="K927" s="343" t="s">
        <v>173</v>
      </c>
    </row>
    <row r="928" spans="1:11" ht="26.25" customHeight="1">
      <c r="A928" s="343" t="s">
        <v>1627</v>
      </c>
      <c r="B928" s="344" t="s">
        <v>162</v>
      </c>
      <c r="C928" s="344">
        <v>12689</v>
      </c>
      <c r="D928" s="343" t="s">
        <v>3853</v>
      </c>
      <c r="E928" s="344">
        <v>6199046</v>
      </c>
      <c r="F928" s="343" t="s">
        <v>10247</v>
      </c>
      <c r="G928" s="360" t="s">
        <v>9516</v>
      </c>
      <c r="H928" s="361">
        <v>43340</v>
      </c>
      <c r="I928" s="343" t="s">
        <v>301</v>
      </c>
      <c r="J928" s="343" t="s">
        <v>1113</v>
      </c>
      <c r="K928" s="343" t="s">
        <v>168</v>
      </c>
    </row>
    <row r="929" spans="1:11" ht="26.25" customHeight="1">
      <c r="A929" s="343" t="s">
        <v>1627</v>
      </c>
      <c r="B929" s="344" t="s">
        <v>162</v>
      </c>
      <c r="C929" s="344">
        <v>11563</v>
      </c>
      <c r="D929" s="343" t="s">
        <v>3610</v>
      </c>
      <c r="E929" s="344">
        <v>6981617</v>
      </c>
      <c r="F929" s="343" t="s">
        <v>10248</v>
      </c>
      <c r="G929" s="360" t="s">
        <v>10249</v>
      </c>
      <c r="H929" s="361">
        <v>43341</v>
      </c>
      <c r="I929" s="343" t="s">
        <v>180</v>
      </c>
      <c r="J929" s="343" t="s">
        <v>10250</v>
      </c>
      <c r="K929" s="343" t="s">
        <v>173</v>
      </c>
    </row>
    <row r="930" spans="1:11" ht="26.25" customHeight="1">
      <c r="A930" s="343" t="s">
        <v>1627</v>
      </c>
      <c r="B930" s="344" t="s">
        <v>162</v>
      </c>
      <c r="C930" s="344">
        <v>11563</v>
      </c>
      <c r="D930" s="343" t="s">
        <v>3610</v>
      </c>
      <c r="E930" s="344">
        <v>6354880</v>
      </c>
      <c r="F930" s="343" t="s">
        <v>10251</v>
      </c>
      <c r="G930" s="360" t="s">
        <v>10252</v>
      </c>
      <c r="H930" s="361">
        <v>43341</v>
      </c>
      <c r="I930" s="343" t="s">
        <v>784</v>
      </c>
      <c r="J930" s="343" t="s">
        <v>10253</v>
      </c>
      <c r="K930" s="343" t="s">
        <v>173</v>
      </c>
    </row>
    <row r="931" spans="1:11" ht="26.25" customHeight="1">
      <c r="A931" s="343" t="s">
        <v>1618</v>
      </c>
      <c r="B931" s="344" t="s">
        <v>162</v>
      </c>
      <c r="C931" s="344">
        <v>7475</v>
      </c>
      <c r="D931" s="343" t="s">
        <v>3951</v>
      </c>
      <c r="E931" s="344">
        <v>6177394</v>
      </c>
      <c r="F931" s="343" t="s">
        <v>3952</v>
      </c>
      <c r="G931" s="360" t="s">
        <v>10254</v>
      </c>
      <c r="H931" s="361">
        <v>42276</v>
      </c>
      <c r="I931" s="343" t="s">
        <v>465</v>
      </c>
      <c r="J931" s="343" t="s">
        <v>1346</v>
      </c>
      <c r="K931" s="343" t="s">
        <v>168</v>
      </c>
    </row>
    <row r="932" spans="1:11" ht="26.25" customHeight="1">
      <c r="A932" s="343" t="s">
        <v>1618</v>
      </c>
      <c r="B932" s="344" t="s">
        <v>162</v>
      </c>
      <c r="C932" s="344">
        <v>11089</v>
      </c>
      <c r="D932" s="343" t="s">
        <v>3997</v>
      </c>
      <c r="E932" s="344">
        <v>6170826</v>
      </c>
      <c r="F932" s="343" t="s">
        <v>3998</v>
      </c>
      <c r="G932" s="360" t="s">
        <v>10255</v>
      </c>
      <c r="H932" s="361">
        <v>42149</v>
      </c>
      <c r="I932" s="343" t="s">
        <v>166</v>
      </c>
      <c r="J932" s="343" t="s">
        <v>478</v>
      </c>
      <c r="K932" s="343" t="s">
        <v>168</v>
      </c>
    </row>
    <row r="933" spans="1:11" ht="26.25" customHeight="1">
      <c r="A933" s="343" t="s">
        <v>1618</v>
      </c>
      <c r="B933" s="344" t="s">
        <v>162</v>
      </c>
      <c r="C933" s="344">
        <v>6974</v>
      </c>
      <c r="D933" s="343" t="s">
        <v>4059</v>
      </c>
      <c r="E933" s="344">
        <v>4741600</v>
      </c>
      <c r="F933" s="343" t="s">
        <v>4063</v>
      </c>
      <c r="G933" s="360" t="s">
        <v>10256</v>
      </c>
      <c r="H933" s="361">
        <v>42111</v>
      </c>
      <c r="I933" s="343" t="s">
        <v>806</v>
      </c>
      <c r="J933" s="343" t="s">
        <v>10257</v>
      </c>
      <c r="K933" s="343" t="s">
        <v>168</v>
      </c>
    </row>
    <row r="934" spans="1:11" ht="26.25" customHeight="1">
      <c r="A934" s="343" t="s">
        <v>1618</v>
      </c>
      <c r="B934" s="344" t="s">
        <v>162</v>
      </c>
      <c r="C934" s="344">
        <v>7487</v>
      </c>
      <c r="D934" s="343" t="s">
        <v>3945</v>
      </c>
      <c r="E934" s="344">
        <v>6098215</v>
      </c>
      <c r="F934" s="343" t="s">
        <v>3948</v>
      </c>
      <c r="G934" s="360" t="s">
        <v>10258</v>
      </c>
      <c r="H934" s="361">
        <v>42149</v>
      </c>
      <c r="I934" s="343" t="s">
        <v>193</v>
      </c>
      <c r="J934" s="343" t="s">
        <v>10259</v>
      </c>
      <c r="K934" s="343" t="s">
        <v>168</v>
      </c>
    </row>
    <row r="935" spans="1:11" ht="26.25" customHeight="1">
      <c r="A935" s="343" t="s">
        <v>1618</v>
      </c>
      <c r="B935" s="344" t="s">
        <v>162</v>
      </c>
      <c r="C935" s="344">
        <v>8548</v>
      </c>
      <c r="D935" s="343" t="s">
        <v>4170</v>
      </c>
      <c r="E935" s="344">
        <v>4809571</v>
      </c>
      <c r="F935" s="343" t="s">
        <v>4175</v>
      </c>
      <c r="G935" s="360" t="s">
        <v>10260</v>
      </c>
      <c r="H935" s="361">
        <v>42123</v>
      </c>
      <c r="I935" s="343" t="s">
        <v>211</v>
      </c>
      <c r="J935" s="343" t="s">
        <v>10261</v>
      </c>
      <c r="K935" s="343" t="s">
        <v>168</v>
      </c>
    </row>
    <row r="936" spans="1:11" ht="26.25" customHeight="1">
      <c r="A936" s="343" t="s">
        <v>1618</v>
      </c>
      <c r="B936" s="344" t="s">
        <v>162</v>
      </c>
      <c r="C936" s="344">
        <v>12073</v>
      </c>
      <c r="D936" s="343" t="s">
        <v>4094</v>
      </c>
      <c r="E936" s="344">
        <v>5060733</v>
      </c>
      <c r="F936" s="343" t="s">
        <v>4098</v>
      </c>
      <c r="G936" s="360" t="s">
        <v>10262</v>
      </c>
      <c r="H936" s="361">
        <v>42264</v>
      </c>
      <c r="I936" s="343" t="s">
        <v>366</v>
      </c>
      <c r="J936" s="343" t="s">
        <v>10263</v>
      </c>
      <c r="K936" s="343" t="s">
        <v>168</v>
      </c>
    </row>
    <row r="937" spans="1:11" ht="26.25" customHeight="1">
      <c r="A937" s="343" t="s">
        <v>1618</v>
      </c>
      <c r="B937" s="344" t="s">
        <v>162</v>
      </c>
      <c r="C937" s="344">
        <v>12074</v>
      </c>
      <c r="D937" s="343" t="s">
        <v>4071</v>
      </c>
      <c r="E937" s="344">
        <v>3730056</v>
      </c>
      <c r="F937" s="343" t="s">
        <v>4072</v>
      </c>
      <c r="G937" s="360" t="s">
        <v>911</v>
      </c>
      <c r="H937" s="361">
        <v>42298</v>
      </c>
      <c r="I937" s="343" t="s">
        <v>4073</v>
      </c>
      <c r="J937" s="343" t="s">
        <v>10264</v>
      </c>
      <c r="K937" s="343" t="s">
        <v>168</v>
      </c>
    </row>
    <row r="938" spans="1:11" ht="26.25" customHeight="1">
      <c r="A938" s="343" t="s">
        <v>1618</v>
      </c>
      <c r="B938" s="344" t="s">
        <v>162</v>
      </c>
      <c r="C938" s="344">
        <v>9668</v>
      </c>
      <c r="D938" s="343" t="s">
        <v>3922</v>
      </c>
      <c r="E938" s="344">
        <v>6183092</v>
      </c>
      <c r="F938" s="343" t="s">
        <v>3923</v>
      </c>
      <c r="G938" s="360" t="s">
        <v>9711</v>
      </c>
      <c r="H938" s="361">
        <v>42185</v>
      </c>
      <c r="I938" s="343" t="s">
        <v>1419</v>
      </c>
      <c r="J938" s="343" t="s">
        <v>10265</v>
      </c>
      <c r="K938" s="343" t="s">
        <v>168</v>
      </c>
    </row>
    <row r="939" spans="1:11" ht="26.25" customHeight="1">
      <c r="A939" s="343" t="s">
        <v>1618</v>
      </c>
      <c r="B939" s="344" t="s">
        <v>162</v>
      </c>
      <c r="C939" s="344">
        <v>6998</v>
      </c>
      <c r="D939" s="343" t="s">
        <v>4109</v>
      </c>
      <c r="E939" s="344">
        <v>4253163</v>
      </c>
      <c r="F939" s="343" t="s">
        <v>4110</v>
      </c>
      <c r="G939" s="360" t="s">
        <v>10266</v>
      </c>
      <c r="H939" s="361">
        <v>42173</v>
      </c>
      <c r="I939" s="343" t="s">
        <v>984</v>
      </c>
      <c r="J939" s="343" t="s">
        <v>9373</v>
      </c>
      <c r="K939" s="343" t="s">
        <v>168</v>
      </c>
    </row>
    <row r="940" spans="1:11" ht="26.25" customHeight="1">
      <c r="A940" s="343" t="s">
        <v>1618</v>
      </c>
      <c r="B940" s="344" t="s">
        <v>162</v>
      </c>
      <c r="C940" s="344">
        <v>9012</v>
      </c>
      <c r="D940" s="343" t="s">
        <v>4143</v>
      </c>
      <c r="E940" s="344">
        <v>3407876</v>
      </c>
      <c r="F940" s="343" t="s">
        <v>4144</v>
      </c>
      <c r="G940" s="360" t="s">
        <v>10267</v>
      </c>
      <c r="H940" s="361">
        <v>42158</v>
      </c>
      <c r="I940" s="343" t="s">
        <v>547</v>
      </c>
      <c r="J940" s="343" t="s">
        <v>1028</v>
      </c>
      <c r="K940" s="343" t="s">
        <v>248</v>
      </c>
    </row>
    <row r="941" spans="1:11" ht="26.25" customHeight="1">
      <c r="A941" s="343" t="s">
        <v>1618</v>
      </c>
      <c r="B941" s="344" t="s">
        <v>162</v>
      </c>
      <c r="C941" s="344">
        <v>6968</v>
      </c>
      <c r="D941" s="343" t="s">
        <v>4135</v>
      </c>
      <c r="E941" s="344">
        <v>5219768</v>
      </c>
      <c r="F941" s="343" t="s">
        <v>4140</v>
      </c>
      <c r="G941" s="360" t="s">
        <v>10268</v>
      </c>
      <c r="H941" s="361">
        <v>42158</v>
      </c>
      <c r="I941" s="343" t="s">
        <v>305</v>
      </c>
      <c r="J941" s="343" t="s">
        <v>10269</v>
      </c>
      <c r="K941" s="343" t="s">
        <v>173</v>
      </c>
    </row>
    <row r="942" spans="1:11" ht="26.25" customHeight="1">
      <c r="A942" s="343" t="s">
        <v>1618</v>
      </c>
      <c r="B942" s="344" t="s">
        <v>162</v>
      </c>
      <c r="C942" s="344">
        <v>8549</v>
      </c>
      <c r="D942" s="343" t="s">
        <v>4183</v>
      </c>
      <c r="E942" s="344">
        <v>4677240</v>
      </c>
      <c r="F942" s="343" t="s">
        <v>4184</v>
      </c>
      <c r="G942" s="360" t="s">
        <v>10270</v>
      </c>
      <c r="H942" s="361">
        <v>42165</v>
      </c>
      <c r="I942" s="343" t="s">
        <v>211</v>
      </c>
      <c r="J942" s="343" t="s">
        <v>211</v>
      </c>
      <c r="K942" s="343" t="s">
        <v>168</v>
      </c>
    </row>
    <row r="943" spans="1:11" ht="26.25" customHeight="1">
      <c r="A943" s="343" t="s">
        <v>1618</v>
      </c>
      <c r="B943" s="344" t="s">
        <v>162</v>
      </c>
      <c r="C943" s="344">
        <v>8542</v>
      </c>
      <c r="D943" s="343" t="s">
        <v>4258</v>
      </c>
      <c r="E943" s="344">
        <v>5811516</v>
      </c>
      <c r="F943" s="343" t="s">
        <v>4263</v>
      </c>
      <c r="G943" s="360" t="s">
        <v>1168</v>
      </c>
      <c r="H943" s="361">
        <v>42164</v>
      </c>
      <c r="I943" s="343" t="s">
        <v>4264</v>
      </c>
      <c r="J943" s="343" t="s">
        <v>10271</v>
      </c>
      <c r="K943" s="343" t="s">
        <v>168</v>
      </c>
    </row>
    <row r="944" spans="1:11" ht="26.25" customHeight="1">
      <c r="A944" s="343" t="s">
        <v>1618</v>
      </c>
      <c r="B944" s="344" t="s">
        <v>162</v>
      </c>
      <c r="C944" s="344">
        <v>6972</v>
      </c>
      <c r="D944" s="343" t="s">
        <v>4123</v>
      </c>
      <c r="E944" s="344">
        <v>4849863</v>
      </c>
      <c r="F944" s="343" t="s">
        <v>4132</v>
      </c>
      <c r="G944" s="360" t="s">
        <v>10272</v>
      </c>
      <c r="H944" s="361">
        <v>42163</v>
      </c>
      <c r="I944" s="343" t="s">
        <v>211</v>
      </c>
      <c r="J944" s="343" t="s">
        <v>948</v>
      </c>
      <c r="K944" s="343" t="s">
        <v>168</v>
      </c>
    </row>
    <row r="945" spans="1:11" ht="26.25" customHeight="1">
      <c r="A945" s="343" t="s">
        <v>1618</v>
      </c>
      <c r="B945" s="344" t="s">
        <v>162</v>
      </c>
      <c r="C945" s="344">
        <v>8757</v>
      </c>
      <c r="D945" s="343" t="s">
        <v>4078</v>
      </c>
      <c r="E945" s="344">
        <v>4701188</v>
      </c>
      <c r="F945" s="343" t="s">
        <v>4079</v>
      </c>
      <c r="G945" s="360" t="s">
        <v>10273</v>
      </c>
      <c r="H945" s="361">
        <v>42163</v>
      </c>
      <c r="I945" s="343" t="s">
        <v>366</v>
      </c>
      <c r="J945" s="343" t="s">
        <v>9849</v>
      </c>
      <c r="K945" s="343" t="s">
        <v>168</v>
      </c>
    </row>
    <row r="946" spans="1:11" ht="26.25" customHeight="1">
      <c r="A946" s="343" t="s">
        <v>1618</v>
      </c>
      <c r="B946" s="344" t="s">
        <v>162</v>
      </c>
      <c r="C946" s="344">
        <v>12633</v>
      </c>
      <c r="D946" s="343" t="s">
        <v>4101</v>
      </c>
      <c r="E946" s="344">
        <v>4032847</v>
      </c>
      <c r="F946" s="343" t="s">
        <v>4104</v>
      </c>
      <c r="G946" s="360" t="s">
        <v>10274</v>
      </c>
      <c r="H946" s="361">
        <v>42087</v>
      </c>
      <c r="I946" s="343" t="s">
        <v>366</v>
      </c>
      <c r="J946" s="343" t="s">
        <v>1095</v>
      </c>
      <c r="K946" s="343" t="s">
        <v>168</v>
      </c>
    </row>
    <row r="947" spans="1:11" ht="26.25" customHeight="1">
      <c r="A947" s="343" t="s">
        <v>1618</v>
      </c>
      <c r="B947" s="344" t="s">
        <v>162</v>
      </c>
      <c r="C947" s="344">
        <v>6972</v>
      </c>
      <c r="D947" s="343" t="s">
        <v>4123</v>
      </c>
      <c r="E947" s="344">
        <v>4746105</v>
      </c>
      <c r="F947" s="343" t="s">
        <v>4127</v>
      </c>
      <c r="G947" s="360" t="s">
        <v>10275</v>
      </c>
      <c r="H947" s="361">
        <v>42087</v>
      </c>
      <c r="I947" s="343" t="s">
        <v>193</v>
      </c>
      <c r="J947" s="343" t="s">
        <v>10276</v>
      </c>
      <c r="K947" s="343" t="s">
        <v>168</v>
      </c>
    </row>
    <row r="948" spans="1:11" ht="26.25" customHeight="1">
      <c r="A948" s="343" t="s">
        <v>1618</v>
      </c>
      <c r="B948" s="344" t="s">
        <v>162</v>
      </c>
      <c r="C948" s="344">
        <v>6971</v>
      </c>
      <c r="D948" s="343" t="s">
        <v>4176</v>
      </c>
      <c r="E948" s="344">
        <v>4853201</v>
      </c>
      <c r="F948" s="343" t="s">
        <v>4177</v>
      </c>
      <c r="G948" s="360" t="s">
        <v>10277</v>
      </c>
      <c r="H948" s="361">
        <v>42072</v>
      </c>
      <c r="I948" s="343" t="s">
        <v>380</v>
      </c>
      <c r="J948" s="343" t="s">
        <v>523</v>
      </c>
      <c r="K948" s="343" t="s">
        <v>173</v>
      </c>
    </row>
    <row r="949" spans="1:11" ht="26.25" customHeight="1">
      <c r="A949" s="343" t="s">
        <v>1618</v>
      </c>
      <c r="B949" s="344" t="s">
        <v>162</v>
      </c>
      <c r="C949" s="344">
        <v>12777</v>
      </c>
      <c r="D949" s="343" t="s">
        <v>8351</v>
      </c>
      <c r="E949" s="344">
        <v>5641151</v>
      </c>
      <c r="F949" s="343" t="s">
        <v>4212</v>
      </c>
      <c r="G949" s="360" t="s">
        <v>9922</v>
      </c>
      <c r="H949" s="361">
        <v>42123</v>
      </c>
      <c r="I949" s="343" t="s">
        <v>261</v>
      </c>
      <c r="J949" s="343" t="s">
        <v>262</v>
      </c>
      <c r="K949" s="343" t="s">
        <v>168</v>
      </c>
    </row>
    <row r="950" spans="1:11" ht="26.25" customHeight="1">
      <c r="A950" s="343" t="s">
        <v>1618</v>
      </c>
      <c r="B950" s="344" t="s">
        <v>162</v>
      </c>
      <c r="C950" s="344">
        <v>9533</v>
      </c>
      <c r="D950" s="343" t="s">
        <v>3980</v>
      </c>
      <c r="E950" s="344">
        <v>6064893</v>
      </c>
      <c r="F950" s="343" t="s">
        <v>3983</v>
      </c>
      <c r="G950" s="360" t="s">
        <v>10278</v>
      </c>
      <c r="H950" s="361">
        <v>42123</v>
      </c>
      <c r="I950" s="343" t="s">
        <v>301</v>
      </c>
      <c r="J950" s="343" t="s">
        <v>302</v>
      </c>
      <c r="K950" s="343" t="s">
        <v>168</v>
      </c>
    </row>
    <row r="951" spans="1:11" ht="26.25" customHeight="1">
      <c r="A951" s="343" t="s">
        <v>1618</v>
      </c>
      <c r="B951" s="344" t="s">
        <v>162</v>
      </c>
      <c r="C951" s="344">
        <v>9623</v>
      </c>
      <c r="D951" s="343" t="s">
        <v>3972</v>
      </c>
      <c r="E951" s="344">
        <v>6272503</v>
      </c>
      <c r="F951" s="343" t="s">
        <v>3974</v>
      </c>
      <c r="G951" s="360" t="s">
        <v>10279</v>
      </c>
      <c r="H951" s="361">
        <v>42153</v>
      </c>
      <c r="I951" s="343" t="s">
        <v>271</v>
      </c>
      <c r="J951" s="343" t="s">
        <v>333</v>
      </c>
      <c r="K951" s="343" t="s">
        <v>168</v>
      </c>
    </row>
    <row r="952" spans="1:11" ht="26.25" customHeight="1">
      <c r="A952" s="343" t="s">
        <v>1618</v>
      </c>
      <c r="B952" s="344" t="s">
        <v>162</v>
      </c>
      <c r="C952" s="344">
        <v>7487</v>
      </c>
      <c r="D952" s="343" t="s">
        <v>3945</v>
      </c>
      <c r="E952" s="344">
        <v>5937560</v>
      </c>
      <c r="F952" s="343" t="s">
        <v>3947</v>
      </c>
      <c r="G952" s="360" t="s">
        <v>10280</v>
      </c>
      <c r="H952" s="361">
        <v>42153</v>
      </c>
      <c r="I952" s="343" t="s">
        <v>1038</v>
      </c>
      <c r="J952" s="343" t="s">
        <v>1165</v>
      </c>
      <c r="K952" s="343" t="s">
        <v>168</v>
      </c>
    </row>
    <row r="953" spans="1:11" ht="26.25" customHeight="1">
      <c r="A953" s="343" t="s">
        <v>1618</v>
      </c>
      <c r="B953" s="344" t="s">
        <v>162</v>
      </c>
      <c r="C953" s="344">
        <v>8548</v>
      </c>
      <c r="D953" s="343" t="s">
        <v>4170</v>
      </c>
      <c r="E953" s="344">
        <v>5221857</v>
      </c>
      <c r="F953" s="343" t="s">
        <v>4173</v>
      </c>
      <c r="G953" s="360" t="s">
        <v>10281</v>
      </c>
      <c r="H953" s="361">
        <v>42151</v>
      </c>
      <c r="I953" s="343" t="s">
        <v>4174</v>
      </c>
      <c r="J953" s="343" t="s">
        <v>10264</v>
      </c>
      <c r="K953" s="343" t="s">
        <v>168</v>
      </c>
    </row>
    <row r="954" spans="1:11" ht="26.25" customHeight="1">
      <c r="A954" s="343" t="s">
        <v>1618</v>
      </c>
      <c r="B954" s="344" t="s">
        <v>162</v>
      </c>
      <c r="C954" s="344">
        <v>12326</v>
      </c>
      <c r="D954" s="343" t="s">
        <v>4154</v>
      </c>
      <c r="E954" s="344">
        <v>5076148</v>
      </c>
      <c r="F954" s="343" t="s">
        <v>4161</v>
      </c>
      <c r="G954" s="360" t="s">
        <v>10282</v>
      </c>
      <c r="H954" s="361">
        <v>42151</v>
      </c>
      <c r="I954" s="343" t="s">
        <v>984</v>
      </c>
      <c r="J954" s="343" t="s">
        <v>1237</v>
      </c>
      <c r="K954" s="343" t="s">
        <v>168</v>
      </c>
    </row>
    <row r="955" spans="1:11" ht="26.25" customHeight="1">
      <c r="A955" s="343" t="s">
        <v>1618</v>
      </c>
      <c r="B955" s="344" t="s">
        <v>162</v>
      </c>
      <c r="C955" s="344">
        <v>12326</v>
      </c>
      <c r="D955" s="343" t="s">
        <v>4154</v>
      </c>
      <c r="E955" s="344">
        <v>4269904</v>
      </c>
      <c r="F955" s="343" t="s">
        <v>4158</v>
      </c>
      <c r="G955" s="360" t="s">
        <v>10283</v>
      </c>
      <c r="H955" s="361">
        <v>42104</v>
      </c>
      <c r="I955" s="343" t="s">
        <v>211</v>
      </c>
      <c r="J955" s="343" t="s">
        <v>10284</v>
      </c>
      <c r="K955" s="343" t="s">
        <v>168</v>
      </c>
    </row>
    <row r="956" spans="1:11" ht="26.25" customHeight="1">
      <c r="A956" s="343" t="s">
        <v>1618</v>
      </c>
      <c r="B956" s="344" t="s">
        <v>162</v>
      </c>
      <c r="C956" s="344">
        <v>12073</v>
      </c>
      <c r="D956" s="343" t="s">
        <v>4094</v>
      </c>
      <c r="E956" s="344">
        <v>6012920</v>
      </c>
      <c r="F956" s="343" t="s">
        <v>4096</v>
      </c>
      <c r="G956" s="360" t="s">
        <v>10285</v>
      </c>
      <c r="H956" s="361">
        <v>42101</v>
      </c>
      <c r="I956" s="343" t="s">
        <v>275</v>
      </c>
      <c r="J956" s="343" t="s">
        <v>9804</v>
      </c>
      <c r="K956" s="343" t="s">
        <v>168</v>
      </c>
    </row>
    <row r="957" spans="1:11" ht="26.25" customHeight="1">
      <c r="A957" s="343" t="s">
        <v>1618</v>
      </c>
      <c r="B957" s="344" t="s">
        <v>162</v>
      </c>
      <c r="C957" s="344">
        <v>7493</v>
      </c>
      <c r="D957" s="343" t="s">
        <v>3968</v>
      </c>
      <c r="E957" s="344">
        <v>6276679</v>
      </c>
      <c r="F957" s="343" t="s">
        <v>3970</v>
      </c>
      <c r="G957" s="360" t="s">
        <v>10286</v>
      </c>
      <c r="H957" s="361">
        <v>42403</v>
      </c>
      <c r="I957" s="343" t="s">
        <v>3971</v>
      </c>
      <c r="J957" s="343" t="s">
        <v>10287</v>
      </c>
      <c r="K957" s="343" t="s">
        <v>168</v>
      </c>
    </row>
    <row r="958" spans="1:11" ht="26.25" customHeight="1">
      <c r="A958" s="343" t="s">
        <v>1618</v>
      </c>
      <c r="B958" s="344" t="s">
        <v>162</v>
      </c>
      <c r="C958" s="344">
        <v>9533</v>
      </c>
      <c r="D958" s="343" t="s">
        <v>3980</v>
      </c>
      <c r="E958" s="344">
        <v>6228910</v>
      </c>
      <c r="F958" s="343" t="s">
        <v>3981</v>
      </c>
      <c r="G958" s="360" t="s">
        <v>10288</v>
      </c>
      <c r="H958" s="361">
        <v>42423</v>
      </c>
      <c r="I958" s="343" t="s">
        <v>3662</v>
      </c>
      <c r="J958" s="343" t="s">
        <v>10289</v>
      </c>
      <c r="K958" s="343" t="s">
        <v>248</v>
      </c>
    </row>
    <row r="959" spans="1:11" ht="26.25" customHeight="1">
      <c r="A959" s="343" t="s">
        <v>1618</v>
      </c>
      <c r="B959" s="344" t="s">
        <v>162</v>
      </c>
      <c r="C959" s="344">
        <v>6977</v>
      </c>
      <c r="D959" s="343" t="s">
        <v>4193</v>
      </c>
      <c r="E959" s="344">
        <v>4728476</v>
      </c>
      <c r="F959" s="343" t="s">
        <v>4197</v>
      </c>
      <c r="G959" s="360" t="s">
        <v>10290</v>
      </c>
      <c r="H959" s="361">
        <v>42424</v>
      </c>
      <c r="I959" s="343" t="s">
        <v>166</v>
      </c>
      <c r="J959" s="343" t="s">
        <v>344</v>
      </c>
      <c r="K959" s="343" t="s">
        <v>168</v>
      </c>
    </row>
    <row r="960" spans="1:11" ht="26.25" customHeight="1">
      <c r="A960" s="343" t="s">
        <v>1618</v>
      </c>
      <c r="B960" s="344" t="s">
        <v>162</v>
      </c>
      <c r="C960" s="344">
        <v>6973</v>
      </c>
      <c r="D960" s="343" t="s">
        <v>4068</v>
      </c>
      <c r="E960" s="344">
        <v>4552774</v>
      </c>
      <c r="F960" s="343" t="s">
        <v>4069</v>
      </c>
      <c r="G960" s="360" t="s">
        <v>10291</v>
      </c>
      <c r="H960" s="361">
        <v>42439</v>
      </c>
      <c r="I960" s="343" t="s">
        <v>3850</v>
      </c>
      <c r="J960" s="343" t="s">
        <v>10292</v>
      </c>
      <c r="K960" s="343" t="s">
        <v>168</v>
      </c>
    </row>
    <row r="961" spans="1:11" ht="26.25" customHeight="1">
      <c r="A961" s="343" t="s">
        <v>1618</v>
      </c>
      <c r="B961" s="344" t="s">
        <v>162</v>
      </c>
      <c r="C961" s="344">
        <v>6972</v>
      </c>
      <c r="D961" s="343" t="s">
        <v>4123</v>
      </c>
      <c r="E961" s="344">
        <v>5960835</v>
      </c>
      <c r="F961" s="343" t="s">
        <v>4125</v>
      </c>
      <c r="G961" s="360" t="s">
        <v>10293</v>
      </c>
      <c r="H961" s="361">
        <v>42438</v>
      </c>
      <c r="I961" s="343" t="s">
        <v>4017</v>
      </c>
      <c r="J961" s="343" t="s">
        <v>10294</v>
      </c>
      <c r="K961" s="343" t="s">
        <v>168</v>
      </c>
    </row>
    <row r="962" spans="1:11" ht="26.25" customHeight="1">
      <c r="A962" s="343" t="s">
        <v>1618</v>
      </c>
      <c r="B962" s="344" t="s">
        <v>162</v>
      </c>
      <c r="C962" s="344">
        <v>6977</v>
      </c>
      <c r="D962" s="343" t="s">
        <v>4193</v>
      </c>
      <c r="E962" s="344">
        <v>4710599</v>
      </c>
      <c r="F962" s="343" t="s">
        <v>4195</v>
      </c>
      <c r="G962" s="360" t="s">
        <v>10295</v>
      </c>
      <c r="H962" s="361">
        <v>42445</v>
      </c>
      <c r="I962" s="343" t="s">
        <v>4196</v>
      </c>
      <c r="J962" s="343" t="s">
        <v>10296</v>
      </c>
      <c r="K962" s="343" t="s">
        <v>248</v>
      </c>
    </row>
    <row r="963" spans="1:11" ht="26.25" customHeight="1">
      <c r="A963" s="343" t="s">
        <v>1618</v>
      </c>
      <c r="B963" s="344" t="s">
        <v>162</v>
      </c>
      <c r="C963" s="344">
        <v>9854</v>
      </c>
      <c r="D963" s="343" t="s">
        <v>4289</v>
      </c>
      <c r="E963" s="344">
        <v>5777094</v>
      </c>
      <c r="F963" s="343" t="s">
        <v>4290</v>
      </c>
      <c r="G963" s="360" t="s">
        <v>10297</v>
      </c>
      <c r="H963" s="361">
        <v>42440</v>
      </c>
      <c r="I963" s="343" t="s">
        <v>166</v>
      </c>
      <c r="J963" s="343" t="s">
        <v>243</v>
      </c>
      <c r="K963" s="343" t="s">
        <v>168</v>
      </c>
    </row>
    <row r="964" spans="1:11" ht="26.25" customHeight="1">
      <c r="A964" s="343" t="s">
        <v>1618</v>
      </c>
      <c r="B964" s="344" t="s">
        <v>162</v>
      </c>
      <c r="C964" s="344">
        <v>6970</v>
      </c>
      <c r="D964" s="343" t="s">
        <v>4111</v>
      </c>
      <c r="E964" s="344">
        <v>4708564</v>
      </c>
      <c r="F964" s="343" t="s">
        <v>4112</v>
      </c>
      <c r="G964" s="360" t="s">
        <v>10298</v>
      </c>
      <c r="H964" s="361">
        <v>42447</v>
      </c>
      <c r="I964" s="343" t="s">
        <v>301</v>
      </c>
      <c r="J964" s="343" t="s">
        <v>302</v>
      </c>
      <c r="K964" s="343" t="s">
        <v>168</v>
      </c>
    </row>
    <row r="965" spans="1:11" ht="26.25" customHeight="1">
      <c r="A965" s="343" t="s">
        <v>1618</v>
      </c>
      <c r="B965" s="344" t="s">
        <v>162</v>
      </c>
      <c r="C965" s="344">
        <v>6970</v>
      </c>
      <c r="D965" s="343" t="s">
        <v>4111</v>
      </c>
      <c r="E965" s="344">
        <v>4660533</v>
      </c>
      <c r="F965" s="343" t="s">
        <v>4118</v>
      </c>
      <c r="G965" s="360" t="s">
        <v>10299</v>
      </c>
      <c r="H965" s="361">
        <v>42447</v>
      </c>
      <c r="I965" s="343" t="s">
        <v>261</v>
      </c>
      <c r="J965" s="343" t="s">
        <v>262</v>
      </c>
      <c r="K965" s="343" t="s">
        <v>168</v>
      </c>
    </row>
    <row r="966" spans="1:11" ht="26.25" customHeight="1">
      <c r="A966" s="343" t="s">
        <v>1618</v>
      </c>
      <c r="B966" s="344" t="s">
        <v>162</v>
      </c>
      <c r="C966" s="344">
        <v>12326</v>
      </c>
      <c r="D966" s="343" t="s">
        <v>4154</v>
      </c>
      <c r="E966" s="344">
        <v>4101708</v>
      </c>
      <c r="F966" s="343" t="s">
        <v>4159</v>
      </c>
      <c r="G966" s="360" t="s">
        <v>10300</v>
      </c>
      <c r="H966" s="361">
        <v>42446</v>
      </c>
      <c r="I966" s="343" t="s">
        <v>802</v>
      </c>
      <c r="J966" s="343" t="s">
        <v>10301</v>
      </c>
      <c r="K966" s="343" t="s">
        <v>168</v>
      </c>
    </row>
    <row r="967" spans="1:11" ht="26.25" customHeight="1">
      <c r="A967" s="343" t="s">
        <v>1618</v>
      </c>
      <c r="B967" s="344" t="s">
        <v>162</v>
      </c>
      <c r="C967" s="344">
        <v>12633</v>
      </c>
      <c r="D967" s="343" t="s">
        <v>4101</v>
      </c>
      <c r="E967" s="344">
        <v>4747242</v>
      </c>
      <c r="F967" s="343" t="s">
        <v>4107</v>
      </c>
      <c r="G967" s="360" t="s">
        <v>10302</v>
      </c>
      <c r="H967" s="361">
        <v>42446</v>
      </c>
      <c r="I967" s="343" t="s">
        <v>4108</v>
      </c>
      <c r="J967" s="343" t="s">
        <v>10303</v>
      </c>
      <c r="K967" s="343" t="s">
        <v>168</v>
      </c>
    </row>
    <row r="968" spans="1:11" ht="26.25" customHeight="1">
      <c r="A968" s="343" t="s">
        <v>1618</v>
      </c>
      <c r="B968" s="344" t="s">
        <v>162</v>
      </c>
      <c r="C968" s="344">
        <v>9042</v>
      </c>
      <c r="D968" s="343" t="s">
        <v>4283</v>
      </c>
      <c r="E968" s="344">
        <v>6036059</v>
      </c>
      <c r="F968" s="343" t="s">
        <v>4284</v>
      </c>
      <c r="G968" s="360" t="s">
        <v>10304</v>
      </c>
      <c r="H968" s="361">
        <v>42445</v>
      </c>
      <c r="I968" s="343" t="s">
        <v>4285</v>
      </c>
      <c r="J968" s="343" t="s">
        <v>10305</v>
      </c>
      <c r="K968" s="343" t="s">
        <v>168</v>
      </c>
    </row>
    <row r="969" spans="1:11" ht="26.25" customHeight="1">
      <c r="A969" s="343" t="s">
        <v>1618</v>
      </c>
      <c r="B969" s="344" t="s">
        <v>162</v>
      </c>
      <c r="C969" s="344">
        <v>6997</v>
      </c>
      <c r="D969" s="343" t="s">
        <v>4186</v>
      </c>
      <c r="E969" s="344">
        <v>4803940</v>
      </c>
      <c r="F969" s="343" t="s">
        <v>4191</v>
      </c>
      <c r="G969" s="360" t="s">
        <v>835</v>
      </c>
      <c r="H969" s="361">
        <v>42474</v>
      </c>
      <c r="I969" s="343" t="s">
        <v>1082</v>
      </c>
      <c r="J969" s="343" t="s">
        <v>10306</v>
      </c>
      <c r="K969" s="343" t="s">
        <v>248</v>
      </c>
    </row>
    <row r="970" spans="1:11" ht="26.25" customHeight="1">
      <c r="A970" s="343" t="s">
        <v>1618</v>
      </c>
      <c r="B970" s="344" t="s">
        <v>162</v>
      </c>
      <c r="C970" s="344">
        <v>6987</v>
      </c>
      <c r="D970" s="343" t="s">
        <v>4064</v>
      </c>
      <c r="E970" s="344">
        <v>5305533</v>
      </c>
      <c r="F970" s="343" t="s">
        <v>4065</v>
      </c>
      <c r="G970" s="360" t="s">
        <v>10307</v>
      </c>
      <c r="H970" s="361">
        <v>42474</v>
      </c>
      <c r="I970" s="343" t="s">
        <v>261</v>
      </c>
      <c r="J970" s="343" t="s">
        <v>262</v>
      </c>
      <c r="K970" s="343" t="s">
        <v>168</v>
      </c>
    </row>
    <row r="971" spans="1:11" ht="26.25" customHeight="1">
      <c r="A971" s="343" t="s">
        <v>1618</v>
      </c>
      <c r="B971" s="344" t="s">
        <v>162</v>
      </c>
      <c r="C971" s="344">
        <v>7495</v>
      </c>
      <c r="D971" s="343" t="s">
        <v>3941</v>
      </c>
      <c r="E971" s="344">
        <v>6226299</v>
      </c>
      <c r="F971" s="343" t="s">
        <v>3942</v>
      </c>
      <c r="G971" s="360" t="s">
        <v>10308</v>
      </c>
      <c r="H971" s="361">
        <v>42468</v>
      </c>
      <c r="I971" s="343" t="s">
        <v>3943</v>
      </c>
      <c r="J971" s="343" t="s">
        <v>10309</v>
      </c>
      <c r="K971" s="343" t="s">
        <v>168</v>
      </c>
    </row>
    <row r="972" spans="1:11" ht="26.25" customHeight="1">
      <c r="A972" s="343" t="s">
        <v>1618</v>
      </c>
      <c r="B972" s="344" t="s">
        <v>162</v>
      </c>
      <c r="C972" s="344">
        <v>8837</v>
      </c>
      <c r="D972" s="343" t="s">
        <v>4162</v>
      </c>
      <c r="E972" s="344">
        <v>5060756</v>
      </c>
      <c r="F972" s="343" t="s">
        <v>4164</v>
      </c>
      <c r="G972" s="360" t="s">
        <v>10310</v>
      </c>
      <c r="H972" s="361">
        <v>42466</v>
      </c>
      <c r="I972" s="343" t="s">
        <v>366</v>
      </c>
      <c r="J972" s="343" t="s">
        <v>1095</v>
      </c>
      <c r="K972" s="343" t="s">
        <v>168</v>
      </c>
    </row>
    <row r="973" spans="1:11" ht="26.25" customHeight="1">
      <c r="A973" s="343" t="s">
        <v>1618</v>
      </c>
      <c r="B973" s="344" t="s">
        <v>162</v>
      </c>
      <c r="C973" s="344">
        <v>8757</v>
      </c>
      <c r="D973" s="343" t="s">
        <v>4078</v>
      </c>
      <c r="E973" s="344">
        <v>5853819</v>
      </c>
      <c r="F973" s="343" t="s">
        <v>4080</v>
      </c>
      <c r="G973" s="360" t="s">
        <v>10311</v>
      </c>
      <c r="H973" s="361">
        <v>42494</v>
      </c>
      <c r="I973" s="343" t="s">
        <v>180</v>
      </c>
      <c r="J973" s="343" t="s">
        <v>10312</v>
      </c>
      <c r="K973" s="343" t="s">
        <v>168</v>
      </c>
    </row>
    <row r="974" spans="1:11" ht="26.25" customHeight="1">
      <c r="A974" s="343" t="s">
        <v>1618</v>
      </c>
      <c r="B974" s="344" t="s">
        <v>162</v>
      </c>
      <c r="C974" s="344">
        <v>6970</v>
      </c>
      <c r="D974" s="343" t="s">
        <v>4111</v>
      </c>
      <c r="E974" s="344">
        <v>4988990</v>
      </c>
      <c r="F974" s="343" t="s">
        <v>4115</v>
      </c>
      <c r="G974" s="360" t="s">
        <v>10313</v>
      </c>
      <c r="H974" s="361">
        <v>42475</v>
      </c>
      <c r="I974" s="343" t="s">
        <v>465</v>
      </c>
      <c r="J974" s="343" t="s">
        <v>553</v>
      </c>
      <c r="K974" s="343" t="s">
        <v>168</v>
      </c>
    </row>
    <row r="975" spans="1:11" ht="26.25" customHeight="1">
      <c r="A975" s="343" t="s">
        <v>1618</v>
      </c>
      <c r="B975" s="344" t="s">
        <v>162</v>
      </c>
      <c r="C975" s="344">
        <v>12074</v>
      </c>
      <c r="D975" s="343" t="s">
        <v>4071</v>
      </c>
      <c r="E975" s="344">
        <v>4925782</v>
      </c>
      <c r="F975" s="343" t="s">
        <v>4077</v>
      </c>
      <c r="G975" s="360" t="s">
        <v>10314</v>
      </c>
      <c r="H975" s="361">
        <v>42475</v>
      </c>
      <c r="I975" s="343" t="s">
        <v>366</v>
      </c>
      <c r="J975" s="343" t="s">
        <v>10315</v>
      </c>
      <c r="K975" s="343" t="s">
        <v>168</v>
      </c>
    </row>
    <row r="976" spans="1:11" ht="26.25" customHeight="1">
      <c r="A976" s="343" t="s">
        <v>1618</v>
      </c>
      <c r="B976" s="344" t="s">
        <v>162</v>
      </c>
      <c r="C976" s="344">
        <v>6975</v>
      </c>
      <c r="D976" s="343" t="s">
        <v>4087</v>
      </c>
      <c r="E976" s="344">
        <v>4826435</v>
      </c>
      <c r="F976" s="343" t="s">
        <v>4088</v>
      </c>
      <c r="G976" s="360" t="s">
        <v>10316</v>
      </c>
      <c r="H976" s="361">
        <v>42492</v>
      </c>
      <c r="I976" s="343" t="s">
        <v>211</v>
      </c>
      <c r="J976" s="343" t="s">
        <v>10317</v>
      </c>
      <c r="K976" s="343" t="s">
        <v>168</v>
      </c>
    </row>
    <row r="977" spans="1:11" ht="26.25" customHeight="1">
      <c r="A977" s="343" t="s">
        <v>1618</v>
      </c>
      <c r="B977" s="344" t="s">
        <v>162</v>
      </c>
      <c r="C977" s="344">
        <v>8999</v>
      </c>
      <c r="D977" s="343" t="s">
        <v>4278</v>
      </c>
      <c r="E977" s="344">
        <v>6009133</v>
      </c>
      <c r="F977" s="343" t="s">
        <v>4282</v>
      </c>
      <c r="G977" s="360" t="s">
        <v>10318</v>
      </c>
      <c r="H977" s="361">
        <v>42480</v>
      </c>
      <c r="I977" s="343" t="s">
        <v>198</v>
      </c>
      <c r="J977" s="343" t="s">
        <v>10319</v>
      </c>
      <c r="K977" s="343" t="s">
        <v>168</v>
      </c>
    </row>
    <row r="978" spans="1:11" ht="26.25" customHeight="1">
      <c r="A978" s="343" t="s">
        <v>1618</v>
      </c>
      <c r="B978" s="344" t="s">
        <v>162</v>
      </c>
      <c r="C978" s="344">
        <v>9012</v>
      </c>
      <c r="D978" s="343" t="s">
        <v>4143</v>
      </c>
      <c r="E978" s="344">
        <v>4806738</v>
      </c>
      <c r="F978" s="343" t="s">
        <v>4145</v>
      </c>
      <c r="G978" s="360" t="s">
        <v>10320</v>
      </c>
      <c r="H978" s="361">
        <v>42487</v>
      </c>
      <c r="I978" s="343" t="s">
        <v>198</v>
      </c>
      <c r="J978" s="343" t="s">
        <v>10321</v>
      </c>
      <c r="K978" s="343" t="s">
        <v>168</v>
      </c>
    </row>
    <row r="979" spans="1:11" ht="26.25" customHeight="1">
      <c r="A979" s="343" t="s">
        <v>1618</v>
      </c>
      <c r="B979" s="344" t="s">
        <v>162</v>
      </c>
      <c r="C979" s="344">
        <v>9533</v>
      </c>
      <c r="D979" s="343" t="s">
        <v>3980</v>
      </c>
      <c r="E979" s="344">
        <v>6231997</v>
      </c>
      <c r="F979" s="343" t="s">
        <v>3982</v>
      </c>
      <c r="G979" s="360" t="s">
        <v>10322</v>
      </c>
      <c r="H979" s="361">
        <v>42487</v>
      </c>
      <c r="I979" s="343" t="s">
        <v>547</v>
      </c>
      <c r="J979" s="343" t="s">
        <v>10323</v>
      </c>
      <c r="K979" s="343" t="s">
        <v>248</v>
      </c>
    </row>
    <row r="980" spans="1:11" ht="26.25" customHeight="1">
      <c r="A980" s="343" t="s">
        <v>1618</v>
      </c>
      <c r="B980" s="344" t="s">
        <v>162</v>
      </c>
      <c r="C980" s="344">
        <v>7475</v>
      </c>
      <c r="D980" s="343" t="s">
        <v>3951</v>
      </c>
      <c r="E980" s="344">
        <v>6503592</v>
      </c>
      <c r="F980" s="343" t="s">
        <v>3955</v>
      </c>
      <c r="G980" s="360" t="s">
        <v>10324</v>
      </c>
      <c r="H980" s="361">
        <v>42487</v>
      </c>
      <c r="I980" s="343" t="s">
        <v>284</v>
      </c>
      <c r="J980" s="343" t="s">
        <v>10325</v>
      </c>
      <c r="K980" s="343" t="s">
        <v>168</v>
      </c>
    </row>
    <row r="981" spans="1:11" ht="26.25" customHeight="1">
      <c r="A981" s="343" t="s">
        <v>1618</v>
      </c>
      <c r="B981" s="344" t="s">
        <v>162</v>
      </c>
      <c r="C981" s="344">
        <v>6990</v>
      </c>
      <c r="D981" s="343" t="s">
        <v>4091</v>
      </c>
      <c r="E981" s="344">
        <v>5117518</v>
      </c>
      <c r="F981" s="343" t="s">
        <v>4092</v>
      </c>
      <c r="G981" s="360" t="s">
        <v>10326</v>
      </c>
      <c r="H981" s="361">
        <v>42489</v>
      </c>
      <c r="I981" s="343" t="s">
        <v>166</v>
      </c>
      <c r="J981" s="343" t="s">
        <v>10327</v>
      </c>
      <c r="K981" s="343" t="s">
        <v>168</v>
      </c>
    </row>
    <row r="982" spans="1:11" ht="26.25" customHeight="1">
      <c r="A982" s="343" t="s">
        <v>1618</v>
      </c>
      <c r="B982" s="344" t="s">
        <v>162</v>
      </c>
      <c r="C982" s="344">
        <v>8837</v>
      </c>
      <c r="D982" s="343" t="s">
        <v>4162</v>
      </c>
      <c r="E982" s="344">
        <v>4679602</v>
      </c>
      <c r="F982" s="343" t="s">
        <v>4165</v>
      </c>
      <c r="G982" s="360" t="s">
        <v>10328</v>
      </c>
      <c r="H982" s="361">
        <v>42502</v>
      </c>
      <c r="I982" s="343" t="s">
        <v>1339</v>
      </c>
      <c r="J982" s="343" t="s">
        <v>10329</v>
      </c>
      <c r="K982" s="343" t="s">
        <v>168</v>
      </c>
    </row>
    <row r="983" spans="1:11" ht="26.25" customHeight="1">
      <c r="A983" s="343" t="s">
        <v>1618</v>
      </c>
      <c r="B983" s="344" t="s">
        <v>162</v>
      </c>
      <c r="C983" s="344">
        <v>6972</v>
      </c>
      <c r="D983" s="343" t="s">
        <v>4123</v>
      </c>
      <c r="E983" s="344">
        <v>5685793</v>
      </c>
      <c r="F983" s="343" t="s">
        <v>4128</v>
      </c>
      <c r="G983" s="360" t="s">
        <v>1023</v>
      </c>
      <c r="H983" s="361">
        <v>42502</v>
      </c>
      <c r="I983" s="343" t="s">
        <v>4129</v>
      </c>
      <c r="J983" s="343" t="s">
        <v>10330</v>
      </c>
      <c r="K983" s="343" t="s">
        <v>248</v>
      </c>
    </row>
    <row r="984" spans="1:11" ht="26.25" customHeight="1">
      <c r="A984" s="343" t="s">
        <v>1618</v>
      </c>
      <c r="B984" s="344" t="s">
        <v>162</v>
      </c>
      <c r="C984" s="344">
        <v>9853</v>
      </c>
      <c r="D984" s="343" t="s">
        <v>4021</v>
      </c>
      <c r="E984" s="344">
        <v>5966151</v>
      </c>
      <c r="F984" s="343" t="s">
        <v>4022</v>
      </c>
      <c r="G984" s="360" t="s">
        <v>10331</v>
      </c>
      <c r="H984" s="361">
        <v>42513</v>
      </c>
      <c r="I984" s="343" t="s">
        <v>4023</v>
      </c>
      <c r="J984" s="343" t="s">
        <v>10332</v>
      </c>
      <c r="K984" s="343" t="s">
        <v>168</v>
      </c>
    </row>
    <row r="985" spans="1:11" ht="26.25" customHeight="1">
      <c r="A985" s="343" t="s">
        <v>1618</v>
      </c>
      <c r="B985" s="344" t="s">
        <v>162</v>
      </c>
      <c r="C985" s="344">
        <v>7487</v>
      </c>
      <c r="D985" s="343" t="s">
        <v>3945</v>
      </c>
      <c r="E985" s="344">
        <v>5918846</v>
      </c>
      <c r="F985" s="343" t="s">
        <v>3949</v>
      </c>
      <c r="G985" s="360" t="s">
        <v>10333</v>
      </c>
      <c r="H985" s="361">
        <v>42515</v>
      </c>
      <c r="I985" s="343" t="s">
        <v>3950</v>
      </c>
      <c r="J985" s="343" t="s">
        <v>10334</v>
      </c>
      <c r="K985" s="343" t="s">
        <v>168</v>
      </c>
    </row>
    <row r="986" spans="1:11" ht="26.25" customHeight="1">
      <c r="A986" s="343" t="s">
        <v>1618</v>
      </c>
      <c r="B986" s="344" t="s">
        <v>162</v>
      </c>
      <c r="C986" s="344">
        <v>8837</v>
      </c>
      <c r="D986" s="343" t="s">
        <v>4162</v>
      </c>
      <c r="E986" s="344">
        <v>5709732</v>
      </c>
      <c r="F986" s="343" t="s">
        <v>4163</v>
      </c>
      <c r="G986" s="360" t="s">
        <v>10335</v>
      </c>
      <c r="H986" s="361">
        <v>42536</v>
      </c>
      <c r="I986" s="343" t="s">
        <v>709</v>
      </c>
      <c r="J986" s="343" t="s">
        <v>978</v>
      </c>
      <c r="K986" s="343" t="s">
        <v>173</v>
      </c>
    </row>
    <row r="987" spans="1:11" ht="26.25" customHeight="1">
      <c r="A987" s="343" t="s">
        <v>1618</v>
      </c>
      <c r="B987" s="344" t="s">
        <v>162</v>
      </c>
      <c r="C987" s="344">
        <v>7475</v>
      </c>
      <c r="D987" s="343" t="s">
        <v>3951</v>
      </c>
      <c r="E987" s="344">
        <v>6466464</v>
      </c>
      <c r="F987" s="343" t="s">
        <v>3954</v>
      </c>
      <c r="G987" s="360" t="s">
        <v>10336</v>
      </c>
      <c r="H987" s="361">
        <v>42513</v>
      </c>
      <c r="I987" s="343" t="s">
        <v>193</v>
      </c>
      <c r="J987" s="343" t="s">
        <v>377</v>
      </c>
      <c r="K987" s="343" t="s">
        <v>168</v>
      </c>
    </row>
    <row r="988" spans="1:11" ht="26.25" customHeight="1">
      <c r="A988" s="343" t="s">
        <v>1618</v>
      </c>
      <c r="B988" s="344" t="s">
        <v>162</v>
      </c>
      <c r="C988" s="344">
        <v>8542</v>
      </c>
      <c r="D988" s="343" t="s">
        <v>4258</v>
      </c>
      <c r="E988" s="344">
        <v>6109947</v>
      </c>
      <c r="F988" s="343" t="s">
        <v>4260</v>
      </c>
      <c r="G988" s="360" t="s">
        <v>10337</v>
      </c>
      <c r="H988" s="361">
        <v>42549</v>
      </c>
      <c r="I988" s="343" t="s">
        <v>198</v>
      </c>
      <c r="J988" s="343" t="s">
        <v>198</v>
      </c>
      <c r="K988" s="343" t="s">
        <v>168</v>
      </c>
    </row>
    <row r="989" spans="1:11" ht="26.25" customHeight="1">
      <c r="A989" s="343" t="s">
        <v>1618</v>
      </c>
      <c r="B989" s="344" t="s">
        <v>162</v>
      </c>
      <c r="C989" s="344">
        <v>9623</v>
      </c>
      <c r="D989" s="343" t="s">
        <v>3972</v>
      </c>
      <c r="E989" s="344">
        <v>6294158</v>
      </c>
      <c r="F989" s="343" t="s">
        <v>3973</v>
      </c>
      <c r="G989" s="360" t="s">
        <v>10338</v>
      </c>
      <c r="H989" s="361">
        <v>42549</v>
      </c>
      <c r="I989" s="343" t="s">
        <v>271</v>
      </c>
      <c r="J989" s="343" t="s">
        <v>333</v>
      </c>
      <c r="K989" s="343" t="s">
        <v>168</v>
      </c>
    </row>
    <row r="990" spans="1:11" ht="26.25" customHeight="1">
      <c r="A990" s="343" t="s">
        <v>1618</v>
      </c>
      <c r="B990" s="344" t="s">
        <v>162</v>
      </c>
      <c r="C990" s="344">
        <v>7492</v>
      </c>
      <c r="D990" s="343" t="s">
        <v>3990</v>
      </c>
      <c r="E990" s="344">
        <v>6409510</v>
      </c>
      <c r="F990" s="343" t="s">
        <v>3991</v>
      </c>
      <c r="G990" s="360" t="s">
        <v>10339</v>
      </c>
      <c r="H990" s="361">
        <v>42563</v>
      </c>
      <c r="I990" s="343" t="s">
        <v>3992</v>
      </c>
      <c r="J990" s="343" t="s">
        <v>10340</v>
      </c>
      <c r="K990" s="343" t="s">
        <v>173</v>
      </c>
    </row>
    <row r="991" spans="1:11" ht="26.25" customHeight="1">
      <c r="A991" s="343" t="s">
        <v>1618</v>
      </c>
      <c r="B991" s="344" t="s">
        <v>162</v>
      </c>
      <c r="C991" s="344">
        <v>9593</v>
      </c>
      <c r="D991" s="343" t="s">
        <v>3984</v>
      </c>
      <c r="E991" s="344">
        <v>6137715</v>
      </c>
      <c r="F991" s="343" t="s">
        <v>3985</v>
      </c>
      <c r="G991" s="360" t="s">
        <v>10341</v>
      </c>
      <c r="H991" s="361">
        <v>42563</v>
      </c>
      <c r="I991" s="343" t="s">
        <v>193</v>
      </c>
      <c r="J991" s="343" t="s">
        <v>10342</v>
      </c>
      <c r="K991" s="343" t="s">
        <v>168</v>
      </c>
    </row>
    <row r="992" spans="1:11" ht="26.25" customHeight="1">
      <c r="A992" s="343" t="s">
        <v>1618</v>
      </c>
      <c r="B992" s="344" t="s">
        <v>162</v>
      </c>
      <c r="C992" s="344">
        <v>12073</v>
      </c>
      <c r="D992" s="343" t="s">
        <v>4094</v>
      </c>
      <c r="E992" s="344">
        <v>4890352</v>
      </c>
      <c r="F992" s="343" t="s">
        <v>4100</v>
      </c>
      <c r="G992" s="360" t="s">
        <v>10055</v>
      </c>
      <c r="H992" s="361">
        <v>42563</v>
      </c>
      <c r="I992" s="343" t="s">
        <v>1182</v>
      </c>
      <c r="J992" s="343" t="s">
        <v>1183</v>
      </c>
      <c r="K992" s="343" t="s">
        <v>173</v>
      </c>
    </row>
    <row r="993" spans="1:11" ht="26.25" customHeight="1">
      <c r="A993" s="343" t="s">
        <v>1618</v>
      </c>
      <c r="B993" s="344" t="s">
        <v>162</v>
      </c>
      <c r="C993" s="344">
        <v>9853</v>
      </c>
      <c r="D993" s="343" t="s">
        <v>4021</v>
      </c>
      <c r="E993" s="344">
        <v>4691155</v>
      </c>
      <c r="F993" s="343" t="s">
        <v>4025</v>
      </c>
      <c r="G993" s="360" t="s">
        <v>10343</v>
      </c>
      <c r="H993" s="361">
        <v>42584</v>
      </c>
      <c r="I993" s="343" t="s">
        <v>4026</v>
      </c>
      <c r="J993" s="343" t="s">
        <v>10344</v>
      </c>
      <c r="K993" s="343" t="s">
        <v>168</v>
      </c>
    </row>
    <row r="994" spans="1:11" ht="26.25" customHeight="1">
      <c r="A994" s="343" t="s">
        <v>1618</v>
      </c>
      <c r="B994" s="344" t="s">
        <v>162</v>
      </c>
      <c r="C994" s="344">
        <v>6985</v>
      </c>
      <c r="D994" s="343" t="s">
        <v>4167</v>
      </c>
      <c r="E994" s="344">
        <v>4135891</v>
      </c>
      <c r="F994" s="343" t="s">
        <v>4169</v>
      </c>
      <c r="G994" s="360" t="s">
        <v>10345</v>
      </c>
      <c r="H994" s="361">
        <v>42597</v>
      </c>
      <c r="I994" s="343" t="s">
        <v>709</v>
      </c>
      <c r="J994" s="343" t="s">
        <v>978</v>
      </c>
      <c r="K994" s="343" t="s">
        <v>173</v>
      </c>
    </row>
    <row r="995" spans="1:11" ht="26.25" customHeight="1">
      <c r="A995" s="343" t="s">
        <v>1618</v>
      </c>
      <c r="B995" s="344" t="s">
        <v>162</v>
      </c>
      <c r="C995" s="344">
        <v>6650</v>
      </c>
      <c r="D995" s="343" t="s">
        <v>4208</v>
      </c>
      <c r="E995" s="344">
        <v>6215575</v>
      </c>
      <c r="F995" s="343" t="s">
        <v>4211</v>
      </c>
      <c r="G995" s="360" t="s">
        <v>477</v>
      </c>
      <c r="H995" s="361">
        <v>42597</v>
      </c>
      <c r="I995" s="343" t="s">
        <v>271</v>
      </c>
      <c r="J995" s="343" t="s">
        <v>10346</v>
      </c>
      <c r="K995" s="343" t="s">
        <v>168</v>
      </c>
    </row>
    <row r="996" spans="1:11" ht="26.25" customHeight="1">
      <c r="A996" s="343" t="s">
        <v>1618</v>
      </c>
      <c r="B996" s="344" t="s">
        <v>162</v>
      </c>
      <c r="C996" s="344">
        <v>6661</v>
      </c>
      <c r="D996" s="343" t="s">
        <v>4242</v>
      </c>
      <c r="E996" s="344">
        <v>5245915</v>
      </c>
      <c r="F996" s="343" t="s">
        <v>4245</v>
      </c>
      <c r="G996" s="360" t="s">
        <v>1289</v>
      </c>
      <c r="H996" s="361">
        <v>42593</v>
      </c>
      <c r="I996" s="343" t="s">
        <v>1124</v>
      </c>
      <c r="J996" s="343" t="s">
        <v>10347</v>
      </c>
      <c r="K996" s="343" t="s">
        <v>173</v>
      </c>
    </row>
    <row r="997" spans="1:11" ht="26.25" customHeight="1">
      <c r="A997" s="343" t="s">
        <v>1618</v>
      </c>
      <c r="B997" s="344" t="s">
        <v>162</v>
      </c>
      <c r="C997" s="344">
        <v>9623</v>
      </c>
      <c r="D997" s="343" t="s">
        <v>3972</v>
      </c>
      <c r="E997" s="344">
        <v>6423746</v>
      </c>
      <c r="F997" s="343" t="s">
        <v>3975</v>
      </c>
      <c r="G997" s="360" t="s">
        <v>10348</v>
      </c>
      <c r="H997" s="361">
        <v>42608</v>
      </c>
      <c r="I997" s="343" t="s">
        <v>193</v>
      </c>
      <c r="J997" s="343" t="s">
        <v>637</v>
      </c>
      <c r="K997" s="343" t="s">
        <v>168</v>
      </c>
    </row>
    <row r="998" spans="1:11" ht="26.25" customHeight="1">
      <c r="A998" s="343" t="s">
        <v>1618</v>
      </c>
      <c r="B998" s="344" t="s">
        <v>162</v>
      </c>
      <c r="C998" s="344">
        <v>12777</v>
      </c>
      <c r="D998" s="343" t="s">
        <v>8351</v>
      </c>
      <c r="E998" s="344">
        <v>5801594</v>
      </c>
      <c r="F998" s="343" t="s">
        <v>4213</v>
      </c>
      <c r="G998" s="360" t="s">
        <v>1386</v>
      </c>
      <c r="H998" s="361">
        <v>42612</v>
      </c>
      <c r="I998" s="343" t="s">
        <v>198</v>
      </c>
      <c r="J998" s="343" t="s">
        <v>198</v>
      </c>
      <c r="K998" s="343" t="s">
        <v>168</v>
      </c>
    </row>
    <row r="999" spans="1:11" ht="26.25" customHeight="1">
      <c r="A999" s="343" t="s">
        <v>1618</v>
      </c>
      <c r="B999" s="344" t="s">
        <v>162</v>
      </c>
      <c r="C999" s="344">
        <v>7466</v>
      </c>
      <c r="D999" s="343" t="s">
        <v>3924</v>
      </c>
      <c r="E999" s="344">
        <v>6168464</v>
      </c>
      <c r="F999" s="343" t="s">
        <v>3928</v>
      </c>
      <c r="G999" s="360" t="s">
        <v>10349</v>
      </c>
      <c r="H999" s="361">
        <v>42612</v>
      </c>
      <c r="I999" s="343" t="s">
        <v>3579</v>
      </c>
      <c r="J999" s="343" t="s">
        <v>10350</v>
      </c>
      <c r="K999" s="343" t="s">
        <v>173</v>
      </c>
    </row>
    <row r="1000" spans="1:11" ht="26.25" customHeight="1">
      <c r="A1000" s="343" t="s">
        <v>1618</v>
      </c>
      <c r="B1000" s="344" t="s">
        <v>162</v>
      </c>
      <c r="C1000" s="344">
        <v>6985</v>
      </c>
      <c r="D1000" s="343" t="s">
        <v>4167</v>
      </c>
      <c r="E1000" s="344">
        <v>4641931</v>
      </c>
      <c r="F1000" s="343" t="s">
        <v>4168</v>
      </c>
      <c r="G1000" s="360" t="s">
        <v>10351</v>
      </c>
      <c r="H1000" s="361">
        <v>42635</v>
      </c>
      <c r="I1000" s="343" t="s">
        <v>580</v>
      </c>
      <c r="J1000" s="343" t="s">
        <v>10352</v>
      </c>
      <c r="K1000" s="343" t="s">
        <v>248</v>
      </c>
    </row>
    <row r="1001" spans="1:11" ht="26.25" customHeight="1">
      <c r="A1001" s="343" t="s">
        <v>1618</v>
      </c>
      <c r="B1001" s="344" t="s">
        <v>162</v>
      </c>
      <c r="C1001" s="344">
        <v>9906</v>
      </c>
      <c r="D1001" s="343" t="s">
        <v>4015</v>
      </c>
      <c r="E1001" s="344">
        <v>4887980</v>
      </c>
      <c r="F1001" s="343" t="s">
        <v>4019</v>
      </c>
      <c r="G1001" s="360" t="s">
        <v>10353</v>
      </c>
      <c r="H1001" s="361">
        <v>42633</v>
      </c>
      <c r="I1001" s="343" t="s">
        <v>4020</v>
      </c>
      <c r="J1001" s="343" t="s">
        <v>10354</v>
      </c>
      <c r="K1001" s="343" t="s">
        <v>168</v>
      </c>
    </row>
    <row r="1002" spans="1:11" ht="26.25" customHeight="1">
      <c r="A1002" s="343" t="s">
        <v>1618</v>
      </c>
      <c r="B1002" s="344" t="s">
        <v>162</v>
      </c>
      <c r="C1002" s="344">
        <v>8542</v>
      </c>
      <c r="D1002" s="343" t="s">
        <v>4258</v>
      </c>
      <c r="E1002" s="344">
        <v>5791099</v>
      </c>
      <c r="F1002" s="343" t="s">
        <v>4261</v>
      </c>
      <c r="G1002" s="360" t="s">
        <v>10355</v>
      </c>
      <c r="H1002" s="361">
        <v>42633</v>
      </c>
      <c r="I1002" s="343" t="s">
        <v>366</v>
      </c>
      <c r="J1002" s="343" t="s">
        <v>366</v>
      </c>
      <c r="K1002" s="343" t="s">
        <v>168</v>
      </c>
    </row>
    <row r="1003" spans="1:11" ht="26.25" customHeight="1">
      <c r="A1003" s="343" t="s">
        <v>1618</v>
      </c>
      <c r="B1003" s="344" t="s">
        <v>162</v>
      </c>
      <c r="C1003" s="344">
        <v>6970</v>
      </c>
      <c r="D1003" s="343" t="s">
        <v>4111</v>
      </c>
      <c r="E1003" s="344">
        <v>4482829</v>
      </c>
      <c r="F1003" s="343" t="s">
        <v>4120</v>
      </c>
      <c r="G1003" s="360" t="s">
        <v>856</v>
      </c>
      <c r="H1003" s="361">
        <v>42633</v>
      </c>
      <c r="I1003" s="343" t="s">
        <v>4121</v>
      </c>
      <c r="J1003" s="343" t="s">
        <v>10356</v>
      </c>
      <c r="K1003" s="343" t="s">
        <v>168</v>
      </c>
    </row>
    <row r="1004" spans="1:11" ht="26.25" customHeight="1">
      <c r="A1004" s="343" t="s">
        <v>1618</v>
      </c>
      <c r="B1004" s="344" t="s">
        <v>162</v>
      </c>
      <c r="C1004" s="344">
        <v>9260</v>
      </c>
      <c r="D1004" s="343" t="s">
        <v>4141</v>
      </c>
      <c r="E1004" s="344">
        <v>4738914</v>
      </c>
      <c r="F1004" s="343" t="s">
        <v>4142</v>
      </c>
      <c r="G1004" s="360" t="s">
        <v>10357</v>
      </c>
      <c r="H1004" s="361">
        <v>42668</v>
      </c>
      <c r="I1004" s="343" t="s">
        <v>211</v>
      </c>
      <c r="J1004" s="343" t="s">
        <v>211</v>
      </c>
      <c r="K1004" s="343" t="s">
        <v>168</v>
      </c>
    </row>
    <row r="1005" spans="1:11" ht="26.25" customHeight="1">
      <c r="A1005" s="343" t="s">
        <v>1618</v>
      </c>
      <c r="B1005" s="344" t="s">
        <v>162</v>
      </c>
      <c r="C1005" s="344">
        <v>6971</v>
      </c>
      <c r="D1005" s="343" t="s">
        <v>4176</v>
      </c>
      <c r="E1005" s="344">
        <v>4958797</v>
      </c>
      <c r="F1005" s="343" t="s">
        <v>4181</v>
      </c>
      <c r="G1005" s="360" t="s">
        <v>10358</v>
      </c>
      <c r="H1005" s="361">
        <v>42669</v>
      </c>
      <c r="I1005" s="343" t="s">
        <v>709</v>
      </c>
      <c r="J1005" s="343" t="s">
        <v>10359</v>
      </c>
      <c r="K1005" s="343" t="s">
        <v>168</v>
      </c>
    </row>
    <row r="1006" spans="1:11" ht="26.25" customHeight="1">
      <c r="A1006" s="343" t="s">
        <v>1618</v>
      </c>
      <c r="B1006" s="344" t="s">
        <v>162</v>
      </c>
      <c r="C1006" s="344">
        <v>9637</v>
      </c>
      <c r="D1006" s="343" t="s">
        <v>3993</v>
      </c>
      <c r="E1006" s="344">
        <v>6377867</v>
      </c>
      <c r="F1006" s="343" t="s">
        <v>3994</v>
      </c>
      <c r="G1006" s="360" t="s">
        <v>10360</v>
      </c>
      <c r="H1006" s="361">
        <v>42685</v>
      </c>
      <c r="I1006" s="343" t="s">
        <v>271</v>
      </c>
      <c r="J1006" s="343" t="s">
        <v>10361</v>
      </c>
      <c r="K1006" s="343" t="s">
        <v>168</v>
      </c>
    </row>
    <row r="1007" spans="1:11" ht="26.25" customHeight="1">
      <c r="A1007" s="343" t="s">
        <v>1618</v>
      </c>
      <c r="B1007" s="344" t="s">
        <v>162</v>
      </c>
      <c r="C1007" s="344">
        <v>7465</v>
      </c>
      <c r="D1007" s="343" t="s">
        <v>3962</v>
      </c>
      <c r="E1007" s="344">
        <v>5154718</v>
      </c>
      <c r="F1007" s="343" t="s">
        <v>3964</v>
      </c>
      <c r="G1007" s="360" t="s">
        <v>1459</v>
      </c>
      <c r="H1007" s="361">
        <v>42702</v>
      </c>
      <c r="I1007" s="343" t="s">
        <v>313</v>
      </c>
      <c r="J1007" s="343" t="s">
        <v>314</v>
      </c>
      <c r="K1007" s="343" t="s">
        <v>173</v>
      </c>
    </row>
    <row r="1008" spans="1:11" ht="26.25" customHeight="1">
      <c r="A1008" s="343" t="s">
        <v>1618</v>
      </c>
      <c r="B1008" s="344" t="s">
        <v>162</v>
      </c>
      <c r="C1008" s="344">
        <v>9373</v>
      </c>
      <c r="D1008" s="343" t="s">
        <v>4081</v>
      </c>
      <c r="E1008" s="344">
        <v>5841239</v>
      </c>
      <c r="F1008" s="343" t="s">
        <v>4084</v>
      </c>
      <c r="G1008" s="360" t="s">
        <v>10362</v>
      </c>
      <c r="H1008" s="361">
        <v>42704</v>
      </c>
      <c r="I1008" s="343" t="s">
        <v>180</v>
      </c>
      <c r="J1008" s="343" t="s">
        <v>10363</v>
      </c>
      <c r="K1008" s="343" t="s">
        <v>168</v>
      </c>
    </row>
    <row r="1009" spans="1:11" ht="26.25" customHeight="1">
      <c r="A1009" s="343" t="s">
        <v>1618</v>
      </c>
      <c r="B1009" s="344" t="s">
        <v>162</v>
      </c>
      <c r="C1009" s="344">
        <v>12633</v>
      </c>
      <c r="D1009" s="343" t="s">
        <v>4101</v>
      </c>
      <c r="E1009" s="344">
        <v>5094521</v>
      </c>
      <c r="F1009" s="343" t="s">
        <v>4102</v>
      </c>
      <c r="G1009" s="360" t="s">
        <v>10364</v>
      </c>
      <c r="H1009" s="361">
        <v>41681</v>
      </c>
      <c r="I1009" s="343" t="s">
        <v>211</v>
      </c>
      <c r="J1009" s="343" t="s">
        <v>212</v>
      </c>
      <c r="K1009" s="343" t="s">
        <v>168</v>
      </c>
    </row>
    <row r="1010" spans="1:11" ht="26.25" customHeight="1">
      <c r="A1010" s="343" t="s">
        <v>1618</v>
      </c>
      <c r="B1010" s="344" t="s">
        <v>162</v>
      </c>
      <c r="C1010" s="344">
        <v>12326</v>
      </c>
      <c r="D1010" s="343" t="s">
        <v>4154</v>
      </c>
      <c r="E1010" s="344">
        <v>6054684</v>
      </c>
      <c r="F1010" s="343" t="s">
        <v>4157</v>
      </c>
      <c r="G1010" s="360" t="s">
        <v>10365</v>
      </c>
      <c r="H1010" s="361">
        <v>41681</v>
      </c>
      <c r="I1010" s="343" t="s">
        <v>547</v>
      </c>
      <c r="J1010" s="343" t="s">
        <v>1028</v>
      </c>
      <c r="K1010" s="343" t="s">
        <v>248</v>
      </c>
    </row>
    <row r="1011" spans="1:11" ht="26.25" customHeight="1">
      <c r="A1011" s="343" t="s">
        <v>1618</v>
      </c>
      <c r="B1011" s="344" t="s">
        <v>162</v>
      </c>
      <c r="C1011" s="344">
        <v>6972</v>
      </c>
      <c r="D1011" s="343" t="s">
        <v>4123</v>
      </c>
      <c r="E1011" s="344">
        <v>5000148</v>
      </c>
      <c r="F1011" s="343" t="s">
        <v>4124</v>
      </c>
      <c r="G1011" s="360" t="s">
        <v>10366</v>
      </c>
      <c r="H1011" s="361">
        <v>42705</v>
      </c>
      <c r="I1011" s="343" t="s">
        <v>180</v>
      </c>
      <c r="J1011" s="343" t="s">
        <v>10367</v>
      </c>
      <c r="K1011" s="343" t="s">
        <v>173</v>
      </c>
    </row>
    <row r="1012" spans="1:11" ht="26.25" customHeight="1">
      <c r="A1012" s="343" t="s">
        <v>1618</v>
      </c>
      <c r="B1012" s="344" t="s">
        <v>162</v>
      </c>
      <c r="C1012" s="344">
        <v>6649</v>
      </c>
      <c r="D1012" s="343" t="s">
        <v>4230</v>
      </c>
      <c r="E1012" s="344">
        <v>5840971</v>
      </c>
      <c r="F1012" s="343" t="s">
        <v>4233</v>
      </c>
      <c r="G1012" s="360" t="s">
        <v>291</v>
      </c>
      <c r="H1012" s="361">
        <v>42709</v>
      </c>
      <c r="I1012" s="343" t="s">
        <v>4234</v>
      </c>
      <c r="J1012" s="343" t="s">
        <v>10368</v>
      </c>
      <c r="K1012" s="343" t="s">
        <v>168</v>
      </c>
    </row>
    <row r="1013" spans="1:11" ht="26.25" customHeight="1">
      <c r="A1013" s="343" t="s">
        <v>1618</v>
      </c>
      <c r="B1013" s="344" t="s">
        <v>162</v>
      </c>
      <c r="C1013" s="344">
        <v>12074</v>
      </c>
      <c r="D1013" s="343" t="s">
        <v>4071</v>
      </c>
      <c r="E1013" s="344">
        <v>4567854</v>
      </c>
      <c r="F1013" s="343" t="s">
        <v>4075</v>
      </c>
      <c r="G1013" s="360" t="s">
        <v>10369</v>
      </c>
      <c r="H1013" s="361">
        <v>41957</v>
      </c>
      <c r="I1013" s="343" t="s">
        <v>4076</v>
      </c>
      <c r="J1013" s="343" t="s">
        <v>10370</v>
      </c>
      <c r="K1013" s="343" t="s">
        <v>168</v>
      </c>
    </row>
    <row r="1014" spans="1:11" ht="26.25" customHeight="1">
      <c r="A1014" s="343" t="s">
        <v>1618</v>
      </c>
      <c r="B1014" s="344" t="s">
        <v>162</v>
      </c>
      <c r="C1014" s="344">
        <v>9373</v>
      </c>
      <c r="D1014" s="343" t="s">
        <v>4081</v>
      </c>
      <c r="E1014" s="344">
        <v>4757464</v>
      </c>
      <c r="F1014" s="343" t="s">
        <v>4085</v>
      </c>
      <c r="G1014" s="360" t="s">
        <v>10371</v>
      </c>
      <c r="H1014" s="361">
        <v>40340</v>
      </c>
      <c r="I1014" s="343" t="s">
        <v>4086</v>
      </c>
      <c r="J1014" s="343" t="s">
        <v>4086</v>
      </c>
      <c r="K1014" s="343" t="s">
        <v>248</v>
      </c>
    </row>
    <row r="1015" spans="1:11" ht="26.25" customHeight="1">
      <c r="A1015" s="343" t="s">
        <v>1618</v>
      </c>
      <c r="B1015" s="344" t="s">
        <v>162</v>
      </c>
      <c r="C1015" s="344">
        <v>9373</v>
      </c>
      <c r="D1015" s="343" t="s">
        <v>4081</v>
      </c>
      <c r="E1015" s="344">
        <v>4757466</v>
      </c>
      <c r="F1015" s="343" t="s">
        <v>4083</v>
      </c>
      <c r="G1015" s="360" t="s">
        <v>10372</v>
      </c>
      <c r="H1015" s="361">
        <v>40273</v>
      </c>
      <c r="I1015" s="343" t="s">
        <v>366</v>
      </c>
      <c r="J1015" s="343" t="s">
        <v>366</v>
      </c>
      <c r="K1015" s="343" t="s">
        <v>168</v>
      </c>
    </row>
    <row r="1016" spans="1:11" ht="26.25" customHeight="1">
      <c r="A1016" s="343" t="s">
        <v>1618</v>
      </c>
      <c r="B1016" s="344" t="s">
        <v>162</v>
      </c>
      <c r="C1016" s="344">
        <v>8548</v>
      </c>
      <c r="D1016" s="343" t="s">
        <v>4170</v>
      </c>
      <c r="E1016" s="344">
        <v>2396071</v>
      </c>
      <c r="F1016" s="343" t="s">
        <v>4171</v>
      </c>
      <c r="G1016" s="360" t="s">
        <v>10373</v>
      </c>
      <c r="H1016" s="361">
        <v>40644</v>
      </c>
      <c r="I1016" s="343" t="s">
        <v>211</v>
      </c>
      <c r="J1016" s="343" t="s">
        <v>909</v>
      </c>
      <c r="K1016" s="343" t="s">
        <v>168</v>
      </c>
    </row>
    <row r="1017" spans="1:11" ht="26.25" customHeight="1">
      <c r="A1017" s="343" t="s">
        <v>1618</v>
      </c>
      <c r="B1017" s="344" t="s">
        <v>162</v>
      </c>
      <c r="C1017" s="344">
        <v>9853</v>
      </c>
      <c r="D1017" s="343" t="s">
        <v>4021</v>
      </c>
      <c r="E1017" s="344">
        <v>3683010</v>
      </c>
      <c r="F1017" s="343" t="s">
        <v>4027</v>
      </c>
      <c r="G1017" s="360" t="s">
        <v>10374</v>
      </c>
      <c r="H1017" s="361">
        <v>40647</v>
      </c>
      <c r="I1017" s="343" t="s">
        <v>1305</v>
      </c>
      <c r="J1017" s="343" t="s">
        <v>10375</v>
      </c>
      <c r="K1017" s="343" t="s">
        <v>168</v>
      </c>
    </row>
    <row r="1018" spans="1:11" ht="26.25" customHeight="1">
      <c r="A1018" s="343" t="s">
        <v>1618</v>
      </c>
      <c r="B1018" s="344" t="s">
        <v>162</v>
      </c>
      <c r="C1018" s="344">
        <v>6626</v>
      </c>
      <c r="D1018" s="343" t="s">
        <v>4217</v>
      </c>
      <c r="E1018" s="344">
        <v>6518825</v>
      </c>
      <c r="F1018" s="343" t="s">
        <v>4218</v>
      </c>
      <c r="G1018" s="360" t="s">
        <v>10107</v>
      </c>
      <c r="H1018" s="361">
        <v>42713</v>
      </c>
      <c r="I1018" s="343" t="s">
        <v>1082</v>
      </c>
      <c r="J1018" s="343" t="s">
        <v>10376</v>
      </c>
      <c r="K1018" s="343" t="s">
        <v>248</v>
      </c>
    </row>
    <row r="1019" spans="1:11" ht="26.25" customHeight="1">
      <c r="A1019" s="343" t="s">
        <v>1618</v>
      </c>
      <c r="B1019" s="344" t="s">
        <v>162</v>
      </c>
      <c r="C1019" s="344">
        <v>6972</v>
      </c>
      <c r="D1019" s="343" t="s">
        <v>4123</v>
      </c>
      <c r="E1019" s="344">
        <v>3476404</v>
      </c>
      <c r="F1019" s="343" t="s">
        <v>4130</v>
      </c>
      <c r="G1019" s="360" t="s">
        <v>10377</v>
      </c>
      <c r="H1019" s="361">
        <v>41002</v>
      </c>
      <c r="I1019" s="343" t="s">
        <v>465</v>
      </c>
      <c r="J1019" s="343" t="s">
        <v>10378</v>
      </c>
      <c r="K1019" s="343" t="s">
        <v>168</v>
      </c>
    </row>
    <row r="1020" spans="1:11" ht="26.25" customHeight="1">
      <c r="A1020" s="343" t="s">
        <v>1618</v>
      </c>
      <c r="B1020" s="344" t="s">
        <v>162</v>
      </c>
      <c r="C1020" s="344">
        <v>6971</v>
      </c>
      <c r="D1020" s="343" t="s">
        <v>4176</v>
      </c>
      <c r="E1020" s="344">
        <v>5209862</v>
      </c>
      <c r="F1020" s="343" t="s">
        <v>4180</v>
      </c>
      <c r="G1020" s="360" t="s">
        <v>10379</v>
      </c>
      <c r="H1020" s="361">
        <v>41011</v>
      </c>
      <c r="I1020" s="343" t="s">
        <v>211</v>
      </c>
      <c r="J1020" s="343" t="s">
        <v>211</v>
      </c>
      <c r="K1020" s="343" t="s">
        <v>168</v>
      </c>
    </row>
    <row r="1021" spans="1:11" ht="26.25" customHeight="1">
      <c r="A1021" s="343" t="s">
        <v>1618</v>
      </c>
      <c r="B1021" s="344" t="s">
        <v>162</v>
      </c>
      <c r="C1021" s="344">
        <v>11596</v>
      </c>
      <c r="D1021" s="343" t="s">
        <v>4030</v>
      </c>
      <c r="E1021" s="344">
        <v>3694618</v>
      </c>
      <c r="F1021" s="343" t="s">
        <v>4031</v>
      </c>
      <c r="G1021" s="360" t="s">
        <v>10380</v>
      </c>
      <c r="H1021" s="361">
        <v>41235</v>
      </c>
      <c r="I1021" s="343" t="s">
        <v>166</v>
      </c>
      <c r="J1021" s="343" t="s">
        <v>10381</v>
      </c>
      <c r="K1021" s="343" t="s">
        <v>168</v>
      </c>
    </row>
    <row r="1022" spans="1:11" ht="26.25" customHeight="1">
      <c r="A1022" s="343" t="s">
        <v>1618</v>
      </c>
      <c r="B1022" s="344" t="s">
        <v>162</v>
      </c>
      <c r="C1022" s="344">
        <v>6970</v>
      </c>
      <c r="D1022" s="343" t="s">
        <v>4111</v>
      </c>
      <c r="E1022" s="344">
        <v>3953012</v>
      </c>
      <c r="F1022" s="343" t="s">
        <v>4119</v>
      </c>
      <c r="G1022" s="360" t="s">
        <v>10382</v>
      </c>
      <c r="H1022" s="361">
        <v>41137</v>
      </c>
      <c r="I1022" s="343" t="s">
        <v>547</v>
      </c>
      <c r="J1022" s="343" t="s">
        <v>1028</v>
      </c>
      <c r="K1022" s="343" t="s">
        <v>248</v>
      </c>
    </row>
    <row r="1023" spans="1:11" ht="26.25" customHeight="1">
      <c r="A1023" s="343" t="s">
        <v>1618</v>
      </c>
      <c r="B1023" s="344" t="s">
        <v>162</v>
      </c>
      <c r="C1023" s="344">
        <v>11596</v>
      </c>
      <c r="D1023" s="343" t="s">
        <v>4030</v>
      </c>
      <c r="E1023" s="344">
        <v>4277432</v>
      </c>
      <c r="F1023" s="343" t="s">
        <v>4032</v>
      </c>
      <c r="G1023" s="360" t="s">
        <v>10383</v>
      </c>
      <c r="H1023" s="361">
        <v>41131</v>
      </c>
      <c r="I1023" s="343" t="s">
        <v>211</v>
      </c>
      <c r="J1023" s="343" t="s">
        <v>211</v>
      </c>
      <c r="K1023" s="343" t="s">
        <v>168</v>
      </c>
    </row>
    <row r="1024" spans="1:11" ht="26.25" customHeight="1">
      <c r="A1024" s="343" t="s">
        <v>1618</v>
      </c>
      <c r="B1024" s="344" t="s">
        <v>162</v>
      </c>
      <c r="C1024" s="344">
        <v>6970</v>
      </c>
      <c r="D1024" s="343" t="s">
        <v>4111</v>
      </c>
      <c r="E1024" s="344">
        <v>4857365</v>
      </c>
      <c r="F1024" s="343" t="s">
        <v>4116</v>
      </c>
      <c r="G1024" s="360" t="s">
        <v>10384</v>
      </c>
      <c r="H1024" s="361">
        <v>41087</v>
      </c>
      <c r="I1024" s="343" t="s">
        <v>211</v>
      </c>
      <c r="J1024" s="343" t="s">
        <v>909</v>
      </c>
      <c r="K1024" s="343" t="s">
        <v>168</v>
      </c>
    </row>
    <row r="1025" spans="1:11" ht="26.25" customHeight="1">
      <c r="A1025" s="343" t="s">
        <v>1618</v>
      </c>
      <c r="B1025" s="344" t="s">
        <v>162</v>
      </c>
      <c r="C1025" s="344">
        <v>9853</v>
      </c>
      <c r="D1025" s="343" t="s">
        <v>4021</v>
      </c>
      <c r="E1025" s="344">
        <v>4866327</v>
      </c>
      <c r="F1025" s="343" t="s">
        <v>4024</v>
      </c>
      <c r="G1025" s="360" t="s">
        <v>9890</v>
      </c>
      <c r="H1025" s="361">
        <v>41605</v>
      </c>
      <c r="I1025" s="343" t="s">
        <v>180</v>
      </c>
      <c r="J1025" s="343" t="s">
        <v>10385</v>
      </c>
      <c r="K1025" s="343" t="s">
        <v>168</v>
      </c>
    </row>
    <row r="1026" spans="1:11" ht="26.25" customHeight="1">
      <c r="A1026" s="343" t="s">
        <v>1618</v>
      </c>
      <c r="B1026" s="344" t="s">
        <v>162</v>
      </c>
      <c r="C1026" s="344">
        <v>11089</v>
      </c>
      <c r="D1026" s="343" t="s">
        <v>3997</v>
      </c>
      <c r="E1026" s="344">
        <v>6022839</v>
      </c>
      <c r="F1026" s="343" t="s">
        <v>4001</v>
      </c>
      <c r="G1026" s="360" t="s">
        <v>10386</v>
      </c>
      <c r="H1026" s="361">
        <v>41885</v>
      </c>
      <c r="I1026" s="343" t="s">
        <v>166</v>
      </c>
      <c r="J1026" s="343" t="s">
        <v>167</v>
      </c>
      <c r="K1026" s="343" t="s">
        <v>168</v>
      </c>
    </row>
    <row r="1027" spans="1:11" ht="26.25" customHeight="1">
      <c r="A1027" s="343" t="s">
        <v>1618</v>
      </c>
      <c r="B1027" s="344" t="s">
        <v>162</v>
      </c>
      <c r="C1027" s="344">
        <v>6968</v>
      </c>
      <c r="D1027" s="343" t="s">
        <v>4135</v>
      </c>
      <c r="E1027" s="344">
        <v>5212072</v>
      </c>
      <c r="F1027" s="343" t="s">
        <v>4139</v>
      </c>
      <c r="G1027" s="360" t="s">
        <v>10387</v>
      </c>
      <c r="H1027" s="361">
        <v>41877</v>
      </c>
      <c r="I1027" s="343" t="s">
        <v>180</v>
      </c>
      <c r="J1027" s="343" t="s">
        <v>10388</v>
      </c>
      <c r="K1027" s="343" t="s">
        <v>173</v>
      </c>
    </row>
    <row r="1028" spans="1:11" ht="26.25" customHeight="1">
      <c r="A1028" s="343" t="s">
        <v>1618</v>
      </c>
      <c r="B1028" s="344" t="s">
        <v>162</v>
      </c>
      <c r="C1028" s="344">
        <v>12633</v>
      </c>
      <c r="D1028" s="343" t="s">
        <v>4101</v>
      </c>
      <c r="E1028" s="344">
        <v>5044870</v>
      </c>
      <c r="F1028" s="343" t="s">
        <v>4105</v>
      </c>
      <c r="G1028" s="360" t="s">
        <v>10389</v>
      </c>
      <c r="H1028" s="361">
        <v>41876</v>
      </c>
      <c r="I1028" s="343" t="s">
        <v>198</v>
      </c>
      <c r="J1028" s="343" t="s">
        <v>10390</v>
      </c>
      <c r="K1028" s="343" t="s">
        <v>168</v>
      </c>
    </row>
    <row r="1029" spans="1:11" ht="26.25" customHeight="1">
      <c r="A1029" s="343" t="s">
        <v>1618</v>
      </c>
      <c r="B1029" s="344" t="s">
        <v>162</v>
      </c>
      <c r="C1029" s="344">
        <v>11090</v>
      </c>
      <c r="D1029" s="343" t="s">
        <v>4009</v>
      </c>
      <c r="E1029" s="344">
        <v>4647888</v>
      </c>
      <c r="F1029" s="343" t="s">
        <v>4012</v>
      </c>
      <c r="G1029" s="360" t="s">
        <v>10391</v>
      </c>
      <c r="H1029" s="361">
        <v>41873</v>
      </c>
      <c r="I1029" s="343" t="s">
        <v>193</v>
      </c>
      <c r="J1029" s="343" t="s">
        <v>167</v>
      </c>
      <c r="K1029" s="343" t="s">
        <v>168</v>
      </c>
    </row>
    <row r="1030" spans="1:11" ht="26.25" customHeight="1">
      <c r="A1030" s="343" t="s">
        <v>1618</v>
      </c>
      <c r="B1030" s="344" t="s">
        <v>162</v>
      </c>
      <c r="C1030" s="344">
        <v>6970</v>
      </c>
      <c r="D1030" s="343" t="s">
        <v>4111</v>
      </c>
      <c r="E1030" s="344">
        <v>6169596</v>
      </c>
      <c r="F1030" s="343" t="s">
        <v>4122</v>
      </c>
      <c r="G1030" s="360" t="s">
        <v>10392</v>
      </c>
      <c r="H1030" s="361">
        <v>41872</v>
      </c>
      <c r="I1030" s="343" t="s">
        <v>211</v>
      </c>
      <c r="J1030" s="343" t="s">
        <v>211</v>
      </c>
      <c r="K1030" s="343" t="s">
        <v>168</v>
      </c>
    </row>
    <row r="1031" spans="1:11" ht="26.25" customHeight="1">
      <c r="A1031" s="343" t="s">
        <v>1618</v>
      </c>
      <c r="B1031" s="344" t="s">
        <v>162</v>
      </c>
      <c r="C1031" s="344">
        <v>8680</v>
      </c>
      <c r="D1031" s="343" t="s">
        <v>4133</v>
      </c>
      <c r="E1031" s="344">
        <v>5196914</v>
      </c>
      <c r="F1031" s="343" t="s">
        <v>4134</v>
      </c>
      <c r="G1031" s="360" t="s">
        <v>10393</v>
      </c>
      <c r="H1031" s="361">
        <v>41346</v>
      </c>
      <c r="I1031" s="343" t="s">
        <v>261</v>
      </c>
      <c r="J1031" s="343" t="s">
        <v>992</v>
      </c>
      <c r="K1031" s="343" t="s">
        <v>168</v>
      </c>
    </row>
    <row r="1032" spans="1:11" ht="26.25" customHeight="1">
      <c r="A1032" s="343" t="s">
        <v>1618</v>
      </c>
      <c r="B1032" s="344" t="s">
        <v>162</v>
      </c>
      <c r="C1032" s="344">
        <v>12327</v>
      </c>
      <c r="D1032" s="343" t="s">
        <v>4053</v>
      </c>
      <c r="E1032" s="344">
        <v>2976829</v>
      </c>
      <c r="F1032" s="343" t="s">
        <v>4055</v>
      </c>
      <c r="G1032" s="360" t="s">
        <v>10394</v>
      </c>
      <c r="H1032" s="361">
        <v>41529</v>
      </c>
      <c r="I1032" s="343" t="s">
        <v>180</v>
      </c>
      <c r="J1032" s="343" t="s">
        <v>180</v>
      </c>
      <c r="K1032" s="343" t="s">
        <v>173</v>
      </c>
    </row>
    <row r="1033" spans="1:11" ht="26.25" customHeight="1">
      <c r="A1033" s="343" t="s">
        <v>1618</v>
      </c>
      <c r="B1033" s="344" t="s">
        <v>162</v>
      </c>
      <c r="C1033" s="344">
        <v>9012</v>
      </c>
      <c r="D1033" s="343" t="s">
        <v>4143</v>
      </c>
      <c r="E1033" s="344">
        <v>4174128</v>
      </c>
      <c r="F1033" s="343" t="s">
        <v>4148</v>
      </c>
      <c r="G1033" s="360" t="s">
        <v>864</v>
      </c>
      <c r="H1033" s="361">
        <v>41526</v>
      </c>
      <c r="I1033" s="343" t="s">
        <v>580</v>
      </c>
      <c r="J1033" s="343" t="s">
        <v>10395</v>
      </c>
      <c r="K1033" s="343" t="s">
        <v>248</v>
      </c>
    </row>
    <row r="1034" spans="1:11" ht="26.25" customHeight="1">
      <c r="A1034" s="343" t="s">
        <v>1618</v>
      </c>
      <c r="B1034" s="344" t="s">
        <v>162</v>
      </c>
      <c r="C1034" s="344">
        <v>12327</v>
      </c>
      <c r="D1034" s="343" t="s">
        <v>4053</v>
      </c>
      <c r="E1034" s="344">
        <v>4480525</v>
      </c>
      <c r="F1034" s="343" t="s">
        <v>4056</v>
      </c>
      <c r="G1034" s="360" t="s">
        <v>10396</v>
      </c>
      <c r="H1034" s="361">
        <v>41512</v>
      </c>
      <c r="I1034" s="343" t="s">
        <v>3698</v>
      </c>
      <c r="J1034" s="343" t="s">
        <v>10397</v>
      </c>
      <c r="K1034" s="343" t="s">
        <v>168</v>
      </c>
    </row>
    <row r="1035" spans="1:11" ht="26.25" customHeight="1">
      <c r="A1035" s="343" t="s">
        <v>1618</v>
      </c>
      <c r="B1035" s="344" t="s">
        <v>162</v>
      </c>
      <c r="C1035" s="344">
        <v>11596</v>
      </c>
      <c r="D1035" s="343" t="s">
        <v>4030</v>
      </c>
      <c r="E1035" s="344">
        <v>4747080</v>
      </c>
      <c r="F1035" s="343" t="s">
        <v>4033</v>
      </c>
      <c r="G1035" s="360" t="s">
        <v>864</v>
      </c>
      <c r="H1035" s="361">
        <v>41495</v>
      </c>
      <c r="I1035" s="343" t="s">
        <v>193</v>
      </c>
      <c r="J1035" s="343" t="s">
        <v>228</v>
      </c>
      <c r="K1035" s="343" t="s">
        <v>168</v>
      </c>
    </row>
    <row r="1036" spans="1:11" ht="26.25" customHeight="1">
      <c r="A1036" s="343" t="s">
        <v>1618</v>
      </c>
      <c r="B1036" s="344" t="s">
        <v>162</v>
      </c>
      <c r="C1036" s="344">
        <v>12074</v>
      </c>
      <c r="D1036" s="343" t="s">
        <v>4071</v>
      </c>
      <c r="E1036" s="344">
        <v>4904515</v>
      </c>
      <c r="F1036" s="343" t="s">
        <v>4074</v>
      </c>
      <c r="G1036" s="360" t="s">
        <v>10398</v>
      </c>
      <c r="H1036" s="361">
        <v>41387</v>
      </c>
      <c r="I1036" s="343" t="s">
        <v>580</v>
      </c>
      <c r="J1036" s="343" t="s">
        <v>10399</v>
      </c>
      <c r="K1036" s="343" t="s">
        <v>248</v>
      </c>
    </row>
    <row r="1037" spans="1:11" ht="26.25" customHeight="1">
      <c r="A1037" s="343" t="s">
        <v>1618</v>
      </c>
      <c r="B1037" s="344" t="s">
        <v>162</v>
      </c>
      <c r="C1037" s="344">
        <v>6971</v>
      </c>
      <c r="D1037" s="343" t="s">
        <v>4176</v>
      </c>
      <c r="E1037" s="344">
        <v>4368009</v>
      </c>
      <c r="F1037" s="343" t="s">
        <v>4178</v>
      </c>
      <c r="G1037" s="360" t="s">
        <v>9883</v>
      </c>
      <c r="H1037" s="361">
        <v>41457</v>
      </c>
      <c r="I1037" s="343" t="s">
        <v>198</v>
      </c>
      <c r="J1037" s="343" t="s">
        <v>577</v>
      </c>
      <c r="K1037" s="343" t="s">
        <v>168</v>
      </c>
    </row>
    <row r="1038" spans="1:11" ht="26.25" customHeight="1">
      <c r="A1038" s="343" t="s">
        <v>1618</v>
      </c>
      <c r="B1038" s="344" t="s">
        <v>162</v>
      </c>
      <c r="C1038" s="344">
        <v>7465</v>
      </c>
      <c r="D1038" s="343" t="s">
        <v>3962</v>
      </c>
      <c r="E1038" s="344">
        <v>5185800</v>
      </c>
      <c r="F1038" s="343" t="s">
        <v>3966</v>
      </c>
      <c r="G1038" s="360" t="s">
        <v>10355</v>
      </c>
      <c r="H1038" s="361">
        <v>41773</v>
      </c>
      <c r="I1038" s="343" t="s">
        <v>301</v>
      </c>
      <c r="J1038" s="343" t="s">
        <v>302</v>
      </c>
      <c r="K1038" s="343" t="s">
        <v>168</v>
      </c>
    </row>
    <row r="1039" spans="1:11" ht="26.25" customHeight="1">
      <c r="A1039" s="343" t="s">
        <v>1618</v>
      </c>
      <c r="B1039" s="344" t="s">
        <v>162</v>
      </c>
      <c r="C1039" s="344">
        <v>6968</v>
      </c>
      <c r="D1039" s="343" t="s">
        <v>4135</v>
      </c>
      <c r="E1039" s="344">
        <v>4588362</v>
      </c>
      <c r="F1039" s="343" t="s">
        <v>4136</v>
      </c>
      <c r="G1039" s="360" t="s">
        <v>10400</v>
      </c>
      <c r="H1039" s="361">
        <v>41768</v>
      </c>
      <c r="I1039" s="343" t="s">
        <v>1305</v>
      </c>
      <c r="J1039" s="343" t="s">
        <v>10401</v>
      </c>
      <c r="K1039" s="343" t="s">
        <v>168</v>
      </c>
    </row>
    <row r="1040" spans="1:11" ht="26.25" customHeight="1">
      <c r="A1040" s="343" t="s">
        <v>1618</v>
      </c>
      <c r="B1040" s="344" t="s">
        <v>162</v>
      </c>
      <c r="C1040" s="344">
        <v>8548</v>
      </c>
      <c r="D1040" s="343" t="s">
        <v>4170</v>
      </c>
      <c r="E1040" s="344">
        <v>4265948</v>
      </c>
      <c r="F1040" s="343" t="s">
        <v>4172</v>
      </c>
      <c r="G1040" s="360" t="s">
        <v>10402</v>
      </c>
      <c r="H1040" s="361">
        <v>40638</v>
      </c>
      <c r="I1040" s="343" t="s">
        <v>366</v>
      </c>
      <c r="J1040" s="343" t="s">
        <v>366</v>
      </c>
      <c r="K1040" s="343" t="s">
        <v>168</v>
      </c>
    </row>
    <row r="1041" spans="1:11" ht="26.25" customHeight="1">
      <c r="A1041" s="343" t="s">
        <v>1618</v>
      </c>
      <c r="B1041" s="344" t="s">
        <v>162</v>
      </c>
      <c r="C1041" s="344">
        <v>12324</v>
      </c>
      <c r="D1041" s="343" t="s">
        <v>4049</v>
      </c>
      <c r="E1041" s="344">
        <v>4254954</v>
      </c>
      <c r="F1041" s="343" t="s">
        <v>4050</v>
      </c>
      <c r="G1041" s="360" t="s">
        <v>10403</v>
      </c>
      <c r="H1041" s="361">
        <v>41037</v>
      </c>
      <c r="I1041" s="343" t="s">
        <v>988</v>
      </c>
      <c r="J1041" s="343" t="s">
        <v>10404</v>
      </c>
      <c r="K1041" s="343" t="s">
        <v>173</v>
      </c>
    </row>
    <row r="1042" spans="1:11" ht="26.25" customHeight="1">
      <c r="A1042" s="343" t="s">
        <v>1618</v>
      </c>
      <c r="B1042" s="344" t="s">
        <v>162</v>
      </c>
      <c r="C1042" s="344">
        <v>9906</v>
      </c>
      <c r="D1042" s="343" t="s">
        <v>4015</v>
      </c>
      <c r="E1042" s="344">
        <v>3045363</v>
      </c>
      <c r="F1042" s="343" t="s">
        <v>4016</v>
      </c>
      <c r="G1042" s="360" t="s">
        <v>10405</v>
      </c>
      <c r="H1042" s="361">
        <v>41729</v>
      </c>
      <c r="I1042" s="343" t="s">
        <v>4017</v>
      </c>
      <c r="J1042" s="343" t="s">
        <v>10294</v>
      </c>
      <c r="K1042" s="343" t="s">
        <v>168</v>
      </c>
    </row>
    <row r="1043" spans="1:11" ht="26.25" customHeight="1">
      <c r="A1043" s="343" t="s">
        <v>1618</v>
      </c>
      <c r="B1043" s="344" t="s">
        <v>162</v>
      </c>
      <c r="C1043" s="344">
        <v>8837</v>
      </c>
      <c r="D1043" s="343" t="s">
        <v>4162</v>
      </c>
      <c r="E1043" s="344">
        <v>4763937</v>
      </c>
      <c r="F1043" s="343" t="s">
        <v>4166</v>
      </c>
      <c r="G1043" s="360" t="s">
        <v>9959</v>
      </c>
      <c r="H1043" s="361">
        <v>41730</v>
      </c>
      <c r="I1043" s="343" t="s">
        <v>1038</v>
      </c>
      <c r="J1043" s="343" t="s">
        <v>1165</v>
      </c>
      <c r="K1043" s="343" t="s">
        <v>168</v>
      </c>
    </row>
    <row r="1044" spans="1:11" ht="26.25" customHeight="1">
      <c r="A1044" s="343" t="s">
        <v>1618</v>
      </c>
      <c r="B1044" s="344" t="s">
        <v>162</v>
      </c>
      <c r="C1044" s="344">
        <v>12633</v>
      </c>
      <c r="D1044" s="343" t="s">
        <v>4101</v>
      </c>
      <c r="E1044" s="344">
        <v>3902970</v>
      </c>
      <c r="F1044" s="343" t="s">
        <v>4106</v>
      </c>
      <c r="G1044" s="360" t="s">
        <v>10406</v>
      </c>
      <c r="H1044" s="361">
        <v>41346</v>
      </c>
      <c r="I1044" s="343" t="s">
        <v>261</v>
      </c>
      <c r="J1044" s="343" t="s">
        <v>992</v>
      </c>
      <c r="K1044" s="343" t="s">
        <v>168</v>
      </c>
    </row>
    <row r="1045" spans="1:11" ht="26.25" customHeight="1">
      <c r="A1045" s="343" t="s">
        <v>1618</v>
      </c>
      <c r="B1045" s="344" t="s">
        <v>162</v>
      </c>
      <c r="C1045" s="344">
        <v>6661</v>
      </c>
      <c r="D1045" s="343" t="s">
        <v>4242</v>
      </c>
      <c r="E1045" s="344">
        <v>5800767</v>
      </c>
      <c r="F1045" s="343" t="s">
        <v>4244</v>
      </c>
      <c r="G1045" s="360" t="s">
        <v>10407</v>
      </c>
      <c r="H1045" s="361">
        <v>42738</v>
      </c>
      <c r="I1045" s="343" t="s">
        <v>193</v>
      </c>
      <c r="J1045" s="343" t="s">
        <v>637</v>
      </c>
      <c r="K1045" s="343" t="s">
        <v>168</v>
      </c>
    </row>
    <row r="1046" spans="1:11" ht="26.25" customHeight="1">
      <c r="A1046" s="343" t="s">
        <v>1618</v>
      </c>
      <c r="B1046" s="344" t="s">
        <v>162</v>
      </c>
      <c r="C1046" s="344">
        <v>12073</v>
      </c>
      <c r="D1046" s="343" t="s">
        <v>4094</v>
      </c>
      <c r="E1046" s="344">
        <v>6055255</v>
      </c>
      <c r="F1046" s="343" t="s">
        <v>4097</v>
      </c>
      <c r="G1046" s="360" t="s">
        <v>10408</v>
      </c>
      <c r="H1046" s="361">
        <v>42738</v>
      </c>
      <c r="I1046" s="343" t="s">
        <v>580</v>
      </c>
      <c r="J1046" s="343" t="s">
        <v>10409</v>
      </c>
      <c r="K1046" s="343" t="s">
        <v>248</v>
      </c>
    </row>
    <row r="1047" spans="1:11" ht="26.25" customHeight="1">
      <c r="A1047" s="343" t="s">
        <v>1618</v>
      </c>
      <c r="B1047" s="344" t="s">
        <v>162</v>
      </c>
      <c r="C1047" s="344">
        <v>11090</v>
      </c>
      <c r="D1047" s="343" t="s">
        <v>4009</v>
      </c>
      <c r="E1047" s="344">
        <v>4700036</v>
      </c>
      <c r="F1047" s="343" t="s">
        <v>4011</v>
      </c>
      <c r="G1047" s="360" t="s">
        <v>10410</v>
      </c>
      <c r="H1047" s="361">
        <v>42744</v>
      </c>
      <c r="I1047" s="343" t="s">
        <v>193</v>
      </c>
      <c r="J1047" s="343" t="s">
        <v>10411</v>
      </c>
      <c r="K1047" s="343" t="s">
        <v>168</v>
      </c>
    </row>
    <row r="1048" spans="1:11" ht="26.25" customHeight="1">
      <c r="A1048" s="343" t="s">
        <v>1618</v>
      </c>
      <c r="B1048" s="344" t="s">
        <v>162</v>
      </c>
      <c r="C1048" s="344">
        <v>9853</v>
      </c>
      <c r="D1048" s="343" t="s">
        <v>4021</v>
      </c>
      <c r="E1048" s="344">
        <v>4971125</v>
      </c>
      <c r="F1048" s="343" t="s">
        <v>4028</v>
      </c>
      <c r="G1048" s="360" t="s">
        <v>10412</v>
      </c>
      <c r="H1048" s="361">
        <v>42754</v>
      </c>
      <c r="I1048" s="343" t="s">
        <v>4029</v>
      </c>
      <c r="J1048" s="343" t="s">
        <v>10413</v>
      </c>
      <c r="K1048" s="343" t="s">
        <v>168</v>
      </c>
    </row>
    <row r="1049" spans="1:11" ht="26.25" customHeight="1">
      <c r="A1049" s="343" t="s">
        <v>1618</v>
      </c>
      <c r="B1049" s="344" t="s">
        <v>162</v>
      </c>
      <c r="C1049" s="344">
        <v>11088</v>
      </c>
      <c r="D1049" s="343" t="s">
        <v>4041</v>
      </c>
      <c r="E1049" s="344">
        <v>6237036</v>
      </c>
      <c r="F1049" s="343" t="s">
        <v>4042</v>
      </c>
      <c r="G1049" s="360" t="s">
        <v>9929</v>
      </c>
      <c r="H1049" s="361">
        <v>42754</v>
      </c>
      <c r="I1049" s="343" t="s">
        <v>1124</v>
      </c>
      <c r="J1049" s="343" t="s">
        <v>10414</v>
      </c>
      <c r="K1049" s="343" t="s">
        <v>173</v>
      </c>
    </row>
    <row r="1050" spans="1:11" ht="26.25" customHeight="1">
      <c r="A1050" s="343" t="s">
        <v>1618</v>
      </c>
      <c r="B1050" s="344" t="s">
        <v>162</v>
      </c>
      <c r="C1050" s="344">
        <v>11088</v>
      </c>
      <c r="D1050" s="343" t="s">
        <v>4041</v>
      </c>
      <c r="E1050" s="344">
        <v>5872255</v>
      </c>
      <c r="F1050" s="343" t="s">
        <v>4043</v>
      </c>
      <c r="G1050" s="360" t="s">
        <v>10415</v>
      </c>
      <c r="H1050" s="361">
        <v>42754</v>
      </c>
      <c r="I1050" s="343" t="s">
        <v>193</v>
      </c>
      <c r="J1050" s="343" t="s">
        <v>10416</v>
      </c>
      <c r="K1050" s="343" t="s">
        <v>168</v>
      </c>
    </row>
    <row r="1051" spans="1:11" ht="26.25" customHeight="1">
      <c r="A1051" s="343" t="s">
        <v>1618</v>
      </c>
      <c r="B1051" s="344" t="s">
        <v>162</v>
      </c>
      <c r="C1051" s="344">
        <v>11089</v>
      </c>
      <c r="D1051" s="343" t="s">
        <v>3997</v>
      </c>
      <c r="E1051" s="344">
        <v>6728843</v>
      </c>
      <c r="F1051" s="343" t="s">
        <v>3999</v>
      </c>
      <c r="G1051" s="360" t="s">
        <v>393</v>
      </c>
      <c r="H1051" s="361">
        <v>42759</v>
      </c>
      <c r="I1051" s="343" t="s">
        <v>166</v>
      </c>
      <c r="J1051" s="343" t="s">
        <v>10417</v>
      </c>
      <c r="K1051" s="343" t="s">
        <v>248</v>
      </c>
    </row>
    <row r="1052" spans="1:11" ht="26.25" customHeight="1">
      <c r="A1052" s="343" t="s">
        <v>1618</v>
      </c>
      <c r="B1052" s="344" t="s">
        <v>162</v>
      </c>
      <c r="C1052" s="344">
        <v>11088</v>
      </c>
      <c r="D1052" s="343" t="s">
        <v>4041</v>
      </c>
      <c r="E1052" s="344">
        <v>6400479</v>
      </c>
      <c r="F1052" s="343" t="s">
        <v>4046</v>
      </c>
      <c r="G1052" s="360" t="s">
        <v>10418</v>
      </c>
      <c r="H1052" s="361">
        <v>42774</v>
      </c>
      <c r="I1052" s="343" t="s">
        <v>193</v>
      </c>
      <c r="J1052" s="343" t="s">
        <v>637</v>
      </c>
      <c r="K1052" s="343" t="s">
        <v>168</v>
      </c>
    </row>
    <row r="1053" spans="1:11" ht="26.25" customHeight="1">
      <c r="A1053" s="343" t="s">
        <v>1618</v>
      </c>
      <c r="B1053" s="344" t="s">
        <v>162</v>
      </c>
      <c r="C1053" s="344">
        <v>9899</v>
      </c>
      <c r="D1053" s="343" t="s">
        <v>3918</v>
      </c>
      <c r="E1053" s="344">
        <v>6499426</v>
      </c>
      <c r="F1053" s="343" t="s">
        <v>3919</v>
      </c>
      <c r="G1053" s="360" t="s">
        <v>10419</v>
      </c>
      <c r="H1053" s="361">
        <v>42775</v>
      </c>
      <c r="I1053" s="343" t="s">
        <v>349</v>
      </c>
      <c r="J1053" s="343" t="s">
        <v>10420</v>
      </c>
      <c r="K1053" s="343" t="s">
        <v>168</v>
      </c>
    </row>
    <row r="1054" spans="1:11" ht="26.25" customHeight="1">
      <c r="A1054" s="343" t="s">
        <v>1618</v>
      </c>
      <c r="B1054" s="344" t="s">
        <v>162</v>
      </c>
      <c r="C1054" s="344">
        <v>7497</v>
      </c>
      <c r="D1054" s="343" t="s">
        <v>3939</v>
      </c>
      <c r="E1054" s="344">
        <v>5929003</v>
      </c>
      <c r="F1054" s="343" t="s">
        <v>3940</v>
      </c>
      <c r="G1054" s="360" t="s">
        <v>10421</v>
      </c>
      <c r="H1054" s="361">
        <v>42779</v>
      </c>
      <c r="I1054" s="343" t="s">
        <v>301</v>
      </c>
      <c r="J1054" s="343" t="s">
        <v>1113</v>
      </c>
      <c r="K1054" s="343" t="s">
        <v>168</v>
      </c>
    </row>
    <row r="1055" spans="1:11" ht="26.25" customHeight="1">
      <c r="A1055" s="343" t="s">
        <v>1618</v>
      </c>
      <c r="B1055" s="344" t="s">
        <v>162</v>
      </c>
      <c r="C1055" s="344">
        <v>6968</v>
      </c>
      <c r="D1055" s="343" t="s">
        <v>4135</v>
      </c>
      <c r="E1055" s="344">
        <v>5714685</v>
      </c>
      <c r="F1055" s="343" t="s">
        <v>4137</v>
      </c>
      <c r="G1055" s="360" t="s">
        <v>10422</v>
      </c>
      <c r="H1055" s="361">
        <v>42779</v>
      </c>
      <c r="I1055" s="343" t="s">
        <v>4138</v>
      </c>
      <c r="J1055" s="343" t="s">
        <v>10423</v>
      </c>
      <c r="K1055" s="343" t="s">
        <v>248</v>
      </c>
    </row>
    <row r="1056" spans="1:11" ht="26.25" customHeight="1">
      <c r="A1056" s="343" t="s">
        <v>1618</v>
      </c>
      <c r="B1056" s="344" t="s">
        <v>162</v>
      </c>
      <c r="C1056" s="344">
        <v>11496</v>
      </c>
      <c r="D1056" s="343" t="s">
        <v>4219</v>
      </c>
      <c r="E1056" s="344">
        <v>6067665</v>
      </c>
      <c r="F1056" s="343" t="s">
        <v>4221</v>
      </c>
      <c r="G1056" s="360" t="s">
        <v>10151</v>
      </c>
      <c r="H1056" s="361">
        <v>42780</v>
      </c>
      <c r="I1056" s="343" t="s">
        <v>261</v>
      </c>
      <c r="J1056" s="343" t="s">
        <v>631</v>
      </c>
      <c r="K1056" s="343" t="s">
        <v>168</v>
      </c>
    </row>
    <row r="1057" spans="1:11" ht="26.25" customHeight="1">
      <c r="A1057" s="343" t="s">
        <v>1618</v>
      </c>
      <c r="B1057" s="344" t="s">
        <v>162</v>
      </c>
      <c r="C1057" s="344">
        <v>6640</v>
      </c>
      <c r="D1057" s="343" t="s">
        <v>4294</v>
      </c>
      <c r="E1057" s="344">
        <v>6059114</v>
      </c>
      <c r="F1057" s="343" t="s">
        <v>4295</v>
      </c>
      <c r="G1057" s="360" t="s">
        <v>10424</v>
      </c>
      <c r="H1057" s="361">
        <v>42780</v>
      </c>
      <c r="I1057" s="343" t="s">
        <v>4296</v>
      </c>
      <c r="J1057" s="343" t="s">
        <v>10425</v>
      </c>
      <c r="K1057" s="343" t="s">
        <v>168</v>
      </c>
    </row>
    <row r="1058" spans="1:11" ht="26.25" customHeight="1">
      <c r="A1058" s="343" t="s">
        <v>1618</v>
      </c>
      <c r="B1058" s="344" t="s">
        <v>162</v>
      </c>
      <c r="C1058" s="344">
        <v>6650</v>
      </c>
      <c r="D1058" s="343" t="s">
        <v>4208</v>
      </c>
      <c r="E1058" s="344">
        <v>6172581</v>
      </c>
      <c r="F1058" s="343" t="s">
        <v>4209</v>
      </c>
      <c r="G1058" s="360" t="s">
        <v>9437</v>
      </c>
      <c r="H1058" s="361">
        <v>42780</v>
      </c>
      <c r="I1058" s="343" t="s">
        <v>166</v>
      </c>
      <c r="J1058" s="343" t="s">
        <v>296</v>
      </c>
      <c r="K1058" s="343" t="s">
        <v>168</v>
      </c>
    </row>
    <row r="1059" spans="1:11" ht="26.25" customHeight="1">
      <c r="A1059" s="343" t="s">
        <v>1618</v>
      </c>
      <c r="B1059" s="344" t="s">
        <v>162</v>
      </c>
      <c r="C1059" s="344">
        <v>9042</v>
      </c>
      <c r="D1059" s="343" t="s">
        <v>4283</v>
      </c>
      <c r="E1059" s="344">
        <v>6202600</v>
      </c>
      <c r="F1059" s="343" t="s">
        <v>4287</v>
      </c>
      <c r="G1059" s="360" t="s">
        <v>10426</v>
      </c>
      <c r="H1059" s="361">
        <v>42781</v>
      </c>
      <c r="I1059" s="343" t="s">
        <v>4288</v>
      </c>
      <c r="J1059" s="343" t="s">
        <v>10427</v>
      </c>
      <c r="K1059" s="343" t="s">
        <v>248</v>
      </c>
    </row>
    <row r="1060" spans="1:11" ht="26.25" customHeight="1">
      <c r="A1060" s="343" t="s">
        <v>1618</v>
      </c>
      <c r="B1060" s="344" t="s">
        <v>162</v>
      </c>
      <c r="C1060" s="344">
        <v>9660</v>
      </c>
      <c r="D1060" s="343" t="s">
        <v>4270</v>
      </c>
      <c r="E1060" s="344">
        <v>6016522</v>
      </c>
      <c r="F1060" s="343" t="s">
        <v>4272</v>
      </c>
      <c r="G1060" s="360" t="s">
        <v>10428</v>
      </c>
      <c r="H1060" s="361">
        <v>42781</v>
      </c>
      <c r="I1060" s="343" t="s">
        <v>366</v>
      </c>
      <c r="J1060" s="343" t="s">
        <v>366</v>
      </c>
      <c r="K1060" s="343" t="s">
        <v>168</v>
      </c>
    </row>
    <row r="1061" spans="1:11" ht="26.25" customHeight="1">
      <c r="A1061" s="343" t="s">
        <v>1618</v>
      </c>
      <c r="B1061" s="344" t="s">
        <v>162</v>
      </c>
      <c r="C1061" s="344">
        <v>6661</v>
      </c>
      <c r="D1061" s="343" t="s">
        <v>4242</v>
      </c>
      <c r="E1061" s="344">
        <v>5721393</v>
      </c>
      <c r="F1061" s="343" t="s">
        <v>4243</v>
      </c>
      <c r="G1061" s="360" t="s">
        <v>214</v>
      </c>
      <c r="H1061" s="361">
        <v>42781</v>
      </c>
      <c r="I1061" s="343" t="s">
        <v>198</v>
      </c>
      <c r="J1061" s="343" t="s">
        <v>198</v>
      </c>
      <c r="K1061" s="343" t="s">
        <v>168</v>
      </c>
    </row>
    <row r="1062" spans="1:11" ht="26.25" customHeight="1">
      <c r="A1062" s="343" t="s">
        <v>1618</v>
      </c>
      <c r="B1062" s="344" t="s">
        <v>162</v>
      </c>
      <c r="C1062" s="344">
        <v>6971</v>
      </c>
      <c r="D1062" s="343" t="s">
        <v>4176</v>
      </c>
      <c r="E1062" s="344">
        <v>5156077</v>
      </c>
      <c r="F1062" s="343" t="s">
        <v>4179</v>
      </c>
      <c r="G1062" s="360" t="s">
        <v>10429</v>
      </c>
      <c r="H1062" s="361">
        <v>42781</v>
      </c>
      <c r="I1062" s="343" t="s">
        <v>366</v>
      </c>
      <c r="J1062" s="343" t="s">
        <v>366</v>
      </c>
      <c r="K1062" s="343" t="s">
        <v>168</v>
      </c>
    </row>
    <row r="1063" spans="1:11" ht="26.25" customHeight="1">
      <c r="A1063" s="343" t="s">
        <v>1618</v>
      </c>
      <c r="B1063" s="344" t="s">
        <v>162</v>
      </c>
      <c r="C1063" s="344">
        <v>6997</v>
      </c>
      <c r="D1063" s="343" t="s">
        <v>4186</v>
      </c>
      <c r="E1063" s="344">
        <v>5737218</v>
      </c>
      <c r="F1063" s="343" t="s">
        <v>4192</v>
      </c>
      <c r="G1063" s="360" t="s">
        <v>10430</v>
      </c>
      <c r="H1063" s="361">
        <v>42780</v>
      </c>
      <c r="I1063" s="343" t="s">
        <v>301</v>
      </c>
      <c r="J1063" s="343" t="s">
        <v>1113</v>
      </c>
      <c r="K1063" s="343" t="s">
        <v>168</v>
      </c>
    </row>
    <row r="1064" spans="1:11" ht="26.25" customHeight="1">
      <c r="A1064" s="343" t="s">
        <v>1618</v>
      </c>
      <c r="B1064" s="344" t="s">
        <v>162</v>
      </c>
      <c r="C1064" s="344">
        <v>7475</v>
      </c>
      <c r="D1064" s="343" t="s">
        <v>3951</v>
      </c>
      <c r="E1064" s="344">
        <v>6382896</v>
      </c>
      <c r="F1064" s="343" t="s">
        <v>3953</v>
      </c>
      <c r="G1064" s="360" t="s">
        <v>10431</v>
      </c>
      <c r="H1064" s="361">
        <v>42780</v>
      </c>
      <c r="I1064" s="343" t="s">
        <v>284</v>
      </c>
      <c r="J1064" s="343" t="s">
        <v>10432</v>
      </c>
      <c r="K1064" s="343" t="s">
        <v>168</v>
      </c>
    </row>
    <row r="1065" spans="1:11" ht="26.25" customHeight="1">
      <c r="A1065" s="343" t="s">
        <v>1618</v>
      </c>
      <c r="B1065" s="344" t="s">
        <v>162</v>
      </c>
      <c r="C1065" s="344">
        <v>9112</v>
      </c>
      <c r="D1065" s="343" t="s">
        <v>4275</v>
      </c>
      <c r="E1065" s="344">
        <v>5844356</v>
      </c>
      <c r="F1065" s="343" t="s">
        <v>4276</v>
      </c>
      <c r="G1065" s="360" t="s">
        <v>10433</v>
      </c>
      <c r="H1065" s="361">
        <v>42780</v>
      </c>
      <c r="I1065" s="343" t="s">
        <v>4277</v>
      </c>
      <c r="J1065" s="343" t="s">
        <v>10434</v>
      </c>
      <c r="K1065" s="343" t="s">
        <v>168</v>
      </c>
    </row>
    <row r="1066" spans="1:11" ht="26.25" customHeight="1">
      <c r="A1066" s="343" t="s">
        <v>1618</v>
      </c>
      <c r="B1066" s="344" t="s">
        <v>162</v>
      </c>
      <c r="C1066" s="344">
        <v>6653</v>
      </c>
      <c r="D1066" s="343" t="s">
        <v>4200</v>
      </c>
      <c r="E1066" s="344">
        <v>6092828</v>
      </c>
      <c r="F1066" s="343" t="s">
        <v>4201</v>
      </c>
      <c r="G1066" s="360" t="s">
        <v>10435</v>
      </c>
      <c r="H1066" s="361">
        <v>42780</v>
      </c>
      <c r="I1066" s="343" t="s">
        <v>1038</v>
      </c>
      <c r="J1066" s="343" t="s">
        <v>9369</v>
      </c>
      <c r="K1066" s="343" t="s">
        <v>168</v>
      </c>
    </row>
    <row r="1067" spans="1:11" ht="26.25" customHeight="1">
      <c r="A1067" s="343" t="s">
        <v>1618</v>
      </c>
      <c r="B1067" s="344" t="s">
        <v>162</v>
      </c>
      <c r="C1067" s="344">
        <v>9534</v>
      </c>
      <c r="D1067" s="343" t="s">
        <v>3934</v>
      </c>
      <c r="E1067" s="344">
        <v>6067608</v>
      </c>
      <c r="F1067" s="343" t="s">
        <v>3936</v>
      </c>
      <c r="G1067" s="360" t="s">
        <v>9445</v>
      </c>
      <c r="H1067" s="361">
        <v>42779</v>
      </c>
      <c r="I1067" s="343" t="s">
        <v>3583</v>
      </c>
      <c r="J1067" s="343" t="s">
        <v>9390</v>
      </c>
      <c r="K1067" s="343" t="s">
        <v>173</v>
      </c>
    </row>
    <row r="1068" spans="1:11" ht="26.25" customHeight="1">
      <c r="A1068" s="343" t="s">
        <v>1618</v>
      </c>
      <c r="B1068" s="344" t="s">
        <v>162</v>
      </c>
      <c r="C1068" s="344">
        <v>8542</v>
      </c>
      <c r="D1068" s="343" t="s">
        <v>4258</v>
      </c>
      <c r="E1068" s="344">
        <v>6005257</v>
      </c>
      <c r="F1068" s="343" t="s">
        <v>4265</v>
      </c>
      <c r="G1068" s="360" t="s">
        <v>10436</v>
      </c>
      <c r="H1068" s="361">
        <v>42790</v>
      </c>
      <c r="I1068" s="343" t="s">
        <v>4266</v>
      </c>
      <c r="J1068" s="343" t="s">
        <v>10437</v>
      </c>
      <c r="K1068" s="343" t="s">
        <v>168</v>
      </c>
    </row>
    <row r="1069" spans="1:11" ht="26.25" customHeight="1">
      <c r="A1069" s="343" t="s">
        <v>1618</v>
      </c>
      <c r="B1069" s="344" t="s">
        <v>162</v>
      </c>
      <c r="C1069" s="344">
        <v>8542</v>
      </c>
      <c r="D1069" s="343" t="s">
        <v>4258</v>
      </c>
      <c r="E1069" s="344">
        <v>6177159</v>
      </c>
      <c r="F1069" s="343" t="s">
        <v>4259</v>
      </c>
      <c r="G1069" s="360" t="s">
        <v>9979</v>
      </c>
      <c r="H1069" s="361">
        <v>42790</v>
      </c>
      <c r="I1069" s="343" t="s">
        <v>166</v>
      </c>
      <c r="J1069" s="343" t="s">
        <v>296</v>
      </c>
      <c r="K1069" s="343" t="s">
        <v>168</v>
      </c>
    </row>
    <row r="1070" spans="1:11" ht="26.25" customHeight="1">
      <c r="A1070" s="343" t="s">
        <v>1618</v>
      </c>
      <c r="B1070" s="344" t="s">
        <v>162</v>
      </c>
      <c r="C1070" s="344">
        <v>6653</v>
      </c>
      <c r="D1070" s="343" t="s">
        <v>4200</v>
      </c>
      <c r="E1070" s="344">
        <v>6303281</v>
      </c>
      <c r="F1070" s="343" t="s">
        <v>4202</v>
      </c>
      <c r="G1070" s="360" t="s">
        <v>9493</v>
      </c>
      <c r="H1070" s="361">
        <v>42795</v>
      </c>
      <c r="I1070" s="343" t="s">
        <v>193</v>
      </c>
      <c r="J1070" s="343" t="s">
        <v>194</v>
      </c>
      <c r="K1070" s="343" t="s">
        <v>168</v>
      </c>
    </row>
    <row r="1071" spans="1:11" ht="26.25" customHeight="1">
      <c r="A1071" s="343" t="s">
        <v>1618</v>
      </c>
      <c r="B1071" s="344" t="s">
        <v>162</v>
      </c>
      <c r="C1071" s="344">
        <v>6974</v>
      </c>
      <c r="D1071" s="343" t="s">
        <v>4059</v>
      </c>
      <c r="E1071" s="344">
        <v>5227280</v>
      </c>
      <c r="F1071" s="343" t="s">
        <v>4060</v>
      </c>
      <c r="G1071" s="360" t="s">
        <v>9922</v>
      </c>
      <c r="H1071" s="361">
        <v>42795</v>
      </c>
      <c r="I1071" s="343" t="s">
        <v>211</v>
      </c>
      <c r="J1071" s="343" t="s">
        <v>909</v>
      </c>
      <c r="K1071" s="343" t="s">
        <v>168</v>
      </c>
    </row>
    <row r="1072" spans="1:11" ht="26.25" customHeight="1">
      <c r="A1072" s="343" t="s">
        <v>1618</v>
      </c>
      <c r="B1072" s="344" t="s">
        <v>162</v>
      </c>
      <c r="C1072" s="344">
        <v>8542</v>
      </c>
      <c r="D1072" s="343" t="s">
        <v>4258</v>
      </c>
      <c r="E1072" s="344">
        <v>6134326</v>
      </c>
      <c r="F1072" s="343" t="s">
        <v>4262</v>
      </c>
      <c r="G1072" s="360" t="s">
        <v>10438</v>
      </c>
      <c r="H1072" s="361">
        <v>42795</v>
      </c>
      <c r="I1072" s="343" t="s">
        <v>198</v>
      </c>
      <c r="J1072" s="343" t="s">
        <v>198</v>
      </c>
      <c r="K1072" s="343" t="s">
        <v>168</v>
      </c>
    </row>
    <row r="1073" spans="1:11" ht="26.25" customHeight="1">
      <c r="A1073" s="343" t="s">
        <v>1618</v>
      </c>
      <c r="B1073" s="344" t="s">
        <v>162</v>
      </c>
      <c r="C1073" s="344">
        <v>11088</v>
      </c>
      <c r="D1073" s="343" t="s">
        <v>4041</v>
      </c>
      <c r="E1073" s="344">
        <v>5811896</v>
      </c>
      <c r="F1073" s="343" t="s">
        <v>4044</v>
      </c>
      <c r="G1073" s="360" t="s">
        <v>9900</v>
      </c>
      <c r="H1073" s="361">
        <v>42795</v>
      </c>
      <c r="I1073" s="343" t="s">
        <v>166</v>
      </c>
      <c r="J1073" s="343" t="s">
        <v>327</v>
      </c>
      <c r="K1073" s="343" t="s">
        <v>168</v>
      </c>
    </row>
    <row r="1074" spans="1:11" ht="26.25" customHeight="1">
      <c r="A1074" s="343" t="s">
        <v>1618</v>
      </c>
      <c r="B1074" s="344" t="s">
        <v>162</v>
      </c>
      <c r="C1074" s="344">
        <v>6624</v>
      </c>
      <c r="D1074" s="343" t="s">
        <v>4203</v>
      </c>
      <c r="E1074" s="344">
        <v>6298651</v>
      </c>
      <c r="F1074" s="343" t="s">
        <v>4204</v>
      </c>
      <c r="G1074" s="360" t="s">
        <v>1220</v>
      </c>
      <c r="H1074" s="361">
        <v>42797</v>
      </c>
      <c r="I1074" s="343" t="s">
        <v>366</v>
      </c>
      <c r="J1074" s="343" t="s">
        <v>852</v>
      </c>
      <c r="K1074" s="343" t="s">
        <v>168</v>
      </c>
    </row>
    <row r="1075" spans="1:11" ht="26.25" customHeight="1">
      <c r="A1075" s="343" t="s">
        <v>1618</v>
      </c>
      <c r="B1075" s="344" t="s">
        <v>162</v>
      </c>
      <c r="C1075" s="344">
        <v>11088</v>
      </c>
      <c r="D1075" s="343" t="s">
        <v>4041</v>
      </c>
      <c r="E1075" s="344">
        <v>6284917</v>
      </c>
      <c r="F1075" s="343" t="s">
        <v>4047</v>
      </c>
      <c r="G1075" s="360" t="s">
        <v>1272</v>
      </c>
      <c r="H1075" s="361">
        <v>42797</v>
      </c>
      <c r="I1075" s="343" t="s">
        <v>4048</v>
      </c>
      <c r="J1075" s="343" t="s">
        <v>10439</v>
      </c>
      <c r="K1075" s="343" t="s">
        <v>168</v>
      </c>
    </row>
    <row r="1076" spans="1:11" ht="26.25" customHeight="1">
      <c r="A1076" s="343" t="s">
        <v>1618</v>
      </c>
      <c r="B1076" s="344" t="s">
        <v>162</v>
      </c>
      <c r="C1076" s="344">
        <v>7472</v>
      </c>
      <c r="D1076" s="343" t="s">
        <v>3976</v>
      </c>
      <c r="E1076" s="344">
        <v>6221676</v>
      </c>
      <c r="F1076" s="343" t="s">
        <v>3977</v>
      </c>
      <c r="G1076" s="360" t="s">
        <v>10440</v>
      </c>
      <c r="H1076" s="361">
        <v>42796</v>
      </c>
      <c r="I1076" s="343" t="s">
        <v>3978</v>
      </c>
      <c r="J1076" s="343" t="s">
        <v>10441</v>
      </c>
      <c r="K1076" s="343" t="s">
        <v>168</v>
      </c>
    </row>
    <row r="1077" spans="1:11" ht="26.25" customHeight="1">
      <c r="A1077" s="343" t="s">
        <v>1618</v>
      </c>
      <c r="B1077" s="344" t="s">
        <v>162</v>
      </c>
      <c r="C1077" s="344">
        <v>8999</v>
      </c>
      <c r="D1077" s="343" t="s">
        <v>4278</v>
      </c>
      <c r="E1077" s="344">
        <v>5720964</v>
      </c>
      <c r="F1077" s="343" t="s">
        <v>4281</v>
      </c>
      <c r="G1077" s="360" t="s">
        <v>10442</v>
      </c>
      <c r="H1077" s="361">
        <v>42795</v>
      </c>
      <c r="I1077" s="343" t="s">
        <v>193</v>
      </c>
      <c r="J1077" s="343" t="s">
        <v>472</v>
      </c>
      <c r="K1077" s="343" t="s">
        <v>168</v>
      </c>
    </row>
    <row r="1078" spans="1:11" ht="26.25" customHeight="1">
      <c r="A1078" s="343" t="s">
        <v>1618</v>
      </c>
      <c r="B1078" s="344" t="s">
        <v>162</v>
      </c>
      <c r="C1078" s="344">
        <v>10402</v>
      </c>
      <c r="D1078" s="343" t="s">
        <v>4036</v>
      </c>
      <c r="E1078" s="344">
        <v>6251263</v>
      </c>
      <c r="F1078" s="343" t="s">
        <v>4039</v>
      </c>
      <c r="G1078" s="360" t="s">
        <v>1448</v>
      </c>
      <c r="H1078" s="361">
        <v>42797</v>
      </c>
      <c r="I1078" s="343" t="s">
        <v>580</v>
      </c>
      <c r="J1078" s="343" t="s">
        <v>10443</v>
      </c>
      <c r="K1078" s="343" t="s">
        <v>248</v>
      </c>
    </row>
    <row r="1079" spans="1:11" ht="26.25" customHeight="1">
      <c r="A1079" s="343" t="s">
        <v>1618</v>
      </c>
      <c r="B1079" s="344" t="s">
        <v>162</v>
      </c>
      <c r="C1079" s="344">
        <v>8543</v>
      </c>
      <c r="D1079" s="343" t="s">
        <v>4273</v>
      </c>
      <c r="E1079" s="344">
        <v>5956230</v>
      </c>
      <c r="F1079" s="343" t="s">
        <v>4274</v>
      </c>
      <c r="G1079" s="360" t="s">
        <v>10444</v>
      </c>
      <c r="H1079" s="361">
        <v>42801</v>
      </c>
      <c r="I1079" s="343" t="s">
        <v>193</v>
      </c>
      <c r="J1079" s="343" t="s">
        <v>194</v>
      </c>
      <c r="K1079" s="343" t="s">
        <v>168</v>
      </c>
    </row>
    <row r="1080" spans="1:11" ht="26.25" customHeight="1">
      <c r="A1080" s="343" t="s">
        <v>1618</v>
      </c>
      <c r="B1080" s="344" t="s">
        <v>162</v>
      </c>
      <c r="C1080" s="344">
        <v>6649</v>
      </c>
      <c r="D1080" s="343" t="s">
        <v>4230</v>
      </c>
      <c r="E1080" s="344">
        <v>5698020</v>
      </c>
      <c r="F1080" s="343" t="s">
        <v>4231</v>
      </c>
      <c r="G1080" s="360" t="s">
        <v>9673</v>
      </c>
      <c r="H1080" s="361">
        <v>42797</v>
      </c>
      <c r="I1080" s="343" t="s">
        <v>166</v>
      </c>
      <c r="J1080" s="343" t="s">
        <v>327</v>
      </c>
      <c r="K1080" s="343" t="s">
        <v>168</v>
      </c>
    </row>
    <row r="1081" spans="1:11" ht="26.25" customHeight="1">
      <c r="A1081" s="343" t="s">
        <v>1618</v>
      </c>
      <c r="B1081" s="344" t="s">
        <v>162</v>
      </c>
      <c r="C1081" s="344">
        <v>11089</v>
      </c>
      <c r="D1081" s="343" t="s">
        <v>3997</v>
      </c>
      <c r="E1081" s="344">
        <v>6239074</v>
      </c>
      <c r="F1081" s="343" t="s">
        <v>4000</v>
      </c>
      <c r="G1081" s="360" t="s">
        <v>10341</v>
      </c>
      <c r="H1081" s="361">
        <v>42797</v>
      </c>
      <c r="I1081" s="343" t="s">
        <v>166</v>
      </c>
      <c r="J1081" s="343" t="s">
        <v>10044</v>
      </c>
      <c r="K1081" s="343" t="s">
        <v>168</v>
      </c>
    </row>
    <row r="1082" spans="1:11" ht="26.25" customHeight="1">
      <c r="A1082" s="343" t="s">
        <v>1618</v>
      </c>
      <c r="B1082" s="344" t="s">
        <v>162</v>
      </c>
      <c r="C1082" s="344">
        <v>6658</v>
      </c>
      <c r="D1082" s="343" t="s">
        <v>4222</v>
      </c>
      <c r="E1082" s="344">
        <v>6507604</v>
      </c>
      <c r="F1082" s="343" t="s">
        <v>4223</v>
      </c>
      <c r="G1082" s="360" t="s">
        <v>10445</v>
      </c>
      <c r="H1082" s="361">
        <v>42797</v>
      </c>
      <c r="I1082" s="343" t="s">
        <v>4224</v>
      </c>
      <c r="J1082" s="343" t="s">
        <v>10446</v>
      </c>
      <c r="K1082" s="343" t="s">
        <v>173</v>
      </c>
    </row>
    <row r="1083" spans="1:11" ht="26.25" customHeight="1">
      <c r="A1083" s="343" t="s">
        <v>1618</v>
      </c>
      <c r="B1083" s="344" t="s">
        <v>162</v>
      </c>
      <c r="C1083" s="344">
        <v>6972</v>
      </c>
      <c r="D1083" s="343" t="s">
        <v>4123</v>
      </c>
      <c r="E1083" s="344">
        <v>4586458</v>
      </c>
      <c r="F1083" s="343" t="s">
        <v>4126</v>
      </c>
      <c r="G1083" s="360" t="s">
        <v>10447</v>
      </c>
      <c r="H1083" s="361">
        <v>42797</v>
      </c>
      <c r="I1083" s="343" t="s">
        <v>219</v>
      </c>
      <c r="J1083" s="343" t="s">
        <v>220</v>
      </c>
      <c r="K1083" s="343" t="s">
        <v>173</v>
      </c>
    </row>
    <row r="1084" spans="1:11" ht="26.25" customHeight="1">
      <c r="A1084" s="343" t="s">
        <v>1618</v>
      </c>
      <c r="B1084" s="344" t="s">
        <v>162</v>
      </c>
      <c r="C1084" s="344">
        <v>9373</v>
      </c>
      <c r="D1084" s="343" t="s">
        <v>4081</v>
      </c>
      <c r="E1084" s="344">
        <v>5809133</v>
      </c>
      <c r="F1084" s="343" t="s">
        <v>4082</v>
      </c>
      <c r="G1084" s="360" t="s">
        <v>10448</v>
      </c>
      <c r="H1084" s="361">
        <v>42797</v>
      </c>
      <c r="I1084" s="343" t="s">
        <v>166</v>
      </c>
      <c r="J1084" s="343" t="s">
        <v>296</v>
      </c>
      <c r="K1084" s="343" t="s">
        <v>168</v>
      </c>
    </row>
    <row r="1085" spans="1:11" ht="26.25" customHeight="1">
      <c r="A1085" s="343" t="s">
        <v>1618</v>
      </c>
      <c r="B1085" s="344" t="s">
        <v>162</v>
      </c>
      <c r="C1085" s="344">
        <v>7487</v>
      </c>
      <c r="D1085" s="343" t="s">
        <v>3945</v>
      </c>
      <c r="E1085" s="344">
        <v>6031255</v>
      </c>
      <c r="F1085" s="343" t="s">
        <v>3946</v>
      </c>
      <c r="G1085" s="360" t="s">
        <v>10449</v>
      </c>
      <c r="H1085" s="361">
        <v>42801</v>
      </c>
      <c r="I1085" s="343" t="s">
        <v>336</v>
      </c>
      <c r="J1085" s="343" t="s">
        <v>10159</v>
      </c>
      <c r="K1085" s="343" t="s">
        <v>168</v>
      </c>
    </row>
    <row r="1086" spans="1:11" ht="26.25" customHeight="1">
      <c r="A1086" s="343" t="s">
        <v>1618</v>
      </c>
      <c r="B1086" s="344" t="s">
        <v>162</v>
      </c>
      <c r="C1086" s="344">
        <v>7475</v>
      </c>
      <c r="D1086" s="343" t="s">
        <v>3951</v>
      </c>
      <c r="E1086" s="344">
        <v>6376401</v>
      </c>
      <c r="F1086" s="343" t="s">
        <v>3956</v>
      </c>
      <c r="G1086" s="360" t="s">
        <v>10450</v>
      </c>
      <c r="H1086" s="361">
        <v>42807</v>
      </c>
      <c r="I1086" s="343" t="s">
        <v>802</v>
      </c>
      <c r="J1086" s="343" t="s">
        <v>1075</v>
      </c>
      <c r="K1086" s="343" t="s">
        <v>168</v>
      </c>
    </row>
    <row r="1087" spans="1:11" ht="26.25" customHeight="1">
      <c r="A1087" s="343" t="s">
        <v>1618</v>
      </c>
      <c r="B1087" s="344" t="s">
        <v>162</v>
      </c>
      <c r="C1087" s="344">
        <v>6975</v>
      </c>
      <c r="D1087" s="343" t="s">
        <v>4087</v>
      </c>
      <c r="E1087" s="344">
        <v>4894768</v>
      </c>
      <c r="F1087" s="343" t="s">
        <v>4089</v>
      </c>
      <c r="G1087" s="360" t="s">
        <v>10451</v>
      </c>
      <c r="H1087" s="361">
        <v>42811</v>
      </c>
      <c r="I1087" s="343" t="s">
        <v>547</v>
      </c>
      <c r="J1087" s="343" t="s">
        <v>936</v>
      </c>
      <c r="K1087" s="343" t="s">
        <v>248</v>
      </c>
    </row>
    <row r="1088" spans="1:11" ht="26.25" customHeight="1">
      <c r="A1088" s="343" t="s">
        <v>1618</v>
      </c>
      <c r="B1088" s="344" t="s">
        <v>162</v>
      </c>
      <c r="C1088" s="344">
        <v>6975</v>
      </c>
      <c r="D1088" s="343" t="s">
        <v>4087</v>
      </c>
      <c r="E1088" s="344">
        <v>5063632</v>
      </c>
      <c r="F1088" s="343" t="s">
        <v>4090</v>
      </c>
      <c r="G1088" s="360" t="s">
        <v>10452</v>
      </c>
      <c r="H1088" s="361">
        <v>42811</v>
      </c>
      <c r="I1088" s="343" t="s">
        <v>465</v>
      </c>
      <c r="J1088" s="343" t="s">
        <v>466</v>
      </c>
      <c r="K1088" s="343" t="s">
        <v>168</v>
      </c>
    </row>
    <row r="1089" spans="1:11" ht="26.25" customHeight="1">
      <c r="A1089" s="343" t="s">
        <v>1618</v>
      </c>
      <c r="B1089" s="344" t="s">
        <v>162</v>
      </c>
      <c r="C1089" s="344">
        <v>8549</v>
      </c>
      <c r="D1089" s="343" t="s">
        <v>4183</v>
      </c>
      <c r="E1089" s="344">
        <v>5793132</v>
      </c>
      <c r="F1089" s="343" t="s">
        <v>4185</v>
      </c>
      <c r="G1089" s="360" t="s">
        <v>10453</v>
      </c>
      <c r="H1089" s="361">
        <v>42810</v>
      </c>
      <c r="I1089" s="343" t="s">
        <v>211</v>
      </c>
      <c r="J1089" s="343" t="s">
        <v>909</v>
      </c>
      <c r="K1089" s="343" t="s">
        <v>168</v>
      </c>
    </row>
    <row r="1090" spans="1:11" ht="26.25" customHeight="1">
      <c r="A1090" s="343" t="s">
        <v>1618</v>
      </c>
      <c r="B1090" s="344" t="s">
        <v>162</v>
      </c>
      <c r="C1090" s="344">
        <v>8999</v>
      </c>
      <c r="D1090" s="343" t="s">
        <v>4278</v>
      </c>
      <c r="E1090" s="344">
        <v>6105329</v>
      </c>
      <c r="F1090" s="343" t="s">
        <v>4280</v>
      </c>
      <c r="G1090" s="360" t="s">
        <v>1081</v>
      </c>
      <c r="H1090" s="361">
        <v>42810</v>
      </c>
      <c r="I1090" s="343" t="s">
        <v>3850</v>
      </c>
      <c r="J1090" s="343" t="s">
        <v>9605</v>
      </c>
      <c r="K1090" s="343" t="s">
        <v>168</v>
      </c>
    </row>
    <row r="1091" spans="1:11" ht="26.25" customHeight="1">
      <c r="A1091" s="343" t="s">
        <v>1618</v>
      </c>
      <c r="B1091" s="344" t="s">
        <v>162</v>
      </c>
      <c r="C1091" s="344">
        <v>12324</v>
      </c>
      <c r="D1091" s="343" t="s">
        <v>4049</v>
      </c>
      <c r="E1091" s="344">
        <v>5837311</v>
      </c>
      <c r="F1091" s="343" t="s">
        <v>4051</v>
      </c>
      <c r="G1091" s="360" t="s">
        <v>10454</v>
      </c>
      <c r="H1091" s="361">
        <v>42810</v>
      </c>
      <c r="I1091" s="343" t="s">
        <v>261</v>
      </c>
      <c r="J1091" s="343" t="s">
        <v>631</v>
      </c>
      <c r="K1091" s="343" t="s">
        <v>168</v>
      </c>
    </row>
    <row r="1092" spans="1:11" ht="26.25" customHeight="1">
      <c r="A1092" s="343" t="s">
        <v>1618</v>
      </c>
      <c r="B1092" s="344" t="s">
        <v>162</v>
      </c>
      <c r="C1092" s="344">
        <v>7466</v>
      </c>
      <c r="D1092" s="343" t="s">
        <v>3924</v>
      </c>
      <c r="E1092" s="344">
        <v>6464625</v>
      </c>
      <c r="F1092" s="343" t="s">
        <v>3926</v>
      </c>
      <c r="G1092" s="360" t="s">
        <v>9402</v>
      </c>
      <c r="H1092" s="361">
        <v>42810</v>
      </c>
      <c r="I1092" s="343" t="s">
        <v>166</v>
      </c>
      <c r="J1092" s="343" t="s">
        <v>327</v>
      </c>
      <c r="K1092" s="343" t="s">
        <v>168</v>
      </c>
    </row>
    <row r="1093" spans="1:11" ht="26.25" customHeight="1">
      <c r="A1093" s="343" t="s">
        <v>1618</v>
      </c>
      <c r="B1093" s="344" t="s">
        <v>162</v>
      </c>
      <c r="C1093" s="344">
        <v>6989</v>
      </c>
      <c r="D1093" s="343" t="s">
        <v>4149</v>
      </c>
      <c r="E1093" s="344">
        <v>5528691</v>
      </c>
      <c r="F1093" s="343" t="s">
        <v>4152</v>
      </c>
      <c r="G1093" s="360" t="s">
        <v>10455</v>
      </c>
      <c r="H1093" s="361">
        <v>42810</v>
      </c>
      <c r="I1093" s="343" t="s">
        <v>198</v>
      </c>
      <c r="J1093" s="343" t="s">
        <v>198</v>
      </c>
      <c r="K1093" s="343" t="s">
        <v>168</v>
      </c>
    </row>
    <row r="1094" spans="1:11" ht="26.25" customHeight="1">
      <c r="A1094" s="343" t="s">
        <v>1618</v>
      </c>
      <c r="B1094" s="344" t="s">
        <v>162</v>
      </c>
      <c r="C1094" s="344">
        <v>9669</v>
      </c>
      <c r="D1094" s="343" t="s">
        <v>4267</v>
      </c>
      <c r="E1094" s="344">
        <v>5733561</v>
      </c>
      <c r="F1094" s="343" t="s">
        <v>4268</v>
      </c>
      <c r="G1094" s="360" t="s">
        <v>10456</v>
      </c>
      <c r="H1094" s="361">
        <v>42810</v>
      </c>
      <c r="I1094" s="343" t="s">
        <v>193</v>
      </c>
      <c r="J1094" s="343" t="s">
        <v>612</v>
      </c>
      <c r="K1094" s="343" t="s">
        <v>168</v>
      </c>
    </row>
    <row r="1095" spans="1:11" ht="26.25" customHeight="1">
      <c r="A1095" s="343" t="s">
        <v>1618</v>
      </c>
      <c r="B1095" s="344" t="s">
        <v>162</v>
      </c>
      <c r="C1095" s="344">
        <v>9639</v>
      </c>
      <c r="D1095" s="343" t="s">
        <v>3937</v>
      </c>
      <c r="E1095" s="344">
        <v>6675354</v>
      </c>
      <c r="F1095" s="343" t="s">
        <v>3938</v>
      </c>
      <c r="G1095" s="360" t="s">
        <v>10457</v>
      </c>
      <c r="H1095" s="361">
        <v>42810</v>
      </c>
      <c r="I1095" s="343" t="s">
        <v>284</v>
      </c>
      <c r="J1095" s="343" t="s">
        <v>9963</v>
      </c>
      <c r="K1095" s="343" t="s">
        <v>168</v>
      </c>
    </row>
    <row r="1096" spans="1:11" ht="26.25" customHeight="1">
      <c r="A1096" s="343" t="s">
        <v>1618</v>
      </c>
      <c r="B1096" s="344" t="s">
        <v>162</v>
      </c>
      <c r="C1096" s="344">
        <v>6990</v>
      </c>
      <c r="D1096" s="343" t="s">
        <v>4091</v>
      </c>
      <c r="E1096" s="344">
        <v>5127648</v>
      </c>
      <c r="F1096" s="343" t="s">
        <v>4093</v>
      </c>
      <c r="G1096" s="360" t="s">
        <v>10458</v>
      </c>
      <c r="H1096" s="361">
        <v>42810</v>
      </c>
      <c r="I1096" s="343" t="s">
        <v>193</v>
      </c>
      <c r="J1096" s="343" t="s">
        <v>194</v>
      </c>
      <c r="K1096" s="343" t="s">
        <v>168</v>
      </c>
    </row>
    <row r="1097" spans="1:11" ht="26.25" customHeight="1">
      <c r="A1097" s="343" t="s">
        <v>1618</v>
      </c>
      <c r="B1097" s="344" t="s">
        <v>162</v>
      </c>
      <c r="C1097" s="344">
        <v>9012</v>
      </c>
      <c r="D1097" s="343" t="s">
        <v>4143</v>
      </c>
      <c r="E1097" s="344">
        <v>5304113</v>
      </c>
      <c r="F1097" s="343" t="s">
        <v>4146</v>
      </c>
      <c r="G1097" s="360" t="s">
        <v>10459</v>
      </c>
      <c r="H1097" s="361">
        <v>42818</v>
      </c>
      <c r="I1097" s="343" t="s">
        <v>4147</v>
      </c>
      <c r="J1097" s="343" t="s">
        <v>10460</v>
      </c>
      <c r="K1097" s="343" t="s">
        <v>173</v>
      </c>
    </row>
    <row r="1098" spans="1:11" ht="26.25" customHeight="1">
      <c r="A1098" s="343" t="s">
        <v>1618</v>
      </c>
      <c r="B1098" s="344" t="s">
        <v>162</v>
      </c>
      <c r="C1098" s="344">
        <v>6656</v>
      </c>
      <c r="D1098" s="343" t="s">
        <v>4226</v>
      </c>
      <c r="E1098" s="344">
        <v>6107457</v>
      </c>
      <c r="F1098" s="343" t="s">
        <v>4229</v>
      </c>
      <c r="G1098" s="360" t="s">
        <v>614</v>
      </c>
      <c r="H1098" s="361">
        <v>42818</v>
      </c>
      <c r="I1098" s="343" t="s">
        <v>193</v>
      </c>
      <c r="J1098" s="343" t="s">
        <v>194</v>
      </c>
      <c r="K1098" s="343" t="s">
        <v>168</v>
      </c>
    </row>
    <row r="1099" spans="1:11" ht="26.25" customHeight="1">
      <c r="A1099" s="343" t="s">
        <v>1618</v>
      </c>
      <c r="B1099" s="344" t="s">
        <v>162</v>
      </c>
      <c r="C1099" s="344">
        <v>6642</v>
      </c>
      <c r="D1099" s="343" t="s">
        <v>4300</v>
      </c>
      <c r="E1099" s="344">
        <v>6714822</v>
      </c>
      <c r="F1099" s="343" t="s">
        <v>4301</v>
      </c>
      <c r="G1099" s="360" t="s">
        <v>9940</v>
      </c>
      <c r="H1099" s="361">
        <v>42815</v>
      </c>
      <c r="I1099" s="343" t="s">
        <v>4302</v>
      </c>
      <c r="J1099" s="343" t="s">
        <v>10461</v>
      </c>
      <c r="K1099" s="343" t="s">
        <v>173</v>
      </c>
    </row>
    <row r="1100" spans="1:11" ht="26.25" customHeight="1">
      <c r="A1100" s="343" t="s">
        <v>1618</v>
      </c>
      <c r="B1100" s="344" t="s">
        <v>162</v>
      </c>
      <c r="C1100" s="344">
        <v>7465</v>
      </c>
      <c r="D1100" s="343" t="s">
        <v>3962</v>
      </c>
      <c r="E1100" s="344">
        <v>6436524</v>
      </c>
      <c r="F1100" s="343" t="s">
        <v>3965</v>
      </c>
      <c r="G1100" s="360" t="s">
        <v>10462</v>
      </c>
      <c r="H1100" s="361">
        <v>42844</v>
      </c>
      <c r="I1100" s="343" t="s">
        <v>166</v>
      </c>
      <c r="J1100" s="343" t="s">
        <v>327</v>
      </c>
      <c r="K1100" s="343" t="s">
        <v>168</v>
      </c>
    </row>
    <row r="1101" spans="1:11" ht="26.25" customHeight="1">
      <c r="A1101" s="343" t="s">
        <v>1618</v>
      </c>
      <c r="B1101" s="344" t="s">
        <v>162</v>
      </c>
      <c r="C1101" s="344">
        <v>12326</v>
      </c>
      <c r="D1101" s="343" t="s">
        <v>4154</v>
      </c>
      <c r="E1101" s="344">
        <v>4758940</v>
      </c>
      <c r="F1101" s="343" t="s">
        <v>4155</v>
      </c>
      <c r="G1101" s="360" t="s">
        <v>10463</v>
      </c>
      <c r="H1101" s="361">
        <v>42844</v>
      </c>
      <c r="I1101" s="343" t="s">
        <v>198</v>
      </c>
      <c r="J1101" s="343" t="s">
        <v>198</v>
      </c>
      <c r="K1101" s="343" t="s">
        <v>168</v>
      </c>
    </row>
    <row r="1102" spans="1:11" ht="26.25" customHeight="1">
      <c r="A1102" s="343" t="s">
        <v>1618</v>
      </c>
      <c r="B1102" s="344" t="s">
        <v>162</v>
      </c>
      <c r="C1102" s="344">
        <v>6640</v>
      </c>
      <c r="D1102" s="343" t="s">
        <v>4294</v>
      </c>
      <c r="E1102" s="344">
        <v>6749133</v>
      </c>
      <c r="F1102" s="343" t="s">
        <v>4297</v>
      </c>
      <c r="G1102" s="360" t="s">
        <v>10464</v>
      </c>
      <c r="H1102" s="361">
        <v>42844</v>
      </c>
      <c r="I1102" s="343" t="s">
        <v>4298</v>
      </c>
      <c r="J1102" s="343" t="s">
        <v>10465</v>
      </c>
      <c r="K1102" s="343" t="s">
        <v>173</v>
      </c>
    </row>
    <row r="1103" spans="1:11" ht="26.25" customHeight="1">
      <c r="A1103" s="343" t="s">
        <v>1618</v>
      </c>
      <c r="B1103" s="344" t="s">
        <v>162</v>
      </c>
      <c r="C1103" s="344">
        <v>7491</v>
      </c>
      <c r="D1103" s="343" t="s">
        <v>3986</v>
      </c>
      <c r="E1103" s="344">
        <v>6760702</v>
      </c>
      <c r="F1103" s="343" t="s">
        <v>3987</v>
      </c>
      <c r="G1103" s="360" t="s">
        <v>10466</v>
      </c>
      <c r="H1103" s="361">
        <v>42850</v>
      </c>
      <c r="I1103" s="343" t="s">
        <v>3988</v>
      </c>
      <c r="J1103" s="343" t="s">
        <v>10467</v>
      </c>
      <c r="K1103" s="343" t="s">
        <v>168</v>
      </c>
    </row>
    <row r="1104" spans="1:11" ht="26.25" customHeight="1">
      <c r="A1104" s="343" t="s">
        <v>1618</v>
      </c>
      <c r="B1104" s="344" t="s">
        <v>162</v>
      </c>
      <c r="C1104" s="344">
        <v>9854</v>
      </c>
      <c r="D1104" s="343" t="s">
        <v>4289</v>
      </c>
      <c r="E1104" s="344">
        <v>5747495</v>
      </c>
      <c r="F1104" s="343" t="s">
        <v>4293</v>
      </c>
      <c r="G1104" s="360" t="s">
        <v>9633</v>
      </c>
      <c r="H1104" s="361">
        <v>42853</v>
      </c>
      <c r="I1104" s="343" t="s">
        <v>7297</v>
      </c>
      <c r="J1104" s="343" t="s">
        <v>10468</v>
      </c>
      <c r="K1104" s="343" t="s">
        <v>168</v>
      </c>
    </row>
    <row r="1105" spans="1:11" ht="26.25" customHeight="1">
      <c r="A1105" s="343" t="s">
        <v>1618</v>
      </c>
      <c r="B1105" s="344" t="s">
        <v>162</v>
      </c>
      <c r="C1105" s="344">
        <v>7466</v>
      </c>
      <c r="D1105" s="343" t="s">
        <v>3924</v>
      </c>
      <c r="E1105" s="344">
        <v>6243557</v>
      </c>
      <c r="F1105" s="343" t="s">
        <v>3927</v>
      </c>
      <c r="G1105" s="360" t="s">
        <v>10469</v>
      </c>
      <c r="H1105" s="361">
        <v>42852</v>
      </c>
      <c r="I1105" s="343" t="s">
        <v>193</v>
      </c>
      <c r="J1105" s="343" t="s">
        <v>194</v>
      </c>
      <c r="K1105" s="343" t="s">
        <v>168</v>
      </c>
    </row>
    <row r="1106" spans="1:11" ht="26.25" customHeight="1">
      <c r="A1106" s="343" t="s">
        <v>1618</v>
      </c>
      <c r="B1106" s="344" t="s">
        <v>162</v>
      </c>
      <c r="C1106" s="344">
        <v>12073</v>
      </c>
      <c r="D1106" s="343" t="s">
        <v>4094</v>
      </c>
      <c r="E1106" s="344">
        <v>4933007</v>
      </c>
      <c r="F1106" s="343" t="s">
        <v>4095</v>
      </c>
      <c r="G1106" s="360" t="s">
        <v>10470</v>
      </c>
      <c r="H1106" s="361">
        <v>42852</v>
      </c>
      <c r="I1106" s="343" t="s">
        <v>193</v>
      </c>
      <c r="J1106" s="343" t="s">
        <v>1089</v>
      </c>
      <c r="K1106" s="343" t="s">
        <v>168</v>
      </c>
    </row>
    <row r="1107" spans="1:11" ht="26.25" customHeight="1">
      <c r="A1107" s="343" t="s">
        <v>1618</v>
      </c>
      <c r="B1107" s="344" t="s">
        <v>162</v>
      </c>
      <c r="C1107" s="344">
        <v>6970</v>
      </c>
      <c r="D1107" s="343" t="s">
        <v>4111</v>
      </c>
      <c r="E1107" s="344">
        <v>5313396</v>
      </c>
      <c r="F1107" s="343" t="s">
        <v>4117</v>
      </c>
      <c r="G1107" s="360" t="s">
        <v>10471</v>
      </c>
      <c r="H1107" s="361">
        <v>42859</v>
      </c>
      <c r="I1107" s="343" t="s">
        <v>1463</v>
      </c>
      <c r="J1107" s="343" t="s">
        <v>10472</v>
      </c>
      <c r="K1107" s="343" t="s">
        <v>248</v>
      </c>
    </row>
    <row r="1108" spans="1:11" ht="26.25" customHeight="1">
      <c r="A1108" s="343" t="s">
        <v>1618</v>
      </c>
      <c r="B1108" s="344" t="s">
        <v>162</v>
      </c>
      <c r="C1108" s="344">
        <v>6974</v>
      </c>
      <c r="D1108" s="343" t="s">
        <v>4059</v>
      </c>
      <c r="E1108" s="344">
        <v>5089746</v>
      </c>
      <c r="F1108" s="343" t="s">
        <v>4061</v>
      </c>
      <c r="G1108" s="360" t="s">
        <v>10473</v>
      </c>
      <c r="H1108" s="361">
        <v>42874</v>
      </c>
      <c r="I1108" s="343" t="s">
        <v>180</v>
      </c>
      <c r="J1108" s="343" t="s">
        <v>10474</v>
      </c>
      <c r="K1108" s="343" t="s">
        <v>173</v>
      </c>
    </row>
    <row r="1109" spans="1:11" ht="26.25" customHeight="1">
      <c r="A1109" s="343" t="s">
        <v>1618</v>
      </c>
      <c r="B1109" s="344" t="s">
        <v>162</v>
      </c>
      <c r="C1109" s="344">
        <v>9534</v>
      </c>
      <c r="D1109" s="343" t="s">
        <v>3934</v>
      </c>
      <c r="E1109" s="344">
        <v>6524764</v>
      </c>
      <c r="F1109" s="343" t="s">
        <v>3935</v>
      </c>
      <c r="G1109" s="360" t="s">
        <v>10475</v>
      </c>
      <c r="H1109" s="361">
        <v>42859</v>
      </c>
      <c r="I1109" s="343" t="s">
        <v>7294</v>
      </c>
      <c r="J1109" s="343" t="s">
        <v>10476</v>
      </c>
      <c r="K1109" s="343" t="s">
        <v>168</v>
      </c>
    </row>
    <row r="1110" spans="1:11" ht="26.25" customHeight="1">
      <c r="A1110" s="343" t="s">
        <v>1618</v>
      </c>
      <c r="B1110" s="344" t="s">
        <v>162</v>
      </c>
      <c r="C1110" s="344">
        <v>9906</v>
      </c>
      <c r="D1110" s="343" t="s">
        <v>4015</v>
      </c>
      <c r="E1110" s="344">
        <v>5100884</v>
      </c>
      <c r="F1110" s="343" t="s">
        <v>4018</v>
      </c>
      <c r="G1110" s="360" t="s">
        <v>10477</v>
      </c>
      <c r="H1110" s="361">
        <v>42874</v>
      </c>
      <c r="I1110" s="343" t="s">
        <v>301</v>
      </c>
      <c r="J1110" s="343" t="s">
        <v>1113</v>
      </c>
      <c r="K1110" s="343" t="s">
        <v>168</v>
      </c>
    </row>
    <row r="1111" spans="1:11" ht="26.25" customHeight="1">
      <c r="A1111" s="343" t="s">
        <v>1618</v>
      </c>
      <c r="B1111" s="344" t="s">
        <v>162</v>
      </c>
      <c r="C1111" s="344">
        <v>6624</v>
      </c>
      <c r="D1111" s="343" t="s">
        <v>4203</v>
      </c>
      <c r="E1111" s="344">
        <v>5911096</v>
      </c>
      <c r="F1111" s="343" t="s">
        <v>4205</v>
      </c>
      <c r="G1111" s="360" t="s">
        <v>9741</v>
      </c>
      <c r="H1111" s="361">
        <v>42874</v>
      </c>
      <c r="I1111" s="343" t="s">
        <v>802</v>
      </c>
      <c r="J1111" s="343" t="s">
        <v>1075</v>
      </c>
      <c r="K1111" s="343" t="s">
        <v>168</v>
      </c>
    </row>
    <row r="1112" spans="1:11" ht="26.25" customHeight="1">
      <c r="A1112" s="343" t="s">
        <v>1618</v>
      </c>
      <c r="B1112" s="344" t="s">
        <v>162</v>
      </c>
      <c r="C1112" s="344">
        <v>6624</v>
      </c>
      <c r="D1112" s="343" t="s">
        <v>4203</v>
      </c>
      <c r="E1112" s="344">
        <v>6620036</v>
      </c>
      <c r="F1112" s="343" t="s">
        <v>4207</v>
      </c>
      <c r="G1112" s="360" t="s">
        <v>10478</v>
      </c>
      <c r="H1112" s="361">
        <v>42874</v>
      </c>
      <c r="I1112" s="343" t="s">
        <v>166</v>
      </c>
      <c r="J1112" s="343" t="s">
        <v>327</v>
      </c>
      <c r="K1112" s="343" t="s">
        <v>168</v>
      </c>
    </row>
    <row r="1113" spans="1:11" ht="26.25" customHeight="1">
      <c r="A1113" s="343" t="s">
        <v>1618</v>
      </c>
      <c r="B1113" s="344" t="s">
        <v>162</v>
      </c>
      <c r="C1113" s="344">
        <v>8691</v>
      </c>
      <c r="D1113" s="343" t="s">
        <v>4254</v>
      </c>
      <c r="E1113" s="344">
        <v>5916701</v>
      </c>
      <c r="F1113" s="343" t="s">
        <v>4255</v>
      </c>
      <c r="G1113" s="360" t="s">
        <v>10479</v>
      </c>
      <c r="H1113" s="361">
        <v>42866</v>
      </c>
      <c r="I1113" s="343" t="s">
        <v>193</v>
      </c>
      <c r="J1113" s="343" t="s">
        <v>194</v>
      </c>
      <c r="K1113" s="343" t="s">
        <v>168</v>
      </c>
    </row>
    <row r="1114" spans="1:11" ht="26.25" customHeight="1">
      <c r="A1114" s="343" t="s">
        <v>1618</v>
      </c>
      <c r="B1114" s="344" t="s">
        <v>162</v>
      </c>
      <c r="C1114" s="344">
        <v>12324</v>
      </c>
      <c r="D1114" s="343" t="s">
        <v>4049</v>
      </c>
      <c r="E1114" s="344">
        <v>5892334</v>
      </c>
      <c r="F1114" s="343" t="s">
        <v>4052</v>
      </c>
      <c r="G1114" s="360" t="s">
        <v>1138</v>
      </c>
      <c r="H1114" s="361">
        <v>42867</v>
      </c>
      <c r="I1114" s="343" t="s">
        <v>211</v>
      </c>
      <c r="J1114" s="343" t="s">
        <v>909</v>
      </c>
      <c r="K1114" s="343" t="s">
        <v>168</v>
      </c>
    </row>
    <row r="1115" spans="1:11" ht="26.25" customHeight="1">
      <c r="A1115" s="343" t="s">
        <v>1618</v>
      </c>
      <c r="B1115" s="344" t="s">
        <v>162</v>
      </c>
      <c r="C1115" s="344">
        <v>9660</v>
      </c>
      <c r="D1115" s="343" t="s">
        <v>4270</v>
      </c>
      <c r="E1115" s="344">
        <v>5788914</v>
      </c>
      <c r="F1115" s="343" t="s">
        <v>4271</v>
      </c>
      <c r="G1115" s="360" t="s">
        <v>1247</v>
      </c>
      <c r="H1115" s="361">
        <v>42867</v>
      </c>
      <c r="I1115" s="343" t="s">
        <v>193</v>
      </c>
      <c r="J1115" s="343" t="s">
        <v>1089</v>
      </c>
      <c r="K1115" s="343" t="s">
        <v>168</v>
      </c>
    </row>
    <row r="1116" spans="1:11" ht="26.25" customHeight="1">
      <c r="A1116" s="343" t="s">
        <v>1618</v>
      </c>
      <c r="B1116" s="344" t="s">
        <v>162</v>
      </c>
      <c r="C1116" s="344">
        <v>6970</v>
      </c>
      <c r="D1116" s="343" t="s">
        <v>4111</v>
      </c>
      <c r="E1116" s="344">
        <v>5046477</v>
      </c>
      <c r="F1116" s="343" t="s">
        <v>4113</v>
      </c>
      <c r="G1116" s="360" t="s">
        <v>10480</v>
      </c>
      <c r="H1116" s="361">
        <v>42867</v>
      </c>
      <c r="I1116" s="343" t="s">
        <v>211</v>
      </c>
      <c r="J1116" s="343" t="s">
        <v>909</v>
      </c>
      <c r="K1116" s="343" t="s">
        <v>168</v>
      </c>
    </row>
    <row r="1117" spans="1:11" ht="26.25" customHeight="1">
      <c r="A1117" s="343" t="s">
        <v>1618</v>
      </c>
      <c r="B1117" s="344" t="s">
        <v>162</v>
      </c>
      <c r="C1117" s="344">
        <v>12326</v>
      </c>
      <c r="D1117" s="343" t="s">
        <v>4154</v>
      </c>
      <c r="E1117" s="344">
        <v>5974641</v>
      </c>
      <c r="F1117" s="343" t="s">
        <v>4156</v>
      </c>
      <c r="G1117" s="360" t="s">
        <v>541</v>
      </c>
      <c r="H1117" s="361">
        <v>42900</v>
      </c>
      <c r="I1117" s="343" t="s">
        <v>180</v>
      </c>
      <c r="J1117" s="343" t="s">
        <v>10481</v>
      </c>
      <c r="K1117" s="343" t="s">
        <v>173</v>
      </c>
    </row>
    <row r="1118" spans="1:11" ht="26.25" customHeight="1">
      <c r="A1118" s="343" t="s">
        <v>1618</v>
      </c>
      <c r="B1118" s="344" t="s">
        <v>162</v>
      </c>
      <c r="C1118" s="344">
        <v>6970</v>
      </c>
      <c r="D1118" s="343" t="s">
        <v>4111</v>
      </c>
      <c r="E1118" s="344">
        <v>3408793</v>
      </c>
      <c r="F1118" s="343" t="s">
        <v>4114</v>
      </c>
      <c r="G1118" s="360" t="s">
        <v>10482</v>
      </c>
      <c r="H1118" s="361">
        <v>42906</v>
      </c>
      <c r="I1118" s="343" t="s">
        <v>180</v>
      </c>
      <c r="J1118" s="343" t="s">
        <v>10483</v>
      </c>
      <c r="K1118" s="343" t="s">
        <v>168</v>
      </c>
    </row>
    <row r="1119" spans="1:11" ht="26.25" customHeight="1">
      <c r="A1119" s="343" t="s">
        <v>1618</v>
      </c>
      <c r="B1119" s="344" t="s">
        <v>162</v>
      </c>
      <c r="C1119" s="344">
        <v>6969</v>
      </c>
      <c r="D1119" s="343" t="s">
        <v>4057</v>
      </c>
      <c r="E1119" s="344">
        <v>4721982</v>
      </c>
      <c r="F1119" s="343" t="s">
        <v>4058</v>
      </c>
      <c r="G1119" s="360" t="s">
        <v>10484</v>
      </c>
      <c r="H1119" s="361">
        <v>42906</v>
      </c>
      <c r="I1119" s="343" t="s">
        <v>180</v>
      </c>
      <c r="J1119" s="343" t="s">
        <v>10485</v>
      </c>
      <c r="K1119" s="343" t="s">
        <v>173</v>
      </c>
    </row>
    <row r="1120" spans="1:11" ht="26.25" customHeight="1">
      <c r="A1120" s="343" t="s">
        <v>1618</v>
      </c>
      <c r="B1120" s="344" t="s">
        <v>162</v>
      </c>
      <c r="C1120" s="344">
        <v>9732</v>
      </c>
      <c r="D1120" s="343" t="s">
        <v>3958</v>
      </c>
      <c r="E1120" s="344">
        <v>6415151</v>
      </c>
      <c r="F1120" s="343" t="s">
        <v>3959</v>
      </c>
      <c r="G1120" s="360" t="s">
        <v>384</v>
      </c>
      <c r="H1120" s="361">
        <v>42908</v>
      </c>
      <c r="I1120" s="343" t="s">
        <v>271</v>
      </c>
      <c r="J1120" s="343" t="s">
        <v>10486</v>
      </c>
      <c r="K1120" s="343" t="s">
        <v>168</v>
      </c>
    </row>
    <row r="1121" spans="1:11" ht="26.25" customHeight="1">
      <c r="A1121" s="343" t="s">
        <v>1618</v>
      </c>
      <c r="B1121" s="344" t="s">
        <v>162</v>
      </c>
      <c r="C1121" s="344">
        <v>11090</v>
      </c>
      <c r="D1121" s="343" t="s">
        <v>4009</v>
      </c>
      <c r="E1121" s="344">
        <v>5156853</v>
      </c>
      <c r="F1121" s="343" t="s">
        <v>4014</v>
      </c>
      <c r="G1121" s="360" t="s">
        <v>10487</v>
      </c>
      <c r="H1121" s="361">
        <v>42894</v>
      </c>
      <c r="I1121" s="343" t="s">
        <v>261</v>
      </c>
      <c r="J1121" s="343" t="s">
        <v>631</v>
      </c>
      <c r="K1121" s="343" t="s">
        <v>168</v>
      </c>
    </row>
    <row r="1122" spans="1:11" ht="26.25" customHeight="1">
      <c r="A1122" s="343" t="s">
        <v>1618</v>
      </c>
      <c r="B1122" s="344" t="s">
        <v>162</v>
      </c>
      <c r="C1122" s="344">
        <v>6649</v>
      </c>
      <c r="D1122" s="343" t="s">
        <v>4230</v>
      </c>
      <c r="E1122" s="344">
        <v>6355992</v>
      </c>
      <c r="F1122" s="343" t="s">
        <v>4232</v>
      </c>
      <c r="G1122" s="360" t="s">
        <v>9531</v>
      </c>
      <c r="H1122" s="361">
        <v>42894</v>
      </c>
      <c r="I1122" s="343" t="s">
        <v>366</v>
      </c>
      <c r="J1122" s="343" t="s">
        <v>366</v>
      </c>
      <c r="K1122" s="343" t="s">
        <v>168</v>
      </c>
    </row>
    <row r="1123" spans="1:11" ht="26.25" customHeight="1">
      <c r="A1123" s="343" t="s">
        <v>1618</v>
      </c>
      <c r="B1123" s="344" t="s">
        <v>162</v>
      </c>
      <c r="C1123" s="344">
        <v>6976</v>
      </c>
      <c r="D1123" s="343" t="s">
        <v>4066</v>
      </c>
      <c r="E1123" s="344">
        <v>5859173</v>
      </c>
      <c r="F1123" s="343" t="s">
        <v>4067</v>
      </c>
      <c r="G1123" s="360" t="s">
        <v>10488</v>
      </c>
      <c r="H1123" s="361">
        <v>42894</v>
      </c>
      <c r="I1123" s="343" t="s">
        <v>366</v>
      </c>
      <c r="J1123" s="343" t="s">
        <v>366</v>
      </c>
      <c r="K1123" s="343" t="s">
        <v>168</v>
      </c>
    </row>
    <row r="1124" spans="1:11" ht="26.25" customHeight="1">
      <c r="A1124" s="343" t="s">
        <v>1618</v>
      </c>
      <c r="B1124" s="344" t="s">
        <v>162</v>
      </c>
      <c r="C1124" s="344">
        <v>7470</v>
      </c>
      <c r="D1124" s="343" t="s">
        <v>3929</v>
      </c>
      <c r="E1124" s="344">
        <v>6775424</v>
      </c>
      <c r="F1124" s="343" t="s">
        <v>3931</v>
      </c>
      <c r="G1124" s="360" t="s">
        <v>10489</v>
      </c>
      <c r="H1124" s="361">
        <v>42893</v>
      </c>
      <c r="I1124" s="343" t="s">
        <v>193</v>
      </c>
      <c r="J1124" s="343" t="s">
        <v>194</v>
      </c>
      <c r="K1124" s="343" t="s">
        <v>168</v>
      </c>
    </row>
    <row r="1125" spans="1:11" ht="26.25" customHeight="1">
      <c r="A1125" s="343" t="s">
        <v>1618</v>
      </c>
      <c r="B1125" s="344" t="s">
        <v>162</v>
      </c>
      <c r="C1125" s="344">
        <v>6989</v>
      </c>
      <c r="D1125" s="343" t="s">
        <v>4149</v>
      </c>
      <c r="E1125" s="344">
        <v>4566555</v>
      </c>
      <c r="F1125" s="343" t="s">
        <v>4153</v>
      </c>
      <c r="G1125" s="360" t="s">
        <v>10490</v>
      </c>
      <c r="H1125" s="361">
        <v>42893</v>
      </c>
      <c r="I1125" s="343" t="s">
        <v>166</v>
      </c>
      <c r="J1125" s="343" t="s">
        <v>327</v>
      </c>
      <c r="K1125" s="343" t="s">
        <v>168</v>
      </c>
    </row>
    <row r="1126" spans="1:11" ht="26.25" customHeight="1">
      <c r="A1126" s="343" t="s">
        <v>1618</v>
      </c>
      <c r="B1126" s="344" t="s">
        <v>162</v>
      </c>
      <c r="C1126" s="344">
        <v>6989</v>
      </c>
      <c r="D1126" s="343" t="s">
        <v>4149</v>
      </c>
      <c r="E1126" s="344">
        <v>4238683</v>
      </c>
      <c r="F1126" s="343" t="s">
        <v>4151</v>
      </c>
      <c r="G1126" s="360" t="s">
        <v>10491</v>
      </c>
      <c r="H1126" s="361">
        <v>42893</v>
      </c>
      <c r="I1126" s="343" t="s">
        <v>709</v>
      </c>
      <c r="J1126" s="343" t="s">
        <v>10492</v>
      </c>
      <c r="K1126" s="343" t="s">
        <v>168</v>
      </c>
    </row>
    <row r="1127" spans="1:11" ht="26.25" customHeight="1">
      <c r="A1127" s="343" t="s">
        <v>1618</v>
      </c>
      <c r="B1127" s="344" t="s">
        <v>162</v>
      </c>
      <c r="C1127" s="344">
        <v>7465</v>
      </c>
      <c r="D1127" s="343" t="s">
        <v>3962</v>
      </c>
      <c r="E1127" s="344">
        <v>6697119</v>
      </c>
      <c r="F1127" s="343" t="s">
        <v>3963</v>
      </c>
      <c r="G1127" s="360" t="s">
        <v>10493</v>
      </c>
      <c r="H1127" s="361">
        <v>42893</v>
      </c>
      <c r="I1127" s="343" t="s">
        <v>284</v>
      </c>
      <c r="J1127" s="343" t="s">
        <v>10494</v>
      </c>
      <c r="K1127" s="343" t="s">
        <v>168</v>
      </c>
    </row>
    <row r="1128" spans="1:11" ht="26.25" customHeight="1">
      <c r="A1128" s="343" t="s">
        <v>1618</v>
      </c>
      <c r="B1128" s="344" t="s">
        <v>162</v>
      </c>
      <c r="C1128" s="344">
        <v>6624</v>
      </c>
      <c r="D1128" s="343" t="s">
        <v>4203</v>
      </c>
      <c r="E1128" s="344">
        <v>6121081</v>
      </c>
      <c r="F1128" s="343" t="s">
        <v>4206</v>
      </c>
      <c r="G1128" s="360" t="s">
        <v>10495</v>
      </c>
      <c r="H1128" s="361">
        <v>42913</v>
      </c>
      <c r="I1128" s="343" t="s">
        <v>193</v>
      </c>
      <c r="J1128" s="343" t="s">
        <v>637</v>
      </c>
      <c r="K1128" s="343" t="s">
        <v>168</v>
      </c>
    </row>
    <row r="1129" spans="1:11" ht="26.25" customHeight="1">
      <c r="A1129" s="343" t="s">
        <v>1618</v>
      </c>
      <c r="B1129" s="344" t="s">
        <v>162</v>
      </c>
      <c r="C1129" s="344">
        <v>7470</v>
      </c>
      <c r="D1129" s="343" t="s">
        <v>3929</v>
      </c>
      <c r="E1129" s="344">
        <v>6709234</v>
      </c>
      <c r="F1129" s="343" t="s">
        <v>3933</v>
      </c>
      <c r="G1129" s="360" t="s">
        <v>10496</v>
      </c>
      <c r="H1129" s="361">
        <v>42913</v>
      </c>
      <c r="I1129" s="343" t="s">
        <v>166</v>
      </c>
      <c r="J1129" s="343" t="s">
        <v>327</v>
      </c>
      <c r="K1129" s="343" t="s">
        <v>168</v>
      </c>
    </row>
    <row r="1130" spans="1:11" ht="26.25" customHeight="1">
      <c r="A1130" s="343" t="s">
        <v>1618</v>
      </c>
      <c r="B1130" s="344" t="s">
        <v>162</v>
      </c>
      <c r="C1130" s="344">
        <v>7496</v>
      </c>
      <c r="D1130" s="343" t="s">
        <v>3995</v>
      </c>
      <c r="E1130" s="344">
        <v>6657344</v>
      </c>
      <c r="F1130" s="343" t="s">
        <v>3996</v>
      </c>
      <c r="G1130" s="360" t="s">
        <v>10497</v>
      </c>
      <c r="H1130" s="361">
        <v>42913</v>
      </c>
      <c r="I1130" s="343" t="s">
        <v>514</v>
      </c>
      <c r="J1130" s="343" t="s">
        <v>9587</v>
      </c>
      <c r="K1130" s="343" t="s">
        <v>168</v>
      </c>
    </row>
    <row r="1131" spans="1:11" ht="26.25" customHeight="1">
      <c r="A1131" s="343" t="s">
        <v>1618</v>
      </c>
      <c r="B1131" s="344" t="s">
        <v>162</v>
      </c>
      <c r="C1131" s="344">
        <v>11089</v>
      </c>
      <c r="D1131" s="343" t="s">
        <v>3997</v>
      </c>
      <c r="E1131" s="344">
        <v>6537400</v>
      </c>
      <c r="F1131" s="343" t="s">
        <v>4002</v>
      </c>
      <c r="G1131" s="360" t="s">
        <v>10498</v>
      </c>
      <c r="H1131" s="361">
        <v>42920</v>
      </c>
      <c r="I1131" s="343" t="s">
        <v>1124</v>
      </c>
      <c r="J1131" s="343" t="s">
        <v>10499</v>
      </c>
      <c r="K1131" s="343" t="s">
        <v>173</v>
      </c>
    </row>
    <row r="1132" spans="1:11" ht="26.25" customHeight="1">
      <c r="A1132" s="343" t="s">
        <v>1618</v>
      </c>
      <c r="B1132" s="344" t="s">
        <v>162</v>
      </c>
      <c r="C1132" s="344">
        <v>11597</v>
      </c>
      <c r="D1132" s="343" t="s">
        <v>4007</v>
      </c>
      <c r="E1132" s="344">
        <v>6187893</v>
      </c>
      <c r="F1132" s="343" t="s">
        <v>4008</v>
      </c>
      <c r="G1132" s="360" t="s">
        <v>10500</v>
      </c>
      <c r="H1132" s="361">
        <v>42920</v>
      </c>
      <c r="I1132" s="343" t="s">
        <v>193</v>
      </c>
      <c r="J1132" s="343" t="s">
        <v>194</v>
      </c>
      <c r="K1132" s="343" t="s">
        <v>168</v>
      </c>
    </row>
    <row r="1133" spans="1:11" ht="26.25" customHeight="1">
      <c r="A1133" s="343" t="s">
        <v>1618</v>
      </c>
      <c r="B1133" s="344" t="s">
        <v>162</v>
      </c>
      <c r="C1133" s="344">
        <v>9732</v>
      </c>
      <c r="D1133" s="343" t="s">
        <v>3958</v>
      </c>
      <c r="E1133" s="344">
        <v>6372112</v>
      </c>
      <c r="F1133" s="343" t="s">
        <v>3960</v>
      </c>
      <c r="G1133" s="360" t="s">
        <v>10501</v>
      </c>
      <c r="H1133" s="361">
        <v>42923</v>
      </c>
      <c r="I1133" s="343" t="s">
        <v>709</v>
      </c>
      <c r="J1133" s="343" t="s">
        <v>9388</v>
      </c>
      <c r="K1133" s="343" t="s">
        <v>168</v>
      </c>
    </row>
    <row r="1134" spans="1:11" ht="26.25" customHeight="1">
      <c r="A1134" s="343" t="s">
        <v>1618</v>
      </c>
      <c r="B1134" s="344" t="s">
        <v>162</v>
      </c>
      <c r="C1134" s="344">
        <v>12633</v>
      </c>
      <c r="D1134" s="343" t="s">
        <v>4101</v>
      </c>
      <c r="E1134" s="344">
        <v>5626593</v>
      </c>
      <c r="F1134" s="343" t="s">
        <v>4103</v>
      </c>
      <c r="G1134" s="360" t="s">
        <v>10502</v>
      </c>
      <c r="H1134" s="361">
        <v>42923</v>
      </c>
      <c r="I1134" s="343" t="s">
        <v>275</v>
      </c>
      <c r="J1134" s="343" t="s">
        <v>585</v>
      </c>
      <c r="K1134" s="343" t="s">
        <v>173</v>
      </c>
    </row>
    <row r="1135" spans="1:11" ht="26.25" customHeight="1">
      <c r="A1135" s="343" t="s">
        <v>1618</v>
      </c>
      <c r="B1135" s="344" t="s">
        <v>162</v>
      </c>
      <c r="C1135" s="344">
        <v>6977</v>
      </c>
      <c r="D1135" s="343" t="s">
        <v>4193</v>
      </c>
      <c r="E1135" s="344">
        <v>5516583</v>
      </c>
      <c r="F1135" s="343" t="s">
        <v>4194</v>
      </c>
      <c r="G1135" s="360" t="s">
        <v>10503</v>
      </c>
      <c r="H1135" s="361">
        <v>42923</v>
      </c>
      <c r="I1135" s="343" t="s">
        <v>198</v>
      </c>
      <c r="J1135" s="343" t="s">
        <v>198</v>
      </c>
      <c r="K1135" s="343" t="s">
        <v>168</v>
      </c>
    </row>
    <row r="1136" spans="1:11" ht="26.25" customHeight="1">
      <c r="A1136" s="343" t="s">
        <v>1618</v>
      </c>
      <c r="B1136" s="344" t="s">
        <v>162</v>
      </c>
      <c r="C1136" s="344">
        <v>6989</v>
      </c>
      <c r="D1136" s="343" t="s">
        <v>4149</v>
      </c>
      <c r="E1136" s="344">
        <v>4546494</v>
      </c>
      <c r="F1136" s="343" t="s">
        <v>4150</v>
      </c>
      <c r="G1136" s="360" t="s">
        <v>10504</v>
      </c>
      <c r="H1136" s="361">
        <v>42927</v>
      </c>
      <c r="I1136" s="343" t="s">
        <v>211</v>
      </c>
      <c r="J1136" s="343" t="s">
        <v>211</v>
      </c>
      <c r="K1136" s="343" t="s">
        <v>168</v>
      </c>
    </row>
    <row r="1137" spans="1:11" ht="26.25" customHeight="1">
      <c r="A1137" s="343" t="s">
        <v>1618</v>
      </c>
      <c r="B1137" s="344" t="s">
        <v>162</v>
      </c>
      <c r="C1137" s="344">
        <v>6997</v>
      </c>
      <c r="D1137" s="343" t="s">
        <v>4186</v>
      </c>
      <c r="E1137" s="344">
        <v>4899692</v>
      </c>
      <c r="F1137" s="343" t="s">
        <v>4189</v>
      </c>
      <c r="G1137" s="360" t="s">
        <v>10505</v>
      </c>
      <c r="H1137" s="361">
        <v>42927</v>
      </c>
      <c r="I1137" s="343" t="s">
        <v>4190</v>
      </c>
      <c r="J1137" s="343" t="s">
        <v>9420</v>
      </c>
      <c r="K1137" s="343" t="s">
        <v>168</v>
      </c>
    </row>
    <row r="1138" spans="1:11" ht="26.25" customHeight="1">
      <c r="A1138" s="343" t="s">
        <v>1618</v>
      </c>
      <c r="B1138" s="344" t="s">
        <v>162</v>
      </c>
      <c r="C1138" s="344">
        <v>6997</v>
      </c>
      <c r="D1138" s="343" t="s">
        <v>4186</v>
      </c>
      <c r="E1138" s="344">
        <v>5172462</v>
      </c>
      <c r="F1138" s="343" t="s">
        <v>4187</v>
      </c>
      <c r="G1138" s="360" t="s">
        <v>1027</v>
      </c>
      <c r="H1138" s="361">
        <v>42927</v>
      </c>
      <c r="I1138" s="343" t="s">
        <v>4188</v>
      </c>
      <c r="J1138" s="343" t="s">
        <v>10506</v>
      </c>
      <c r="K1138" s="343" t="s">
        <v>173</v>
      </c>
    </row>
    <row r="1139" spans="1:11" ht="26.25" customHeight="1">
      <c r="A1139" s="343" t="s">
        <v>1618</v>
      </c>
      <c r="B1139" s="344" t="s">
        <v>162</v>
      </c>
      <c r="C1139" s="344">
        <v>6973</v>
      </c>
      <c r="D1139" s="343" t="s">
        <v>4068</v>
      </c>
      <c r="E1139" s="344">
        <v>5586902</v>
      </c>
      <c r="F1139" s="343" t="s">
        <v>4070</v>
      </c>
      <c r="G1139" s="360" t="s">
        <v>1046</v>
      </c>
      <c r="H1139" s="361">
        <v>42927</v>
      </c>
      <c r="I1139" s="343" t="s">
        <v>3910</v>
      </c>
      <c r="J1139" s="343" t="s">
        <v>10507</v>
      </c>
      <c r="K1139" s="343" t="s">
        <v>173</v>
      </c>
    </row>
    <row r="1140" spans="1:11" ht="26.25" customHeight="1">
      <c r="A1140" s="343" t="s">
        <v>1618</v>
      </c>
      <c r="B1140" s="344" t="s">
        <v>162</v>
      </c>
      <c r="C1140" s="344">
        <v>7470</v>
      </c>
      <c r="D1140" s="343" t="s">
        <v>3929</v>
      </c>
      <c r="E1140" s="344">
        <v>6597851</v>
      </c>
      <c r="F1140" s="343" t="s">
        <v>3932</v>
      </c>
      <c r="G1140" s="360" t="s">
        <v>431</v>
      </c>
      <c r="H1140" s="361">
        <v>42936</v>
      </c>
      <c r="I1140" s="343" t="s">
        <v>193</v>
      </c>
      <c r="J1140" s="343" t="s">
        <v>637</v>
      </c>
      <c r="K1140" s="343" t="s">
        <v>168</v>
      </c>
    </row>
    <row r="1141" spans="1:11" ht="26.25" customHeight="1">
      <c r="A1141" s="343" t="s">
        <v>1618</v>
      </c>
      <c r="B1141" s="344" t="s">
        <v>162</v>
      </c>
      <c r="C1141" s="344">
        <v>12326</v>
      </c>
      <c r="D1141" s="343" t="s">
        <v>4154</v>
      </c>
      <c r="E1141" s="344">
        <v>4261704</v>
      </c>
      <c r="F1141" s="343" t="s">
        <v>4160</v>
      </c>
      <c r="G1141" s="360" t="s">
        <v>10508</v>
      </c>
      <c r="H1141" s="361">
        <v>42936</v>
      </c>
      <c r="I1141" s="343" t="s">
        <v>198</v>
      </c>
      <c r="J1141" s="343" t="s">
        <v>198</v>
      </c>
      <c r="K1141" s="343" t="s">
        <v>168</v>
      </c>
    </row>
    <row r="1142" spans="1:11" ht="26.25" customHeight="1">
      <c r="A1142" s="343" t="s">
        <v>1618</v>
      </c>
      <c r="B1142" s="344" t="s">
        <v>162</v>
      </c>
      <c r="C1142" s="344">
        <v>11089</v>
      </c>
      <c r="D1142" s="343" t="s">
        <v>3997</v>
      </c>
      <c r="E1142" s="344">
        <v>6694881</v>
      </c>
      <c r="F1142" s="343" t="s">
        <v>4003</v>
      </c>
      <c r="G1142" s="360" t="s">
        <v>10509</v>
      </c>
      <c r="H1142" s="361">
        <v>42947</v>
      </c>
      <c r="I1142" s="343" t="s">
        <v>193</v>
      </c>
      <c r="J1142" s="343" t="s">
        <v>194</v>
      </c>
      <c r="K1142" s="343" t="s">
        <v>168</v>
      </c>
    </row>
    <row r="1143" spans="1:11" ht="26.25" customHeight="1">
      <c r="A1143" s="343" t="s">
        <v>1618</v>
      </c>
      <c r="B1143" s="344" t="s">
        <v>162</v>
      </c>
      <c r="C1143" s="344">
        <v>8481</v>
      </c>
      <c r="D1143" s="343" t="s">
        <v>4214</v>
      </c>
      <c r="E1143" s="344">
        <v>5980051</v>
      </c>
      <c r="F1143" s="343" t="s">
        <v>4216</v>
      </c>
      <c r="G1143" s="360" t="s">
        <v>399</v>
      </c>
      <c r="H1143" s="361">
        <v>42954</v>
      </c>
      <c r="I1143" s="343" t="s">
        <v>211</v>
      </c>
      <c r="J1143" s="343" t="s">
        <v>211</v>
      </c>
      <c r="K1143" s="343" t="s">
        <v>168</v>
      </c>
    </row>
    <row r="1144" spans="1:11" ht="26.25" customHeight="1">
      <c r="A1144" s="343" t="s">
        <v>1618</v>
      </c>
      <c r="B1144" s="344" t="s">
        <v>162</v>
      </c>
      <c r="C1144" s="344">
        <v>9834</v>
      </c>
      <c r="D1144" s="343" t="s">
        <v>4004</v>
      </c>
      <c r="E1144" s="344">
        <v>6598828</v>
      </c>
      <c r="F1144" s="343" t="s">
        <v>4005</v>
      </c>
      <c r="G1144" s="360" t="s">
        <v>10510</v>
      </c>
      <c r="H1144" s="361">
        <v>42954</v>
      </c>
      <c r="I1144" s="343" t="s">
        <v>166</v>
      </c>
      <c r="J1144" s="343" t="s">
        <v>327</v>
      </c>
      <c r="K1144" s="343" t="s">
        <v>168</v>
      </c>
    </row>
    <row r="1145" spans="1:11" ht="26.25" customHeight="1">
      <c r="A1145" s="343" t="s">
        <v>1618</v>
      </c>
      <c r="B1145" s="344" t="s">
        <v>162</v>
      </c>
      <c r="C1145" s="344">
        <v>6656</v>
      </c>
      <c r="D1145" s="343" t="s">
        <v>4226</v>
      </c>
      <c r="E1145" s="344">
        <v>5960168</v>
      </c>
      <c r="F1145" s="343" t="s">
        <v>4227</v>
      </c>
      <c r="G1145" s="360" t="s">
        <v>10511</v>
      </c>
      <c r="H1145" s="361">
        <v>42957</v>
      </c>
      <c r="I1145" s="343" t="s">
        <v>301</v>
      </c>
      <c r="J1145" s="343" t="s">
        <v>1113</v>
      </c>
      <c r="K1145" s="343" t="s">
        <v>168</v>
      </c>
    </row>
    <row r="1146" spans="1:11" ht="26.25" customHeight="1">
      <c r="A1146" s="343" t="s">
        <v>1618</v>
      </c>
      <c r="B1146" s="344" t="s">
        <v>162</v>
      </c>
      <c r="C1146" s="344">
        <v>9639</v>
      </c>
      <c r="D1146" s="343" t="s">
        <v>3937</v>
      </c>
      <c r="E1146" s="344">
        <v>6713547</v>
      </c>
      <c r="F1146" s="343" t="s">
        <v>7085</v>
      </c>
      <c r="G1146" s="360" t="s">
        <v>9675</v>
      </c>
      <c r="H1146" s="361">
        <v>42968</v>
      </c>
      <c r="I1146" s="343" t="s">
        <v>271</v>
      </c>
      <c r="J1146" s="343" t="s">
        <v>533</v>
      </c>
      <c r="K1146" s="343" t="s">
        <v>168</v>
      </c>
    </row>
    <row r="1147" spans="1:11" ht="26.25" customHeight="1">
      <c r="A1147" s="343" t="s">
        <v>1618</v>
      </c>
      <c r="B1147" s="344" t="s">
        <v>162</v>
      </c>
      <c r="C1147" s="344">
        <v>6989</v>
      </c>
      <c r="D1147" s="343" t="s">
        <v>4149</v>
      </c>
      <c r="E1147" s="344">
        <v>5013389</v>
      </c>
      <c r="F1147" s="343" t="s">
        <v>7075</v>
      </c>
      <c r="G1147" s="360" t="s">
        <v>10512</v>
      </c>
      <c r="H1147" s="361">
        <v>42968</v>
      </c>
      <c r="I1147" s="343" t="s">
        <v>275</v>
      </c>
      <c r="J1147" s="343" t="s">
        <v>9635</v>
      </c>
      <c r="K1147" s="343" t="s">
        <v>168</v>
      </c>
    </row>
    <row r="1148" spans="1:11" ht="26.25" customHeight="1">
      <c r="A1148" s="343" t="s">
        <v>1618</v>
      </c>
      <c r="B1148" s="344" t="s">
        <v>162</v>
      </c>
      <c r="C1148" s="344">
        <v>9899</v>
      </c>
      <c r="D1148" s="343" t="s">
        <v>3918</v>
      </c>
      <c r="E1148" s="344">
        <v>6734649</v>
      </c>
      <c r="F1148" s="343" t="s">
        <v>3921</v>
      </c>
      <c r="G1148" s="360" t="s">
        <v>10513</v>
      </c>
      <c r="H1148" s="361">
        <v>42968</v>
      </c>
      <c r="I1148" s="343" t="s">
        <v>4006</v>
      </c>
      <c r="J1148" s="343" t="s">
        <v>10514</v>
      </c>
      <c r="K1148" s="343" t="s">
        <v>168</v>
      </c>
    </row>
    <row r="1149" spans="1:11" ht="26.25" customHeight="1">
      <c r="A1149" s="343" t="s">
        <v>1618</v>
      </c>
      <c r="B1149" s="344" t="s">
        <v>162</v>
      </c>
      <c r="C1149" s="344">
        <v>6989</v>
      </c>
      <c r="D1149" s="343" t="s">
        <v>4149</v>
      </c>
      <c r="E1149" s="344">
        <v>5778638</v>
      </c>
      <c r="F1149" s="343" t="s">
        <v>4247</v>
      </c>
      <c r="G1149" s="360" t="s">
        <v>10515</v>
      </c>
      <c r="H1149" s="361">
        <v>42968</v>
      </c>
      <c r="I1149" s="343" t="s">
        <v>7241</v>
      </c>
      <c r="J1149" s="343" t="s">
        <v>10516</v>
      </c>
      <c r="K1149" s="343" t="s">
        <v>168</v>
      </c>
    </row>
    <row r="1150" spans="1:11" ht="26.25" customHeight="1">
      <c r="A1150" s="343" t="s">
        <v>1618</v>
      </c>
      <c r="B1150" s="344" t="s">
        <v>162</v>
      </c>
      <c r="C1150" s="344">
        <v>9373</v>
      </c>
      <c r="D1150" s="343" t="s">
        <v>4081</v>
      </c>
      <c r="E1150" s="344">
        <v>4786723</v>
      </c>
      <c r="F1150" s="343" t="s">
        <v>7082</v>
      </c>
      <c r="G1150" s="360" t="s">
        <v>10517</v>
      </c>
      <c r="H1150" s="361">
        <v>42958</v>
      </c>
      <c r="I1150" s="343" t="s">
        <v>198</v>
      </c>
      <c r="J1150" s="343" t="s">
        <v>198</v>
      </c>
      <c r="K1150" s="343" t="s">
        <v>168</v>
      </c>
    </row>
    <row r="1151" spans="1:11" ht="26.25" customHeight="1">
      <c r="A1151" s="343" t="s">
        <v>1618</v>
      </c>
      <c r="B1151" s="344" t="s">
        <v>162</v>
      </c>
      <c r="C1151" s="344">
        <v>9899</v>
      </c>
      <c r="D1151" s="343" t="s">
        <v>3918</v>
      </c>
      <c r="E1151" s="344">
        <v>6509408</v>
      </c>
      <c r="F1151" s="343" t="s">
        <v>7087</v>
      </c>
      <c r="G1151" s="360" t="s">
        <v>10518</v>
      </c>
      <c r="H1151" s="361">
        <v>42972</v>
      </c>
      <c r="I1151" s="343" t="s">
        <v>271</v>
      </c>
      <c r="J1151" s="343" t="s">
        <v>533</v>
      </c>
      <c r="K1151" s="343" t="s">
        <v>168</v>
      </c>
    </row>
    <row r="1152" spans="1:11" ht="26.25" customHeight="1">
      <c r="A1152" s="343" t="s">
        <v>1618</v>
      </c>
      <c r="B1152" s="344" t="s">
        <v>162</v>
      </c>
      <c r="C1152" s="344">
        <v>9593</v>
      </c>
      <c r="D1152" s="343" t="s">
        <v>3984</v>
      </c>
      <c r="E1152" s="344">
        <v>6841945</v>
      </c>
      <c r="F1152" s="343" t="s">
        <v>7083</v>
      </c>
      <c r="G1152" s="360" t="s">
        <v>9724</v>
      </c>
      <c r="H1152" s="361">
        <v>42972</v>
      </c>
      <c r="I1152" s="343" t="s">
        <v>3629</v>
      </c>
      <c r="J1152" s="343" t="s">
        <v>10519</v>
      </c>
      <c r="K1152" s="343" t="s">
        <v>168</v>
      </c>
    </row>
    <row r="1153" spans="1:11" ht="26.25" customHeight="1">
      <c r="A1153" s="343" t="s">
        <v>1618</v>
      </c>
      <c r="B1153" s="344" t="s">
        <v>162</v>
      </c>
      <c r="C1153" s="344">
        <v>7491</v>
      </c>
      <c r="D1153" s="343" t="s">
        <v>3986</v>
      </c>
      <c r="E1153" s="344">
        <v>6827551</v>
      </c>
      <c r="F1153" s="343" t="s">
        <v>7077</v>
      </c>
      <c r="G1153" s="360" t="s">
        <v>10520</v>
      </c>
      <c r="H1153" s="361">
        <v>42972</v>
      </c>
      <c r="I1153" s="343" t="s">
        <v>284</v>
      </c>
      <c r="J1153" s="343" t="s">
        <v>10521</v>
      </c>
      <c r="K1153" s="343" t="s">
        <v>168</v>
      </c>
    </row>
    <row r="1154" spans="1:11" ht="26.25" customHeight="1">
      <c r="A1154" s="343" t="s">
        <v>1618</v>
      </c>
      <c r="B1154" s="344" t="s">
        <v>162</v>
      </c>
      <c r="C1154" s="344">
        <v>7487</v>
      </c>
      <c r="D1154" s="343" t="s">
        <v>3945</v>
      </c>
      <c r="E1154" s="344">
        <v>5909722</v>
      </c>
      <c r="F1154" s="343" t="s">
        <v>7076</v>
      </c>
      <c r="G1154" s="360" t="s">
        <v>10522</v>
      </c>
      <c r="H1154" s="361">
        <v>42975</v>
      </c>
      <c r="I1154" s="343" t="s">
        <v>366</v>
      </c>
      <c r="J1154" s="343" t="s">
        <v>10523</v>
      </c>
      <c r="K1154" s="343" t="s">
        <v>168</v>
      </c>
    </row>
    <row r="1155" spans="1:11" ht="26.25" customHeight="1">
      <c r="A1155" s="343" t="s">
        <v>1618</v>
      </c>
      <c r="B1155" s="344" t="s">
        <v>162</v>
      </c>
      <c r="C1155" s="344">
        <v>6649</v>
      </c>
      <c r="D1155" s="343" t="s">
        <v>4230</v>
      </c>
      <c r="E1155" s="344">
        <v>5716264</v>
      </c>
      <c r="F1155" s="343" t="s">
        <v>7070</v>
      </c>
      <c r="G1155" s="360" t="s">
        <v>10524</v>
      </c>
      <c r="H1155" s="361">
        <v>42978</v>
      </c>
      <c r="I1155" s="343" t="s">
        <v>198</v>
      </c>
      <c r="J1155" s="343" t="s">
        <v>198</v>
      </c>
      <c r="K1155" s="343" t="s">
        <v>168</v>
      </c>
    </row>
    <row r="1156" spans="1:11" ht="26.25" customHeight="1">
      <c r="A1156" s="343" t="s">
        <v>1618</v>
      </c>
      <c r="B1156" s="344" t="s">
        <v>162</v>
      </c>
      <c r="C1156" s="344">
        <v>11090</v>
      </c>
      <c r="D1156" s="343" t="s">
        <v>4009</v>
      </c>
      <c r="E1156" s="344">
        <v>5092048</v>
      </c>
      <c r="F1156" s="343" t="s">
        <v>4013</v>
      </c>
      <c r="G1156" s="360" t="s">
        <v>1141</v>
      </c>
      <c r="H1156" s="361">
        <v>42979</v>
      </c>
      <c r="I1156" s="343" t="s">
        <v>7243</v>
      </c>
      <c r="J1156" s="343" t="s">
        <v>10525</v>
      </c>
      <c r="K1156" s="343" t="s">
        <v>168</v>
      </c>
    </row>
    <row r="1157" spans="1:11" ht="26.25" customHeight="1">
      <c r="A1157" s="343" t="s">
        <v>1618</v>
      </c>
      <c r="B1157" s="344" t="s">
        <v>162</v>
      </c>
      <c r="C1157" s="344">
        <v>7495</v>
      </c>
      <c r="D1157" s="343" t="s">
        <v>3941</v>
      </c>
      <c r="E1157" s="344">
        <v>6674730</v>
      </c>
      <c r="F1157" s="343" t="s">
        <v>7080</v>
      </c>
      <c r="G1157" s="360" t="s">
        <v>10526</v>
      </c>
      <c r="H1157" s="361">
        <v>42979</v>
      </c>
      <c r="I1157" s="343" t="s">
        <v>166</v>
      </c>
      <c r="J1157" s="343" t="s">
        <v>327</v>
      </c>
      <c r="K1157" s="343" t="s">
        <v>168</v>
      </c>
    </row>
    <row r="1158" spans="1:11" ht="26.25" customHeight="1">
      <c r="A1158" s="343" t="s">
        <v>1618</v>
      </c>
      <c r="B1158" s="344" t="s">
        <v>162</v>
      </c>
      <c r="C1158" s="344">
        <v>9623</v>
      </c>
      <c r="D1158" s="343" t="s">
        <v>3972</v>
      </c>
      <c r="E1158" s="344">
        <v>6499005</v>
      </c>
      <c r="F1158" s="343" t="s">
        <v>7084</v>
      </c>
      <c r="G1158" s="360" t="s">
        <v>10527</v>
      </c>
      <c r="H1158" s="361">
        <v>42979</v>
      </c>
      <c r="I1158" s="343" t="s">
        <v>423</v>
      </c>
      <c r="J1158" s="343" t="s">
        <v>10528</v>
      </c>
      <c r="K1158" s="343" t="s">
        <v>168</v>
      </c>
    </row>
    <row r="1159" spans="1:11" ht="26.25" customHeight="1">
      <c r="A1159" s="343" t="s">
        <v>1618</v>
      </c>
      <c r="B1159" s="344" t="s">
        <v>162</v>
      </c>
      <c r="C1159" s="344">
        <v>9906</v>
      </c>
      <c r="D1159" s="343" t="s">
        <v>4015</v>
      </c>
      <c r="E1159" s="344">
        <v>5670366</v>
      </c>
      <c r="F1159" s="343" t="s">
        <v>7089</v>
      </c>
      <c r="G1159" s="360" t="s">
        <v>10529</v>
      </c>
      <c r="H1159" s="361">
        <v>42979</v>
      </c>
      <c r="I1159" s="343" t="s">
        <v>211</v>
      </c>
      <c r="J1159" s="343" t="s">
        <v>909</v>
      </c>
      <c r="K1159" s="343" t="s">
        <v>168</v>
      </c>
    </row>
    <row r="1160" spans="1:11" ht="26.25" customHeight="1">
      <c r="A1160" s="343" t="s">
        <v>1618</v>
      </c>
      <c r="B1160" s="344" t="s">
        <v>162</v>
      </c>
      <c r="C1160" s="344">
        <v>6640</v>
      </c>
      <c r="D1160" s="343" t="s">
        <v>4294</v>
      </c>
      <c r="E1160" s="344">
        <v>5717165</v>
      </c>
      <c r="F1160" s="343" t="s">
        <v>7069</v>
      </c>
      <c r="G1160" s="360" t="s">
        <v>10041</v>
      </c>
      <c r="H1160" s="361">
        <v>42979</v>
      </c>
      <c r="I1160" s="343" t="s">
        <v>366</v>
      </c>
      <c r="J1160" s="343" t="s">
        <v>366</v>
      </c>
      <c r="K1160" s="343" t="s">
        <v>168</v>
      </c>
    </row>
    <row r="1161" spans="1:11" ht="26.25" customHeight="1">
      <c r="A1161" s="343" t="s">
        <v>1618</v>
      </c>
      <c r="B1161" s="344" t="s">
        <v>162</v>
      </c>
      <c r="C1161" s="344">
        <v>8837</v>
      </c>
      <c r="D1161" s="343" t="s">
        <v>4162</v>
      </c>
      <c r="E1161" s="344">
        <v>4922416</v>
      </c>
      <c r="F1161" s="343" t="s">
        <v>7081</v>
      </c>
      <c r="G1161" s="360" t="s">
        <v>10530</v>
      </c>
      <c r="H1161" s="361">
        <v>42982</v>
      </c>
      <c r="I1161" s="343" t="s">
        <v>193</v>
      </c>
      <c r="J1161" s="343" t="s">
        <v>1089</v>
      </c>
      <c r="K1161" s="343" t="s">
        <v>168</v>
      </c>
    </row>
    <row r="1162" spans="1:11" ht="26.25" customHeight="1">
      <c r="A1162" s="343" t="s">
        <v>1618</v>
      </c>
      <c r="B1162" s="344" t="s">
        <v>162</v>
      </c>
      <c r="C1162" s="344">
        <v>7495</v>
      </c>
      <c r="D1162" s="343" t="s">
        <v>3941</v>
      </c>
      <c r="E1162" s="344">
        <v>6149274</v>
      </c>
      <c r="F1162" s="343" t="s">
        <v>3944</v>
      </c>
      <c r="G1162" s="360" t="s">
        <v>361</v>
      </c>
      <c r="H1162" s="361">
        <v>42989</v>
      </c>
      <c r="I1162" s="343" t="s">
        <v>193</v>
      </c>
      <c r="J1162" s="343" t="s">
        <v>9650</v>
      </c>
      <c r="K1162" s="343" t="s">
        <v>168</v>
      </c>
    </row>
    <row r="1163" spans="1:11" ht="26.25" customHeight="1">
      <c r="A1163" s="343" t="s">
        <v>1618</v>
      </c>
      <c r="B1163" s="344" t="s">
        <v>162</v>
      </c>
      <c r="C1163" s="344">
        <v>13297</v>
      </c>
      <c r="D1163" s="343" t="s">
        <v>4249</v>
      </c>
      <c r="E1163" s="344">
        <v>5621590</v>
      </c>
      <c r="F1163" s="343" t="s">
        <v>7091</v>
      </c>
      <c r="G1163" s="360" t="s">
        <v>10531</v>
      </c>
      <c r="H1163" s="361">
        <v>42992</v>
      </c>
      <c r="I1163" s="343" t="s">
        <v>366</v>
      </c>
      <c r="J1163" s="343" t="s">
        <v>366</v>
      </c>
      <c r="K1163" s="343" t="s">
        <v>168</v>
      </c>
    </row>
    <row r="1164" spans="1:11" ht="26.25" customHeight="1">
      <c r="A1164" s="343" t="s">
        <v>1618</v>
      </c>
      <c r="B1164" s="344" t="s">
        <v>162</v>
      </c>
      <c r="C1164" s="344">
        <v>9660</v>
      </c>
      <c r="D1164" s="343" t="s">
        <v>4270</v>
      </c>
      <c r="E1164" s="344">
        <v>6109408</v>
      </c>
      <c r="F1164" s="343" t="s">
        <v>7086</v>
      </c>
      <c r="G1164" s="360" t="s">
        <v>10532</v>
      </c>
      <c r="H1164" s="361">
        <v>42992</v>
      </c>
      <c r="I1164" s="343" t="s">
        <v>3606</v>
      </c>
      <c r="J1164" s="343" t="s">
        <v>3606</v>
      </c>
      <c r="K1164" s="343" t="s">
        <v>168</v>
      </c>
    </row>
    <row r="1165" spans="1:11" ht="26.25" customHeight="1">
      <c r="A1165" s="343" t="s">
        <v>1618</v>
      </c>
      <c r="B1165" s="344" t="s">
        <v>162</v>
      </c>
      <c r="C1165" s="344">
        <v>12073</v>
      </c>
      <c r="D1165" s="343" t="s">
        <v>4094</v>
      </c>
      <c r="E1165" s="344">
        <v>5203267</v>
      </c>
      <c r="F1165" s="343" t="s">
        <v>7090</v>
      </c>
      <c r="G1165" s="360" t="s">
        <v>10533</v>
      </c>
      <c r="H1165" s="361">
        <v>42992</v>
      </c>
      <c r="I1165" s="343" t="s">
        <v>198</v>
      </c>
      <c r="J1165" s="343" t="s">
        <v>198</v>
      </c>
      <c r="K1165" s="343" t="s">
        <v>168</v>
      </c>
    </row>
    <row r="1166" spans="1:11" ht="26.25" customHeight="1">
      <c r="A1166" s="343" t="s">
        <v>1618</v>
      </c>
      <c r="B1166" s="344" t="s">
        <v>162</v>
      </c>
      <c r="C1166" s="344">
        <v>11088</v>
      </c>
      <c r="D1166" s="343" t="s">
        <v>4041</v>
      </c>
      <c r="E1166" s="344">
        <v>5908476</v>
      </c>
      <c r="F1166" s="343" t="s">
        <v>4235</v>
      </c>
      <c r="G1166" s="360" t="s">
        <v>10534</v>
      </c>
      <c r="H1166" s="361">
        <v>42999</v>
      </c>
      <c r="I1166" s="343" t="s">
        <v>180</v>
      </c>
      <c r="J1166" s="343" t="s">
        <v>10535</v>
      </c>
      <c r="K1166" s="343" t="s">
        <v>173</v>
      </c>
    </row>
    <row r="1167" spans="1:11" ht="26.25" customHeight="1">
      <c r="A1167" s="343" t="s">
        <v>1618</v>
      </c>
      <c r="B1167" s="344" t="s">
        <v>162</v>
      </c>
      <c r="C1167" s="344">
        <v>7492</v>
      </c>
      <c r="D1167" s="343" t="s">
        <v>3990</v>
      </c>
      <c r="E1167" s="344">
        <v>6474090</v>
      </c>
      <c r="F1167" s="343" t="s">
        <v>7079</v>
      </c>
      <c r="G1167" s="360" t="s">
        <v>10324</v>
      </c>
      <c r="H1167" s="361">
        <v>42999</v>
      </c>
      <c r="I1167" s="343" t="s">
        <v>166</v>
      </c>
      <c r="J1167" s="343" t="s">
        <v>10536</v>
      </c>
      <c r="K1167" s="343" t="s">
        <v>168</v>
      </c>
    </row>
    <row r="1168" spans="1:11" ht="26.25" customHeight="1">
      <c r="A1168" s="343" t="s">
        <v>1618</v>
      </c>
      <c r="B1168" s="344" t="s">
        <v>162</v>
      </c>
      <c r="C1168" s="344">
        <v>6987</v>
      </c>
      <c r="D1168" s="343" t="s">
        <v>4064</v>
      </c>
      <c r="E1168" s="344">
        <v>6269504</v>
      </c>
      <c r="F1168" s="343" t="s">
        <v>7073</v>
      </c>
      <c r="G1168" s="360" t="s">
        <v>10537</v>
      </c>
      <c r="H1168" s="361">
        <v>42999</v>
      </c>
      <c r="I1168" s="343" t="s">
        <v>180</v>
      </c>
      <c r="J1168" s="343" t="s">
        <v>10538</v>
      </c>
      <c r="K1168" s="343" t="s">
        <v>168</v>
      </c>
    </row>
    <row r="1169" spans="1:11" ht="26.25" customHeight="1">
      <c r="A1169" s="343" t="s">
        <v>1618</v>
      </c>
      <c r="B1169" s="344" t="s">
        <v>162</v>
      </c>
      <c r="C1169" s="344">
        <v>6989</v>
      </c>
      <c r="D1169" s="343" t="s">
        <v>4149</v>
      </c>
      <c r="E1169" s="344">
        <v>5248904</v>
      </c>
      <c r="F1169" s="343" t="s">
        <v>4248</v>
      </c>
      <c r="G1169" s="360" t="s">
        <v>9688</v>
      </c>
      <c r="H1169" s="361">
        <v>42999</v>
      </c>
      <c r="I1169" s="343" t="s">
        <v>7242</v>
      </c>
      <c r="J1169" s="343" t="s">
        <v>10539</v>
      </c>
      <c r="K1169" s="343" t="s">
        <v>168</v>
      </c>
    </row>
    <row r="1170" spans="1:11" ht="26.25" customHeight="1">
      <c r="A1170" s="343" t="s">
        <v>1618</v>
      </c>
      <c r="B1170" s="344" t="s">
        <v>162</v>
      </c>
      <c r="C1170" s="344">
        <v>6988</v>
      </c>
      <c r="D1170" s="343" t="s">
        <v>4182</v>
      </c>
      <c r="E1170" s="344">
        <v>5793254</v>
      </c>
      <c r="F1170" s="343" t="s">
        <v>7074</v>
      </c>
      <c r="G1170" s="360" t="s">
        <v>10540</v>
      </c>
      <c r="H1170" s="361">
        <v>43007</v>
      </c>
      <c r="I1170" s="343" t="s">
        <v>709</v>
      </c>
      <c r="J1170" s="343" t="s">
        <v>10541</v>
      </c>
      <c r="K1170" s="343" t="s">
        <v>168</v>
      </c>
    </row>
    <row r="1171" spans="1:11" ht="26.25" customHeight="1">
      <c r="A1171" s="343" t="s">
        <v>1618</v>
      </c>
      <c r="B1171" s="344" t="s">
        <v>162</v>
      </c>
      <c r="C1171" s="344">
        <v>8999</v>
      </c>
      <c r="D1171" s="343" t="s">
        <v>4278</v>
      </c>
      <c r="E1171" s="344">
        <v>6098714</v>
      </c>
      <c r="F1171" s="343" t="s">
        <v>4279</v>
      </c>
      <c r="G1171" s="360" t="s">
        <v>1277</v>
      </c>
      <c r="H1171" s="361">
        <v>43007</v>
      </c>
      <c r="I1171" s="343" t="s">
        <v>5790</v>
      </c>
      <c r="J1171" s="343" t="s">
        <v>10542</v>
      </c>
      <c r="K1171" s="343" t="s">
        <v>248</v>
      </c>
    </row>
    <row r="1172" spans="1:11" ht="26.25" customHeight="1">
      <c r="A1172" s="343" t="s">
        <v>1618</v>
      </c>
      <c r="B1172" s="344" t="s">
        <v>162</v>
      </c>
      <c r="C1172" s="344">
        <v>9899</v>
      </c>
      <c r="D1172" s="343" t="s">
        <v>3918</v>
      </c>
      <c r="E1172" s="344">
        <v>6653141</v>
      </c>
      <c r="F1172" s="343" t="s">
        <v>7298</v>
      </c>
      <c r="G1172" s="360" t="s">
        <v>10543</v>
      </c>
      <c r="H1172" s="361">
        <v>43026</v>
      </c>
      <c r="I1172" s="343" t="s">
        <v>166</v>
      </c>
      <c r="J1172" s="343" t="s">
        <v>10203</v>
      </c>
      <c r="K1172" s="343" t="s">
        <v>168</v>
      </c>
    </row>
    <row r="1173" spans="1:11" ht="26.25" customHeight="1">
      <c r="A1173" s="343" t="s">
        <v>1618</v>
      </c>
      <c r="B1173" s="344" t="s">
        <v>162</v>
      </c>
      <c r="C1173" s="344">
        <v>6642</v>
      </c>
      <c r="D1173" s="343" t="s">
        <v>4300</v>
      </c>
      <c r="E1173" s="344">
        <v>6347380</v>
      </c>
      <c r="F1173" s="343" t="s">
        <v>7289</v>
      </c>
      <c r="G1173" s="360" t="s">
        <v>1329</v>
      </c>
      <c r="H1173" s="361">
        <v>43026</v>
      </c>
      <c r="I1173" s="343" t="s">
        <v>366</v>
      </c>
      <c r="J1173" s="343" t="s">
        <v>366</v>
      </c>
      <c r="K1173" s="343" t="s">
        <v>168</v>
      </c>
    </row>
    <row r="1174" spans="1:11" ht="26.25" customHeight="1">
      <c r="A1174" s="343" t="s">
        <v>1618</v>
      </c>
      <c r="B1174" s="344" t="s">
        <v>162</v>
      </c>
      <c r="C1174" s="344">
        <v>6989</v>
      </c>
      <c r="D1174" s="343" t="s">
        <v>4149</v>
      </c>
      <c r="E1174" s="344">
        <v>4761971</v>
      </c>
      <c r="F1174" s="343" t="s">
        <v>7290</v>
      </c>
      <c r="G1174" s="360" t="s">
        <v>10544</v>
      </c>
      <c r="H1174" s="361">
        <v>43026</v>
      </c>
      <c r="I1174" s="343" t="s">
        <v>3583</v>
      </c>
      <c r="J1174" s="343" t="s">
        <v>9390</v>
      </c>
      <c r="K1174" s="343" t="s">
        <v>168</v>
      </c>
    </row>
    <row r="1175" spans="1:11" ht="26.25" customHeight="1">
      <c r="A1175" s="343" t="s">
        <v>1618</v>
      </c>
      <c r="B1175" s="344" t="s">
        <v>162</v>
      </c>
      <c r="C1175" s="344">
        <v>7465</v>
      </c>
      <c r="D1175" s="343" t="s">
        <v>3962</v>
      </c>
      <c r="E1175" s="344">
        <v>6240595</v>
      </c>
      <c r="F1175" s="343" t="s">
        <v>7291</v>
      </c>
      <c r="G1175" s="360" t="s">
        <v>9626</v>
      </c>
      <c r="H1175" s="361">
        <v>43026</v>
      </c>
      <c r="I1175" s="343" t="s">
        <v>193</v>
      </c>
      <c r="J1175" s="343" t="s">
        <v>637</v>
      </c>
      <c r="K1175" s="343" t="s">
        <v>168</v>
      </c>
    </row>
    <row r="1176" spans="1:11" ht="26.25" customHeight="1">
      <c r="A1176" s="343" t="s">
        <v>1618</v>
      </c>
      <c r="B1176" s="344" t="s">
        <v>162</v>
      </c>
      <c r="C1176" s="344">
        <v>9660</v>
      </c>
      <c r="D1176" s="343" t="s">
        <v>4270</v>
      </c>
      <c r="E1176" s="344">
        <v>6896605</v>
      </c>
      <c r="F1176" s="343" t="s">
        <v>7295</v>
      </c>
      <c r="G1176" s="360" t="s">
        <v>203</v>
      </c>
      <c r="H1176" s="361">
        <v>43055</v>
      </c>
      <c r="I1176" s="343" t="s">
        <v>180</v>
      </c>
      <c r="J1176" s="343" t="s">
        <v>10545</v>
      </c>
      <c r="K1176" s="343" t="s">
        <v>168</v>
      </c>
    </row>
    <row r="1177" spans="1:11" ht="26.25" customHeight="1">
      <c r="A1177" s="343" t="s">
        <v>1618</v>
      </c>
      <c r="B1177" s="344" t="s">
        <v>162</v>
      </c>
      <c r="C1177" s="344">
        <v>8691</v>
      </c>
      <c r="D1177" s="343" t="s">
        <v>4254</v>
      </c>
      <c r="E1177" s="344">
        <v>5948097</v>
      </c>
      <c r="F1177" s="343" t="s">
        <v>7293</v>
      </c>
      <c r="G1177" s="360" t="s">
        <v>10442</v>
      </c>
      <c r="H1177" s="361">
        <v>43055</v>
      </c>
      <c r="I1177" s="343" t="s">
        <v>198</v>
      </c>
      <c r="J1177" s="343" t="s">
        <v>198</v>
      </c>
      <c r="K1177" s="343" t="s">
        <v>168</v>
      </c>
    </row>
    <row r="1178" spans="1:11" ht="26.25" customHeight="1">
      <c r="A1178" s="343" t="s">
        <v>1618</v>
      </c>
      <c r="B1178" s="344" t="s">
        <v>162</v>
      </c>
      <c r="C1178" s="344">
        <v>12327</v>
      </c>
      <c r="D1178" s="343" t="s">
        <v>4053</v>
      </c>
      <c r="E1178" s="344">
        <v>4701106</v>
      </c>
      <c r="F1178" s="343" t="s">
        <v>7300</v>
      </c>
      <c r="G1178" s="360" t="s">
        <v>10546</v>
      </c>
      <c r="H1178" s="361">
        <v>43055</v>
      </c>
      <c r="I1178" s="343" t="s">
        <v>5458</v>
      </c>
      <c r="J1178" s="343" t="s">
        <v>10547</v>
      </c>
      <c r="K1178" s="343" t="s">
        <v>168</v>
      </c>
    </row>
    <row r="1179" spans="1:11" ht="26.25" customHeight="1">
      <c r="A1179" s="343" t="s">
        <v>1618</v>
      </c>
      <c r="B1179" s="344" t="s">
        <v>162</v>
      </c>
      <c r="C1179" s="344">
        <v>6660</v>
      </c>
      <c r="D1179" s="343" t="s">
        <v>4246</v>
      </c>
      <c r="E1179" s="344">
        <v>5835306</v>
      </c>
      <c r="F1179" s="343" t="s">
        <v>5200</v>
      </c>
      <c r="G1179" s="360" t="s">
        <v>10106</v>
      </c>
      <c r="H1179" s="361">
        <v>43055</v>
      </c>
      <c r="I1179" s="343" t="s">
        <v>193</v>
      </c>
      <c r="J1179" s="343" t="s">
        <v>194</v>
      </c>
      <c r="K1179" s="343" t="s">
        <v>168</v>
      </c>
    </row>
    <row r="1180" spans="1:11" ht="26.25" customHeight="1">
      <c r="A1180" s="343" t="s">
        <v>1618</v>
      </c>
      <c r="B1180" s="344" t="s">
        <v>162</v>
      </c>
      <c r="C1180" s="344">
        <v>9906</v>
      </c>
      <c r="D1180" s="343" t="s">
        <v>4015</v>
      </c>
      <c r="E1180" s="344">
        <v>5293026</v>
      </c>
      <c r="F1180" s="343" t="s">
        <v>7299</v>
      </c>
      <c r="G1180" s="360" t="s">
        <v>10548</v>
      </c>
      <c r="H1180" s="361">
        <v>43055</v>
      </c>
      <c r="I1180" s="343" t="s">
        <v>166</v>
      </c>
      <c r="J1180" s="343" t="s">
        <v>296</v>
      </c>
      <c r="K1180" s="343" t="s">
        <v>168</v>
      </c>
    </row>
    <row r="1181" spans="1:11" ht="26.25" customHeight="1">
      <c r="A1181" s="343" t="s">
        <v>1618</v>
      </c>
      <c r="B1181" s="344" t="s">
        <v>162</v>
      </c>
      <c r="C1181" s="344">
        <v>9669</v>
      </c>
      <c r="D1181" s="343" t="s">
        <v>4267</v>
      </c>
      <c r="E1181" s="344">
        <v>6953682</v>
      </c>
      <c r="F1181" s="343" t="s">
        <v>7296</v>
      </c>
      <c r="G1181" s="360" t="s">
        <v>489</v>
      </c>
      <c r="H1181" s="361">
        <v>43056</v>
      </c>
      <c r="I1181" s="343" t="s">
        <v>4410</v>
      </c>
      <c r="J1181" s="343" t="s">
        <v>10549</v>
      </c>
      <c r="K1181" s="343" t="s">
        <v>168</v>
      </c>
    </row>
    <row r="1182" spans="1:11" ht="26.25" customHeight="1">
      <c r="A1182" s="343" t="s">
        <v>1618</v>
      </c>
      <c r="B1182" s="344" t="s">
        <v>162</v>
      </c>
      <c r="C1182" s="344">
        <v>6655</v>
      </c>
      <c r="D1182" s="343" t="s">
        <v>4299</v>
      </c>
      <c r="E1182" s="344">
        <v>6719711</v>
      </c>
      <c r="F1182" s="343" t="s">
        <v>7409</v>
      </c>
      <c r="G1182" s="360" t="s">
        <v>10550</v>
      </c>
      <c r="H1182" s="361">
        <v>43061</v>
      </c>
      <c r="I1182" s="343" t="s">
        <v>271</v>
      </c>
      <c r="J1182" s="343" t="s">
        <v>10551</v>
      </c>
      <c r="K1182" s="343" t="s">
        <v>168</v>
      </c>
    </row>
    <row r="1183" spans="1:11" ht="26.25" customHeight="1">
      <c r="A1183" s="343" t="s">
        <v>1618</v>
      </c>
      <c r="B1183" s="344" t="s">
        <v>162</v>
      </c>
      <c r="C1183" s="344">
        <v>9593</v>
      </c>
      <c r="D1183" s="343" t="s">
        <v>3984</v>
      </c>
      <c r="E1183" s="344">
        <v>6162556</v>
      </c>
      <c r="F1183" s="343" t="s">
        <v>7412</v>
      </c>
      <c r="G1183" s="360" t="s">
        <v>10322</v>
      </c>
      <c r="H1183" s="361">
        <v>43061</v>
      </c>
      <c r="I1183" s="343" t="s">
        <v>301</v>
      </c>
      <c r="J1183" s="343" t="s">
        <v>1113</v>
      </c>
      <c r="K1183" s="343" t="s">
        <v>168</v>
      </c>
    </row>
    <row r="1184" spans="1:11" ht="26.25" customHeight="1">
      <c r="A1184" s="343" t="s">
        <v>1618</v>
      </c>
      <c r="B1184" s="344" t="s">
        <v>162</v>
      </c>
      <c r="C1184" s="344">
        <v>6995</v>
      </c>
      <c r="D1184" s="343" t="s">
        <v>7410</v>
      </c>
      <c r="E1184" s="344">
        <v>4916609</v>
      </c>
      <c r="F1184" s="343" t="s">
        <v>7411</v>
      </c>
      <c r="G1184" s="360" t="s">
        <v>10552</v>
      </c>
      <c r="H1184" s="361">
        <v>43074</v>
      </c>
      <c r="I1184" s="343" t="s">
        <v>211</v>
      </c>
      <c r="J1184" s="343" t="s">
        <v>211</v>
      </c>
      <c r="K1184" s="343" t="s">
        <v>168</v>
      </c>
    </row>
    <row r="1185" spans="1:11" ht="26.25" customHeight="1">
      <c r="A1185" s="343" t="s">
        <v>1618</v>
      </c>
      <c r="B1185" s="344" t="s">
        <v>162</v>
      </c>
      <c r="C1185" s="344">
        <v>6655</v>
      </c>
      <c r="D1185" s="343" t="s">
        <v>4299</v>
      </c>
      <c r="E1185" s="344">
        <v>6370528</v>
      </c>
      <c r="F1185" s="343" t="s">
        <v>5681</v>
      </c>
      <c r="G1185" s="360" t="s">
        <v>9642</v>
      </c>
      <c r="H1185" s="361">
        <v>43074</v>
      </c>
      <c r="I1185" s="343" t="s">
        <v>301</v>
      </c>
      <c r="J1185" s="343" t="s">
        <v>1113</v>
      </c>
      <c r="K1185" s="343" t="s">
        <v>168</v>
      </c>
    </row>
    <row r="1186" spans="1:11" ht="26.25" customHeight="1">
      <c r="A1186" s="343" t="s">
        <v>1618</v>
      </c>
      <c r="B1186" s="344" t="s">
        <v>162</v>
      </c>
      <c r="C1186" s="344">
        <v>12327</v>
      </c>
      <c r="D1186" s="343" t="s">
        <v>4053</v>
      </c>
      <c r="E1186" s="344">
        <v>4624205</v>
      </c>
      <c r="F1186" s="343" t="s">
        <v>7413</v>
      </c>
      <c r="G1186" s="360" t="s">
        <v>10553</v>
      </c>
      <c r="H1186" s="361">
        <v>43074</v>
      </c>
      <c r="I1186" s="343" t="s">
        <v>211</v>
      </c>
      <c r="J1186" s="343" t="s">
        <v>909</v>
      </c>
      <c r="K1186" s="343" t="s">
        <v>168</v>
      </c>
    </row>
    <row r="1187" spans="1:11" ht="26.25" customHeight="1">
      <c r="A1187" s="343" t="s">
        <v>1618</v>
      </c>
      <c r="B1187" s="344" t="s">
        <v>162</v>
      </c>
      <c r="C1187" s="344">
        <v>9042</v>
      </c>
      <c r="D1187" s="343" t="s">
        <v>4283</v>
      </c>
      <c r="E1187" s="344">
        <v>6306028</v>
      </c>
      <c r="F1187" s="343" t="s">
        <v>7531</v>
      </c>
      <c r="G1187" s="360" t="s">
        <v>10554</v>
      </c>
      <c r="H1187" s="361">
        <v>43132</v>
      </c>
      <c r="I1187" s="343" t="s">
        <v>7532</v>
      </c>
      <c r="J1187" s="343" t="s">
        <v>10555</v>
      </c>
      <c r="K1187" s="343" t="s">
        <v>168</v>
      </c>
    </row>
    <row r="1188" spans="1:11" ht="26.25" customHeight="1">
      <c r="A1188" s="343" t="s">
        <v>1618</v>
      </c>
      <c r="B1188" s="344" t="s">
        <v>162</v>
      </c>
      <c r="C1188" s="344">
        <v>9732</v>
      </c>
      <c r="D1188" s="343" t="s">
        <v>3958</v>
      </c>
      <c r="E1188" s="344">
        <v>6156903</v>
      </c>
      <c r="F1188" s="343" t="s">
        <v>7533</v>
      </c>
      <c r="G1188" s="360" t="s">
        <v>10556</v>
      </c>
      <c r="H1188" s="361">
        <v>43132</v>
      </c>
      <c r="I1188" s="343" t="s">
        <v>7534</v>
      </c>
      <c r="J1188" s="343" t="s">
        <v>10557</v>
      </c>
      <c r="K1188" s="343" t="s">
        <v>168</v>
      </c>
    </row>
    <row r="1189" spans="1:11" ht="26.25" customHeight="1">
      <c r="A1189" s="343" t="s">
        <v>1618</v>
      </c>
      <c r="B1189" s="344" t="s">
        <v>162</v>
      </c>
      <c r="C1189" s="344">
        <v>6626</v>
      </c>
      <c r="D1189" s="343" t="s">
        <v>4217</v>
      </c>
      <c r="E1189" s="344">
        <v>6330987</v>
      </c>
      <c r="F1189" s="343" t="s">
        <v>3957</v>
      </c>
      <c r="G1189" s="360" t="s">
        <v>10558</v>
      </c>
      <c r="H1189" s="361">
        <v>43145</v>
      </c>
      <c r="I1189" s="343" t="s">
        <v>580</v>
      </c>
      <c r="J1189" s="343" t="s">
        <v>10559</v>
      </c>
      <c r="K1189" s="343" t="s">
        <v>248</v>
      </c>
    </row>
    <row r="1190" spans="1:11" ht="26.25" customHeight="1">
      <c r="A1190" s="343" t="s">
        <v>1618</v>
      </c>
      <c r="B1190" s="344" t="s">
        <v>162</v>
      </c>
      <c r="C1190" s="344">
        <v>6974</v>
      </c>
      <c r="D1190" s="343" t="s">
        <v>4059</v>
      </c>
      <c r="E1190" s="344">
        <v>6091817</v>
      </c>
      <c r="F1190" s="343" t="s">
        <v>7536</v>
      </c>
      <c r="G1190" s="360" t="s">
        <v>10560</v>
      </c>
      <c r="H1190" s="361">
        <v>43145</v>
      </c>
      <c r="I1190" s="343" t="s">
        <v>193</v>
      </c>
      <c r="J1190" s="343" t="s">
        <v>509</v>
      </c>
      <c r="K1190" s="343" t="s">
        <v>168</v>
      </c>
    </row>
    <row r="1191" spans="1:11" ht="26.25" customHeight="1">
      <c r="A1191" s="343" t="s">
        <v>1618</v>
      </c>
      <c r="B1191" s="344" t="s">
        <v>162</v>
      </c>
      <c r="C1191" s="344">
        <v>7493</v>
      </c>
      <c r="D1191" s="343" t="s">
        <v>3968</v>
      </c>
      <c r="E1191" s="344">
        <v>6236218</v>
      </c>
      <c r="F1191" s="343" t="s">
        <v>3969</v>
      </c>
      <c r="G1191" s="360" t="s">
        <v>9711</v>
      </c>
      <c r="H1191" s="361">
        <v>43151</v>
      </c>
      <c r="I1191" s="343" t="s">
        <v>193</v>
      </c>
      <c r="J1191" s="343" t="s">
        <v>637</v>
      </c>
      <c r="K1191" s="343" t="s">
        <v>168</v>
      </c>
    </row>
    <row r="1192" spans="1:11" ht="26.25" customHeight="1">
      <c r="A1192" s="343" t="s">
        <v>1618</v>
      </c>
      <c r="B1192" s="344" t="s">
        <v>162</v>
      </c>
      <c r="C1192" s="344">
        <v>9899</v>
      </c>
      <c r="D1192" s="343" t="s">
        <v>3918</v>
      </c>
      <c r="E1192" s="344">
        <v>6578842</v>
      </c>
      <c r="F1192" s="343" t="s">
        <v>7760</v>
      </c>
      <c r="G1192" s="360" t="s">
        <v>9903</v>
      </c>
      <c r="H1192" s="361">
        <v>43151</v>
      </c>
      <c r="I1192" s="343" t="s">
        <v>305</v>
      </c>
      <c r="J1192" s="343" t="s">
        <v>10561</v>
      </c>
      <c r="K1192" s="343" t="s">
        <v>168</v>
      </c>
    </row>
    <row r="1193" spans="1:11" ht="26.25" customHeight="1">
      <c r="A1193" s="343" t="s">
        <v>1618</v>
      </c>
      <c r="B1193" s="344" t="s">
        <v>162</v>
      </c>
      <c r="C1193" s="344">
        <v>7496</v>
      </c>
      <c r="D1193" s="343" t="s">
        <v>3995</v>
      </c>
      <c r="E1193" s="344">
        <v>6710442</v>
      </c>
      <c r="F1193" s="343" t="s">
        <v>7761</v>
      </c>
      <c r="G1193" s="360" t="s">
        <v>10562</v>
      </c>
      <c r="H1193" s="361">
        <v>43151</v>
      </c>
      <c r="I1193" s="343" t="s">
        <v>802</v>
      </c>
      <c r="J1193" s="343" t="s">
        <v>10563</v>
      </c>
      <c r="K1193" s="343" t="s">
        <v>168</v>
      </c>
    </row>
    <row r="1194" spans="1:11" ht="26.25" customHeight="1">
      <c r="A1194" s="343" t="s">
        <v>1618</v>
      </c>
      <c r="B1194" s="344" t="s">
        <v>162</v>
      </c>
      <c r="C1194" s="344">
        <v>7493</v>
      </c>
      <c r="D1194" s="343" t="s">
        <v>3968</v>
      </c>
      <c r="E1194" s="344">
        <v>6167955</v>
      </c>
      <c r="F1194" s="343" t="s">
        <v>7764</v>
      </c>
      <c r="G1194" s="360" t="s">
        <v>9703</v>
      </c>
      <c r="H1194" s="361">
        <v>43151</v>
      </c>
      <c r="I1194" s="343" t="s">
        <v>193</v>
      </c>
      <c r="J1194" s="343" t="s">
        <v>637</v>
      </c>
      <c r="K1194" s="343" t="s">
        <v>168</v>
      </c>
    </row>
    <row r="1195" spans="1:11" ht="26.25" customHeight="1">
      <c r="A1195" s="343" t="s">
        <v>1618</v>
      </c>
      <c r="B1195" s="344" t="s">
        <v>162</v>
      </c>
      <c r="C1195" s="344">
        <v>12633</v>
      </c>
      <c r="D1195" s="343" t="s">
        <v>4101</v>
      </c>
      <c r="E1195" s="344">
        <v>5054406</v>
      </c>
      <c r="F1195" s="343" t="s">
        <v>7766</v>
      </c>
      <c r="G1195" s="360" t="s">
        <v>10564</v>
      </c>
      <c r="H1195" s="361">
        <v>43151</v>
      </c>
      <c r="I1195" s="343" t="s">
        <v>301</v>
      </c>
      <c r="J1195" s="343" t="s">
        <v>530</v>
      </c>
      <c r="K1195" s="343" t="s">
        <v>168</v>
      </c>
    </row>
    <row r="1196" spans="1:11" ht="26.25" customHeight="1">
      <c r="A1196" s="343" t="s">
        <v>1618</v>
      </c>
      <c r="B1196" s="344" t="s">
        <v>162</v>
      </c>
      <c r="C1196" s="344">
        <v>9899</v>
      </c>
      <c r="D1196" s="343" t="s">
        <v>3918</v>
      </c>
      <c r="E1196" s="344">
        <v>6543433</v>
      </c>
      <c r="F1196" s="343" t="s">
        <v>7767</v>
      </c>
      <c r="G1196" s="360" t="s">
        <v>393</v>
      </c>
      <c r="H1196" s="361">
        <v>43151</v>
      </c>
      <c r="I1196" s="343" t="s">
        <v>180</v>
      </c>
      <c r="J1196" s="343" t="s">
        <v>10565</v>
      </c>
      <c r="K1196" s="343" t="s">
        <v>168</v>
      </c>
    </row>
    <row r="1197" spans="1:11" ht="26.25" customHeight="1">
      <c r="A1197" s="343" t="s">
        <v>1618</v>
      </c>
      <c r="B1197" s="344" t="s">
        <v>162</v>
      </c>
      <c r="C1197" s="344">
        <v>9042</v>
      </c>
      <c r="D1197" s="343" t="s">
        <v>4283</v>
      </c>
      <c r="E1197" s="344">
        <v>6354512</v>
      </c>
      <c r="F1197" s="343" t="s">
        <v>7768</v>
      </c>
      <c r="G1197" s="360" t="s">
        <v>10081</v>
      </c>
      <c r="H1197" s="361">
        <v>43152</v>
      </c>
      <c r="I1197" s="343" t="s">
        <v>271</v>
      </c>
      <c r="J1197" s="343" t="s">
        <v>10566</v>
      </c>
      <c r="K1197" s="343" t="s">
        <v>168</v>
      </c>
    </row>
    <row r="1198" spans="1:11" ht="26.25" customHeight="1">
      <c r="A1198" s="343" t="s">
        <v>1618</v>
      </c>
      <c r="B1198" s="344" t="s">
        <v>162</v>
      </c>
      <c r="C1198" s="344">
        <v>9669</v>
      </c>
      <c r="D1198" s="343" t="s">
        <v>4267</v>
      </c>
      <c r="E1198" s="344">
        <v>6469333</v>
      </c>
      <c r="F1198" s="343" t="s">
        <v>7769</v>
      </c>
      <c r="G1198" s="360" t="s">
        <v>10567</v>
      </c>
      <c r="H1198" s="361">
        <v>43152</v>
      </c>
      <c r="I1198" s="343" t="s">
        <v>166</v>
      </c>
      <c r="J1198" s="343" t="s">
        <v>327</v>
      </c>
      <c r="K1198" s="343" t="s">
        <v>168</v>
      </c>
    </row>
    <row r="1199" spans="1:11" ht="26.25" customHeight="1">
      <c r="A1199" s="343" t="s">
        <v>1618</v>
      </c>
      <c r="B1199" s="344" t="s">
        <v>162</v>
      </c>
      <c r="C1199" s="344">
        <v>11596</v>
      </c>
      <c r="D1199" s="343" t="s">
        <v>4030</v>
      </c>
      <c r="E1199" s="344">
        <v>5707016</v>
      </c>
      <c r="F1199" s="343" t="s">
        <v>4040</v>
      </c>
      <c r="G1199" s="360" t="s">
        <v>10568</v>
      </c>
      <c r="H1199" s="361">
        <v>43152</v>
      </c>
      <c r="I1199" s="343" t="s">
        <v>275</v>
      </c>
      <c r="J1199" s="343" t="s">
        <v>9392</v>
      </c>
      <c r="K1199" s="343" t="s">
        <v>173</v>
      </c>
    </row>
    <row r="1200" spans="1:11" ht="26.25" customHeight="1">
      <c r="A1200" s="343" t="s">
        <v>1618</v>
      </c>
      <c r="B1200" s="344" t="s">
        <v>162</v>
      </c>
      <c r="C1200" s="344">
        <v>8542</v>
      </c>
      <c r="D1200" s="343" t="s">
        <v>4258</v>
      </c>
      <c r="E1200" s="344">
        <v>5739320</v>
      </c>
      <c r="F1200" s="343" t="s">
        <v>7770</v>
      </c>
      <c r="G1200" s="360" t="s">
        <v>10569</v>
      </c>
      <c r="H1200" s="361">
        <v>43154</v>
      </c>
      <c r="I1200" s="343" t="s">
        <v>366</v>
      </c>
      <c r="J1200" s="343" t="s">
        <v>366</v>
      </c>
      <c r="K1200" s="343" t="s">
        <v>168</v>
      </c>
    </row>
    <row r="1201" spans="1:11" ht="26.25" customHeight="1">
      <c r="A1201" s="343" t="s">
        <v>1618</v>
      </c>
      <c r="B1201" s="344" t="s">
        <v>162</v>
      </c>
      <c r="C1201" s="344">
        <v>6650</v>
      </c>
      <c r="D1201" s="343" t="s">
        <v>4208</v>
      </c>
      <c r="E1201" s="344">
        <v>6303533</v>
      </c>
      <c r="F1201" s="343" t="s">
        <v>7771</v>
      </c>
      <c r="G1201" s="360" t="s">
        <v>10570</v>
      </c>
      <c r="H1201" s="361">
        <v>43154</v>
      </c>
      <c r="I1201" s="343" t="s">
        <v>193</v>
      </c>
      <c r="J1201" s="343" t="s">
        <v>637</v>
      </c>
      <c r="K1201" s="343" t="s">
        <v>168</v>
      </c>
    </row>
    <row r="1202" spans="1:11" ht="26.25" customHeight="1">
      <c r="A1202" s="343" t="s">
        <v>1618</v>
      </c>
      <c r="B1202" s="344" t="s">
        <v>162</v>
      </c>
      <c r="C1202" s="344">
        <v>8481</v>
      </c>
      <c r="D1202" s="343" t="s">
        <v>4214</v>
      </c>
      <c r="E1202" s="344">
        <v>6636444</v>
      </c>
      <c r="F1202" s="343" t="s">
        <v>4215</v>
      </c>
      <c r="G1202" s="360" t="s">
        <v>10571</v>
      </c>
      <c r="H1202" s="361">
        <v>43154</v>
      </c>
      <c r="I1202" s="343" t="s">
        <v>166</v>
      </c>
      <c r="J1202" s="343" t="s">
        <v>10044</v>
      </c>
      <c r="K1202" s="343" t="s">
        <v>168</v>
      </c>
    </row>
    <row r="1203" spans="1:11" ht="26.25" customHeight="1">
      <c r="A1203" s="343" t="s">
        <v>1618</v>
      </c>
      <c r="B1203" s="344" t="s">
        <v>162</v>
      </c>
      <c r="C1203" s="344">
        <v>8481</v>
      </c>
      <c r="D1203" s="343" t="s">
        <v>4214</v>
      </c>
      <c r="E1203" s="344">
        <v>6419120</v>
      </c>
      <c r="F1203" s="343" t="s">
        <v>7772</v>
      </c>
      <c r="G1203" s="360" t="s">
        <v>10572</v>
      </c>
      <c r="H1203" s="361">
        <v>43154</v>
      </c>
      <c r="I1203" s="343" t="s">
        <v>3910</v>
      </c>
      <c r="J1203" s="343" t="s">
        <v>9547</v>
      </c>
      <c r="K1203" s="343" t="s">
        <v>173</v>
      </c>
    </row>
    <row r="1204" spans="1:11" ht="26.25" customHeight="1">
      <c r="A1204" s="343" t="s">
        <v>1618</v>
      </c>
      <c r="B1204" s="344" t="s">
        <v>162</v>
      </c>
      <c r="C1204" s="344">
        <v>9533</v>
      </c>
      <c r="D1204" s="343" t="s">
        <v>3980</v>
      </c>
      <c r="E1204" s="344">
        <v>6506547</v>
      </c>
      <c r="F1204" s="343" t="s">
        <v>7535</v>
      </c>
      <c r="G1204" s="360" t="s">
        <v>10573</v>
      </c>
      <c r="H1204" s="361">
        <v>43168</v>
      </c>
      <c r="I1204" s="343" t="s">
        <v>3708</v>
      </c>
      <c r="J1204" s="343" t="s">
        <v>10574</v>
      </c>
      <c r="K1204" s="343" t="s">
        <v>248</v>
      </c>
    </row>
    <row r="1205" spans="1:11" ht="26.25" customHeight="1">
      <c r="A1205" s="343" t="s">
        <v>1618</v>
      </c>
      <c r="B1205" s="344" t="s">
        <v>162</v>
      </c>
      <c r="C1205" s="344">
        <v>11596</v>
      </c>
      <c r="D1205" s="343" t="s">
        <v>4030</v>
      </c>
      <c r="E1205" s="344">
        <v>5834981</v>
      </c>
      <c r="F1205" s="343" t="s">
        <v>7773</v>
      </c>
      <c r="G1205" s="360" t="s">
        <v>9557</v>
      </c>
      <c r="H1205" s="361">
        <v>43168</v>
      </c>
      <c r="I1205" s="343" t="s">
        <v>275</v>
      </c>
      <c r="J1205" s="343" t="s">
        <v>9392</v>
      </c>
      <c r="K1205" s="343" t="s">
        <v>173</v>
      </c>
    </row>
    <row r="1206" spans="1:11" ht="26.25" customHeight="1">
      <c r="A1206" s="343" t="s">
        <v>1618</v>
      </c>
      <c r="B1206" s="344" t="s">
        <v>162</v>
      </c>
      <c r="C1206" s="344">
        <v>6651</v>
      </c>
      <c r="D1206" s="343" t="s">
        <v>4198</v>
      </c>
      <c r="E1206" s="344">
        <v>6199441</v>
      </c>
      <c r="F1206" s="343" t="s">
        <v>3979</v>
      </c>
      <c r="G1206" s="360" t="s">
        <v>529</v>
      </c>
      <c r="H1206" s="361">
        <v>43174</v>
      </c>
      <c r="I1206" s="343" t="s">
        <v>1182</v>
      </c>
      <c r="J1206" s="343" t="s">
        <v>1330</v>
      </c>
      <c r="K1206" s="343" t="s">
        <v>173</v>
      </c>
    </row>
    <row r="1207" spans="1:11" ht="26.25" customHeight="1">
      <c r="A1207" s="343" t="s">
        <v>1618</v>
      </c>
      <c r="B1207" s="344" t="s">
        <v>162</v>
      </c>
      <c r="C1207" s="344">
        <v>6641</v>
      </c>
      <c r="D1207" s="343" t="s">
        <v>4256</v>
      </c>
      <c r="E1207" s="344">
        <v>5828881</v>
      </c>
      <c r="F1207" s="343" t="s">
        <v>7774</v>
      </c>
      <c r="G1207" s="360" t="s">
        <v>9969</v>
      </c>
      <c r="H1207" s="361">
        <v>43175</v>
      </c>
      <c r="I1207" s="343" t="s">
        <v>261</v>
      </c>
      <c r="J1207" s="343" t="s">
        <v>9505</v>
      </c>
      <c r="K1207" s="343" t="s">
        <v>168</v>
      </c>
    </row>
    <row r="1208" spans="1:11" ht="26.25" customHeight="1">
      <c r="A1208" s="343" t="s">
        <v>1618</v>
      </c>
      <c r="B1208" s="344" t="s">
        <v>162</v>
      </c>
      <c r="C1208" s="344">
        <v>6651</v>
      </c>
      <c r="D1208" s="343" t="s">
        <v>4198</v>
      </c>
      <c r="E1208" s="344">
        <v>6095452</v>
      </c>
      <c r="F1208" s="343" t="s">
        <v>7775</v>
      </c>
      <c r="G1208" s="360" t="s">
        <v>10567</v>
      </c>
      <c r="H1208" s="361">
        <v>43175</v>
      </c>
      <c r="I1208" s="343" t="s">
        <v>193</v>
      </c>
      <c r="J1208" s="343" t="s">
        <v>637</v>
      </c>
      <c r="K1208" s="343" t="s">
        <v>168</v>
      </c>
    </row>
    <row r="1209" spans="1:11" ht="26.25" customHeight="1">
      <c r="A1209" s="343" t="s">
        <v>1618</v>
      </c>
      <c r="B1209" s="344" t="s">
        <v>162</v>
      </c>
      <c r="C1209" s="344">
        <v>6649</v>
      </c>
      <c r="D1209" s="343" t="s">
        <v>4230</v>
      </c>
      <c r="E1209" s="344">
        <v>6216819</v>
      </c>
      <c r="F1209" s="343" t="s">
        <v>7776</v>
      </c>
      <c r="G1209" s="360" t="s">
        <v>10575</v>
      </c>
      <c r="H1209" s="361">
        <v>43175</v>
      </c>
      <c r="I1209" s="343" t="s">
        <v>7777</v>
      </c>
      <c r="J1209" s="343" t="s">
        <v>10576</v>
      </c>
      <c r="K1209" s="343" t="s">
        <v>168</v>
      </c>
    </row>
    <row r="1210" spans="1:11" ht="26.25" customHeight="1">
      <c r="A1210" s="343" t="s">
        <v>1618</v>
      </c>
      <c r="B1210" s="344" t="s">
        <v>162</v>
      </c>
      <c r="C1210" s="344">
        <v>6649</v>
      </c>
      <c r="D1210" s="343" t="s">
        <v>4230</v>
      </c>
      <c r="E1210" s="344">
        <v>6214591</v>
      </c>
      <c r="F1210" s="343" t="s">
        <v>7778</v>
      </c>
      <c r="G1210" s="360" t="s">
        <v>10577</v>
      </c>
      <c r="H1210" s="361">
        <v>43175</v>
      </c>
      <c r="I1210" s="343" t="s">
        <v>284</v>
      </c>
      <c r="J1210" s="343" t="s">
        <v>10432</v>
      </c>
      <c r="K1210" s="343" t="s">
        <v>168</v>
      </c>
    </row>
    <row r="1211" spans="1:11" ht="26.25" customHeight="1">
      <c r="A1211" s="343" t="s">
        <v>1618</v>
      </c>
      <c r="B1211" s="344" t="s">
        <v>162</v>
      </c>
      <c r="C1211" s="344">
        <v>6642</v>
      </c>
      <c r="D1211" s="343" t="s">
        <v>4300</v>
      </c>
      <c r="E1211" s="344">
        <v>5840189</v>
      </c>
      <c r="F1211" s="343" t="s">
        <v>4035</v>
      </c>
      <c r="G1211" s="360" t="s">
        <v>227</v>
      </c>
      <c r="H1211" s="361">
        <v>43175</v>
      </c>
      <c r="I1211" s="343" t="s">
        <v>193</v>
      </c>
      <c r="J1211" s="343" t="s">
        <v>603</v>
      </c>
      <c r="K1211" s="343" t="s">
        <v>168</v>
      </c>
    </row>
    <row r="1212" spans="1:11" ht="26.25" customHeight="1">
      <c r="A1212" s="343" t="s">
        <v>1618</v>
      </c>
      <c r="B1212" s="344" t="s">
        <v>162</v>
      </c>
      <c r="C1212" s="344">
        <v>9905</v>
      </c>
      <c r="D1212" s="343" t="s">
        <v>4034</v>
      </c>
      <c r="E1212" s="344">
        <v>6307947</v>
      </c>
      <c r="F1212" s="343" t="s">
        <v>7779</v>
      </c>
      <c r="G1212" s="360" t="s">
        <v>10578</v>
      </c>
      <c r="H1212" s="361">
        <v>43175</v>
      </c>
      <c r="I1212" s="343" t="s">
        <v>193</v>
      </c>
      <c r="J1212" s="343" t="s">
        <v>637</v>
      </c>
      <c r="K1212" s="343" t="s">
        <v>168</v>
      </c>
    </row>
    <row r="1213" spans="1:11" ht="26.25" customHeight="1">
      <c r="A1213" s="343" t="s">
        <v>1618</v>
      </c>
      <c r="B1213" s="344" t="s">
        <v>162</v>
      </c>
      <c r="C1213" s="344">
        <v>9660</v>
      </c>
      <c r="D1213" s="343" t="s">
        <v>4270</v>
      </c>
      <c r="E1213" s="344">
        <v>6557426</v>
      </c>
      <c r="F1213" s="343" t="s">
        <v>7780</v>
      </c>
      <c r="G1213" s="360" t="s">
        <v>10579</v>
      </c>
      <c r="H1213" s="361">
        <v>43175</v>
      </c>
      <c r="I1213" s="343" t="s">
        <v>7781</v>
      </c>
      <c r="J1213" s="343" t="s">
        <v>10580</v>
      </c>
      <c r="K1213" s="343" t="s">
        <v>173</v>
      </c>
    </row>
    <row r="1214" spans="1:11" ht="26.25" customHeight="1">
      <c r="A1214" s="343" t="s">
        <v>1618</v>
      </c>
      <c r="B1214" s="344" t="s">
        <v>162</v>
      </c>
      <c r="C1214" s="344">
        <v>6642</v>
      </c>
      <c r="D1214" s="343" t="s">
        <v>4300</v>
      </c>
      <c r="E1214" s="344">
        <v>6003541</v>
      </c>
      <c r="F1214" s="343" t="s">
        <v>7782</v>
      </c>
      <c r="G1214" s="360" t="s">
        <v>9524</v>
      </c>
      <c r="H1214" s="361">
        <v>43175</v>
      </c>
      <c r="I1214" s="343" t="s">
        <v>193</v>
      </c>
      <c r="J1214" s="343" t="s">
        <v>10581</v>
      </c>
      <c r="K1214" s="343" t="s">
        <v>168</v>
      </c>
    </row>
    <row r="1215" spans="1:11" ht="26.25" customHeight="1">
      <c r="A1215" s="343" t="s">
        <v>1618</v>
      </c>
      <c r="B1215" s="344" t="s">
        <v>162</v>
      </c>
      <c r="C1215" s="344">
        <v>6642</v>
      </c>
      <c r="D1215" s="343" t="s">
        <v>4300</v>
      </c>
      <c r="E1215" s="344">
        <v>6072022</v>
      </c>
      <c r="F1215" s="343" t="s">
        <v>7783</v>
      </c>
      <c r="G1215" s="360" t="s">
        <v>10582</v>
      </c>
      <c r="H1215" s="361">
        <v>43175</v>
      </c>
      <c r="I1215" s="343" t="s">
        <v>7356</v>
      </c>
      <c r="J1215" s="343" t="s">
        <v>10583</v>
      </c>
      <c r="K1215" s="343" t="s">
        <v>168</v>
      </c>
    </row>
    <row r="1216" spans="1:11" ht="26.25" customHeight="1">
      <c r="A1216" s="343" t="s">
        <v>1618</v>
      </c>
      <c r="B1216" s="344" t="s">
        <v>162</v>
      </c>
      <c r="C1216" s="344">
        <v>8757</v>
      </c>
      <c r="D1216" s="343" t="s">
        <v>4078</v>
      </c>
      <c r="E1216" s="344">
        <v>5227215</v>
      </c>
      <c r="F1216" s="343" t="s">
        <v>7785</v>
      </c>
      <c r="G1216" s="360" t="s">
        <v>10584</v>
      </c>
      <c r="H1216" s="361">
        <v>43179</v>
      </c>
      <c r="I1216" s="343" t="s">
        <v>802</v>
      </c>
      <c r="J1216" s="343" t="s">
        <v>1075</v>
      </c>
      <c r="K1216" s="343" t="s">
        <v>168</v>
      </c>
    </row>
    <row r="1217" spans="1:11" ht="26.25" customHeight="1">
      <c r="A1217" s="343" t="s">
        <v>1618</v>
      </c>
      <c r="B1217" s="344" t="s">
        <v>162</v>
      </c>
      <c r="C1217" s="344">
        <v>7491</v>
      </c>
      <c r="D1217" s="343" t="s">
        <v>3986</v>
      </c>
      <c r="E1217" s="344">
        <v>6882105</v>
      </c>
      <c r="F1217" s="343" t="s">
        <v>7078</v>
      </c>
      <c r="G1217" s="360" t="s">
        <v>10585</v>
      </c>
      <c r="H1217" s="361">
        <v>43195</v>
      </c>
      <c r="I1217" s="343" t="s">
        <v>180</v>
      </c>
      <c r="J1217" s="343" t="s">
        <v>10586</v>
      </c>
      <c r="K1217" s="343" t="s">
        <v>168</v>
      </c>
    </row>
    <row r="1218" spans="1:11" ht="26.25" customHeight="1">
      <c r="A1218" s="343" t="s">
        <v>1618</v>
      </c>
      <c r="B1218" s="344" t="s">
        <v>162</v>
      </c>
      <c r="C1218" s="344">
        <v>9899</v>
      </c>
      <c r="D1218" s="343" t="s">
        <v>3918</v>
      </c>
      <c r="E1218" s="344">
        <v>6956481</v>
      </c>
      <c r="F1218" s="343" t="s">
        <v>8352</v>
      </c>
      <c r="G1218" s="360" t="s">
        <v>260</v>
      </c>
      <c r="H1218" s="361">
        <v>43199</v>
      </c>
      <c r="I1218" s="343" t="s">
        <v>3629</v>
      </c>
      <c r="J1218" s="343" t="s">
        <v>10587</v>
      </c>
      <c r="K1218" s="343" t="s">
        <v>168</v>
      </c>
    </row>
    <row r="1219" spans="1:11" ht="26.25" customHeight="1">
      <c r="A1219" s="343" t="s">
        <v>1618</v>
      </c>
      <c r="B1219" s="344" t="s">
        <v>162</v>
      </c>
      <c r="C1219" s="344">
        <v>12074</v>
      </c>
      <c r="D1219" s="343" t="s">
        <v>4071</v>
      </c>
      <c r="E1219" s="344">
        <v>6151023</v>
      </c>
      <c r="F1219" s="343" t="s">
        <v>4286</v>
      </c>
      <c r="G1219" s="360" t="s">
        <v>10588</v>
      </c>
      <c r="H1219" s="361">
        <v>43199</v>
      </c>
      <c r="I1219" s="343" t="s">
        <v>301</v>
      </c>
      <c r="J1219" s="343" t="s">
        <v>1113</v>
      </c>
      <c r="K1219" s="343" t="s">
        <v>168</v>
      </c>
    </row>
    <row r="1220" spans="1:11" ht="26.25" customHeight="1">
      <c r="A1220" s="343" t="s">
        <v>1618</v>
      </c>
      <c r="B1220" s="344" t="s">
        <v>162</v>
      </c>
      <c r="C1220" s="344">
        <v>7490</v>
      </c>
      <c r="D1220" s="343" t="s">
        <v>3967</v>
      </c>
      <c r="E1220" s="344">
        <v>6941107</v>
      </c>
      <c r="F1220" s="343" t="s">
        <v>8353</v>
      </c>
      <c r="G1220" s="360" t="s">
        <v>10589</v>
      </c>
      <c r="H1220" s="361">
        <v>43201</v>
      </c>
      <c r="I1220" s="343" t="s">
        <v>166</v>
      </c>
      <c r="J1220" s="343" t="s">
        <v>10590</v>
      </c>
      <c r="K1220" s="343" t="s">
        <v>248</v>
      </c>
    </row>
    <row r="1221" spans="1:11" ht="26.25" customHeight="1">
      <c r="A1221" s="343" t="s">
        <v>1618</v>
      </c>
      <c r="B1221" s="344" t="s">
        <v>162</v>
      </c>
      <c r="C1221" s="344">
        <v>10402</v>
      </c>
      <c r="D1221" s="343" t="s">
        <v>4036</v>
      </c>
      <c r="E1221" s="344">
        <v>6176859</v>
      </c>
      <c r="F1221" s="343" t="s">
        <v>8354</v>
      </c>
      <c r="G1221" s="360" t="s">
        <v>10164</v>
      </c>
      <c r="H1221" s="361">
        <v>43201</v>
      </c>
      <c r="I1221" s="343" t="s">
        <v>5790</v>
      </c>
      <c r="J1221" s="343" t="s">
        <v>10591</v>
      </c>
      <c r="K1221" s="343" t="s">
        <v>248</v>
      </c>
    </row>
    <row r="1222" spans="1:11" ht="26.25" customHeight="1">
      <c r="A1222" s="343" t="s">
        <v>1618</v>
      </c>
      <c r="B1222" s="344" t="s">
        <v>162</v>
      </c>
      <c r="C1222" s="344">
        <v>10402</v>
      </c>
      <c r="D1222" s="343" t="s">
        <v>4036</v>
      </c>
      <c r="E1222" s="344">
        <v>6645742</v>
      </c>
      <c r="F1222" s="343" t="s">
        <v>8355</v>
      </c>
      <c r="G1222" s="360" t="s">
        <v>10592</v>
      </c>
      <c r="H1222" s="361">
        <v>43201</v>
      </c>
      <c r="I1222" s="343" t="s">
        <v>8356</v>
      </c>
      <c r="J1222" s="343" t="s">
        <v>10593</v>
      </c>
      <c r="K1222" s="343" t="s">
        <v>168</v>
      </c>
    </row>
    <row r="1223" spans="1:11" ht="26.25" customHeight="1">
      <c r="A1223" s="343" t="s">
        <v>1618</v>
      </c>
      <c r="B1223" s="344" t="s">
        <v>162</v>
      </c>
      <c r="C1223" s="344">
        <v>10402</v>
      </c>
      <c r="D1223" s="343" t="s">
        <v>4036</v>
      </c>
      <c r="E1223" s="344">
        <v>5929484</v>
      </c>
      <c r="F1223" s="343" t="s">
        <v>4037</v>
      </c>
      <c r="G1223" s="360" t="s">
        <v>9990</v>
      </c>
      <c r="H1223" s="361">
        <v>43201</v>
      </c>
      <c r="I1223" s="343" t="s">
        <v>8357</v>
      </c>
      <c r="J1223" s="343" t="s">
        <v>10594</v>
      </c>
      <c r="K1223" s="343" t="s">
        <v>248</v>
      </c>
    </row>
    <row r="1224" spans="1:11" ht="26.25" customHeight="1">
      <c r="A1224" s="343" t="s">
        <v>1618</v>
      </c>
      <c r="B1224" s="344" t="s">
        <v>162</v>
      </c>
      <c r="C1224" s="344">
        <v>9905</v>
      </c>
      <c r="D1224" s="343" t="s">
        <v>4034</v>
      </c>
      <c r="E1224" s="344">
        <v>6764324</v>
      </c>
      <c r="F1224" s="343" t="s">
        <v>8358</v>
      </c>
      <c r="G1224" s="360" t="s">
        <v>242</v>
      </c>
      <c r="H1224" s="361">
        <v>43201</v>
      </c>
      <c r="I1224" s="343" t="s">
        <v>366</v>
      </c>
      <c r="J1224" s="343" t="s">
        <v>366</v>
      </c>
      <c r="K1224" s="343" t="s">
        <v>168</v>
      </c>
    </row>
    <row r="1225" spans="1:11" ht="26.25" customHeight="1">
      <c r="A1225" s="343" t="s">
        <v>1618</v>
      </c>
      <c r="B1225" s="344" t="s">
        <v>162</v>
      </c>
      <c r="C1225" s="344">
        <v>6660</v>
      </c>
      <c r="D1225" s="343" t="s">
        <v>4246</v>
      </c>
      <c r="E1225" s="344">
        <v>6898926</v>
      </c>
      <c r="F1225" s="343" t="s">
        <v>8359</v>
      </c>
      <c r="G1225" s="360" t="s">
        <v>10595</v>
      </c>
      <c r="H1225" s="361">
        <v>43201</v>
      </c>
      <c r="I1225" s="343" t="s">
        <v>198</v>
      </c>
      <c r="J1225" s="343" t="s">
        <v>198</v>
      </c>
      <c r="K1225" s="343" t="s">
        <v>168</v>
      </c>
    </row>
    <row r="1226" spans="1:11" ht="26.25" customHeight="1">
      <c r="A1226" s="343" t="s">
        <v>1618</v>
      </c>
      <c r="B1226" s="344" t="s">
        <v>162</v>
      </c>
      <c r="C1226" s="344">
        <v>6640</v>
      </c>
      <c r="D1226" s="343" t="s">
        <v>4294</v>
      </c>
      <c r="E1226" s="344">
        <v>6238082</v>
      </c>
      <c r="F1226" s="343" t="s">
        <v>8360</v>
      </c>
      <c r="G1226" s="360" t="s">
        <v>10070</v>
      </c>
      <c r="H1226" s="361">
        <v>43201</v>
      </c>
      <c r="I1226" s="343" t="s">
        <v>8361</v>
      </c>
      <c r="J1226" s="343" t="s">
        <v>10596</v>
      </c>
      <c r="K1226" s="343" t="s">
        <v>168</v>
      </c>
    </row>
    <row r="1227" spans="1:11" ht="26.25" customHeight="1">
      <c r="A1227" s="343" t="s">
        <v>1618</v>
      </c>
      <c r="B1227" s="344" t="s">
        <v>162</v>
      </c>
      <c r="C1227" s="344">
        <v>9905</v>
      </c>
      <c r="D1227" s="343" t="s">
        <v>4034</v>
      </c>
      <c r="E1227" s="344">
        <v>6232769</v>
      </c>
      <c r="F1227" s="343" t="s">
        <v>8362</v>
      </c>
      <c r="G1227" s="360" t="s">
        <v>10597</v>
      </c>
      <c r="H1227" s="361">
        <v>43201</v>
      </c>
      <c r="I1227" s="343" t="s">
        <v>198</v>
      </c>
      <c r="J1227" s="343" t="s">
        <v>198</v>
      </c>
      <c r="K1227" s="343" t="s">
        <v>168</v>
      </c>
    </row>
    <row r="1228" spans="1:11" ht="26.25" customHeight="1">
      <c r="A1228" s="343" t="s">
        <v>1618</v>
      </c>
      <c r="B1228" s="344" t="s">
        <v>162</v>
      </c>
      <c r="C1228" s="344">
        <v>7470</v>
      </c>
      <c r="D1228" s="343" t="s">
        <v>3929</v>
      </c>
      <c r="E1228" s="344">
        <v>6939300</v>
      </c>
      <c r="F1228" s="343" t="s">
        <v>8363</v>
      </c>
      <c r="G1228" s="360" t="s">
        <v>10598</v>
      </c>
      <c r="H1228" s="361">
        <v>43201</v>
      </c>
      <c r="I1228" s="343" t="s">
        <v>271</v>
      </c>
      <c r="J1228" s="343" t="s">
        <v>9522</v>
      </c>
      <c r="K1228" s="343" t="s">
        <v>168</v>
      </c>
    </row>
    <row r="1229" spans="1:11" ht="26.25" customHeight="1">
      <c r="A1229" s="343" t="s">
        <v>1618</v>
      </c>
      <c r="B1229" s="344" t="s">
        <v>162</v>
      </c>
      <c r="C1229" s="344">
        <v>9639</v>
      </c>
      <c r="D1229" s="343" t="s">
        <v>3937</v>
      </c>
      <c r="E1229" s="344">
        <v>6950946</v>
      </c>
      <c r="F1229" s="343" t="s">
        <v>8365</v>
      </c>
      <c r="G1229" s="360" t="s">
        <v>10599</v>
      </c>
      <c r="H1229" s="361">
        <v>43201</v>
      </c>
      <c r="I1229" s="343" t="s">
        <v>271</v>
      </c>
      <c r="J1229" s="343" t="s">
        <v>10600</v>
      </c>
      <c r="K1229" s="343" t="s">
        <v>168</v>
      </c>
    </row>
    <row r="1230" spans="1:11" ht="26.25" customHeight="1">
      <c r="A1230" s="343" t="s">
        <v>1618</v>
      </c>
      <c r="B1230" s="344" t="s">
        <v>162</v>
      </c>
      <c r="C1230" s="344">
        <v>9834</v>
      </c>
      <c r="D1230" s="343" t="s">
        <v>4004</v>
      </c>
      <c r="E1230" s="344">
        <v>6775721</v>
      </c>
      <c r="F1230" s="343" t="s">
        <v>8366</v>
      </c>
      <c r="G1230" s="360" t="s">
        <v>10601</v>
      </c>
      <c r="H1230" s="361">
        <v>43201</v>
      </c>
      <c r="I1230" s="343" t="s">
        <v>3910</v>
      </c>
      <c r="J1230" s="343" t="s">
        <v>10602</v>
      </c>
      <c r="K1230" s="343" t="s">
        <v>173</v>
      </c>
    </row>
    <row r="1231" spans="1:11" ht="26.25" customHeight="1">
      <c r="A1231" s="343" t="s">
        <v>1618</v>
      </c>
      <c r="B1231" s="344" t="s">
        <v>162</v>
      </c>
      <c r="C1231" s="344">
        <v>6640</v>
      </c>
      <c r="D1231" s="343" t="s">
        <v>4294</v>
      </c>
      <c r="E1231" s="344">
        <v>5994798</v>
      </c>
      <c r="F1231" s="343" t="s">
        <v>8367</v>
      </c>
      <c r="G1231" s="360" t="s">
        <v>10082</v>
      </c>
      <c r="H1231" s="361">
        <v>43201</v>
      </c>
      <c r="I1231" s="343" t="s">
        <v>193</v>
      </c>
      <c r="J1231" s="343" t="s">
        <v>637</v>
      </c>
      <c r="K1231" s="343" t="s">
        <v>168</v>
      </c>
    </row>
    <row r="1232" spans="1:11" ht="26.25" customHeight="1">
      <c r="A1232" s="343" t="s">
        <v>1618</v>
      </c>
      <c r="B1232" s="344" t="s">
        <v>162</v>
      </c>
      <c r="C1232" s="344">
        <v>9668</v>
      </c>
      <c r="D1232" s="343" t="s">
        <v>3922</v>
      </c>
      <c r="E1232" s="344">
        <v>6998640</v>
      </c>
      <c r="F1232" s="343" t="s">
        <v>7765</v>
      </c>
      <c r="G1232" s="360" t="s">
        <v>10603</v>
      </c>
      <c r="H1232" s="361">
        <v>43201</v>
      </c>
      <c r="I1232" s="343" t="s">
        <v>166</v>
      </c>
      <c r="J1232" s="343" t="s">
        <v>10604</v>
      </c>
      <c r="K1232" s="343" t="s">
        <v>168</v>
      </c>
    </row>
    <row r="1233" spans="1:11" ht="26.25" customHeight="1">
      <c r="A1233" s="343" t="s">
        <v>1618</v>
      </c>
      <c r="B1233" s="344" t="s">
        <v>162</v>
      </c>
      <c r="C1233" s="344">
        <v>11597</v>
      </c>
      <c r="D1233" s="343" t="s">
        <v>4007</v>
      </c>
      <c r="E1233" s="344">
        <v>6607158</v>
      </c>
      <c r="F1233" s="343" t="s">
        <v>8368</v>
      </c>
      <c r="G1233" s="360" t="s">
        <v>9770</v>
      </c>
      <c r="H1233" s="361">
        <v>43206</v>
      </c>
      <c r="I1233" s="343" t="s">
        <v>193</v>
      </c>
      <c r="J1233" s="343" t="s">
        <v>9532</v>
      </c>
      <c r="K1233" s="343" t="s">
        <v>168</v>
      </c>
    </row>
    <row r="1234" spans="1:11" ht="26.25" customHeight="1">
      <c r="A1234" s="343" t="s">
        <v>1618</v>
      </c>
      <c r="B1234" s="344" t="s">
        <v>162</v>
      </c>
      <c r="C1234" s="344">
        <v>9872</v>
      </c>
      <c r="D1234" s="343" t="s">
        <v>4236</v>
      </c>
      <c r="E1234" s="344">
        <v>6096095</v>
      </c>
      <c r="F1234" s="343" t="s">
        <v>8369</v>
      </c>
      <c r="G1234" s="360" t="s">
        <v>10605</v>
      </c>
      <c r="H1234" s="361">
        <v>43207</v>
      </c>
      <c r="I1234" s="343" t="s">
        <v>166</v>
      </c>
      <c r="J1234" s="343" t="s">
        <v>327</v>
      </c>
      <c r="K1234" s="343" t="s">
        <v>168</v>
      </c>
    </row>
    <row r="1235" spans="1:11" ht="26.25" customHeight="1">
      <c r="A1235" s="343" t="s">
        <v>1618</v>
      </c>
      <c r="B1235" s="344" t="s">
        <v>162</v>
      </c>
      <c r="C1235" s="344">
        <v>9872</v>
      </c>
      <c r="D1235" s="343" t="s">
        <v>4236</v>
      </c>
      <c r="E1235" s="344">
        <v>6036927</v>
      </c>
      <c r="F1235" s="343" t="s">
        <v>8370</v>
      </c>
      <c r="G1235" s="360" t="s">
        <v>10606</v>
      </c>
      <c r="H1235" s="361">
        <v>43207</v>
      </c>
      <c r="I1235" s="343" t="s">
        <v>219</v>
      </c>
      <c r="J1235" s="343" t="s">
        <v>9583</v>
      </c>
      <c r="K1235" s="343" t="s">
        <v>173</v>
      </c>
    </row>
    <row r="1236" spans="1:11" ht="26.25" customHeight="1">
      <c r="A1236" s="343" t="s">
        <v>1618</v>
      </c>
      <c r="B1236" s="344" t="s">
        <v>162</v>
      </c>
      <c r="C1236" s="344">
        <v>9872</v>
      </c>
      <c r="D1236" s="343" t="s">
        <v>4236</v>
      </c>
      <c r="E1236" s="344">
        <v>5971181</v>
      </c>
      <c r="F1236" s="343" t="s">
        <v>8371</v>
      </c>
      <c r="G1236" s="360" t="s">
        <v>10607</v>
      </c>
      <c r="H1236" s="361">
        <v>43207</v>
      </c>
      <c r="I1236" s="343" t="s">
        <v>166</v>
      </c>
      <c r="J1236" s="343" t="s">
        <v>296</v>
      </c>
      <c r="K1236" s="343" t="s">
        <v>168</v>
      </c>
    </row>
    <row r="1237" spans="1:11" ht="26.25" customHeight="1">
      <c r="A1237" s="343" t="s">
        <v>1618</v>
      </c>
      <c r="B1237" s="344" t="s">
        <v>162</v>
      </c>
      <c r="C1237" s="344">
        <v>6641</v>
      </c>
      <c r="D1237" s="343" t="s">
        <v>4256</v>
      </c>
      <c r="E1237" s="344">
        <v>6505189</v>
      </c>
      <c r="F1237" s="343" t="s">
        <v>4257</v>
      </c>
      <c r="G1237" s="360" t="s">
        <v>9970</v>
      </c>
      <c r="H1237" s="361">
        <v>43207</v>
      </c>
      <c r="I1237" s="343" t="s">
        <v>211</v>
      </c>
      <c r="J1237" s="343" t="s">
        <v>211</v>
      </c>
      <c r="K1237" s="343" t="s">
        <v>168</v>
      </c>
    </row>
    <row r="1238" spans="1:11" ht="26.25" customHeight="1">
      <c r="A1238" s="343" t="s">
        <v>1618</v>
      </c>
      <c r="B1238" s="344" t="s">
        <v>162</v>
      </c>
      <c r="C1238" s="344">
        <v>7466</v>
      </c>
      <c r="D1238" s="343" t="s">
        <v>3924</v>
      </c>
      <c r="E1238" s="344">
        <v>6900187</v>
      </c>
      <c r="F1238" s="343" t="s">
        <v>8373</v>
      </c>
      <c r="G1238" s="360" t="s">
        <v>9714</v>
      </c>
      <c r="H1238" s="361">
        <v>43207</v>
      </c>
      <c r="I1238" s="343" t="s">
        <v>349</v>
      </c>
      <c r="J1238" s="343" t="s">
        <v>10608</v>
      </c>
      <c r="K1238" s="343" t="s">
        <v>168</v>
      </c>
    </row>
    <row r="1239" spans="1:11" ht="26.25" customHeight="1">
      <c r="A1239" s="343" t="s">
        <v>1618</v>
      </c>
      <c r="B1239" s="344" t="s">
        <v>162</v>
      </c>
      <c r="C1239" s="344">
        <v>8481</v>
      </c>
      <c r="D1239" s="343" t="s">
        <v>4214</v>
      </c>
      <c r="E1239" s="344">
        <v>5958197</v>
      </c>
      <c r="F1239" s="343" t="s">
        <v>4210</v>
      </c>
      <c r="G1239" s="360" t="s">
        <v>10064</v>
      </c>
      <c r="H1239" s="361">
        <v>43210</v>
      </c>
      <c r="I1239" s="343" t="s">
        <v>8374</v>
      </c>
      <c r="J1239" s="343" t="s">
        <v>10609</v>
      </c>
      <c r="K1239" s="343" t="s">
        <v>168</v>
      </c>
    </row>
    <row r="1240" spans="1:11" ht="26.25" customHeight="1">
      <c r="A1240" s="343" t="s">
        <v>1618</v>
      </c>
      <c r="B1240" s="344" t="s">
        <v>162</v>
      </c>
      <c r="C1240" s="344">
        <v>9668</v>
      </c>
      <c r="D1240" s="343" t="s">
        <v>3922</v>
      </c>
      <c r="E1240" s="344">
        <v>6265613</v>
      </c>
      <c r="F1240" s="343" t="s">
        <v>8375</v>
      </c>
      <c r="G1240" s="360" t="s">
        <v>10610</v>
      </c>
      <c r="H1240" s="361">
        <v>43210</v>
      </c>
      <c r="I1240" s="343" t="s">
        <v>166</v>
      </c>
      <c r="J1240" s="343" t="s">
        <v>9701</v>
      </c>
      <c r="K1240" s="343" t="s">
        <v>168</v>
      </c>
    </row>
    <row r="1241" spans="1:11" ht="26.25" customHeight="1">
      <c r="A1241" s="343" t="s">
        <v>1618</v>
      </c>
      <c r="B1241" s="344" t="s">
        <v>162</v>
      </c>
      <c r="C1241" s="344">
        <v>9854</v>
      </c>
      <c r="D1241" s="343" t="s">
        <v>4289</v>
      </c>
      <c r="E1241" s="344">
        <v>6039158</v>
      </c>
      <c r="F1241" s="343" t="s">
        <v>4292</v>
      </c>
      <c r="G1241" s="360" t="s">
        <v>1220</v>
      </c>
      <c r="H1241" s="361">
        <v>43216</v>
      </c>
      <c r="I1241" s="343" t="s">
        <v>166</v>
      </c>
      <c r="J1241" s="343" t="s">
        <v>296</v>
      </c>
      <c r="K1241" s="343" t="s">
        <v>168</v>
      </c>
    </row>
    <row r="1242" spans="1:11" ht="26.25" customHeight="1">
      <c r="A1242" s="343" t="s">
        <v>1618</v>
      </c>
      <c r="B1242" s="344" t="s">
        <v>162</v>
      </c>
      <c r="C1242" s="344">
        <v>7472</v>
      </c>
      <c r="D1242" s="343" t="s">
        <v>3976</v>
      </c>
      <c r="E1242" s="344">
        <v>6212788</v>
      </c>
      <c r="F1242" s="343" t="s">
        <v>8377</v>
      </c>
      <c r="G1242" s="360" t="s">
        <v>10611</v>
      </c>
      <c r="H1242" s="361">
        <v>43216</v>
      </c>
      <c r="I1242" s="343" t="s">
        <v>166</v>
      </c>
      <c r="J1242" s="343" t="s">
        <v>327</v>
      </c>
      <c r="K1242" s="343" t="s">
        <v>168</v>
      </c>
    </row>
    <row r="1243" spans="1:11" ht="26.25" customHeight="1">
      <c r="A1243" s="343" t="s">
        <v>1618</v>
      </c>
      <c r="B1243" s="344" t="s">
        <v>162</v>
      </c>
      <c r="C1243" s="344">
        <v>9533</v>
      </c>
      <c r="D1243" s="343" t="s">
        <v>3980</v>
      </c>
      <c r="E1243" s="344">
        <v>7033075</v>
      </c>
      <c r="F1243" s="343" t="s">
        <v>8378</v>
      </c>
      <c r="G1243" s="360" t="s">
        <v>9722</v>
      </c>
      <c r="H1243" s="361">
        <v>43216</v>
      </c>
      <c r="I1243" s="343" t="s">
        <v>284</v>
      </c>
      <c r="J1243" s="343" t="s">
        <v>10612</v>
      </c>
      <c r="K1243" s="343" t="s">
        <v>168</v>
      </c>
    </row>
    <row r="1244" spans="1:11" ht="26.25" customHeight="1">
      <c r="A1244" s="343" t="s">
        <v>1618</v>
      </c>
      <c r="B1244" s="344" t="s">
        <v>162</v>
      </c>
      <c r="C1244" s="344">
        <v>9042</v>
      </c>
      <c r="D1244" s="343" t="s">
        <v>4283</v>
      </c>
      <c r="E1244" s="344">
        <v>6006550</v>
      </c>
      <c r="F1244" s="343" t="s">
        <v>8379</v>
      </c>
      <c r="G1244" s="360" t="s">
        <v>445</v>
      </c>
      <c r="H1244" s="361">
        <v>43220</v>
      </c>
      <c r="I1244" s="343" t="s">
        <v>8380</v>
      </c>
      <c r="J1244" s="343" t="s">
        <v>10613</v>
      </c>
      <c r="K1244" s="343" t="s">
        <v>248</v>
      </c>
    </row>
    <row r="1245" spans="1:11" ht="26.25" customHeight="1">
      <c r="A1245" s="343" t="s">
        <v>1618</v>
      </c>
      <c r="B1245" s="344" t="s">
        <v>162</v>
      </c>
      <c r="C1245" s="344">
        <v>6972</v>
      </c>
      <c r="D1245" s="343" t="s">
        <v>4123</v>
      </c>
      <c r="E1245" s="344">
        <v>6087180</v>
      </c>
      <c r="F1245" s="343" t="s">
        <v>7071</v>
      </c>
      <c r="G1245" s="360" t="s">
        <v>10614</v>
      </c>
      <c r="H1245" s="361">
        <v>43220</v>
      </c>
      <c r="I1245" s="343" t="s">
        <v>180</v>
      </c>
      <c r="J1245" s="343" t="s">
        <v>10615</v>
      </c>
      <c r="K1245" s="343" t="s">
        <v>168</v>
      </c>
    </row>
    <row r="1246" spans="1:11" ht="26.25" customHeight="1">
      <c r="A1246" s="343" t="s">
        <v>1618</v>
      </c>
      <c r="B1246" s="344" t="s">
        <v>162</v>
      </c>
      <c r="C1246" s="344">
        <v>11496</v>
      </c>
      <c r="D1246" s="343" t="s">
        <v>4219</v>
      </c>
      <c r="E1246" s="344">
        <v>6993305</v>
      </c>
      <c r="F1246" s="343" t="s">
        <v>8381</v>
      </c>
      <c r="G1246" s="360" t="s">
        <v>10616</v>
      </c>
      <c r="H1246" s="361">
        <v>43222</v>
      </c>
      <c r="I1246" s="343" t="s">
        <v>8382</v>
      </c>
      <c r="J1246" s="343" t="s">
        <v>10617</v>
      </c>
      <c r="K1246" s="343" t="s">
        <v>168</v>
      </c>
    </row>
    <row r="1247" spans="1:11" ht="26.25" customHeight="1">
      <c r="A1247" s="343" t="s">
        <v>1618</v>
      </c>
      <c r="B1247" s="344" t="s">
        <v>162</v>
      </c>
      <c r="C1247" s="344">
        <v>9660</v>
      </c>
      <c r="D1247" s="343" t="s">
        <v>4270</v>
      </c>
      <c r="E1247" s="344">
        <v>6550427</v>
      </c>
      <c r="F1247" s="343" t="s">
        <v>8383</v>
      </c>
      <c r="G1247" s="360" t="s">
        <v>9493</v>
      </c>
      <c r="H1247" s="361">
        <v>43222</v>
      </c>
      <c r="I1247" s="343" t="s">
        <v>366</v>
      </c>
      <c r="J1247" s="343" t="s">
        <v>366</v>
      </c>
      <c r="K1247" s="343" t="s">
        <v>168</v>
      </c>
    </row>
    <row r="1248" spans="1:11" ht="26.25" customHeight="1">
      <c r="A1248" s="343" t="s">
        <v>1618</v>
      </c>
      <c r="B1248" s="344" t="s">
        <v>162</v>
      </c>
      <c r="C1248" s="344">
        <v>6968</v>
      </c>
      <c r="D1248" s="343" t="s">
        <v>4135</v>
      </c>
      <c r="E1248" s="344">
        <v>6017704</v>
      </c>
      <c r="F1248" s="343" t="s">
        <v>4238</v>
      </c>
      <c r="G1248" s="360" t="s">
        <v>1365</v>
      </c>
      <c r="H1248" s="361">
        <v>43224</v>
      </c>
      <c r="I1248" s="343" t="s">
        <v>180</v>
      </c>
      <c r="J1248" s="343" t="s">
        <v>10618</v>
      </c>
      <c r="K1248" s="343" t="s">
        <v>168</v>
      </c>
    </row>
    <row r="1249" spans="1:11" ht="26.25" customHeight="1">
      <c r="A1249" s="343" t="s">
        <v>1618</v>
      </c>
      <c r="B1249" s="344" t="s">
        <v>162</v>
      </c>
      <c r="C1249" s="344">
        <v>9012</v>
      </c>
      <c r="D1249" s="343" t="s">
        <v>4143</v>
      </c>
      <c r="E1249" s="344">
        <v>5737292</v>
      </c>
      <c r="F1249" s="343" t="s">
        <v>4269</v>
      </c>
      <c r="G1249" s="360" t="s">
        <v>1100</v>
      </c>
      <c r="H1249" s="361">
        <v>43227</v>
      </c>
      <c r="I1249" s="343" t="s">
        <v>547</v>
      </c>
      <c r="J1249" s="343" t="s">
        <v>936</v>
      </c>
      <c r="K1249" s="343" t="s">
        <v>248</v>
      </c>
    </row>
    <row r="1250" spans="1:11" ht="26.25" customHeight="1">
      <c r="A1250" s="343" t="s">
        <v>1618</v>
      </c>
      <c r="B1250" s="344" t="s">
        <v>162</v>
      </c>
      <c r="C1250" s="344">
        <v>7497</v>
      </c>
      <c r="D1250" s="343" t="s">
        <v>3939</v>
      </c>
      <c r="E1250" s="344">
        <v>6198474</v>
      </c>
      <c r="F1250" s="343" t="s">
        <v>8384</v>
      </c>
      <c r="G1250" s="360" t="s">
        <v>10619</v>
      </c>
      <c r="H1250" s="361">
        <v>43227</v>
      </c>
      <c r="I1250" s="343" t="s">
        <v>465</v>
      </c>
      <c r="J1250" s="343" t="s">
        <v>9614</v>
      </c>
      <c r="K1250" s="343" t="s">
        <v>168</v>
      </c>
    </row>
    <row r="1251" spans="1:11" ht="26.25" customHeight="1">
      <c r="A1251" s="343" t="s">
        <v>1618</v>
      </c>
      <c r="B1251" s="344" t="s">
        <v>162</v>
      </c>
      <c r="C1251" s="344">
        <v>6649</v>
      </c>
      <c r="D1251" s="343" t="s">
        <v>4230</v>
      </c>
      <c r="E1251" s="344">
        <v>6270202</v>
      </c>
      <c r="F1251" s="343" t="s">
        <v>8385</v>
      </c>
      <c r="G1251" s="360" t="s">
        <v>10620</v>
      </c>
      <c r="H1251" s="361">
        <v>43227</v>
      </c>
      <c r="I1251" s="343" t="s">
        <v>198</v>
      </c>
      <c r="J1251" s="343" t="s">
        <v>198</v>
      </c>
      <c r="K1251" s="343" t="s">
        <v>168</v>
      </c>
    </row>
    <row r="1252" spans="1:11" ht="26.25" customHeight="1">
      <c r="A1252" s="343" t="s">
        <v>1618</v>
      </c>
      <c r="B1252" s="344" t="s">
        <v>162</v>
      </c>
      <c r="C1252" s="344">
        <v>12633</v>
      </c>
      <c r="D1252" s="343" t="s">
        <v>4101</v>
      </c>
      <c r="E1252" s="344">
        <v>5089912</v>
      </c>
      <c r="F1252" s="343" t="s">
        <v>8386</v>
      </c>
      <c r="G1252" s="360" t="s">
        <v>10621</v>
      </c>
      <c r="H1252" s="361">
        <v>43227</v>
      </c>
      <c r="I1252" s="343" t="s">
        <v>198</v>
      </c>
      <c r="J1252" s="343" t="s">
        <v>198</v>
      </c>
      <c r="K1252" s="343" t="s">
        <v>168</v>
      </c>
    </row>
    <row r="1253" spans="1:11" ht="26.25" customHeight="1">
      <c r="A1253" s="343" t="s">
        <v>1618</v>
      </c>
      <c r="B1253" s="344" t="s">
        <v>162</v>
      </c>
      <c r="C1253" s="344">
        <v>6624</v>
      </c>
      <c r="D1253" s="343" t="s">
        <v>4203</v>
      </c>
      <c r="E1253" s="344">
        <v>6156465</v>
      </c>
      <c r="F1253" s="343" t="s">
        <v>8387</v>
      </c>
      <c r="G1253" s="360" t="s">
        <v>9457</v>
      </c>
      <c r="H1253" s="361">
        <v>43227</v>
      </c>
      <c r="I1253" s="343" t="s">
        <v>193</v>
      </c>
      <c r="J1253" s="343" t="s">
        <v>637</v>
      </c>
      <c r="K1253" s="343" t="s">
        <v>168</v>
      </c>
    </row>
    <row r="1254" spans="1:11" ht="26.25" customHeight="1">
      <c r="A1254" s="343" t="s">
        <v>1618</v>
      </c>
      <c r="B1254" s="344" t="s">
        <v>162</v>
      </c>
      <c r="C1254" s="344">
        <v>9834</v>
      </c>
      <c r="D1254" s="343" t="s">
        <v>4004</v>
      </c>
      <c r="E1254" s="344">
        <v>6774689</v>
      </c>
      <c r="F1254" s="343" t="s">
        <v>8388</v>
      </c>
      <c r="G1254" s="360" t="s">
        <v>10622</v>
      </c>
      <c r="H1254" s="361">
        <v>43227</v>
      </c>
      <c r="I1254" s="343" t="s">
        <v>193</v>
      </c>
      <c r="J1254" s="343" t="s">
        <v>637</v>
      </c>
      <c r="K1254" s="343" t="s">
        <v>168</v>
      </c>
    </row>
    <row r="1255" spans="1:11" ht="26.25" customHeight="1">
      <c r="A1255" s="343" t="s">
        <v>1618</v>
      </c>
      <c r="B1255" s="344" t="s">
        <v>162</v>
      </c>
      <c r="C1255" s="344">
        <v>9834</v>
      </c>
      <c r="D1255" s="343" t="s">
        <v>4004</v>
      </c>
      <c r="E1255" s="344">
        <v>6774649</v>
      </c>
      <c r="F1255" s="343" t="s">
        <v>8389</v>
      </c>
      <c r="G1255" s="360" t="s">
        <v>10622</v>
      </c>
      <c r="H1255" s="361">
        <v>43227</v>
      </c>
      <c r="I1255" s="343" t="s">
        <v>193</v>
      </c>
      <c r="J1255" s="343" t="s">
        <v>637</v>
      </c>
      <c r="K1255" s="343" t="s">
        <v>168</v>
      </c>
    </row>
    <row r="1256" spans="1:11" ht="26.25" customHeight="1">
      <c r="A1256" s="343" t="s">
        <v>1618</v>
      </c>
      <c r="B1256" s="344" t="s">
        <v>162</v>
      </c>
      <c r="C1256" s="344">
        <v>9042</v>
      </c>
      <c r="D1256" s="343" t="s">
        <v>4283</v>
      </c>
      <c r="E1256" s="344">
        <v>6016967</v>
      </c>
      <c r="F1256" s="343" t="s">
        <v>8390</v>
      </c>
      <c r="G1256" s="360" t="s">
        <v>1329</v>
      </c>
      <c r="H1256" s="361">
        <v>43227</v>
      </c>
      <c r="I1256" s="343" t="s">
        <v>7800</v>
      </c>
      <c r="J1256" s="343" t="s">
        <v>10623</v>
      </c>
      <c r="K1256" s="343" t="s">
        <v>168</v>
      </c>
    </row>
    <row r="1257" spans="1:11" ht="26.25" customHeight="1">
      <c r="A1257" s="343" t="s">
        <v>1618</v>
      </c>
      <c r="B1257" s="344" t="s">
        <v>162</v>
      </c>
      <c r="C1257" s="344">
        <v>6989</v>
      </c>
      <c r="D1257" s="343" t="s">
        <v>4149</v>
      </c>
      <c r="E1257" s="344">
        <v>5809977</v>
      </c>
      <c r="F1257" s="343" t="s">
        <v>8391</v>
      </c>
      <c r="G1257" s="360" t="s">
        <v>10624</v>
      </c>
      <c r="H1257" s="361">
        <v>43227</v>
      </c>
      <c r="I1257" s="343" t="s">
        <v>8392</v>
      </c>
      <c r="J1257" s="343" t="s">
        <v>10625</v>
      </c>
      <c r="K1257" s="343" t="s">
        <v>168</v>
      </c>
    </row>
    <row r="1258" spans="1:11" ht="26.25" customHeight="1">
      <c r="A1258" s="343" t="s">
        <v>1618</v>
      </c>
      <c r="B1258" s="344" t="s">
        <v>162</v>
      </c>
      <c r="C1258" s="344">
        <v>9872</v>
      </c>
      <c r="D1258" s="343" t="s">
        <v>4236</v>
      </c>
      <c r="E1258" s="344">
        <v>6249227</v>
      </c>
      <c r="F1258" s="343" t="s">
        <v>8393</v>
      </c>
      <c r="G1258" s="360" t="s">
        <v>9544</v>
      </c>
      <c r="H1258" s="361">
        <v>43227</v>
      </c>
      <c r="I1258" s="343" t="s">
        <v>301</v>
      </c>
      <c r="J1258" s="343" t="s">
        <v>530</v>
      </c>
      <c r="K1258" s="343" t="s">
        <v>168</v>
      </c>
    </row>
    <row r="1259" spans="1:11" ht="26.25" customHeight="1">
      <c r="A1259" s="343" t="s">
        <v>1618</v>
      </c>
      <c r="B1259" s="344" t="s">
        <v>162</v>
      </c>
      <c r="C1259" s="344">
        <v>6977</v>
      </c>
      <c r="D1259" s="343" t="s">
        <v>4193</v>
      </c>
      <c r="E1259" s="344">
        <v>4217233</v>
      </c>
      <c r="F1259" s="343" t="s">
        <v>8394</v>
      </c>
      <c r="G1259" s="360" t="s">
        <v>983</v>
      </c>
      <c r="H1259" s="361">
        <v>43227</v>
      </c>
      <c r="I1259" s="343" t="s">
        <v>366</v>
      </c>
      <c r="J1259" s="343" t="s">
        <v>366</v>
      </c>
      <c r="K1259" s="343" t="s">
        <v>168</v>
      </c>
    </row>
    <row r="1260" spans="1:11" ht="26.25" customHeight="1">
      <c r="A1260" s="343" t="s">
        <v>1618</v>
      </c>
      <c r="B1260" s="344" t="s">
        <v>162</v>
      </c>
      <c r="C1260" s="344">
        <v>7496</v>
      </c>
      <c r="D1260" s="343" t="s">
        <v>3995</v>
      </c>
      <c r="E1260" s="344">
        <v>6884244</v>
      </c>
      <c r="F1260" s="343" t="s">
        <v>7465</v>
      </c>
      <c r="G1260" s="360" t="s">
        <v>10626</v>
      </c>
      <c r="H1260" s="361">
        <v>43230</v>
      </c>
      <c r="I1260" s="343" t="s">
        <v>166</v>
      </c>
      <c r="J1260" s="343" t="s">
        <v>10627</v>
      </c>
      <c r="K1260" s="343" t="s">
        <v>168</v>
      </c>
    </row>
    <row r="1261" spans="1:11" ht="26.25" customHeight="1">
      <c r="A1261" s="343" t="s">
        <v>1618</v>
      </c>
      <c r="B1261" s="344" t="s">
        <v>162</v>
      </c>
      <c r="C1261" s="344">
        <v>6656</v>
      </c>
      <c r="D1261" s="343" t="s">
        <v>4226</v>
      </c>
      <c r="E1261" s="344">
        <v>6399526</v>
      </c>
      <c r="F1261" s="343" t="s">
        <v>8395</v>
      </c>
      <c r="G1261" s="360" t="s">
        <v>10628</v>
      </c>
      <c r="H1261" s="361">
        <v>43231</v>
      </c>
      <c r="I1261" s="343" t="s">
        <v>180</v>
      </c>
      <c r="J1261" s="343" t="s">
        <v>10629</v>
      </c>
      <c r="K1261" s="343" t="s">
        <v>173</v>
      </c>
    </row>
    <row r="1262" spans="1:11" ht="26.25" customHeight="1">
      <c r="A1262" s="343" t="s">
        <v>1618</v>
      </c>
      <c r="B1262" s="344" t="s">
        <v>162</v>
      </c>
      <c r="C1262" s="344">
        <v>6987</v>
      </c>
      <c r="D1262" s="343" t="s">
        <v>4064</v>
      </c>
      <c r="E1262" s="344">
        <v>6034617</v>
      </c>
      <c r="F1262" s="343" t="s">
        <v>8396</v>
      </c>
      <c r="G1262" s="360" t="s">
        <v>10568</v>
      </c>
      <c r="H1262" s="361">
        <v>43234</v>
      </c>
      <c r="I1262" s="343" t="s">
        <v>606</v>
      </c>
      <c r="J1262" s="343" t="s">
        <v>10630</v>
      </c>
      <c r="K1262" s="343" t="s">
        <v>168</v>
      </c>
    </row>
    <row r="1263" spans="1:11" ht="26.25" customHeight="1">
      <c r="A1263" s="343" t="s">
        <v>1618</v>
      </c>
      <c r="B1263" s="344" t="s">
        <v>162</v>
      </c>
      <c r="C1263" s="344">
        <v>6640</v>
      </c>
      <c r="D1263" s="343" t="s">
        <v>4294</v>
      </c>
      <c r="E1263" s="344">
        <v>6254276</v>
      </c>
      <c r="F1263" s="343" t="s">
        <v>8397</v>
      </c>
      <c r="G1263" s="360" t="s">
        <v>9731</v>
      </c>
      <c r="H1263" s="361">
        <v>43234</v>
      </c>
      <c r="I1263" s="343" t="s">
        <v>166</v>
      </c>
      <c r="J1263" s="343" t="s">
        <v>327</v>
      </c>
      <c r="K1263" s="343" t="s">
        <v>168</v>
      </c>
    </row>
    <row r="1264" spans="1:11" ht="26.25" customHeight="1">
      <c r="A1264" s="343" t="s">
        <v>1618</v>
      </c>
      <c r="B1264" s="344" t="s">
        <v>162</v>
      </c>
      <c r="C1264" s="344">
        <v>9854</v>
      </c>
      <c r="D1264" s="343" t="s">
        <v>4289</v>
      </c>
      <c r="E1264" s="344">
        <v>6129947</v>
      </c>
      <c r="F1264" s="343" t="s">
        <v>8398</v>
      </c>
      <c r="G1264" s="360" t="s">
        <v>10631</v>
      </c>
      <c r="H1264" s="361">
        <v>43236</v>
      </c>
      <c r="I1264" s="343" t="s">
        <v>193</v>
      </c>
      <c r="J1264" s="343" t="s">
        <v>637</v>
      </c>
      <c r="K1264" s="343" t="s">
        <v>168</v>
      </c>
    </row>
    <row r="1265" spans="1:11" ht="26.25" customHeight="1">
      <c r="A1265" s="343" t="s">
        <v>1618</v>
      </c>
      <c r="B1265" s="344" t="s">
        <v>162</v>
      </c>
      <c r="C1265" s="344">
        <v>9854</v>
      </c>
      <c r="D1265" s="343" t="s">
        <v>4289</v>
      </c>
      <c r="E1265" s="344">
        <v>6037482</v>
      </c>
      <c r="F1265" s="343" t="s">
        <v>8399</v>
      </c>
      <c r="G1265" s="360" t="s">
        <v>9461</v>
      </c>
      <c r="H1265" s="361">
        <v>43209</v>
      </c>
      <c r="I1265" s="343" t="s">
        <v>3579</v>
      </c>
      <c r="J1265" s="343" t="s">
        <v>10632</v>
      </c>
      <c r="K1265" s="343" t="s">
        <v>173</v>
      </c>
    </row>
    <row r="1266" spans="1:11" ht="26.25" customHeight="1">
      <c r="A1266" s="343" t="s">
        <v>1618</v>
      </c>
      <c r="B1266" s="344" t="s">
        <v>162</v>
      </c>
      <c r="C1266" s="344">
        <v>13297</v>
      </c>
      <c r="D1266" s="343" t="s">
        <v>4249</v>
      </c>
      <c r="E1266" s="344">
        <v>7074979</v>
      </c>
      <c r="F1266" s="343" t="s">
        <v>8400</v>
      </c>
      <c r="G1266" s="360" t="s">
        <v>9662</v>
      </c>
      <c r="H1266" s="361">
        <v>43236</v>
      </c>
      <c r="I1266" s="343" t="s">
        <v>180</v>
      </c>
      <c r="J1266" s="343" t="s">
        <v>10633</v>
      </c>
      <c r="K1266" s="343" t="s">
        <v>173</v>
      </c>
    </row>
    <row r="1267" spans="1:11" ht="26.25" customHeight="1">
      <c r="A1267" s="343" t="s">
        <v>1618</v>
      </c>
      <c r="B1267" s="344" t="s">
        <v>162</v>
      </c>
      <c r="C1267" s="344">
        <v>9757</v>
      </c>
      <c r="D1267" s="343" t="s">
        <v>8401</v>
      </c>
      <c r="E1267" s="344">
        <v>6533160</v>
      </c>
      <c r="F1267" s="343" t="s">
        <v>8402</v>
      </c>
      <c r="G1267" s="360" t="s">
        <v>453</v>
      </c>
      <c r="H1267" s="361">
        <v>43236</v>
      </c>
      <c r="I1267" s="343" t="s">
        <v>271</v>
      </c>
      <c r="J1267" s="343" t="s">
        <v>333</v>
      </c>
      <c r="K1267" s="343" t="s">
        <v>168</v>
      </c>
    </row>
    <row r="1268" spans="1:11" ht="26.25" customHeight="1">
      <c r="A1268" s="343" t="s">
        <v>1618</v>
      </c>
      <c r="B1268" s="344" t="s">
        <v>162</v>
      </c>
      <c r="C1268" s="344">
        <v>6650</v>
      </c>
      <c r="D1268" s="343" t="s">
        <v>4208</v>
      </c>
      <c r="E1268" s="344">
        <v>6269991</v>
      </c>
      <c r="F1268" s="343" t="s">
        <v>8404</v>
      </c>
      <c r="G1268" s="360" t="s">
        <v>10634</v>
      </c>
      <c r="H1268" s="361">
        <v>43236</v>
      </c>
      <c r="I1268" s="343" t="s">
        <v>8405</v>
      </c>
      <c r="J1268" s="343" t="s">
        <v>10635</v>
      </c>
      <c r="K1268" s="343" t="s">
        <v>168</v>
      </c>
    </row>
    <row r="1269" spans="1:11" ht="26.25" customHeight="1">
      <c r="A1269" s="343" t="s">
        <v>1618</v>
      </c>
      <c r="B1269" s="344" t="s">
        <v>162</v>
      </c>
      <c r="C1269" s="344">
        <v>9669</v>
      </c>
      <c r="D1269" s="343" t="s">
        <v>4267</v>
      </c>
      <c r="E1269" s="344">
        <v>6007681</v>
      </c>
      <c r="F1269" s="343" t="s">
        <v>8406</v>
      </c>
      <c r="G1269" s="360" t="s">
        <v>10636</v>
      </c>
      <c r="H1269" s="361">
        <v>43236</v>
      </c>
      <c r="I1269" s="343" t="s">
        <v>166</v>
      </c>
      <c r="J1269" s="343" t="s">
        <v>296</v>
      </c>
      <c r="K1269" s="343" t="s">
        <v>168</v>
      </c>
    </row>
    <row r="1270" spans="1:11" ht="26.25" customHeight="1">
      <c r="A1270" s="343" t="s">
        <v>1618</v>
      </c>
      <c r="B1270" s="344" t="s">
        <v>162</v>
      </c>
      <c r="C1270" s="344">
        <v>8691</v>
      </c>
      <c r="D1270" s="343" t="s">
        <v>4254</v>
      </c>
      <c r="E1270" s="344">
        <v>5871180</v>
      </c>
      <c r="F1270" s="343" t="s">
        <v>8407</v>
      </c>
      <c r="G1270" s="360" t="s">
        <v>10637</v>
      </c>
      <c r="H1270" s="361">
        <v>43236</v>
      </c>
      <c r="I1270" s="343" t="s">
        <v>742</v>
      </c>
      <c r="J1270" s="343" t="s">
        <v>742</v>
      </c>
      <c r="K1270" s="343" t="s">
        <v>168</v>
      </c>
    </row>
    <row r="1271" spans="1:11" ht="26.25" customHeight="1">
      <c r="A1271" s="343" t="s">
        <v>1618</v>
      </c>
      <c r="B1271" s="344" t="s">
        <v>162</v>
      </c>
      <c r="C1271" s="344">
        <v>9637</v>
      </c>
      <c r="D1271" s="343" t="s">
        <v>3993</v>
      </c>
      <c r="E1271" s="344">
        <v>6993408</v>
      </c>
      <c r="F1271" s="343" t="s">
        <v>8408</v>
      </c>
      <c r="G1271" s="360" t="s">
        <v>10638</v>
      </c>
      <c r="H1271" s="361">
        <v>43238</v>
      </c>
      <c r="I1271" s="343" t="s">
        <v>301</v>
      </c>
      <c r="J1271" s="343" t="s">
        <v>1113</v>
      </c>
      <c r="K1271" s="343" t="s">
        <v>168</v>
      </c>
    </row>
    <row r="1272" spans="1:11" ht="26.25" customHeight="1">
      <c r="A1272" s="343" t="s">
        <v>1618</v>
      </c>
      <c r="B1272" s="344" t="s">
        <v>162</v>
      </c>
      <c r="C1272" s="344">
        <v>6624</v>
      </c>
      <c r="D1272" s="343" t="s">
        <v>4203</v>
      </c>
      <c r="E1272" s="344">
        <v>5969871</v>
      </c>
      <c r="F1272" s="343" t="s">
        <v>8409</v>
      </c>
      <c r="G1272" s="360" t="s">
        <v>9457</v>
      </c>
      <c r="H1272" s="361">
        <v>43238</v>
      </c>
      <c r="I1272" s="343" t="s">
        <v>198</v>
      </c>
      <c r="J1272" s="343" t="s">
        <v>198</v>
      </c>
      <c r="K1272" s="343" t="s">
        <v>168</v>
      </c>
    </row>
    <row r="1273" spans="1:11" ht="26.25" customHeight="1">
      <c r="A1273" s="343" t="s">
        <v>1618</v>
      </c>
      <c r="B1273" s="344" t="s">
        <v>162</v>
      </c>
      <c r="C1273" s="344">
        <v>9012</v>
      </c>
      <c r="D1273" s="343" t="s">
        <v>4143</v>
      </c>
      <c r="E1273" s="344">
        <v>4388054</v>
      </c>
      <c r="F1273" s="343" t="s">
        <v>8410</v>
      </c>
      <c r="G1273" s="360" t="s">
        <v>10639</v>
      </c>
      <c r="H1273" s="361">
        <v>43238</v>
      </c>
      <c r="I1273" s="343" t="s">
        <v>198</v>
      </c>
      <c r="J1273" s="343" t="s">
        <v>198</v>
      </c>
      <c r="K1273" s="343" t="s">
        <v>168</v>
      </c>
    </row>
    <row r="1274" spans="1:11" ht="26.25" customHeight="1">
      <c r="A1274" s="343" t="s">
        <v>1618</v>
      </c>
      <c r="B1274" s="344" t="s">
        <v>162</v>
      </c>
      <c r="C1274" s="344">
        <v>6971</v>
      </c>
      <c r="D1274" s="343" t="s">
        <v>4176</v>
      </c>
      <c r="E1274" s="344">
        <v>5696502</v>
      </c>
      <c r="F1274" s="343" t="s">
        <v>4237</v>
      </c>
      <c r="G1274" s="360" t="s">
        <v>10640</v>
      </c>
      <c r="H1274" s="361">
        <v>43243</v>
      </c>
      <c r="I1274" s="343" t="s">
        <v>465</v>
      </c>
      <c r="J1274" s="343" t="s">
        <v>9614</v>
      </c>
      <c r="K1274" s="343" t="s">
        <v>248</v>
      </c>
    </row>
    <row r="1275" spans="1:11" ht="26.25" customHeight="1">
      <c r="A1275" s="343" t="s">
        <v>1618</v>
      </c>
      <c r="B1275" s="344" t="s">
        <v>162</v>
      </c>
      <c r="C1275" s="344">
        <v>6974</v>
      </c>
      <c r="D1275" s="343" t="s">
        <v>4059</v>
      </c>
      <c r="E1275" s="344">
        <v>5689913</v>
      </c>
      <c r="F1275" s="343" t="s">
        <v>4291</v>
      </c>
      <c r="G1275" s="360" t="s">
        <v>1365</v>
      </c>
      <c r="H1275" s="361">
        <v>43243</v>
      </c>
      <c r="I1275" s="343" t="s">
        <v>180</v>
      </c>
      <c r="J1275" s="343" t="s">
        <v>10641</v>
      </c>
      <c r="K1275" s="343" t="s">
        <v>168</v>
      </c>
    </row>
    <row r="1276" spans="1:11" ht="26.25" customHeight="1">
      <c r="A1276" s="343" t="s">
        <v>1618</v>
      </c>
      <c r="B1276" s="344" t="s">
        <v>162</v>
      </c>
      <c r="C1276" s="344">
        <v>7466</v>
      </c>
      <c r="D1276" s="343" t="s">
        <v>3924</v>
      </c>
      <c r="E1276" s="344">
        <v>6944420</v>
      </c>
      <c r="F1276" s="343" t="s">
        <v>8411</v>
      </c>
      <c r="G1276" s="360" t="s">
        <v>10642</v>
      </c>
      <c r="H1276" s="361">
        <v>43244</v>
      </c>
      <c r="I1276" s="343" t="s">
        <v>166</v>
      </c>
      <c r="J1276" s="343" t="s">
        <v>10643</v>
      </c>
      <c r="K1276" s="343" t="s">
        <v>248</v>
      </c>
    </row>
    <row r="1277" spans="1:11" ht="26.25" customHeight="1">
      <c r="A1277" s="343" t="s">
        <v>1618</v>
      </c>
      <c r="B1277" s="344" t="s">
        <v>162</v>
      </c>
      <c r="C1277" s="344">
        <v>9899</v>
      </c>
      <c r="D1277" s="343" t="s">
        <v>3918</v>
      </c>
      <c r="E1277" s="344">
        <v>6582513</v>
      </c>
      <c r="F1277" s="343" t="s">
        <v>8412</v>
      </c>
      <c r="G1277" s="360" t="s">
        <v>9608</v>
      </c>
      <c r="H1277" s="361">
        <v>43245</v>
      </c>
      <c r="I1277" s="343" t="s">
        <v>465</v>
      </c>
      <c r="J1277" s="343" t="s">
        <v>1118</v>
      </c>
      <c r="K1277" s="343" t="s">
        <v>168</v>
      </c>
    </row>
    <row r="1278" spans="1:11" ht="26.25" customHeight="1">
      <c r="A1278" s="343" t="s">
        <v>1618</v>
      </c>
      <c r="B1278" s="344" t="s">
        <v>162</v>
      </c>
      <c r="C1278" s="344">
        <v>6658</v>
      </c>
      <c r="D1278" s="343" t="s">
        <v>4222</v>
      </c>
      <c r="E1278" s="344">
        <v>5965946</v>
      </c>
      <c r="F1278" s="343" t="s">
        <v>3925</v>
      </c>
      <c r="G1278" s="360" t="s">
        <v>10154</v>
      </c>
      <c r="H1278" s="361">
        <v>43245</v>
      </c>
      <c r="I1278" s="343" t="s">
        <v>7743</v>
      </c>
      <c r="J1278" s="343" t="s">
        <v>10644</v>
      </c>
      <c r="K1278" s="343" t="s">
        <v>168</v>
      </c>
    </row>
    <row r="1279" spans="1:11" ht="26.25" customHeight="1">
      <c r="A1279" s="343" t="s">
        <v>1618</v>
      </c>
      <c r="B1279" s="344" t="s">
        <v>162</v>
      </c>
      <c r="C1279" s="344">
        <v>7493</v>
      </c>
      <c r="D1279" s="343" t="s">
        <v>3968</v>
      </c>
      <c r="E1279" s="344">
        <v>6614218</v>
      </c>
      <c r="F1279" s="343" t="s">
        <v>8413</v>
      </c>
      <c r="G1279" s="360" t="s">
        <v>9675</v>
      </c>
      <c r="H1279" s="361">
        <v>43245</v>
      </c>
      <c r="I1279" s="343" t="s">
        <v>166</v>
      </c>
      <c r="J1279" s="343" t="s">
        <v>327</v>
      </c>
      <c r="K1279" s="343" t="s">
        <v>168</v>
      </c>
    </row>
    <row r="1280" spans="1:11" ht="26.25" customHeight="1">
      <c r="A1280" s="343" t="s">
        <v>1618</v>
      </c>
      <c r="B1280" s="344" t="s">
        <v>162</v>
      </c>
      <c r="C1280" s="344">
        <v>8481</v>
      </c>
      <c r="D1280" s="343" t="s">
        <v>4214</v>
      </c>
      <c r="E1280" s="344">
        <v>6762591</v>
      </c>
      <c r="F1280" s="343" t="s">
        <v>8414</v>
      </c>
      <c r="G1280" s="360" t="s">
        <v>1117</v>
      </c>
      <c r="H1280" s="361">
        <v>43245</v>
      </c>
      <c r="I1280" s="343" t="s">
        <v>193</v>
      </c>
      <c r="J1280" s="343" t="s">
        <v>637</v>
      </c>
      <c r="K1280" s="343" t="s">
        <v>168</v>
      </c>
    </row>
    <row r="1281" spans="1:11" ht="26.25" customHeight="1">
      <c r="A1281" s="343" t="s">
        <v>1618</v>
      </c>
      <c r="B1281" s="344" t="s">
        <v>162</v>
      </c>
      <c r="C1281" s="344">
        <v>6653</v>
      </c>
      <c r="D1281" s="343" t="s">
        <v>4200</v>
      </c>
      <c r="E1281" s="344">
        <v>6158751</v>
      </c>
      <c r="F1281" s="343" t="s">
        <v>7666</v>
      </c>
      <c r="G1281" s="360" t="s">
        <v>10016</v>
      </c>
      <c r="H1281" s="361">
        <v>43245</v>
      </c>
      <c r="I1281" s="343" t="s">
        <v>166</v>
      </c>
      <c r="J1281" s="343" t="s">
        <v>296</v>
      </c>
      <c r="K1281" s="343" t="s">
        <v>168</v>
      </c>
    </row>
    <row r="1282" spans="1:11" ht="26.25" customHeight="1">
      <c r="A1282" s="343" t="s">
        <v>1618</v>
      </c>
      <c r="B1282" s="344" t="s">
        <v>162</v>
      </c>
      <c r="C1282" s="344">
        <v>9905</v>
      </c>
      <c r="D1282" s="343" t="s">
        <v>4034</v>
      </c>
      <c r="E1282" s="344">
        <v>6167942</v>
      </c>
      <c r="F1282" s="343" t="s">
        <v>7292</v>
      </c>
      <c r="G1282" s="360" t="s">
        <v>10209</v>
      </c>
      <c r="H1282" s="361">
        <v>43245</v>
      </c>
      <c r="I1282" s="343" t="s">
        <v>301</v>
      </c>
      <c r="J1282" s="343" t="s">
        <v>1113</v>
      </c>
      <c r="K1282" s="343" t="s">
        <v>168</v>
      </c>
    </row>
    <row r="1283" spans="1:11" ht="26.25" customHeight="1">
      <c r="A1283" s="343" t="s">
        <v>1618</v>
      </c>
      <c r="B1283" s="344" t="s">
        <v>162</v>
      </c>
      <c r="C1283" s="344">
        <v>9668</v>
      </c>
      <c r="D1283" s="343" t="s">
        <v>3922</v>
      </c>
      <c r="E1283" s="344">
        <v>6616208</v>
      </c>
      <c r="F1283" s="343" t="s">
        <v>8415</v>
      </c>
      <c r="G1283" s="360" t="s">
        <v>10645</v>
      </c>
      <c r="H1283" s="361">
        <v>43245</v>
      </c>
      <c r="I1283" s="343" t="s">
        <v>193</v>
      </c>
      <c r="J1283" s="343" t="s">
        <v>637</v>
      </c>
      <c r="K1283" s="343" t="s">
        <v>168</v>
      </c>
    </row>
    <row r="1284" spans="1:11" ht="26.25" customHeight="1">
      <c r="A1284" s="343" t="s">
        <v>1618</v>
      </c>
      <c r="B1284" s="344" t="s">
        <v>162</v>
      </c>
      <c r="C1284" s="344">
        <v>9854</v>
      </c>
      <c r="D1284" s="343" t="s">
        <v>4289</v>
      </c>
      <c r="E1284" s="344">
        <v>6414112</v>
      </c>
      <c r="F1284" s="343" t="s">
        <v>8416</v>
      </c>
      <c r="G1284" s="360" t="s">
        <v>10646</v>
      </c>
      <c r="H1284" s="361">
        <v>43245</v>
      </c>
      <c r="I1284" s="343" t="s">
        <v>301</v>
      </c>
      <c r="J1284" s="343" t="s">
        <v>1113</v>
      </c>
      <c r="K1284" s="343" t="s">
        <v>168</v>
      </c>
    </row>
    <row r="1285" spans="1:11" ht="26.25" customHeight="1">
      <c r="A1285" s="343" t="s">
        <v>1618</v>
      </c>
      <c r="B1285" s="344" t="s">
        <v>162</v>
      </c>
      <c r="C1285" s="344">
        <v>6654</v>
      </c>
      <c r="D1285" s="343" t="s">
        <v>4240</v>
      </c>
      <c r="E1285" s="344">
        <v>5896181</v>
      </c>
      <c r="F1285" s="343" t="s">
        <v>4241</v>
      </c>
      <c r="G1285" s="360" t="s">
        <v>10647</v>
      </c>
      <c r="H1285" s="361">
        <v>43245</v>
      </c>
      <c r="I1285" s="343" t="s">
        <v>193</v>
      </c>
      <c r="J1285" s="343" t="s">
        <v>9532</v>
      </c>
      <c r="K1285" s="343" t="s">
        <v>168</v>
      </c>
    </row>
    <row r="1286" spans="1:11" ht="26.25" customHeight="1">
      <c r="A1286" s="343" t="s">
        <v>1618</v>
      </c>
      <c r="B1286" s="344" t="s">
        <v>162</v>
      </c>
      <c r="C1286" s="344">
        <v>6660</v>
      </c>
      <c r="D1286" s="343" t="s">
        <v>4246</v>
      </c>
      <c r="E1286" s="344">
        <v>6988386</v>
      </c>
      <c r="F1286" s="343" t="s">
        <v>8417</v>
      </c>
      <c r="G1286" s="360" t="s">
        <v>10648</v>
      </c>
      <c r="H1286" s="361">
        <v>43248</v>
      </c>
      <c r="I1286" s="343" t="s">
        <v>301</v>
      </c>
      <c r="J1286" s="343" t="s">
        <v>10197</v>
      </c>
      <c r="K1286" s="343" t="s">
        <v>168</v>
      </c>
    </row>
    <row r="1287" spans="1:11" ht="26.25" customHeight="1">
      <c r="A1287" s="343" t="s">
        <v>1618</v>
      </c>
      <c r="B1287" s="344" t="s">
        <v>162</v>
      </c>
      <c r="C1287" s="344">
        <v>9906</v>
      </c>
      <c r="D1287" s="343" t="s">
        <v>4015</v>
      </c>
      <c r="E1287" s="344">
        <v>5847225</v>
      </c>
      <c r="F1287" s="343" t="s">
        <v>8418</v>
      </c>
      <c r="G1287" s="360" t="s">
        <v>10649</v>
      </c>
      <c r="H1287" s="361">
        <v>43248</v>
      </c>
      <c r="I1287" s="343" t="s">
        <v>3606</v>
      </c>
      <c r="J1287" s="343" t="s">
        <v>3606</v>
      </c>
      <c r="K1287" s="343" t="s">
        <v>168</v>
      </c>
    </row>
    <row r="1288" spans="1:11" ht="26.25" customHeight="1">
      <c r="A1288" s="343" t="s">
        <v>1618</v>
      </c>
      <c r="B1288" s="344" t="s">
        <v>162</v>
      </c>
      <c r="C1288" s="344">
        <v>7491</v>
      </c>
      <c r="D1288" s="343" t="s">
        <v>3986</v>
      </c>
      <c r="E1288" s="344">
        <v>6187452</v>
      </c>
      <c r="F1288" s="343" t="s">
        <v>3989</v>
      </c>
      <c r="G1288" s="360" t="s">
        <v>10149</v>
      </c>
      <c r="H1288" s="361">
        <v>43250</v>
      </c>
      <c r="I1288" s="343" t="s">
        <v>166</v>
      </c>
      <c r="J1288" s="343" t="s">
        <v>296</v>
      </c>
      <c r="K1288" s="343" t="s">
        <v>168</v>
      </c>
    </row>
    <row r="1289" spans="1:11" ht="26.25" customHeight="1">
      <c r="A1289" s="343" t="s">
        <v>1618</v>
      </c>
      <c r="B1289" s="344" t="s">
        <v>162</v>
      </c>
      <c r="C1289" s="344">
        <v>9899</v>
      </c>
      <c r="D1289" s="343" t="s">
        <v>3918</v>
      </c>
      <c r="E1289" s="344">
        <v>6963767</v>
      </c>
      <c r="F1289" s="343" t="s">
        <v>8420</v>
      </c>
      <c r="G1289" s="360" t="s">
        <v>10650</v>
      </c>
      <c r="H1289" s="361">
        <v>43255</v>
      </c>
      <c r="I1289" s="343" t="s">
        <v>284</v>
      </c>
      <c r="J1289" s="343" t="s">
        <v>10651</v>
      </c>
      <c r="K1289" s="343" t="s">
        <v>168</v>
      </c>
    </row>
    <row r="1290" spans="1:11" ht="26.25" customHeight="1">
      <c r="A1290" s="343" t="s">
        <v>1618</v>
      </c>
      <c r="B1290" s="344" t="s">
        <v>162</v>
      </c>
      <c r="C1290" s="344">
        <v>6656</v>
      </c>
      <c r="D1290" s="343" t="s">
        <v>4226</v>
      </c>
      <c r="E1290" s="344">
        <v>6346369</v>
      </c>
      <c r="F1290" s="343" t="s">
        <v>8421</v>
      </c>
      <c r="G1290" s="360" t="s">
        <v>9567</v>
      </c>
      <c r="H1290" s="361">
        <v>43255</v>
      </c>
      <c r="I1290" s="343" t="s">
        <v>166</v>
      </c>
      <c r="J1290" s="343" t="s">
        <v>327</v>
      </c>
      <c r="K1290" s="343" t="s">
        <v>168</v>
      </c>
    </row>
    <row r="1291" spans="1:11" ht="26.25" customHeight="1">
      <c r="A1291" s="343" t="s">
        <v>1618</v>
      </c>
      <c r="B1291" s="344" t="s">
        <v>162</v>
      </c>
      <c r="C1291" s="344">
        <v>6658</v>
      </c>
      <c r="D1291" s="343" t="s">
        <v>4222</v>
      </c>
      <c r="E1291" s="344">
        <v>6714923</v>
      </c>
      <c r="F1291" s="343" t="s">
        <v>8422</v>
      </c>
      <c r="G1291" s="360" t="s">
        <v>10652</v>
      </c>
      <c r="H1291" s="361">
        <v>43256</v>
      </c>
      <c r="I1291" s="343" t="s">
        <v>465</v>
      </c>
      <c r="J1291" s="343" t="s">
        <v>466</v>
      </c>
      <c r="K1291" s="343" t="s">
        <v>168</v>
      </c>
    </row>
    <row r="1292" spans="1:11" ht="26.25" customHeight="1">
      <c r="A1292" s="343" t="s">
        <v>1618</v>
      </c>
      <c r="B1292" s="344" t="s">
        <v>162</v>
      </c>
      <c r="C1292" s="344">
        <v>12633</v>
      </c>
      <c r="D1292" s="343" t="s">
        <v>4101</v>
      </c>
      <c r="E1292" s="344">
        <v>5706061</v>
      </c>
      <c r="F1292" s="343" t="s">
        <v>8423</v>
      </c>
      <c r="G1292" s="360" t="s">
        <v>10653</v>
      </c>
      <c r="H1292" s="361">
        <v>43257</v>
      </c>
      <c r="I1292" s="343" t="s">
        <v>366</v>
      </c>
      <c r="J1292" s="343" t="s">
        <v>366</v>
      </c>
      <c r="K1292" s="343" t="s">
        <v>168</v>
      </c>
    </row>
    <row r="1293" spans="1:11" ht="26.25" customHeight="1">
      <c r="A1293" s="343" t="s">
        <v>1618</v>
      </c>
      <c r="B1293" s="344" t="s">
        <v>162</v>
      </c>
      <c r="C1293" s="344">
        <v>9623</v>
      </c>
      <c r="D1293" s="343" t="s">
        <v>3972</v>
      </c>
      <c r="E1293" s="344">
        <v>6711280</v>
      </c>
      <c r="F1293" s="343" t="s">
        <v>8424</v>
      </c>
      <c r="G1293" s="360" t="s">
        <v>10654</v>
      </c>
      <c r="H1293" s="361">
        <v>43257</v>
      </c>
      <c r="I1293" s="343" t="s">
        <v>1038</v>
      </c>
      <c r="J1293" s="343" t="s">
        <v>1039</v>
      </c>
      <c r="K1293" s="343" t="s">
        <v>168</v>
      </c>
    </row>
    <row r="1294" spans="1:11" ht="26.25" customHeight="1">
      <c r="A1294" s="343" t="s">
        <v>1618</v>
      </c>
      <c r="B1294" s="344" t="s">
        <v>162</v>
      </c>
      <c r="C1294" s="344">
        <v>8548</v>
      </c>
      <c r="D1294" s="343" t="s">
        <v>4170</v>
      </c>
      <c r="E1294" s="344">
        <v>4876168</v>
      </c>
      <c r="F1294" s="343" t="s">
        <v>8425</v>
      </c>
      <c r="G1294" s="360" t="s">
        <v>10655</v>
      </c>
      <c r="H1294" s="361">
        <v>43257</v>
      </c>
      <c r="I1294" s="343" t="s">
        <v>211</v>
      </c>
      <c r="J1294" s="343" t="s">
        <v>211</v>
      </c>
      <c r="K1294" s="343" t="s">
        <v>168</v>
      </c>
    </row>
    <row r="1295" spans="1:11" ht="26.25" customHeight="1">
      <c r="A1295" s="343" t="s">
        <v>1618</v>
      </c>
      <c r="B1295" s="344" t="s">
        <v>162</v>
      </c>
      <c r="C1295" s="344">
        <v>6640</v>
      </c>
      <c r="D1295" s="343" t="s">
        <v>4294</v>
      </c>
      <c r="E1295" s="344">
        <v>5958809</v>
      </c>
      <c r="F1295" s="343" t="s">
        <v>8426</v>
      </c>
      <c r="G1295" s="360" t="s">
        <v>9385</v>
      </c>
      <c r="H1295" s="361">
        <v>43257</v>
      </c>
      <c r="I1295" s="343" t="s">
        <v>465</v>
      </c>
      <c r="J1295" s="343" t="s">
        <v>9614</v>
      </c>
      <c r="K1295" s="343" t="s">
        <v>168</v>
      </c>
    </row>
    <row r="1296" spans="1:11" ht="26.25" customHeight="1">
      <c r="A1296" s="343" t="s">
        <v>1618</v>
      </c>
      <c r="B1296" s="344" t="s">
        <v>162</v>
      </c>
      <c r="C1296" s="344">
        <v>7473</v>
      </c>
      <c r="D1296" s="343" t="s">
        <v>8427</v>
      </c>
      <c r="E1296" s="344">
        <v>6805544</v>
      </c>
      <c r="F1296" s="343" t="s">
        <v>8428</v>
      </c>
      <c r="G1296" s="360" t="s">
        <v>9529</v>
      </c>
      <c r="H1296" s="361">
        <v>43257</v>
      </c>
      <c r="I1296" s="343" t="s">
        <v>166</v>
      </c>
      <c r="J1296" s="343" t="s">
        <v>327</v>
      </c>
      <c r="K1296" s="343" t="s">
        <v>168</v>
      </c>
    </row>
    <row r="1297" spans="1:11" ht="26.25" customHeight="1">
      <c r="A1297" s="343" t="s">
        <v>1618</v>
      </c>
      <c r="B1297" s="344" t="s">
        <v>162</v>
      </c>
      <c r="C1297" s="344">
        <v>6649</v>
      </c>
      <c r="D1297" s="343" t="s">
        <v>4230</v>
      </c>
      <c r="E1297" s="344">
        <v>6326739</v>
      </c>
      <c r="F1297" s="343" t="s">
        <v>8429</v>
      </c>
      <c r="G1297" s="360" t="s">
        <v>9378</v>
      </c>
      <c r="H1297" s="361">
        <v>43258</v>
      </c>
      <c r="I1297" s="343" t="s">
        <v>198</v>
      </c>
      <c r="J1297" s="343" t="s">
        <v>198</v>
      </c>
      <c r="K1297" s="343" t="s">
        <v>168</v>
      </c>
    </row>
    <row r="1298" spans="1:11" ht="26.25" customHeight="1">
      <c r="A1298" s="343" t="s">
        <v>1618</v>
      </c>
      <c r="B1298" s="344" t="s">
        <v>162</v>
      </c>
      <c r="C1298" s="344">
        <v>9660</v>
      </c>
      <c r="D1298" s="343" t="s">
        <v>4270</v>
      </c>
      <c r="E1298" s="344">
        <v>6792560</v>
      </c>
      <c r="F1298" s="343" t="s">
        <v>7762</v>
      </c>
      <c r="G1298" s="360" t="s">
        <v>10656</v>
      </c>
      <c r="H1298" s="361">
        <v>43258</v>
      </c>
      <c r="I1298" s="343" t="s">
        <v>193</v>
      </c>
      <c r="J1298" s="343" t="s">
        <v>637</v>
      </c>
      <c r="K1298" s="343" t="s">
        <v>168</v>
      </c>
    </row>
    <row r="1299" spans="1:11" ht="26.25" customHeight="1">
      <c r="A1299" s="343" t="s">
        <v>1618</v>
      </c>
      <c r="B1299" s="344" t="s">
        <v>162</v>
      </c>
      <c r="C1299" s="344">
        <v>12777</v>
      </c>
      <c r="D1299" s="343" t="s">
        <v>8351</v>
      </c>
      <c r="E1299" s="344">
        <v>5838898</v>
      </c>
      <c r="F1299" s="343" t="s">
        <v>8430</v>
      </c>
      <c r="G1299" s="360" t="s">
        <v>10657</v>
      </c>
      <c r="H1299" s="361">
        <v>43243</v>
      </c>
      <c r="I1299" s="343" t="s">
        <v>193</v>
      </c>
      <c r="J1299" s="343" t="s">
        <v>509</v>
      </c>
      <c r="K1299" s="343" t="s">
        <v>168</v>
      </c>
    </row>
    <row r="1300" spans="1:11" ht="26.25" customHeight="1">
      <c r="A1300" s="343" t="s">
        <v>1618</v>
      </c>
      <c r="B1300" s="344" t="s">
        <v>162</v>
      </c>
      <c r="C1300" s="344">
        <v>12777</v>
      </c>
      <c r="D1300" s="343" t="s">
        <v>8351</v>
      </c>
      <c r="E1300" s="344">
        <v>5774659</v>
      </c>
      <c r="F1300" s="343" t="s">
        <v>4253</v>
      </c>
      <c r="G1300" s="360" t="s">
        <v>1277</v>
      </c>
      <c r="H1300" s="361">
        <v>43162</v>
      </c>
      <c r="I1300" s="343" t="s">
        <v>4017</v>
      </c>
      <c r="J1300" s="343" t="s">
        <v>9651</v>
      </c>
      <c r="K1300" s="343" t="s">
        <v>168</v>
      </c>
    </row>
    <row r="1301" spans="1:11" ht="26.25" customHeight="1">
      <c r="A1301" s="343" t="s">
        <v>1618</v>
      </c>
      <c r="B1301" s="344" t="s">
        <v>162</v>
      </c>
      <c r="C1301" s="344">
        <v>6974</v>
      </c>
      <c r="D1301" s="343" t="s">
        <v>4059</v>
      </c>
      <c r="E1301" s="344">
        <v>5954086</v>
      </c>
      <c r="F1301" s="343" t="s">
        <v>4062</v>
      </c>
      <c r="G1301" s="360" t="s">
        <v>820</v>
      </c>
      <c r="H1301" s="361">
        <v>43262</v>
      </c>
      <c r="I1301" s="343" t="s">
        <v>166</v>
      </c>
      <c r="J1301" s="343" t="s">
        <v>296</v>
      </c>
      <c r="K1301" s="343" t="s">
        <v>168</v>
      </c>
    </row>
    <row r="1302" spans="1:11" ht="26.25" customHeight="1">
      <c r="A1302" s="343" t="s">
        <v>1618</v>
      </c>
      <c r="B1302" s="344" t="s">
        <v>162</v>
      </c>
      <c r="C1302" s="344">
        <v>11090</v>
      </c>
      <c r="D1302" s="343" t="s">
        <v>4009</v>
      </c>
      <c r="E1302" s="344">
        <v>5963784</v>
      </c>
      <c r="F1302" s="343" t="s">
        <v>8431</v>
      </c>
      <c r="G1302" s="360" t="s">
        <v>10658</v>
      </c>
      <c r="H1302" s="361">
        <v>43262</v>
      </c>
      <c r="I1302" s="343" t="s">
        <v>366</v>
      </c>
      <c r="J1302" s="343" t="s">
        <v>366</v>
      </c>
      <c r="K1302" s="343" t="s">
        <v>168</v>
      </c>
    </row>
    <row r="1303" spans="1:11" ht="26.25" customHeight="1">
      <c r="A1303" s="343" t="s">
        <v>1618</v>
      </c>
      <c r="B1303" s="344" t="s">
        <v>162</v>
      </c>
      <c r="C1303" s="344">
        <v>9534</v>
      </c>
      <c r="D1303" s="343" t="s">
        <v>3934</v>
      </c>
      <c r="E1303" s="344">
        <v>6439181</v>
      </c>
      <c r="F1303" s="343" t="s">
        <v>8432</v>
      </c>
      <c r="G1303" s="360" t="s">
        <v>10659</v>
      </c>
      <c r="H1303" s="361">
        <v>43265</v>
      </c>
      <c r="I1303" s="343" t="s">
        <v>366</v>
      </c>
      <c r="J1303" s="343" t="s">
        <v>366</v>
      </c>
      <c r="K1303" s="343" t="s">
        <v>168</v>
      </c>
    </row>
    <row r="1304" spans="1:11" ht="26.25" customHeight="1">
      <c r="A1304" s="343" t="s">
        <v>1618</v>
      </c>
      <c r="B1304" s="344" t="s">
        <v>162</v>
      </c>
      <c r="C1304" s="344">
        <v>9905</v>
      </c>
      <c r="D1304" s="343" t="s">
        <v>4034</v>
      </c>
      <c r="E1304" s="344">
        <v>5801429</v>
      </c>
      <c r="F1304" s="343" t="s">
        <v>8433</v>
      </c>
      <c r="G1304" s="360" t="s">
        <v>10660</v>
      </c>
      <c r="H1304" s="361">
        <v>43265</v>
      </c>
      <c r="I1304" s="343" t="s">
        <v>802</v>
      </c>
      <c r="J1304" s="343" t="s">
        <v>1172</v>
      </c>
      <c r="K1304" s="343" t="s">
        <v>168</v>
      </c>
    </row>
    <row r="1305" spans="1:11" ht="26.25" customHeight="1">
      <c r="A1305" s="343" t="s">
        <v>1618</v>
      </c>
      <c r="B1305" s="344" t="s">
        <v>162</v>
      </c>
      <c r="C1305" s="344">
        <v>8999</v>
      </c>
      <c r="D1305" s="343" t="s">
        <v>4278</v>
      </c>
      <c r="E1305" s="344">
        <v>6062594</v>
      </c>
      <c r="F1305" s="343" t="s">
        <v>8434</v>
      </c>
      <c r="G1305" s="360" t="s">
        <v>9957</v>
      </c>
      <c r="H1305" s="361">
        <v>43265</v>
      </c>
      <c r="I1305" s="343" t="s">
        <v>211</v>
      </c>
      <c r="J1305" s="343" t="s">
        <v>211</v>
      </c>
      <c r="K1305" s="343" t="s">
        <v>168</v>
      </c>
    </row>
    <row r="1306" spans="1:11" ht="26.25" customHeight="1">
      <c r="A1306" s="343" t="s">
        <v>1618</v>
      </c>
      <c r="B1306" s="344" t="s">
        <v>162</v>
      </c>
      <c r="C1306" s="344">
        <v>11596</v>
      </c>
      <c r="D1306" s="343" t="s">
        <v>4030</v>
      </c>
      <c r="E1306" s="344">
        <v>4729797</v>
      </c>
      <c r="F1306" s="343" t="s">
        <v>8435</v>
      </c>
      <c r="G1306" s="360" t="s">
        <v>965</v>
      </c>
      <c r="H1306" s="361">
        <v>43265</v>
      </c>
      <c r="I1306" s="343" t="s">
        <v>193</v>
      </c>
      <c r="J1306" s="343" t="s">
        <v>509</v>
      </c>
      <c r="K1306" s="343" t="s">
        <v>168</v>
      </c>
    </row>
    <row r="1307" spans="1:11" ht="26.25" customHeight="1">
      <c r="A1307" s="343" t="s">
        <v>1618</v>
      </c>
      <c r="B1307" s="344" t="s">
        <v>162</v>
      </c>
      <c r="C1307" s="344">
        <v>9834</v>
      </c>
      <c r="D1307" s="343" t="s">
        <v>4004</v>
      </c>
      <c r="E1307" s="344">
        <v>7115453</v>
      </c>
      <c r="F1307" s="343" t="s">
        <v>8436</v>
      </c>
      <c r="G1307" s="360" t="s">
        <v>10661</v>
      </c>
      <c r="H1307" s="361">
        <v>43266</v>
      </c>
      <c r="I1307" s="343" t="s">
        <v>349</v>
      </c>
      <c r="J1307" s="343" t="s">
        <v>350</v>
      </c>
      <c r="K1307" s="343" t="s">
        <v>168</v>
      </c>
    </row>
    <row r="1308" spans="1:11" ht="26.25" customHeight="1">
      <c r="A1308" s="343" t="s">
        <v>1618</v>
      </c>
      <c r="B1308" s="344" t="s">
        <v>162</v>
      </c>
      <c r="C1308" s="344">
        <v>11088</v>
      </c>
      <c r="D1308" s="343" t="s">
        <v>4041</v>
      </c>
      <c r="E1308" s="344">
        <v>6990719</v>
      </c>
      <c r="F1308" s="343" t="s">
        <v>8437</v>
      </c>
      <c r="G1308" s="360" t="s">
        <v>459</v>
      </c>
      <c r="H1308" s="361">
        <v>43266</v>
      </c>
      <c r="I1308" s="343" t="s">
        <v>198</v>
      </c>
      <c r="J1308" s="343" t="s">
        <v>198</v>
      </c>
      <c r="K1308" s="343" t="s">
        <v>168</v>
      </c>
    </row>
    <row r="1309" spans="1:11" ht="26.25" customHeight="1">
      <c r="A1309" s="343" t="s">
        <v>1618</v>
      </c>
      <c r="B1309" s="344" t="s">
        <v>162</v>
      </c>
      <c r="C1309" s="344">
        <v>9899</v>
      </c>
      <c r="D1309" s="343" t="s">
        <v>3918</v>
      </c>
      <c r="E1309" s="344">
        <v>6187195</v>
      </c>
      <c r="F1309" s="343" t="s">
        <v>8438</v>
      </c>
      <c r="G1309" s="360" t="s">
        <v>10286</v>
      </c>
      <c r="H1309" s="361">
        <v>43266</v>
      </c>
      <c r="I1309" s="343" t="s">
        <v>802</v>
      </c>
      <c r="J1309" s="343" t="s">
        <v>1172</v>
      </c>
      <c r="K1309" s="343" t="s">
        <v>168</v>
      </c>
    </row>
    <row r="1310" spans="1:11" ht="26.25" customHeight="1">
      <c r="A1310" s="343" t="s">
        <v>1618</v>
      </c>
      <c r="B1310" s="344" t="s">
        <v>162</v>
      </c>
      <c r="C1310" s="344">
        <v>8481</v>
      </c>
      <c r="D1310" s="343" t="s">
        <v>4214</v>
      </c>
      <c r="E1310" s="344">
        <v>6382943</v>
      </c>
      <c r="F1310" s="343" t="s">
        <v>8439</v>
      </c>
      <c r="G1310" s="360" t="s">
        <v>312</v>
      </c>
      <c r="H1310" s="361">
        <v>43266</v>
      </c>
      <c r="I1310" s="343" t="s">
        <v>193</v>
      </c>
      <c r="J1310" s="343" t="s">
        <v>637</v>
      </c>
      <c r="K1310" s="343" t="s">
        <v>168</v>
      </c>
    </row>
    <row r="1311" spans="1:11" ht="26.25" customHeight="1">
      <c r="A1311" s="343" t="s">
        <v>1618</v>
      </c>
      <c r="B1311" s="344" t="s">
        <v>162</v>
      </c>
      <c r="C1311" s="344">
        <v>11089</v>
      </c>
      <c r="D1311" s="343" t="s">
        <v>3997</v>
      </c>
      <c r="E1311" s="344">
        <v>6991882</v>
      </c>
      <c r="F1311" s="343" t="s">
        <v>8440</v>
      </c>
      <c r="G1311" s="360" t="s">
        <v>10662</v>
      </c>
      <c r="H1311" s="361">
        <v>43266</v>
      </c>
      <c r="I1311" s="343" t="s">
        <v>271</v>
      </c>
      <c r="J1311" s="343" t="s">
        <v>10663</v>
      </c>
      <c r="K1311" s="343" t="s">
        <v>168</v>
      </c>
    </row>
    <row r="1312" spans="1:11" ht="26.25" customHeight="1">
      <c r="A1312" s="343" t="s">
        <v>1618</v>
      </c>
      <c r="B1312" s="344" t="s">
        <v>162</v>
      </c>
      <c r="C1312" s="344">
        <v>12633</v>
      </c>
      <c r="D1312" s="343" t="s">
        <v>4101</v>
      </c>
      <c r="E1312" s="344">
        <v>4728658</v>
      </c>
      <c r="F1312" s="343" t="s">
        <v>8441</v>
      </c>
      <c r="G1312" s="360" t="s">
        <v>10664</v>
      </c>
      <c r="H1312" s="361">
        <v>43266</v>
      </c>
      <c r="I1312" s="343" t="s">
        <v>211</v>
      </c>
      <c r="J1312" s="343" t="s">
        <v>211</v>
      </c>
      <c r="K1312" s="343" t="s">
        <v>168</v>
      </c>
    </row>
    <row r="1313" spans="1:11" ht="26.25" customHeight="1">
      <c r="A1313" s="343" t="s">
        <v>1618</v>
      </c>
      <c r="B1313" s="344" t="s">
        <v>162</v>
      </c>
      <c r="C1313" s="344">
        <v>9623</v>
      </c>
      <c r="D1313" s="343" t="s">
        <v>3972</v>
      </c>
      <c r="E1313" s="344">
        <v>6304724</v>
      </c>
      <c r="F1313" s="343" t="s">
        <v>8442</v>
      </c>
      <c r="G1313" s="360" t="s">
        <v>10665</v>
      </c>
      <c r="H1313" s="361">
        <v>43266</v>
      </c>
      <c r="I1313" s="343" t="s">
        <v>271</v>
      </c>
      <c r="J1313" s="343" t="s">
        <v>533</v>
      </c>
      <c r="K1313" s="343" t="s">
        <v>168</v>
      </c>
    </row>
    <row r="1314" spans="1:11" ht="26.25" customHeight="1">
      <c r="A1314" s="343" t="s">
        <v>1618</v>
      </c>
      <c r="B1314" s="344" t="s">
        <v>162</v>
      </c>
      <c r="C1314" s="344">
        <v>9669</v>
      </c>
      <c r="D1314" s="343" t="s">
        <v>4267</v>
      </c>
      <c r="E1314" s="344">
        <v>5988822</v>
      </c>
      <c r="F1314" s="343" t="s">
        <v>8443</v>
      </c>
      <c r="G1314" s="360" t="s">
        <v>9644</v>
      </c>
      <c r="H1314" s="361">
        <v>43266</v>
      </c>
      <c r="I1314" s="343" t="s">
        <v>166</v>
      </c>
      <c r="J1314" s="343" t="s">
        <v>327</v>
      </c>
      <c r="K1314" s="343" t="s">
        <v>168</v>
      </c>
    </row>
    <row r="1315" spans="1:11" ht="26.25" customHeight="1">
      <c r="A1315" s="343" t="s">
        <v>1618</v>
      </c>
      <c r="B1315" s="344" t="s">
        <v>162</v>
      </c>
      <c r="C1315" s="344">
        <v>11596</v>
      </c>
      <c r="D1315" s="343" t="s">
        <v>4030</v>
      </c>
      <c r="E1315" s="344">
        <v>5897032</v>
      </c>
      <c r="F1315" s="343" t="s">
        <v>8444</v>
      </c>
      <c r="G1315" s="360" t="s">
        <v>10666</v>
      </c>
      <c r="H1315" s="361">
        <v>43266</v>
      </c>
      <c r="I1315" s="343" t="s">
        <v>211</v>
      </c>
      <c r="J1315" s="343" t="s">
        <v>211</v>
      </c>
      <c r="K1315" s="343" t="s">
        <v>168</v>
      </c>
    </row>
    <row r="1316" spans="1:11" ht="26.25" customHeight="1">
      <c r="A1316" s="343" t="s">
        <v>1618</v>
      </c>
      <c r="B1316" s="344" t="s">
        <v>162</v>
      </c>
      <c r="C1316" s="344">
        <v>12777</v>
      </c>
      <c r="D1316" s="343" t="s">
        <v>8351</v>
      </c>
      <c r="E1316" s="344">
        <v>6000641</v>
      </c>
      <c r="F1316" s="343" t="s">
        <v>8445</v>
      </c>
      <c r="G1316" s="360" t="s">
        <v>10667</v>
      </c>
      <c r="H1316" s="361">
        <v>43269</v>
      </c>
      <c r="I1316" s="343" t="s">
        <v>580</v>
      </c>
      <c r="J1316" s="343" t="s">
        <v>10668</v>
      </c>
      <c r="K1316" s="343" t="s">
        <v>248</v>
      </c>
    </row>
    <row r="1317" spans="1:11" ht="26.25" customHeight="1">
      <c r="A1317" s="343" t="s">
        <v>1618</v>
      </c>
      <c r="B1317" s="344" t="s">
        <v>162</v>
      </c>
      <c r="C1317" s="344">
        <v>6990</v>
      </c>
      <c r="D1317" s="343" t="s">
        <v>4091</v>
      </c>
      <c r="E1317" s="344">
        <v>4623683</v>
      </c>
      <c r="F1317" s="343" t="s">
        <v>4099</v>
      </c>
      <c r="G1317" s="360" t="s">
        <v>587</v>
      </c>
      <c r="H1317" s="361">
        <v>43269</v>
      </c>
      <c r="I1317" s="343" t="s">
        <v>193</v>
      </c>
      <c r="J1317" s="343" t="s">
        <v>637</v>
      </c>
      <c r="K1317" s="343" t="s">
        <v>168</v>
      </c>
    </row>
    <row r="1318" spans="1:11" ht="26.25" customHeight="1">
      <c r="A1318" s="343" t="s">
        <v>1618</v>
      </c>
      <c r="B1318" s="344" t="s">
        <v>162</v>
      </c>
      <c r="C1318" s="344">
        <v>7491</v>
      </c>
      <c r="D1318" s="343" t="s">
        <v>3986</v>
      </c>
      <c r="E1318" s="344">
        <v>6987237</v>
      </c>
      <c r="F1318" s="343" t="s">
        <v>9124</v>
      </c>
      <c r="G1318" s="360" t="s">
        <v>10669</v>
      </c>
      <c r="H1318" s="361">
        <v>43272</v>
      </c>
      <c r="I1318" s="343" t="s">
        <v>284</v>
      </c>
      <c r="J1318" s="343" t="s">
        <v>10670</v>
      </c>
      <c r="K1318" s="343" t="s">
        <v>168</v>
      </c>
    </row>
    <row r="1319" spans="1:11" ht="26.25" customHeight="1">
      <c r="A1319" s="343" t="s">
        <v>1618</v>
      </c>
      <c r="B1319" s="344" t="s">
        <v>162</v>
      </c>
      <c r="C1319" s="344">
        <v>9637</v>
      </c>
      <c r="D1319" s="343" t="s">
        <v>3993</v>
      </c>
      <c r="E1319" s="344">
        <v>6540732</v>
      </c>
      <c r="F1319" s="343" t="s">
        <v>9125</v>
      </c>
      <c r="G1319" s="360" t="s">
        <v>10671</v>
      </c>
      <c r="H1319" s="361">
        <v>43272</v>
      </c>
      <c r="I1319" s="343" t="s">
        <v>9126</v>
      </c>
      <c r="J1319" s="343" t="s">
        <v>10672</v>
      </c>
      <c r="K1319" s="343" t="s">
        <v>173</v>
      </c>
    </row>
    <row r="1320" spans="1:11" ht="26.25" customHeight="1">
      <c r="A1320" s="343" t="s">
        <v>1618</v>
      </c>
      <c r="B1320" s="344" t="s">
        <v>162</v>
      </c>
      <c r="C1320" s="344">
        <v>9593</v>
      </c>
      <c r="D1320" s="343" t="s">
        <v>3984</v>
      </c>
      <c r="E1320" s="344">
        <v>6891763</v>
      </c>
      <c r="F1320" s="343" t="s">
        <v>8372</v>
      </c>
      <c r="G1320" s="360" t="s">
        <v>9585</v>
      </c>
      <c r="H1320" s="361">
        <v>43277</v>
      </c>
      <c r="I1320" s="343" t="s">
        <v>3629</v>
      </c>
      <c r="J1320" s="343" t="s">
        <v>10673</v>
      </c>
      <c r="K1320" s="343" t="s">
        <v>168</v>
      </c>
    </row>
    <row r="1321" spans="1:11" ht="26.25" customHeight="1">
      <c r="A1321" s="343" t="s">
        <v>1618</v>
      </c>
      <c r="B1321" s="344" t="s">
        <v>162</v>
      </c>
      <c r="C1321" s="344">
        <v>13297</v>
      </c>
      <c r="D1321" s="343" t="s">
        <v>4249</v>
      </c>
      <c r="E1321" s="344">
        <v>6082630</v>
      </c>
      <c r="F1321" s="343" t="s">
        <v>7763</v>
      </c>
      <c r="G1321" s="360" t="s">
        <v>242</v>
      </c>
      <c r="H1321" s="361">
        <v>43277</v>
      </c>
      <c r="I1321" s="343" t="s">
        <v>6632</v>
      </c>
      <c r="J1321" s="343" t="s">
        <v>10674</v>
      </c>
      <c r="K1321" s="343" t="s">
        <v>168</v>
      </c>
    </row>
    <row r="1322" spans="1:11" ht="26.25" customHeight="1">
      <c r="A1322" s="343" t="s">
        <v>1618</v>
      </c>
      <c r="B1322" s="344" t="s">
        <v>162</v>
      </c>
      <c r="C1322" s="344">
        <v>11596</v>
      </c>
      <c r="D1322" s="343" t="s">
        <v>4030</v>
      </c>
      <c r="E1322" s="344">
        <v>5703820</v>
      </c>
      <c r="F1322" s="343" t="s">
        <v>9127</v>
      </c>
      <c r="G1322" s="360" t="s">
        <v>10675</v>
      </c>
      <c r="H1322" s="361">
        <v>43284</v>
      </c>
      <c r="I1322" s="343" t="s">
        <v>1205</v>
      </c>
      <c r="J1322" s="343" t="s">
        <v>10091</v>
      </c>
      <c r="K1322" s="343" t="s">
        <v>173</v>
      </c>
    </row>
    <row r="1323" spans="1:11" ht="26.25" customHeight="1">
      <c r="A1323" s="343" t="s">
        <v>1618</v>
      </c>
      <c r="B1323" s="344" t="s">
        <v>162</v>
      </c>
      <c r="C1323" s="344">
        <v>7475</v>
      </c>
      <c r="D1323" s="343" t="s">
        <v>3951</v>
      </c>
      <c r="E1323" s="344">
        <v>6993299</v>
      </c>
      <c r="F1323" s="343" t="s">
        <v>9128</v>
      </c>
      <c r="G1323" s="360" t="s">
        <v>10676</v>
      </c>
      <c r="H1323" s="361">
        <v>43284</v>
      </c>
      <c r="I1323" s="343" t="s">
        <v>284</v>
      </c>
      <c r="J1323" s="343" t="s">
        <v>10677</v>
      </c>
      <c r="K1323" s="343" t="s">
        <v>168</v>
      </c>
    </row>
    <row r="1324" spans="1:11" ht="26.25" customHeight="1">
      <c r="A1324" s="343" t="s">
        <v>1618</v>
      </c>
      <c r="B1324" s="344" t="s">
        <v>162</v>
      </c>
      <c r="C1324" s="344">
        <v>11090</v>
      </c>
      <c r="D1324" s="343" t="s">
        <v>4009</v>
      </c>
      <c r="E1324" s="344">
        <v>5171912</v>
      </c>
      <c r="F1324" s="343" t="s">
        <v>4010</v>
      </c>
      <c r="G1324" s="360" t="s">
        <v>10678</v>
      </c>
      <c r="H1324" s="361">
        <v>43292</v>
      </c>
      <c r="I1324" s="343" t="s">
        <v>193</v>
      </c>
      <c r="J1324" s="343" t="s">
        <v>509</v>
      </c>
      <c r="K1324" s="343" t="s">
        <v>168</v>
      </c>
    </row>
    <row r="1325" spans="1:11" ht="26.25" customHeight="1">
      <c r="A1325" s="343" t="s">
        <v>1618</v>
      </c>
      <c r="B1325" s="344" t="s">
        <v>162</v>
      </c>
      <c r="C1325" s="344">
        <v>9534</v>
      </c>
      <c r="D1325" s="343" t="s">
        <v>3934</v>
      </c>
      <c r="E1325" s="344">
        <v>6599633</v>
      </c>
      <c r="F1325" s="343" t="s">
        <v>8419</v>
      </c>
      <c r="G1325" s="360" t="s">
        <v>10444</v>
      </c>
      <c r="H1325" s="361">
        <v>43292</v>
      </c>
      <c r="I1325" s="343" t="s">
        <v>423</v>
      </c>
      <c r="J1325" s="343" t="s">
        <v>10679</v>
      </c>
      <c r="K1325" s="343" t="s">
        <v>168</v>
      </c>
    </row>
    <row r="1326" spans="1:11" ht="26.25" customHeight="1">
      <c r="A1326" s="343" t="s">
        <v>1618</v>
      </c>
      <c r="B1326" s="344" t="s">
        <v>162</v>
      </c>
      <c r="C1326" s="344">
        <v>9623</v>
      </c>
      <c r="D1326" s="343" t="s">
        <v>3972</v>
      </c>
      <c r="E1326" s="344">
        <v>6498274</v>
      </c>
      <c r="F1326" s="343" t="s">
        <v>9225</v>
      </c>
      <c r="G1326" s="360" t="s">
        <v>10680</v>
      </c>
      <c r="H1326" s="361">
        <v>43293</v>
      </c>
      <c r="I1326" s="343" t="s">
        <v>366</v>
      </c>
      <c r="J1326" s="343" t="s">
        <v>366</v>
      </c>
      <c r="K1326" s="343" t="s">
        <v>168</v>
      </c>
    </row>
    <row r="1327" spans="1:11" ht="26.25" customHeight="1">
      <c r="A1327" s="343" t="s">
        <v>1618</v>
      </c>
      <c r="B1327" s="344" t="s">
        <v>162</v>
      </c>
      <c r="C1327" s="344">
        <v>10402</v>
      </c>
      <c r="D1327" s="343" t="s">
        <v>4036</v>
      </c>
      <c r="E1327" s="344">
        <v>6143727</v>
      </c>
      <c r="F1327" s="343" t="s">
        <v>9227</v>
      </c>
      <c r="G1327" s="360" t="s">
        <v>10681</v>
      </c>
      <c r="H1327" s="361">
        <v>43293</v>
      </c>
      <c r="I1327" s="343" t="s">
        <v>193</v>
      </c>
      <c r="J1327" s="343" t="s">
        <v>637</v>
      </c>
      <c r="K1327" s="343" t="s">
        <v>168</v>
      </c>
    </row>
    <row r="1328" spans="1:11" ht="26.25" customHeight="1">
      <c r="A1328" s="343" t="s">
        <v>1618</v>
      </c>
      <c r="B1328" s="344" t="s">
        <v>162</v>
      </c>
      <c r="C1328" s="344">
        <v>12633</v>
      </c>
      <c r="D1328" s="343" t="s">
        <v>4101</v>
      </c>
      <c r="E1328" s="344">
        <v>5771766</v>
      </c>
      <c r="F1328" s="343" t="s">
        <v>9223</v>
      </c>
      <c r="G1328" s="360" t="s">
        <v>10682</v>
      </c>
      <c r="H1328" s="361">
        <v>43293</v>
      </c>
      <c r="I1328" s="343" t="s">
        <v>193</v>
      </c>
      <c r="J1328" s="343" t="s">
        <v>637</v>
      </c>
      <c r="K1328" s="343" t="s">
        <v>168</v>
      </c>
    </row>
    <row r="1329" spans="1:11" ht="26.25" customHeight="1">
      <c r="A1329" s="343" t="s">
        <v>1618</v>
      </c>
      <c r="B1329" s="344" t="s">
        <v>162</v>
      </c>
      <c r="C1329" s="344">
        <v>9899</v>
      </c>
      <c r="D1329" s="343" t="s">
        <v>3918</v>
      </c>
      <c r="E1329" s="344">
        <v>7053651</v>
      </c>
      <c r="F1329" s="343" t="s">
        <v>9222</v>
      </c>
      <c r="G1329" s="360" t="s">
        <v>10683</v>
      </c>
      <c r="H1329" s="361">
        <v>43293</v>
      </c>
      <c r="I1329" s="343" t="s">
        <v>166</v>
      </c>
      <c r="J1329" s="343" t="s">
        <v>9413</v>
      </c>
      <c r="K1329" s="343" t="s">
        <v>168</v>
      </c>
    </row>
    <row r="1330" spans="1:11" ht="26.25" customHeight="1">
      <c r="A1330" s="343" t="s">
        <v>1618</v>
      </c>
      <c r="B1330" s="344" t="s">
        <v>162</v>
      </c>
      <c r="C1330" s="344">
        <v>6660</v>
      </c>
      <c r="D1330" s="343" t="s">
        <v>4246</v>
      </c>
      <c r="E1330" s="344">
        <v>6736438</v>
      </c>
      <c r="F1330" s="343" t="s">
        <v>5991</v>
      </c>
      <c r="G1330" s="360" t="s">
        <v>10684</v>
      </c>
      <c r="H1330" s="361">
        <v>43312</v>
      </c>
      <c r="I1330" s="343" t="s">
        <v>193</v>
      </c>
      <c r="J1330" s="343" t="s">
        <v>637</v>
      </c>
      <c r="K1330" s="343" t="s">
        <v>168</v>
      </c>
    </row>
    <row r="1331" spans="1:11" ht="26.25" customHeight="1">
      <c r="A1331" s="343" t="s">
        <v>1618</v>
      </c>
      <c r="B1331" s="344" t="s">
        <v>162</v>
      </c>
      <c r="C1331" s="344">
        <v>9732</v>
      </c>
      <c r="D1331" s="343" t="s">
        <v>3958</v>
      </c>
      <c r="E1331" s="344">
        <v>7076348</v>
      </c>
      <c r="F1331" s="343" t="s">
        <v>9221</v>
      </c>
      <c r="G1331" s="360" t="s">
        <v>10685</v>
      </c>
      <c r="H1331" s="361">
        <v>43315</v>
      </c>
      <c r="I1331" s="343" t="s">
        <v>166</v>
      </c>
      <c r="J1331" s="343" t="s">
        <v>682</v>
      </c>
      <c r="K1331" s="343" t="s">
        <v>168</v>
      </c>
    </row>
    <row r="1332" spans="1:11" ht="26.25" customHeight="1">
      <c r="A1332" s="343" t="s">
        <v>1618</v>
      </c>
      <c r="B1332" s="344" t="s">
        <v>162</v>
      </c>
      <c r="C1332" s="344">
        <v>13297</v>
      </c>
      <c r="D1332" s="343" t="s">
        <v>4249</v>
      </c>
      <c r="E1332" s="344">
        <v>6429773</v>
      </c>
      <c r="F1332" s="343" t="s">
        <v>4250</v>
      </c>
      <c r="G1332" s="360" t="s">
        <v>9519</v>
      </c>
      <c r="H1332" s="361">
        <v>43318</v>
      </c>
      <c r="I1332" s="343" t="s">
        <v>4251</v>
      </c>
      <c r="J1332" s="343" t="s">
        <v>10686</v>
      </c>
      <c r="K1332" s="343" t="s">
        <v>168</v>
      </c>
    </row>
    <row r="1333" spans="1:11" ht="26.25" customHeight="1">
      <c r="A1333" s="343" t="s">
        <v>1618</v>
      </c>
      <c r="B1333" s="344" t="s">
        <v>162</v>
      </c>
      <c r="C1333" s="344">
        <v>9899</v>
      </c>
      <c r="D1333" s="343" t="s">
        <v>3918</v>
      </c>
      <c r="E1333" s="344">
        <v>6838677</v>
      </c>
      <c r="F1333" s="343" t="s">
        <v>7088</v>
      </c>
      <c r="G1333" s="360" t="s">
        <v>10687</v>
      </c>
      <c r="H1333" s="361">
        <v>43318</v>
      </c>
      <c r="I1333" s="343" t="s">
        <v>271</v>
      </c>
      <c r="J1333" s="343" t="s">
        <v>10688</v>
      </c>
      <c r="K1333" s="343" t="s">
        <v>168</v>
      </c>
    </row>
    <row r="1334" spans="1:11" ht="26.25" customHeight="1">
      <c r="A1334" s="343" t="s">
        <v>1618</v>
      </c>
      <c r="B1334" s="344" t="s">
        <v>162</v>
      </c>
      <c r="C1334" s="344">
        <v>10402</v>
      </c>
      <c r="D1334" s="343" t="s">
        <v>4036</v>
      </c>
      <c r="E1334" s="344">
        <v>6082213</v>
      </c>
      <c r="F1334" s="343" t="s">
        <v>8403</v>
      </c>
      <c r="G1334" s="360" t="s">
        <v>10082</v>
      </c>
      <c r="H1334" s="361">
        <v>43318</v>
      </c>
      <c r="I1334" s="343" t="s">
        <v>9226</v>
      </c>
      <c r="J1334" s="343" t="s">
        <v>10689</v>
      </c>
      <c r="K1334" s="343" t="s">
        <v>248</v>
      </c>
    </row>
    <row r="1335" spans="1:11" ht="26.25" customHeight="1">
      <c r="A1335" s="343" t="s">
        <v>1618</v>
      </c>
      <c r="B1335" s="344" t="s">
        <v>162</v>
      </c>
      <c r="C1335" s="344">
        <v>9637</v>
      </c>
      <c r="D1335" s="343" t="s">
        <v>3993</v>
      </c>
      <c r="E1335" s="344">
        <v>6890434</v>
      </c>
      <c r="F1335" s="343" t="s">
        <v>8364</v>
      </c>
      <c r="G1335" s="360" t="s">
        <v>10690</v>
      </c>
      <c r="H1335" s="361">
        <v>43325</v>
      </c>
      <c r="I1335" s="343" t="s">
        <v>271</v>
      </c>
      <c r="J1335" s="343" t="s">
        <v>10691</v>
      </c>
      <c r="K1335" s="343" t="s">
        <v>168</v>
      </c>
    </row>
    <row r="1336" spans="1:11" ht="26.25" customHeight="1">
      <c r="A1336" s="343" t="s">
        <v>1618</v>
      </c>
      <c r="B1336" s="344" t="s">
        <v>162</v>
      </c>
      <c r="C1336" s="344">
        <v>7496</v>
      </c>
      <c r="D1336" s="343" t="s">
        <v>3995</v>
      </c>
      <c r="E1336" s="344">
        <v>6690556</v>
      </c>
      <c r="F1336" s="343" t="s">
        <v>9224</v>
      </c>
      <c r="G1336" s="360" t="s">
        <v>10692</v>
      </c>
      <c r="H1336" s="361">
        <v>43325</v>
      </c>
      <c r="I1336" s="343" t="s">
        <v>271</v>
      </c>
      <c r="J1336" s="343" t="s">
        <v>533</v>
      </c>
      <c r="K1336" s="343" t="s">
        <v>168</v>
      </c>
    </row>
    <row r="1337" spans="1:11" ht="26.25" customHeight="1">
      <c r="A1337" s="343" t="s">
        <v>1618</v>
      </c>
      <c r="B1337" s="344" t="s">
        <v>162</v>
      </c>
      <c r="C1337" s="344">
        <v>9012</v>
      </c>
      <c r="D1337" s="343" t="s">
        <v>4143</v>
      </c>
      <c r="E1337" s="344">
        <v>5919950</v>
      </c>
      <c r="F1337" s="343" t="s">
        <v>9228</v>
      </c>
      <c r="G1337" s="360" t="s">
        <v>10693</v>
      </c>
      <c r="H1337" s="361">
        <v>43326</v>
      </c>
      <c r="I1337" s="343" t="s">
        <v>180</v>
      </c>
      <c r="J1337" s="343" t="s">
        <v>10694</v>
      </c>
      <c r="K1337" s="343" t="s">
        <v>168</v>
      </c>
    </row>
    <row r="1338" spans="1:11" ht="26.25" customHeight="1">
      <c r="A1338" s="343" t="s">
        <v>1618</v>
      </c>
      <c r="B1338" s="344" t="s">
        <v>162</v>
      </c>
      <c r="C1338" s="344">
        <v>11597</v>
      </c>
      <c r="D1338" s="343" t="s">
        <v>4007</v>
      </c>
      <c r="E1338" s="344">
        <v>6631523</v>
      </c>
      <c r="F1338" s="343" t="s">
        <v>10695</v>
      </c>
      <c r="G1338" s="360" t="s">
        <v>10696</v>
      </c>
      <c r="H1338" s="361">
        <v>43329</v>
      </c>
      <c r="I1338" s="343" t="s">
        <v>193</v>
      </c>
      <c r="J1338" s="343" t="s">
        <v>10697</v>
      </c>
      <c r="K1338" s="343" t="s">
        <v>168</v>
      </c>
    </row>
    <row r="1339" spans="1:11" ht="26.25" customHeight="1">
      <c r="A1339" s="343" t="s">
        <v>1618</v>
      </c>
      <c r="B1339" s="344" t="s">
        <v>162</v>
      </c>
      <c r="C1339" s="344">
        <v>6969</v>
      </c>
      <c r="D1339" s="343" t="s">
        <v>4057</v>
      </c>
      <c r="E1339" s="344">
        <v>4354566</v>
      </c>
      <c r="F1339" s="343" t="s">
        <v>7072</v>
      </c>
      <c r="G1339" s="360" t="s">
        <v>998</v>
      </c>
      <c r="H1339" s="361">
        <v>43329</v>
      </c>
      <c r="I1339" s="343" t="s">
        <v>366</v>
      </c>
      <c r="J1339" s="343" t="s">
        <v>366</v>
      </c>
      <c r="K1339" s="343" t="s">
        <v>168</v>
      </c>
    </row>
    <row r="1340" spans="1:11" ht="26.25" customHeight="1">
      <c r="A1340" s="343" t="s">
        <v>1618</v>
      </c>
      <c r="B1340" s="344" t="s">
        <v>162</v>
      </c>
      <c r="C1340" s="344">
        <v>12633</v>
      </c>
      <c r="D1340" s="343" t="s">
        <v>4101</v>
      </c>
      <c r="E1340" s="344">
        <v>5139252</v>
      </c>
      <c r="F1340" s="343" t="s">
        <v>10698</v>
      </c>
      <c r="G1340" s="360" t="s">
        <v>10699</v>
      </c>
      <c r="H1340" s="361">
        <v>43329</v>
      </c>
      <c r="I1340" s="343" t="s">
        <v>198</v>
      </c>
      <c r="J1340" s="343" t="s">
        <v>198</v>
      </c>
      <c r="K1340" s="343" t="s">
        <v>168</v>
      </c>
    </row>
    <row r="1341" spans="1:11" ht="26.25" customHeight="1">
      <c r="A1341" s="343" t="s">
        <v>1618</v>
      </c>
      <c r="B1341" s="344" t="s">
        <v>162</v>
      </c>
      <c r="C1341" s="344">
        <v>9899</v>
      </c>
      <c r="D1341" s="343" t="s">
        <v>3918</v>
      </c>
      <c r="E1341" s="344">
        <v>6220066</v>
      </c>
      <c r="F1341" s="343" t="s">
        <v>10700</v>
      </c>
      <c r="G1341" s="360" t="s">
        <v>10610</v>
      </c>
      <c r="H1341" s="361">
        <v>43332</v>
      </c>
      <c r="I1341" s="343" t="s">
        <v>802</v>
      </c>
      <c r="J1341" s="343" t="s">
        <v>1172</v>
      </c>
      <c r="K1341" s="343" t="s">
        <v>168</v>
      </c>
    </row>
    <row r="1342" spans="1:11" ht="26.25" customHeight="1">
      <c r="A1342" s="343" t="s">
        <v>1618</v>
      </c>
      <c r="B1342" s="344" t="s">
        <v>162</v>
      </c>
      <c r="C1342" s="344">
        <v>6656</v>
      </c>
      <c r="D1342" s="343" t="s">
        <v>4226</v>
      </c>
      <c r="E1342" s="344">
        <v>6551041</v>
      </c>
      <c r="F1342" s="343" t="s">
        <v>4228</v>
      </c>
      <c r="G1342" s="360" t="s">
        <v>10424</v>
      </c>
      <c r="H1342" s="361">
        <v>43332</v>
      </c>
      <c r="I1342" s="343" t="s">
        <v>8591</v>
      </c>
      <c r="J1342" s="343" t="s">
        <v>10701</v>
      </c>
      <c r="K1342" s="343" t="s">
        <v>248</v>
      </c>
    </row>
    <row r="1343" spans="1:11" ht="26.25" customHeight="1">
      <c r="A1343" s="343" t="s">
        <v>1618</v>
      </c>
      <c r="B1343" s="344" t="s">
        <v>162</v>
      </c>
      <c r="C1343" s="344">
        <v>7493</v>
      </c>
      <c r="D1343" s="343" t="s">
        <v>3968</v>
      </c>
      <c r="E1343" s="344">
        <v>6820130</v>
      </c>
      <c r="F1343" s="343" t="s">
        <v>10702</v>
      </c>
      <c r="G1343" s="360" t="s">
        <v>10703</v>
      </c>
      <c r="H1343" s="361">
        <v>43332</v>
      </c>
      <c r="I1343" s="343" t="s">
        <v>166</v>
      </c>
      <c r="J1343" s="343" t="s">
        <v>327</v>
      </c>
      <c r="K1343" s="343" t="s">
        <v>168</v>
      </c>
    </row>
    <row r="1344" spans="1:11" ht="26.25" customHeight="1">
      <c r="A1344" s="343" t="s">
        <v>1618</v>
      </c>
      <c r="B1344" s="344" t="s">
        <v>162</v>
      </c>
      <c r="C1344" s="344">
        <v>11597</v>
      </c>
      <c r="D1344" s="343" t="s">
        <v>4007</v>
      </c>
      <c r="E1344" s="344">
        <v>7014620</v>
      </c>
      <c r="F1344" s="343" t="s">
        <v>10704</v>
      </c>
      <c r="G1344" s="360" t="s">
        <v>10705</v>
      </c>
      <c r="H1344" s="361">
        <v>43333</v>
      </c>
      <c r="I1344" s="343" t="s">
        <v>423</v>
      </c>
      <c r="J1344" s="343" t="s">
        <v>10706</v>
      </c>
      <c r="K1344" s="343" t="s">
        <v>168</v>
      </c>
    </row>
    <row r="1345" spans="1:11" ht="26.25" customHeight="1">
      <c r="A1345" s="343" t="s">
        <v>1618</v>
      </c>
      <c r="B1345" s="344" t="s">
        <v>162</v>
      </c>
      <c r="C1345" s="344">
        <v>6650</v>
      </c>
      <c r="D1345" s="343" t="s">
        <v>4208</v>
      </c>
      <c r="E1345" s="344">
        <v>6848327</v>
      </c>
      <c r="F1345" s="343" t="s">
        <v>10707</v>
      </c>
      <c r="G1345" s="360" t="s">
        <v>10708</v>
      </c>
      <c r="H1345" s="361">
        <v>43333</v>
      </c>
      <c r="I1345" s="343" t="s">
        <v>198</v>
      </c>
      <c r="J1345" s="343" t="s">
        <v>198</v>
      </c>
      <c r="K1345" s="343" t="s">
        <v>168</v>
      </c>
    </row>
    <row r="1346" spans="1:11" ht="26.25" customHeight="1">
      <c r="A1346" s="343" t="s">
        <v>1618</v>
      </c>
      <c r="B1346" s="344" t="s">
        <v>162</v>
      </c>
      <c r="C1346" s="344">
        <v>9012</v>
      </c>
      <c r="D1346" s="343" t="s">
        <v>4143</v>
      </c>
      <c r="E1346" s="344">
        <v>4881891</v>
      </c>
      <c r="F1346" s="343" t="s">
        <v>10709</v>
      </c>
      <c r="G1346" s="360" t="s">
        <v>10710</v>
      </c>
      <c r="H1346" s="361">
        <v>43333</v>
      </c>
      <c r="I1346" s="343" t="s">
        <v>193</v>
      </c>
      <c r="J1346" s="343" t="s">
        <v>9511</v>
      </c>
      <c r="K1346" s="343" t="s">
        <v>168</v>
      </c>
    </row>
    <row r="1347" spans="1:11" ht="26.25" customHeight="1">
      <c r="A1347" s="343" t="s">
        <v>1618</v>
      </c>
      <c r="B1347" s="344" t="s">
        <v>162</v>
      </c>
      <c r="C1347" s="344">
        <v>7490</v>
      </c>
      <c r="D1347" s="343" t="s">
        <v>3967</v>
      </c>
      <c r="E1347" s="344">
        <v>7033352</v>
      </c>
      <c r="F1347" s="343" t="s">
        <v>10711</v>
      </c>
      <c r="G1347" s="360" t="s">
        <v>10712</v>
      </c>
      <c r="H1347" s="361">
        <v>43333</v>
      </c>
      <c r="I1347" s="343" t="s">
        <v>193</v>
      </c>
      <c r="J1347" s="343" t="s">
        <v>509</v>
      </c>
      <c r="K1347" s="343" t="s">
        <v>168</v>
      </c>
    </row>
    <row r="1348" spans="1:11" ht="26.25" customHeight="1">
      <c r="A1348" s="343" t="s">
        <v>1618</v>
      </c>
      <c r="B1348" s="344" t="s">
        <v>162</v>
      </c>
      <c r="C1348" s="344">
        <v>7490</v>
      </c>
      <c r="D1348" s="343" t="s">
        <v>3967</v>
      </c>
      <c r="E1348" s="344">
        <v>6839469</v>
      </c>
      <c r="F1348" s="343" t="s">
        <v>10713</v>
      </c>
      <c r="G1348" s="360" t="s">
        <v>10714</v>
      </c>
      <c r="H1348" s="361">
        <v>43333</v>
      </c>
      <c r="I1348" s="343" t="s">
        <v>313</v>
      </c>
      <c r="J1348" s="343" t="s">
        <v>397</v>
      </c>
      <c r="K1348" s="343" t="s">
        <v>173</v>
      </c>
    </row>
    <row r="1349" spans="1:11" ht="26.25" customHeight="1">
      <c r="A1349" s="343" t="s">
        <v>1618</v>
      </c>
      <c r="B1349" s="344" t="s">
        <v>162</v>
      </c>
      <c r="C1349" s="344">
        <v>7466</v>
      </c>
      <c r="D1349" s="343" t="s">
        <v>3924</v>
      </c>
      <c r="E1349" s="344">
        <v>6620572</v>
      </c>
      <c r="F1349" s="343" t="s">
        <v>10715</v>
      </c>
      <c r="G1349" s="360" t="s">
        <v>10716</v>
      </c>
      <c r="H1349" s="361">
        <v>43329</v>
      </c>
      <c r="I1349" s="343" t="s">
        <v>193</v>
      </c>
      <c r="J1349" s="343" t="s">
        <v>637</v>
      </c>
      <c r="K1349" s="343" t="s">
        <v>168</v>
      </c>
    </row>
    <row r="1350" spans="1:11" ht="26.25" customHeight="1">
      <c r="A1350" s="343" t="s">
        <v>1618</v>
      </c>
      <c r="B1350" s="344" t="s">
        <v>162</v>
      </c>
      <c r="C1350" s="344">
        <v>7470</v>
      </c>
      <c r="D1350" s="343" t="s">
        <v>3929</v>
      </c>
      <c r="E1350" s="344">
        <v>6965459</v>
      </c>
      <c r="F1350" s="343" t="s">
        <v>10717</v>
      </c>
      <c r="G1350" s="360" t="s">
        <v>10718</v>
      </c>
      <c r="H1350" s="361">
        <v>43336</v>
      </c>
      <c r="I1350" s="343" t="s">
        <v>193</v>
      </c>
      <c r="J1350" s="343" t="s">
        <v>603</v>
      </c>
      <c r="K1350" s="343" t="s">
        <v>168</v>
      </c>
    </row>
    <row r="1351" spans="1:11" ht="26.25" customHeight="1">
      <c r="A1351" s="343" t="s">
        <v>1618</v>
      </c>
      <c r="B1351" s="344" t="s">
        <v>162</v>
      </c>
      <c r="C1351" s="344">
        <v>12777</v>
      </c>
      <c r="D1351" s="343" t="s">
        <v>8351</v>
      </c>
      <c r="E1351" s="344">
        <v>6557717</v>
      </c>
      <c r="F1351" s="343" t="s">
        <v>10719</v>
      </c>
      <c r="G1351" s="360" t="s">
        <v>10720</v>
      </c>
      <c r="H1351" s="361">
        <v>43339</v>
      </c>
      <c r="I1351" s="343" t="s">
        <v>366</v>
      </c>
      <c r="J1351" s="343" t="s">
        <v>366</v>
      </c>
      <c r="K1351" s="343" t="s">
        <v>168</v>
      </c>
    </row>
    <row r="1352" spans="1:11" ht="26.25" customHeight="1">
      <c r="A1352" s="343" t="s">
        <v>1618</v>
      </c>
      <c r="B1352" s="344" t="s">
        <v>162</v>
      </c>
      <c r="C1352" s="344">
        <v>9732</v>
      </c>
      <c r="D1352" s="343" t="s">
        <v>3958</v>
      </c>
      <c r="E1352" s="344">
        <v>6740245</v>
      </c>
      <c r="F1352" s="343" t="s">
        <v>3961</v>
      </c>
      <c r="G1352" s="360" t="s">
        <v>10721</v>
      </c>
      <c r="H1352" s="361">
        <v>43339</v>
      </c>
      <c r="I1352" s="343" t="s">
        <v>366</v>
      </c>
      <c r="J1352" s="343" t="s">
        <v>366</v>
      </c>
      <c r="K1352" s="343" t="s">
        <v>168</v>
      </c>
    </row>
    <row r="1353" spans="1:11" ht="26.25" customHeight="1">
      <c r="A1353" s="343" t="s">
        <v>1618</v>
      </c>
      <c r="B1353" s="344" t="s">
        <v>162</v>
      </c>
      <c r="C1353" s="344">
        <v>9872</v>
      </c>
      <c r="D1353" s="343" t="s">
        <v>4236</v>
      </c>
      <c r="E1353" s="344">
        <v>6247170</v>
      </c>
      <c r="F1353" s="343" t="s">
        <v>8376</v>
      </c>
      <c r="G1353" s="360" t="s">
        <v>10722</v>
      </c>
      <c r="H1353" s="361">
        <v>43340</v>
      </c>
      <c r="I1353" s="343" t="s">
        <v>10723</v>
      </c>
      <c r="J1353" s="343" t="s">
        <v>10724</v>
      </c>
      <c r="K1353" s="343" t="s">
        <v>168</v>
      </c>
    </row>
    <row r="1354" spans="1:11" ht="26.25" customHeight="1">
      <c r="A1354" s="343" t="s">
        <v>4304</v>
      </c>
      <c r="B1354" s="344" t="s">
        <v>162</v>
      </c>
      <c r="C1354" s="344">
        <v>7149</v>
      </c>
      <c r="D1354" s="343" t="s">
        <v>4599</v>
      </c>
      <c r="E1354" s="344">
        <v>4197361</v>
      </c>
      <c r="F1354" s="343" t="s">
        <v>4601</v>
      </c>
      <c r="G1354" s="360" t="s">
        <v>10725</v>
      </c>
      <c r="H1354" s="361">
        <v>42326</v>
      </c>
      <c r="I1354" s="343" t="s">
        <v>366</v>
      </c>
      <c r="J1354" s="343" t="s">
        <v>366</v>
      </c>
      <c r="K1354" s="343" t="s">
        <v>168</v>
      </c>
    </row>
    <row r="1355" spans="1:11" ht="26.25" customHeight="1">
      <c r="A1355" s="343" t="s">
        <v>4304</v>
      </c>
      <c r="B1355" s="344" t="s">
        <v>162</v>
      </c>
      <c r="C1355" s="344">
        <v>7150</v>
      </c>
      <c r="D1355" s="343" t="s">
        <v>4533</v>
      </c>
      <c r="E1355" s="344">
        <v>5787001</v>
      </c>
      <c r="F1355" s="343" t="s">
        <v>4543</v>
      </c>
      <c r="G1355" s="360" t="s">
        <v>895</v>
      </c>
      <c r="H1355" s="361">
        <v>42334</v>
      </c>
      <c r="I1355" s="343" t="s">
        <v>366</v>
      </c>
      <c r="J1355" s="343" t="s">
        <v>366</v>
      </c>
      <c r="K1355" s="343" t="s">
        <v>168</v>
      </c>
    </row>
    <row r="1356" spans="1:11" ht="26.25" customHeight="1">
      <c r="A1356" s="343" t="s">
        <v>4304</v>
      </c>
      <c r="B1356" s="344" t="s">
        <v>162</v>
      </c>
      <c r="C1356" s="344">
        <v>7147</v>
      </c>
      <c r="D1356" s="343" t="s">
        <v>4504</v>
      </c>
      <c r="E1356" s="344">
        <v>4542235</v>
      </c>
      <c r="F1356" s="343" t="s">
        <v>4505</v>
      </c>
      <c r="G1356" s="360" t="s">
        <v>10726</v>
      </c>
      <c r="H1356" s="361">
        <v>42242</v>
      </c>
      <c r="I1356" s="343" t="s">
        <v>180</v>
      </c>
      <c r="J1356" s="343" t="s">
        <v>10727</v>
      </c>
      <c r="K1356" s="343" t="s">
        <v>173</v>
      </c>
    </row>
    <row r="1357" spans="1:11" ht="26.25" customHeight="1">
      <c r="A1357" s="343" t="s">
        <v>4304</v>
      </c>
      <c r="B1357" s="344" t="s">
        <v>162</v>
      </c>
      <c r="C1357" s="344">
        <v>8430</v>
      </c>
      <c r="D1357" s="343" t="s">
        <v>4421</v>
      </c>
      <c r="E1357" s="344">
        <v>4515589</v>
      </c>
      <c r="F1357" s="343" t="s">
        <v>4423</v>
      </c>
      <c r="G1357" s="360" t="s">
        <v>840</v>
      </c>
      <c r="H1357" s="361">
        <v>42347</v>
      </c>
      <c r="I1357" s="343" t="s">
        <v>4424</v>
      </c>
      <c r="J1357" s="343" t="s">
        <v>10728</v>
      </c>
      <c r="K1357" s="343" t="s">
        <v>168</v>
      </c>
    </row>
    <row r="1358" spans="1:11" ht="26.25" customHeight="1">
      <c r="A1358" s="343" t="s">
        <v>4304</v>
      </c>
      <c r="B1358" s="344" t="s">
        <v>162</v>
      </c>
      <c r="C1358" s="344">
        <v>8439</v>
      </c>
      <c r="D1358" s="343" t="s">
        <v>4715</v>
      </c>
      <c r="E1358" s="344">
        <v>5121450</v>
      </c>
      <c r="F1358" s="343" t="s">
        <v>4729</v>
      </c>
      <c r="G1358" s="360" t="s">
        <v>541</v>
      </c>
      <c r="H1358" s="361">
        <v>42185</v>
      </c>
      <c r="I1358" s="343" t="s">
        <v>984</v>
      </c>
      <c r="J1358" s="343" t="s">
        <v>10729</v>
      </c>
      <c r="K1358" s="343" t="s">
        <v>168</v>
      </c>
    </row>
    <row r="1359" spans="1:11" ht="26.25" customHeight="1">
      <c r="A1359" s="343" t="s">
        <v>4304</v>
      </c>
      <c r="B1359" s="344" t="s">
        <v>162</v>
      </c>
      <c r="C1359" s="344">
        <v>8439</v>
      </c>
      <c r="D1359" s="343" t="s">
        <v>4715</v>
      </c>
      <c r="E1359" s="344">
        <v>6012361</v>
      </c>
      <c r="F1359" s="343" t="s">
        <v>4726</v>
      </c>
      <c r="G1359" s="360" t="s">
        <v>10730</v>
      </c>
      <c r="H1359" s="361">
        <v>42177</v>
      </c>
      <c r="I1359" s="343" t="s">
        <v>670</v>
      </c>
      <c r="J1359" s="343" t="s">
        <v>10731</v>
      </c>
      <c r="K1359" s="343" t="s">
        <v>173</v>
      </c>
    </row>
    <row r="1360" spans="1:11" ht="26.25" customHeight="1">
      <c r="A1360" s="343" t="s">
        <v>4304</v>
      </c>
      <c r="B1360" s="344" t="s">
        <v>162</v>
      </c>
      <c r="C1360" s="344">
        <v>7147</v>
      </c>
      <c r="D1360" s="343" t="s">
        <v>4504</v>
      </c>
      <c r="E1360" s="344">
        <v>4922976</v>
      </c>
      <c r="F1360" s="343" t="s">
        <v>4509</v>
      </c>
      <c r="G1360" s="360" t="s">
        <v>10732</v>
      </c>
      <c r="H1360" s="361">
        <v>42173</v>
      </c>
      <c r="I1360" s="343" t="s">
        <v>806</v>
      </c>
      <c r="J1360" s="343" t="s">
        <v>10733</v>
      </c>
      <c r="K1360" s="343" t="s">
        <v>168</v>
      </c>
    </row>
    <row r="1361" spans="1:11" ht="26.25" customHeight="1">
      <c r="A1361" s="343" t="s">
        <v>4304</v>
      </c>
      <c r="B1361" s="344" t="s">
        <v>162</v>
      </c>
      <c r="C1361" s="344">
        <v>7150</v>
      </c>
      <c r="D1361" s="343" t="s">
        <v>4533</v>
      </c>
      <c r="E1361" s="344">
        <v>4931700</v>
      </c>
      <c r="F1361" s="343" t="s">
        <v>4540</v>
      </c>
      <c r="G1361" s="360" t="s">
        <v>10734</v>
      </c>
      <c r="H1361" s="361">
        <v>42053</v>
      </c>
      <c r="I1361" s="343" t="s">
        <v>211</v>
      </c>
      <c r="J1361" s="343" t="s">
        <v>211</v>
      </c>
      <c r="K1361" s="343" t="s">
        <v>168</v>
      </c>
    </row>
    <row r="1362" spans="1:11" ht="26.25" customHeight="1">
      <c r="A1362" s="343" t="s">
        <v>4304</v>
      </c>
      <c r="B1362" s="344" t="s">
        <v>162</v>
      </c>
      <c r="C1362" s="344">
        <v>7154</v>
      </c>
      <c r="D1362" s="343" t="s">
        <v>4562</v>
      </c>
      <c r="E1362" s="344">
        <v>4324821</v>
      </c>
      <c r="F1362" s="343" t="s">
        <v>4564</v>
      </c>
      <c r="G1362" s="360" t="s">
        <v>10735</v>
      </c>
      <c r="H1362" s="361">
        <v>42167</v>
      </c>
      <c r="I1362" s="343" t="s">
        <v>193</v>
      </c>
      <c r="J1362" s="343" t="s">
        <v>377</v>
      </c>
      <c r="K1362" s="343" t="s">
        <v>168</v>
      </c>
    </row>
    <row r="1363" spans="1:11" ht="26.25" customHeight="1">
      <c r="A1363" s="343" t="s">
        <v>4304</v>
      </c>
      <c r="B1363" s="344" t="s">
        <v>162</v>
      </c>
      <c r="C1363" s="344">
        <v>7152</v>
      </c>
      <c r="D1363" s="343" t="s">
        <v>4459</v>
      </c>
      <c r="E1363" s="344">
        <v>4159115</v>
      </c>
      <c r="F1363" s="343" t="s">
        <v>4462</v>
      </c>
      <c r="G1363" s="360" t="s">
        <v>10736</v>
      </c>
      <c r="H1363" s="361">
        <v>42166</v>
      </c>
      <c r="I1363" s="343" t="s">
        <v>709</v>
      </c>
      <c r="J1363" s="343" t="s">
        <v>10737</v>
      </c>
      <c r="K1363" s="343" t="s">
        <v>168</v>
      </c>
    </row>
    <row r="1364" spans="1:11" ht="26.25" customHeight="1">
      <c r="A1364" s="343" t="s">
        <v>4304</v>
      </c>
      <c r="B1364" s="344" t="s">
        <v>162</v>
      </c>
      <c r="C1364" s="344">
        <v>7187</v>
      </c>
      <c r="D1364" s="343" t="s">
        <v>4436</v>
      </c>
      <c r="E1364" s="344">
        <v>4207027</v>
      </c>
      <c r="F1364" s="343" t="s">
        <v>4440</v>
      </c>
      <c r="G1364" s="360" t="s">
        <v>10738</v>
      </c>
      <c r="H1364" s="361">
        <v>42164</v>
      </c>
      <c r="I1364" s="343" t="s">
        <v>211</v>
      </c>
      <c r="J1364" s="343" t="s">
        <v>836</v>
      </c>
      <c r="K1364" s="343" t="s">
        <v>168</v>
      </c>
    </row>
    <row r="1365" spans="1:11" ht="26.25" customHeight="1">
      <c r="A1365" s="343" t="s">
        <v>4304</v>
      </c>
      <c r="B1365" s="344" t="s">
        <v>162</v>
      </c>
      <c r="C1365" s="344">
        <v>12719</v>
      </c>
      <c r="D1365" s="343" t="s">
        <v>4650</v>
      </c>
      <c r="E1365" s="344">
        <v>5579428</v>
      </c>
      <c r="F1365" s="343" t="s">
        <v>4653</v>
      </c>
      <c r="G1365" s="360" t="s">
        <v>9391</v>
      </c>
      <c r="H1365" s="361">
        <v>42081</v>
      </c>
      <c r="I1365" s="343" t="s">
        <v>4045</v>
      </c>
      <c r="J1365" s="343" t="s">
        <v>10739</v>
      </c>
      <c r="K1365" s="343" t="s">
        <v>168</v>
      </c>
    </row>
    <row r="1366" spans="1:11" ht="26.25" customHeight="1">
      <c r="A1366" s="343" t="s">
        <v>4304</v>
      </c>
      <c r="B1366" s="344" t="s">
        <v>162</v>
      </c>
      <c r="C1366" s="344">
        <v>7154</v>
      </c>
      <c r="D1366" s="343" t="s">
        <v>4562</v>
      </c>
      <c r="E1366" s="344">
        <v>5527802</v>
      </c>
      <c r="F1366" s="343" t="s">
        <v>4565</v>
      </c>
      <c r="G1366" s="360" t="s">
        <v>10740</v>
      </c>
      <c r="H1366" s="361">
        <v>42153</v>
      </c>
      <c r="I1366" s="343" t="s">
        <v>198</v>
      </c>
      <c r="J1366" s="343" t="s">
        <v>198</v>
      </c>
      <c r="K1366" s="343" t="s">
        <v>168</v>
      </c>
    </row>
    <row r="1367" spans="1:11" ht="26.25" customHeight="1">
      <c r="A1367" s="343" t="s">
        <v>4304</v>
      </c>
      <c r="B1367" s="344" t="s">
        <v>162</v>
      </c>
      <c r="C1367" s="344">
        <v>9396</v>
      </c>
      <c r="D1367" s="343" t="s">
        <v>4570</v>
      </c>
      <c r="E1367" s="344">
        <v>5086207</v>
      </c>
      <c r="F1367" s="343" t="s">
        <v>4580</v>
      </c>
      <c r="G1367" s="360" t="s">
        <v>10741</v>
      </c>
      <c r="H1367" s="361">
        <v>42151</v>
      </c>
      <c r="I1367" s="343" t="s">
        <v>496</v>
      </c>
      <c r="J1367" s="343" t="s">
        <v>10742</v>
      </c>
      <c r="K1367" s="343" t="s">
        <v>173</v>
      </c>
    </row>
    <row r="1368" spans="1:11" ht="26.25" customHeight="1">
      <c r="A1368" s="343" t="s">
        <v>4304</v>
      </c>
      <c r="B1368" s="344" t="s">
        <v>162</v>
      </c>
      <c r="C1368" s="344">
        <v>12148</v>
      </c>
      <c r="D1368" s="343" t="s">
        <v>4394</v>
      </c>
      <c r="E1368" s="344">
        <v>6022073</v>
      </c>
      <c r="F1368" s="343" t="s">
        <v>4395</v>
      </c>
      <c r="G1368" s="360" t="s">
        <v>300</v>
      </c>
      <c r="H1368" s="361">
        <v>42145</v>
      </c>
      <c r="I1368" s="343" t="s">
        <v>193</v>
      </c>
      <c r="J1368" s="343" t="s">
        <v>637</v>
      </c>
      <c r="K1368" s="343" t="s">
        <v>168</v>
      </c>
    </row>
    <row r="1369" spans="1:11" ht="26.25" customHeight="1">
      <c r="A1369" s="343" t="s">
        <v>4304</v>
      </c>
      <c r="B1369" s="344" t="s">
        <v>162</v>
      </c>
      <c r="C1369" s="344">
        <v>7174</v>
      </c>
      <c r="D1369" s="343" t="s">
        <v>4497</v>
      </c>
      <c r="E1369" s="344">
        <v>4437847</v>
      </c>
      <c r="F1369" s="343" t="s">
        <v>4498</v>
      </c>
      <c r="G1369" s="360" t="s">
        <v>10743</v>
      </c>
      <c r="H1369" s="361">
        <v>42145</v>
      </c>
      <c r="I1369" s="343" t="s">
        <v>4499</v>
      </c>
      <c r="J1369" s="343" t="s">
        <v>10744</v>
      </c>
      <c r="K1369" s="343" t="s">
        <v>168</v>
      </c>
    </row>
    <row r="1370" spans="1:11" ht="26.25" customHeight="1">
      <c r="A1370" s="343" t="s">
        <v>4304</v>
      </c>
      <c r="B1370" s="344" t="s">
        <v>162</v>
      </c>
      <c r="C1370" s="344">
        <v>8430</v>
      </c>
      <c r="D1370" s="343" t="s">
        <v>4421</v>
      </c>
      <c r="E1370" s="344">
        <v>4634296</v>
      </c>
      <c r="F1370" s="343" t="s">
        <v>4427</v>
      </c>
      <c r="G1370" s="360" t="s">
        <v>10745</v>
      </c>
      <c r="H1370" s="361">
        <v>42145</v>
      </c>
      <c r="I1370" s="343" t="s">
        <v>4428</v>
      </c>
      <c r="J1370" s="343" t="s">
        <v>10746</v>
      </c>
      <c r="K1370" s="343" t="s">
        <v>168</v>
      </c>
    </row>
    <row r="1371" spans="1:11" ht="26.25" customHeight="1">
      <c r="A1371" s="343" t="s">
        <v>4304</v>
      </c>
      <c r="B1371" s="344" t="s">
        <v>162</v>
      </c>
      <c r="C1371" s="344">
        <v>7187</v>
      </c>
      <c r="D1371" s="343" t="s">
        <v>4436</v>
      </c>
      <c r="E1371" s="344">
        <v>4278132</v>
      </c>
      <c r="F1371" s="343" t="s">
        <v>4437</v>
      </c>
      <c r="G1371" s="360" t="s">
        <v>10747</v>
      </c>
      <c r="H1371" s="361">
        <v>42137</v>
      </c>
      <c r="I1371" s="343" t="s">
        <v>4147</v>
      </c>
      <c r="J1371" s="343" t="s">
        <v>4147</v>
      </c>
      <c r="K1371" s="343" t="s">
        <v>173</v>
      </c>
    </row>
    <row r="1372" spans="1:11" ht="26.25" customHeight="1">
      <c r="A1372" s="343" t="s">
        <v>4304</v>
      </c>
      <c r="B1372" s="344" t="s">
        <v>162</v>
      </c>
      <c r="C1372" s="344">
        <v>12719</v>
      </c>
      <c r="D1372" s="343" t="s">
        <v>4650</v>
      </c>
      <c r="E1372" s="344">
        <v>5993606</v>
      </c>
      <c r="F1372" s="343" t="s">
        <v>4655</v>
      </c>
      <c r="G1372" s="360" t="s">
        <v>10748</v>
      </c>
      <c r="H1372" s="361">
        <v>42101</v>
      </c>
      <c r="I1372" s="343" t="s">
        <v>166</v>
      </c>
      <c r="J1372" s="343" t="s">
        <v>478</v>
      </c>
      <c r="K1372" s="343" t="s">
        <v>168</v>
      </c>
    </row>
    <row r="1373" spans="1:11" ht="26.25" customHeight="1">
      <c r="A1373" s="343" t="s">
        <v>4304</v>
      </c>
      <c r="B1373" s="344" t="s">
        <v>162</v>
      </c>
      <c r="C1373" s="344">
        <v>7147</v>
      </c>
      <c r="D1373" s="343" t="s">
        <v>4504</v>
      </c>
      <c r="E1373" s="344">
        <v>4978991</v>
      </c>
      <c r="F1373" s="343" t="s">
        <v>4510</v>
      </c>
      <c r="G1373" s="360" t="s">
        <v>10749</v>
      </c>
      <c r="H1373" s="361">
        <v>42100</v>
      </c>
      <c r="I1373" s="343" t="s">
        <v>3583</v>
      </c>
      <c r="J1373" s="343" t="s">
        <v>10750</v>
      </c>
      <c r="K1373" s="343" t="s">
        <v>173</v>
      </c>
    </row>
    <row r="1374" spans="1:11" ht="26.25" customHeight="1">
      <c r="A1374" s="343" t="s">
        <v>4304</v>
      </c>
      <c r="B1374" s="344" t="s">
        <v>162</v>
      </c>
      <c r="C1374" s="344">
        <v>7149</v>
      </c>
      <c r="D1374" s="343" t="s">
        <v>4599</v>
      </c>
      <c r="E1374" s="344">
        <v>5183942</v>
      </c>
      <c r="F1374" s="343" t="s">
        <v>4605</v>
      </c>
      <c r="G1374" s="360" t="s">
        <v>10751</v>
      </c>
      <c r="H1374" s="361">
        <v>42423</v>
      </c>
      <c r="I1374" s="343" t="s">
        <v>275</v>
      </c>
      <c r="J1374" s="343" t="s">
        <v>10752</v>
      </c>
      <c r="K1374" s="343" t="s">
        <v>173</v>
      </c>
    </row>
    <row r="1375" spans="1:11" ht="26.25" customHeight="1">
      <c r="A1375" s="343" t="s">
        <v>4304</v>
      </c>
      <c r="B1375" s="344" t="s">
        <v>162</v>
      </c>
      <c r="C1375" s="344">
        <v>9883</v>
      </c>
      <c r="D1375" s="343" t="s">
        <v>4382</v>
      </c>
      <c r="E1375" s="344">
        <v>6298538</v>
      </c>
      <c r="F1375" s="343" t="s">
        <v>4389</v>
      </c>
      <c r="G1375" s="360" t="s">
        <v>10753</v>
      </c>
      <c r="H1375" s="361">
        <v>42424</v>
      </c>
      <c r="I1375" s="343" t="s">
        <v>301</v>
      </c>
      <c r="J1375" s="343" t="s">
        <v>302</v>
      </c>
      <c r="K1375" s="343" t="s">
        <v>168</v>
      </c>
    </row>
    <row r="1376" spans="1:11" ht="26.25" customHeight="1">
      <c r="A1376" s="343" t="s">
        <v>4304</v>
      </c>
      <c r="B1376" s="344" t="s">
        <v>162</v>
      </c>
      <c r="C1376" s="344">
        <v>9023</v>
      </c>
      <c r="D1376" s="343" t="s">
        <v>4612</v>
      </c>
      <c r="E1376" s="344">
        <v>5774819</v>
      </c>
      <c r="F1376" s="343" t="s">
        <v>4613</v>
      </c>
      <c r="G1376" s="360" t="s">
        <v>10754</v>
      </c>
      <c r="H1376" s="361">
        <v>42438</v>
      </c>
      <c r="I1376" s="343" t="s">
        <v>193</v>
      </c>
      <c r="J1376" s="343" t="s">
        <v>637</v>
      </c>
      <c r="K1376" s="343" t="s">
        <v>168</v>
      </c>
    </row>
    <row r="1377" spans="1:11" ht="26.25" customHeight="1">
      <c r="A1377" s="343" t="s">
        <v>4304</v>
      </c>
      <c r="B1377" s="344" t="s">
        <v>162</v>
      </c>
      <c r="C1377" s="344">
        <v>7149</v>
      </c>
      <c r="D1377" s="343" t="s">
        <v>4599</v>
      </c>
      <c r="E1377" s="344">
        <v>5129479</v>
      </c>
      <c r="F1377" s="343" t="s">
        <v>4602</v>
      </c>
      <c r="G1377" s="360" t="s">
        <v>10755</v>
      </c>
      <c r="H1377" s="361">
        <v>42438</v>
      </c>
      <c r="I1377" s="343" t="s">
        <v>4603</v>
      </c>
      <c r="J1377" s="343" t="s">
        <v>10756</v>
      </c>
      <c r="K1377" s="343" t="s">
        <v>168</v>
      </c>
    </row>
    <row r="1378" spans="1:11" ht="26.25" customHeight="1">
      <c r="A1378" s="343" t="s">
        <v>4304</v>
      </c>
      <c r="B1378" s="344" t="s">
        <v>162</v>
      </c>
      <c r="C1378" s="344">
        <v>9883</v>
      </c>
      <c r="D1378" s="343" t="s">
        <v>4382</v>
      </c>
      <c r="E1378" s="344">
        <v>6361790</v>
      </c>
      <c r="F1378" s="343" t="s">
        <v>4388</v>
      </c>
      <c r="G1378" s="360" t="s">
        <v>10757</v>
      </c>
      <c r="H1378" s="361">
        <v>42444</v>
      </c>
      <c r="I1378" s="343" t="s">
        <v>193</v>
      </c>
      <c r="J1378" s="343" t="s">
        <v>201</v>
      </c>
      <c r="K1378" s="343" t="s">
        <v>168</v>
      </c>
    </row>
    <row r="1379" spans="1:11" ht="26.25" customHeight="1">
      <c r="A1379" s="343" t="s">
        <v>4304</v>
      </c>
      <c r="B1379" s="344" t="s">
        <v>162</v>
      </c>
      <c r="C1379" s="344">
        <v>6855</v>
      </c>
      <c r="D1379" s="343" t="s">
        <v>4606</v>
      </c>
      <c r="E1379" s="344">
        <v>5734139</v>
      </c>
      <c r="F1379" s="343" t="s">
        <v>4607</v>
      </c>
      <c r="G1379" s="360" t="s">
        <v>10758</v>
      </c>
      <c r="H1379" s="361">
        <v>42440</v>
      </c>
      <c r="I1379" s="343" t="s">
        <v>465</v>
      </c>
      <c r="J1379" s="343" t="s">
        <v>553</v>
      </c>
      <c r="K1379" s="343" t="s">
        <v>168</v>
      </c>
    </row>
    <row r="1380" spans="1:11" ht="26.25" customHeight="1">
      <c r="A1380" s="343" t="s">
        <v>4304</v>
      </c>
      <c r="B1380" s="344" t="s">
        <v>162</v>
      </c>
      <c r="C1380" s="344">
        <v>7147</v>
      </c>
      <c r="D1380" s="343" t="s">
        <v>4504</v>
      </c>
      <c r="E1380" s="344">
        <v>5988209</v>
      </c>
      <c r="F1380" s="343" t="s">
        <v>4511</v>
      </c>
      <c r="G1380" s="360" t="s">
        <v>10759</v>
      </c>
      <c r="H1380" s="361">
        <v>42443</v>
      </c>
      <c r="I1380" s="343" t="s">
        <v>4512</v>
      </c>
      <c r="J1380" s="343" t="s">
        <v>10760</v>
      </c>
      <c r="K1380" s="343" t="s">
        <v>168</v>
      </c>
    </row>
    <row r="1381" spans="1:11" ht="26.25" customHeight="1">
      <c r="A1381" s="343" t="s">
        <v>4304</v>
      </c>
      <c r="B1381" s="344" t="s">
        <v>162</v>
      </c>
      <c r="C1381" s="344">
        <v>11565</v>
      </c>
      <c r="D1381" s="343" t="s">
        <v>4360</v>
      </c>
      <c r="E1381" s="344">
        <v>6245471</v>
      </c>
      <c r="F1381" s="343" t="s">
        <v>4363</v>
      </c>
      <c r="G1381" s="360" t="s">
        <v>10761</v>
      </c>
      <c r="H1381" s="361">
        <v>42447</v>
      </c>
      <c r="I1381" s="343" t="s">
        <v>193</v>
      </c>
      <c r="J1381" s="343" t="s">
        <v>651</v>
      </c>
      <c r="K1381" s="343" t="s">
        <v>168</v>
      </c>
    </row>
    <row r="1382" spans="1:11" ht="26.25" customHeight="1">
      <c r="A1382" s="343" t="s">
        <v>4304</v>
      </c>
      <c r="B1382" s="344" t="s">
        <v>162</v>
      </c>
      <c r="C1382" s="344">
        <v>6797</v>
      </c>
      <c r="D1382" s="343" t="s">
        <v>4627</v>
      </c>
      <c r="E1382" s="344">
        <v>6271486</v>
      </c>
      <c r="F1382" s="343" t="s">
        <v>4629</v>
      </c>
      <c r="G1382" s="360" t="s">
        <v>10762</v>
      </c>
      <c r="H1382" s="361">
        <v>42458</v>
      </c>
      <c r="I1382" s="343" t="s">
        <v>1182</v>
      </c>
      <c r="J1382" s="343" t="s">
        <v>1183</v>
      </c>
      <c r="K1382" s="343" t="s">
        <v>173</v>
      </c>
    </row>
    <row r="1383" spans="1:11" ht="26.25" customHeight="1">
      <c r="A1383" s="343" t="s">
        <v>4304</v>
      </c>
      <c r="B1383" s="344" t="s">
        <v>162</v>
      </c>
      <c r="C1383" s="344">
        <v>12148</v>
      </c>
      <c r="D1383" s="343" t="s">
        <v>4394</v>
      </c>
      <c r="E1383" s="344">
        <v>6381644</v>
      </c>
      <c r="F1383" s="343" t="s">
        <v>4397</v>
      </c>
      <c r="G1383" s="360" t="s">
        <v>9972</v>
      </c>
      <c r="H1383" s="361">
        <v>42458</v>
      </c>
      <c r="I1383" s="343" t="s">
        <v>4147</v>
      </c>
      <c r="J1383" s="343" t="s">
        <v>4147</v>
      </c>
      <c r="K1383" s="343" t="s">
        <v>173</v>
      </c>
    </row>
    <row r="1384" spans="1:11" ht="26.25" customHeight="1">
      <c r="A1384" s="343" t="s">
        <v>4304</v>
      </c>
      <c r="B1384" s="344" t="s">
        <v>162</v>
      </c>
      <c r="C1384" s="344">
        <v>7153</v>
      </c>
      <c r="D1384" s="343" t="s">
        <v>4502</v>
      </c>
      <c r="E1384" s="344">
        <v>4930282</v>
      </c>
      <c r="F1384" s="343" t="s">
        <v>4503</v>
      </c>
      <c r="G1384" s="360" t="s">
        <v>10763</v>
      </c>
      <c r="H1384" s="361">
        <v>42458</v>
      </c>
      <c r="I1384" s="343" t="s">
        <v>1082</v>
      </c>
      <c r="J1384" s="343" t="s">
        <v>10764</v>
      </c>
      <c r="K1384" s="343" t="s">
        <v>248</v>
      </c>
    </row>
    <row r="1385" spans="1:11" ht="26.25" customHeight="1">
      <c r="A1385" s="343" t="s">
        <v>4304</v>
      </c>
      <c r="B1385" s="344" t="s">
        <v>162</v>
      </c>
      <c r="C1385" s="344">
        <v>7158</v>
      </c>
      <c r="D1385" s="343" t="s">
        <v>4513</v>
      </c>
      <c r="E1385" s="344">
        <v>4567398</v>
      </c>
      <c r="F1385" s="343" t="s">
        <v>4517</v>
      </c>
      <c r="G1385" s="360" t="s">
        <v>851</v>
      </c>
      <c r="H1385" s="361">
        <v>42465</v>
      </c>
      <c r="I1385" s="343" t="s">
        <v>806</v>
      </c>
      <c r="J1385" s="343" t="s">
        <v>10765</v>
      </c>
      <c r="K1385" s="343" t="s">
        <v>168</v>
      </c>
    </row>
    <row r="1386" spans="1:11" ht="26.25" customHeight="1">
      <c r="A1386" s="343" t="s">
        <v>4304</v>
      </c>
      <c r="B1386" s="344" t="s">
        <v>162</v>
      </c>
      <c r="C1386" s="344">
        <v>7150</v>
      </c>
      <c r="D1386" s="343" t="s">
        <v>4533</v>
      </c>
      <c r="E1386" s="344">
        <v>4667436</v>
      </c>
      <c r="F1386" s="343" t="s">
        <v>4536</v>
      </c>
      <c r="G1386" s="360" t="s">
        <v>1031</v>
      </c>
      <c r="H1386" s="361">
        <v>42465</v>
      </c>
      <c r="I1386" s="343" t="s">
        <v>806</v>
      </c>
      <c r="J1386" s="343" t="s">
        <v>10766</v>
      </c>
      <c r="K1386" s="343" t="s">
        <v>168</v>
      </c>
    </row>
    <row r="1387" spans="1:11" ht="26.25" customHeight="1">
      <c r="A1387" s="343" t="s">
        <v>4304</v>
      </c>
      <c r="B1387" s="344" t="s">
        <v>162</v>
      </c>
      <c r="C1387" s="344">
        <v>12431</v>
      </c>
      <c r="D1387" s="343" t="s">
        <v>4303</v>
      </c>
      <c r="E1387" s="344">
        <v>6415381</v>
      </c>
      <c r="F1387" s="343" t="s">
        <v>4305</v>
      </c>
      <c r="G1387" s="360" t="s">
        <v>9574</v>
      </c>
      <c r="H1387" s="361">
        <v>42465</v>
      </c>
      <c r="I1387" s="343" t="s">
        <v>4306</v>
      </c>
      <c r="J1387" s="343" t="s">
        <v>10767</v>
      </c>
      <c r="K1387" s="343" t="s">
        <v>173</v>
      </c>
    </row>
    <row r="1388" spans="1:11" ht="26.25" customHeight="1">
      <c r="A1388" s="343" t="s">
        <v>4304</v>
      </c>
      <c r="B1388" s="344" t="s">
        <v>162</v>
      </c>
      <c r="C1388" s="344">
        <v>7114</v>
      </c>
      <c r="D1388" s="343" t="s">
        <v>4455</v>
      </c>
      <c r="E1388" s="344">
        <v>4861909</v>
      </c>
      <c r="F1388" s="343" t="s">
        <v>4458</v>
      </c>
      <c r="G1388" s="360" t="s">
        <v>10768</v>
      </c>
      <c r="H1388" s="361">
        <v>42467</v>
      </c>
      <c r="I1388" s="343" t="s">
        <v>742</v>
      </c>
      <c r="J1388" s="343" t="s">
        <v>10769</v>
      </c>
      <c r="K1388" s="343" t="s">
        <v>168</v>
      </c>
    </row>
    <row r="1389" spans="1:11" ht="26.25" customHeight="1">
      <c r="A1389" s="343" t="s">
        <v>4304</v>
      </c>
      <c r="B1389" s="344" t="s">
        <v>162</v>
      </c>
      <c r="C1389" s="344">
        <v>8442</v>
      </c>
      <c r="D1389" s="343" t="s">
        <v>4486</v>
      </c>
      <c r="E1389" s="344">
        <v>4200066</v>
      </c>
      <c r="F1389" s="343" t="s">
        <v>4490</v>
      </c>
      <c r="G1389" s="360" t="s">
        <v>10770</v>
      </c>
      <c r="H1389" s="361">
        <v>42486</v>
      </c>
      <c r="I1389" s="343" t="s">
        <v>301</v>
      </c>
      <c r="J1389" s="343" t="s">
        <v>302</v>
      </c>
      <c r="K1389" s="343" t="s">
        <v>168</v>
      </c>
    </row>
    <row r="1390" spans="1:11" ht="26.25" customHeight="1">
      <c r="A1390" s="343" t="s">
        <v>4304</v>
      </c>
      <c r="B1390" s="344" t="s">
        <v>162</v>
      </c>
      <c r="C1390" s="344">
        <v>12719</v>
      </c>
      <c r="D1390" s="343" t="s">
        <v>4650</v>
      </c>
      <c r="E1390" s="344">
        <v>5584918</v>
      </c>
      <c r="F1390" s="343" t="s">
        <v>4656</v>
      </c>
      <c r="G1390" s="360" t="s">
        <v>10771</v>
      </c>
      <c r="H1390" s="361">
        <v>42461</v>
      </c>
      <c r="I1390" s="343" t="s">
        <v>366</v>
      </c>
      <c r="J1390" s="343" t="s">
        <v>10772</v>
      </c>
      <c r="K1390" s="343" t="s">
        <v>168</v>
      </c>
    </row>
    <row r="1391" spans="1:11" ht="26.25" customHeight="1">
      <c r="A1391" s="343" t="s">
        <v>4304</v>
      </c>
      <c r="B1391" s="344" t="s">
        <v>162</v>
      </c>
      <c r="C1391" s="344">
        <v>7634</v>
      </c>
      <c r="D1391" s="343" t="s">
        <v>4376</v>
      </c>
      <c r="E1391" s="344">
        <v>6175752</v>
      </c>
      <c r="F1391" s="343" t="s">
        <v>4377</v>
      </c>
      <c r="G1391" s="360" t="s">
        <v>10500</v>
      </c>
      <c r="H1391" s="361">
        <v>42461</v>
      </c>
      <c r="I1391" s="343" t="s">
        <v>271</v>
      </c>
      <c r="J1391" s="343" t="s">
        <v>10773</v>
      </c>
      <c r="K1391" s="343" t="s">
        <v>168</v>
      </c>
    </row>
    <row r="1392" spans="1:11" ht="26.25" customHeight="1">
      <c r="A1392" s="343" t="s">
        <v>4304</v>
      </c>
      <c r="B1392" s="344" t="s">
        <v>162</v>
      </c>
      <c r="C1392" s="344">
        <v>7147</v>
      </c>
      <c r="D1392" s="343" t="s">
        <v>4504</v>
      </c>
      <c r="E1392" s="344">
        <v>4865872</v>
      </c>
      <c r="F1392" s="343" t="s">
        <v>4508</v>
      </c>
      <c r="G1392" s="360" t="s">
        <v>10774</v>
      </c>
      <c r="H1392" s="361">
        <v>42466</v>
      </c>
      <c r="I1392" s="343" t="s">
        <v>211</v>
      </c>
      <c r="J1392" s="343" t="s">
        <v>211</v>
      </c>
      <c r="K1392" s="343" t="s">
        <v>168</v>
      </c>
    </row>
    <row r="1393" spans="1:11" ht="26.25" customHeight="1">
      <c r="A1393" s="343" t="s">
        <v>4304</v>
      </c>
      <c r="B1393" s="344" t="s">
        <v>162</v>
      </c>
      <c r="C1393" s="344">
        <v>6855</v>
      </c>
      <c r="D1393" s="343" t="s">
        <v>4606</v>
      </c>
      <c r="E1393" s="344">
        <v>5848009</v>
      </c>
      <c r="F1393" s="343" t="s">
        <v>4609</v>
      </c>
      <c r="G1393" s="360" t="s">
        <v>10775</v>
      </c>
      <c r="H1393" s="361">
        <v>42468</v>
      </c>
      <c r="I1393" s="343" t="s">
        <v>465</v>
      </c>
      <c r="J1393" s="343" t="s">
        <v>553</v>
      </c>
      <c r="K1393" s="343" t="s">
        <v>168</v>
      </c>
    </row>
    <row r="1394" spans="1:11" ht="26.25" customHeight="1">
      <c r="A1394" s="343" t="s">
        <v>4304</v>
      </c>
      <c r="B1394" s="344" t="s">
        <v>162</v>
      </c>
      <c r="C1394" s="344">
        <v>11565</v>
      </c>
      <c r="D1394" s="343" t="s">
        <v>4360</v>
      </c>
      <c r="E1394" s="344">
        <v>6462837</v>
      </c>
      <c r="F1394" s="343" t="s">
        <v>4362</v>
      </c>
      <c r="G1394" s="360" t="s">
        <v>10776</v>
      </c>
      <c r="H1394" s="361">
        <v>42492</v>
      </c>
      <c r="I1394" s="343" t="s">
        <v>193</v>
      </c>
      <c r="J1394" s="343" t="s">
        <v>651</v>
      </c>
      <c r="K1394" s="343" t="s">
        <v>168</v>
      </c>
    </row>
    <row r="1395" spans="1:11" ht="26.25" customHeight="1">
      <c r="A1395" s="343" t="s">
        <v>4304</v>
      </c>
      <c r="B1395" s="344" t="s">
        <v>162</v>
      </c>
      <c r="C1395" s="344">
        <v>9025</v>
      </c>
      <c r="D1395" s="343" t="s">
        <v>4698</v>
      </c>
      <c r="E1395" s="344">
        <v>5690043</v>
      </c>
      <c r="F1395" s="343" t="s">
        <v>4699</v>
      </c>
      <c r="G1395" s="360" t="s">
        <v>10777</v>
      </c>
      <c r="H1395" s="361">
        <v>42480</v>
      </c>
      <c r="I1395" s="343" t="s">
        <v>4700</v>
      </c>
      <c r="J1395" s="343" t="s">
        <v>10778</v>
      </c>
      <c r="K1395" s="343" t="s">
        <v>168</v>
      </c>
    </row>
    <row r="1396" spans="1:11" ht="26.25" customHeight="1">
      <c r="A1396" s="343" t="s">
        <v>4304</v>
      </c>
      <c r="B1396" s="344" t="s">
        <v>162</v>
      </c>
      <c r="C1396" s="344">
        <v>7158</v>
      </c>
      <c r="D1396" s="343" t="s">
        <v>4513</v>
      </c>
      <c r="E1396" s="344">
        <v>4441952</v>
      </c>
      <c r="F1396" s="343" t="s">
        <v>4516</v>
      </c>
      <c r="G1396" s="360" t="s">
        <v>10779</v>
      </c>
      <c r="H1396" s="361">
        <v>42480</v>
      </c>
      <c r="I1396" s="343" t="s">
        <v>709</v>
      </c>
      <c r="J1396" s="343" t="s">
        <v>978</v>
      </c>
      <c r="K1396" s="343" t="s">
        <v>173</v>
      </c>
    </row>
    <row r="1397" spans="1:11" ht="26.25" customHeight="1">
      <c r="A1397" s="343" t="s">
        <v>4304</v>
      </c>
      <c r="B1397" s="344" t="s">
        <v>162</v>
      </c>
      <c r="C1397" s="344">
        <v>9884</v>
      </c>
      <c r="D1397" s="343" t="s">
        <v>4400</v>
      </c>
      <c r="E1397" s="344">
        <v>4099910</v>
      </c>
      <c r="F1397" s="343" t="s">
        <v>4403</v>
      </c>
      <c r="G1397" s="360" t="s">
        <v>10780</v>
      </c>
      <c r="H1397" s="361">
        <v>42480</v>
      </c>
      <c r="I1397" s="343" t="s">
        <v>709</v>
      </c>
      <c r="J1397" s="343" t="s">
        <v>709</v>
      </c>
      <c r="K1397" s="343" t="s">
        <v>173</v>
      </c>
    </row>
    <row r="1398" spans="1:11" ht="26.25" customHeight="1">
      <c r="A1398" s="343" t="s">
        <v>4304</v>
      </c>
      <c r="B1398" s="344" t="s">
        <v>162</v>
      </c>
      <c r="C1398" s="344">
        <v>7148</v>
      </c>
      <c r="D1398" s="343" t="s">
        <v>4523</v>
      </c>
      <c r="E1398" s="344">
        <v>5936538</v>
      </c>
      <c r="F1398" s="343" t="s">
        <v>4526</v>
      </c>
      <c r="G1398" s="360" t="s">
        <v>9579</v>
      </c>
      <c r="H1398" s="361">
        <v>42480</v>
      </c>
      <c r="I1398" s="343" t="s">
        <v>465</v>
      </c>
      <c r="J1398" s="343" t="s">
        <v>9697</v>
      </c>
      <c r="K1398" s="343" t="s">
        <v>168</v>
      </c>
    </row>
    <row r="1399" spans="1:11" ht="26.25" customHeight="1">
      <c r="A1399" s="343" t="s">
        <v>4304</v>
      </c>
      <c r="B1399" s="344" t="s">
        <v>162</v>
      </c>
      <c r="C1399" s="344">
        <v>7156</v>
      </c>
      <c r="D1399" s="343" t="s">
        <v>4442</v>
      </c>
      <c r="E1399" s="344">
        <v>4699577</v>
      </c>
      <c r="F1399" s="343" t="s">
        <v>4451</v>
      </c>
      <c r="G1399" s="360" t="s">
        <v>10781</v>
      </c>
      <c r="H1399" s="361">
        <v>42474</v>
      </c>
      <c r="I1399" s="343" t="s">
        <v>766</v>
      </c>
      <c r="J1399" s="343" t="s">
        <v>10782</v>
      </c>
      <c r="K1399" s="343" t="s">
        <v>168</v>
      </c>
    </row>
    <row r="1400" spans="1:11" ht="26.25" customHeight="1">
      <c r="A1400" s="343" t="s">
        <v>4304</v>
      </c>
      <c r="B1400" s="344" t="s">
        <v>162</v>
      </c>
      <c r="C1400" s="344">
        <v>9632</v>
      </c>
      <c r="D1400" s="343" t="s">
        <v>4334</v>
      </c>
      <c r="E1400" s="344">
        <v>6229282</v>
      </c>
      <c r="F1400" s="343" t="s">
        <v>4337</v>
      </c>
      <c r="G1400" s="360" t="s">
        <v>10783</v>
      </c>
      <c r="H1400" s="361">
        <v>42492</v>
      </c>
      <c r="I1400" s="343" t="s">
        <v>313</v>
      </c>
      <c r="J1400" s="343" t="s">
        <v>10784</v>
      </c>
      <c r="K1400" s="343" t="s">
        <v>173</v>
      </c>
    </row>
    <row r="1401" spans="1:11" ht="26.25" customHeight="1">
      <c r="A1401" s="343" t="s">
        <v>4304</v>
      </c>
      <c r="B1401" s="344" t="s">
        <v>162</v>
      </c>
      <c r="C1401" s="344">
        <v>7157</v>
      </c>
      <c r="D1401" s="343" t="s">
        <v>4474</v>
      </c>
      <c r="E1401" s="344">
        <v>3606270</v>
      </c>
      <c r="F1401" s="343" t="s">
        <v>4475</v>
      </c>
      <c r="G1401" s="360" t="s">
        <v>10785</v>
      </c>
      <c r="H1401" s="361">
        <v>42487</v>
      </c>
      <c r="I1401" s="343" t="s">
        <v>806</v>
      </c>
      <c r="J1401" s="343" t="s">
        <v>10786</v>
      </c>
      <c r="K1401" s="343" t="s">
        <v>168</v>
      </c>
    </row>
    <row r="1402" spans="1:11" ht="26.25" customHeight="1">
      <c r="A1402" s="343" t="s">
        <v>4304</v>
      </c>
      <c r="B1402" s="344" t="s">
        <v>162</v>
      </c>
      <c r="C1402" s="344">
        <v>7181</v>
      </c>
      <c r="D1402" s="343" t="s">
        <v>4544</v>
      </c>
      <c r="E1402" s="344">
        <v>4049349</v>
      </c>
      <c r="F1402" s="343" t="s">
        <v>4548</v>
      </c>
      <c r="G1402" s="360" t="s">
        <v>10787</v>
      </c>
      <c r="H1402" s="361">
        <v>42486</v>
      </c>
      <c r="I1402" s="343" t="s">
        <v>211</v>
      </c>
      <c r="J1402" s="343" t="s">
        <v>10788</v>
      </c>
      <c r="K1402" s="343" t="s">
        <v>168</v>
      </c>
    </row>
    <row r="1403" spans="1:11" ht="26.25" customHeight="1">
      <c r="A1403" s="343" t="s">
        <v>4304</v>
      </c>
      <c r="B1403" s="344" t="s">
        <v>162</v>
      </c>
      <c r="C1403" s="344">
        <v>7150</v>
      </c>
      <c r="D1403" s="343" t="s">
        <v>4533</v>
      </c>
      <c r="E1403" s="344">
        <v>4453232</v>
      </c>
      <c r="F1403" s="343" t="s">
        <v>4537</v>
      </c>
      <c r="G1403" s="360" t="s">
        <v>10789</v>
      </c>
      <c r="H1403" s="361">
        <v>42486</v>
      </c>
      <c r="I1403" s="343" t="s">
        <v>366</v>
      </c>
      <c r="J1403" s="343" t="s">
        <v>9849</v>
      </c>
      <c r="K1403" s="343" t="s">
        <v>168</v>
      </c>
    </row>
    <row r="1404" spans="1:11" ht="26.25" customHeight="1">
      <c r="A1404" s="343" t="s">
        <v>4304</v>
      </c>
      <c r="B1404" s="344" t="s">
        <v>162</v>
      </c>
      <c r="C1404" s="344">
        <v>12143</v>
      </c>
      <c r="D1404" s="343" t="s">
        <v>4482</v>
      </c>
      <c r="E1404" s="344">
        <v>4836673</v>
      </c>
      <c r="F1404" s="343" t="s">
        <v>4483</v>
      </c>
      <c r="G1404" s="360" t="s">
        <v>10790</v>
      </c>
      <c r="H1404" s="361">
        <v>42493</v>
      </c>
      <c r="I1404" s="343" t="s">
        <v>806</v>
      </c>
      <c r="J1404" s="343" t="s">
        <v>10791</v>
      </c>
      <c r="K1404" s="343" t="s">
        <v>168</v>
      </c>
    </row>
    <row r="1405" spans="1:11" ht="26.25" customHeight="1">
      <c r="A1405" s="343" t="s">
        <v>4304</v>
      </c>
      <c r="B1405" s="344" t="s">
        <v>162</v>
      </c>
      <c r="C1405" s="344">
        <v>9396</v>
      </c>
      <c r="D1405" s="343" t="s">
        <v>4570</v>
      </c>
      <c r="E1405" s="344">
        <v>5944307</v>
      </c>
      <c r="F1405" s="343" t="s">
        <v>4577</v>
      </c>
      <c r="G1405" s="360" t="s">
        <v>10792</v>
      </c>
      <c r="H1405" s="361">
        <v>42496</v>
      </c>
      <c r="I1405" s="343" t="s">
        <v>166</v>
      </c>
      <c r="J1405" s="343" t="s">
        <v>10793</v>
      </c>
      <c r="K1405" s="343" t="s">
        <v>168</v>
      </c>
    </row>
    <row r="1406" spans="1:11" ht="26.25" customHeight="1">
      <c r="A1406" s="343" t="s">
        <v>4304</v>
      </c>
      <c r="B1406" s="344" t="s">
        <v>162</v>
      </c>
      <c r="C1406" s="344">
        <v>9396</v>
      </c>
      <c r="D1406" s="343" t="s">
        <v>4570</v>
      </c>
      <c r="E1406" s="344">
        <v>5578876</v>
      </c>
      <c r="F1406" s="343" t="s">
        <v>4579</v>
      </c>
      <c r="G1406" s="360" t="s">
        <v>10794</v>
      </c>
      <c r="H1406" s="361">
        <v>42496</v>
      </c>
      <c r="I1406" s="343" t="s">
        <v>366</v>
      </c>
      <c r="J1406" s="343" t="s">
        <v>10795</v>
      </c>
      <c r="K1406" s="343" t="s">
        <v>168</v>
      </c>
    </row>
    <row r="1407" spans="1:11" ht="26.25" customHeight="1">
      <c r="A1407" s="343" t="s">
        <v>4304</v>
      </c>
      <c r="B1407" s="344" t="s">
        <v>162</v>
      </c>
      <c r="C1407" s="344">
        <v>7148</v>
      </c>
      <c r="D1407" s="343" t="s">
        <v>4523</v>
      </c>
      <c r="E1407" s="344">
        <v>4727481</v>
      </c>
      <c r="F1407" s="343" t="s">
        <v>4525</v>
      </c>
      <c r="G1407" s="360" t="s">
        <v>10796</v>
      </c>
      <c r="H1407" s="361">
        <v>42495</v>
      </c>
      <c r="I1407" s="343" t="s">
        <v>465</v>
      </c>
      <c r="J1407" s="343" t="s">
        <v>1346</v>
      </c>
      <c r="K1407" s="343" t="s">
        <v>168</v>
      </c>
    </row>
    <row r="1408" spans="1:11" ht="26.25" customHeight="1">
      <c r="A1408" s="343" t="s">
        <v>4304</v>
      </c>
      <c r="B1408" s="344" t="s">
        <v>162</v>
      </c>
      <c r="C1408" s="344">
        <v>12146</v>
      </c>
      <c r="D1408" s="343" t="s">
        <v>4405</v>
      </c>
      <c r="E1408" s="344">
        <v>4295572</v>
      </c>
      <c r="F1408" s="343" t="s">
        <v>4406</v>
      </c>
      <c r="G1408" s="360" t="s">
        <v>10797</v>
      </c>
      <c r="H1408" s="361">
        <v>42485</v>
      </c>
      <c r="I1408" s="343" t="s">
        <v>709</v>
      </c>
      <c r="J1408" s="343" t="s">
        <v>10798</v>
      </c>
      <c r="K1408" s="343" t="s">
        <v>168</v>
      </c>
    </row>
    <row r="1409" spans="1:11" ht="26.25" customHeight="1">
      <c r="A1409" s="343" t="s">
        <v>4304</v>
      </c>
      <c r="B1409" s="344" t="s">
        <v>162</v>
      </c>
      <c r="C1409" s="344">
        <v>7155</v>
      </c>
      <c r="D1409" s="343" t="s">
        <v>4552</v>
      </c>
      <c r="E1409" s="344">
        <v>5132807</v>
      </c>
      <c r="F1409" s="343" t="s">
        <v>4553</v>
      </c>
      <c r="G1409" s="360" t="s">
        <v>10799</v>
      </c>
      <c r="H1409" s="361">
        <v>42492</v>
      </c>
      <c r="I1409" s="343" t="s">
        <v>366</v>
      </c>
      <c r="J1409" s="343" t="s">
        <v>10800</v>
      </c>
      <c r="K1409" s="343" t="s">
        <v>168</v>
      </c>
    </row>
    <row r="1410" spans="1:11" ht="26.25" customHeight="1">
      <c r="A1410" s="343" t="s">
        <v>4304</v>
      </c>
      <c r="B1410" s="344" t="s">
        <v>162</v>
      </c>
      <c r="C1410" s="344">
        <v>7650</v>
      </c>
      <c r="D1410" s="343" t="s">
        <v>4346</v>
      </c>
      <c r="E1410" s="344">
        <v>6258893</v>
      </c>
      <c r="F1410" s="343" t="s">
        <v>4347</v>
      </c>
      <c r="G1410" s="360" t="s">
        <v>9820</v>
      </c>
      <c r="H1410" s="361">
        <v>42542</v>
      </c>
      <c r="I1410" s="343" t="s">
        <v>166</v>
      </c>
      <c r="J1410" s="343" t="s">
        <v>10801</v>
      </c>
      <c r="K1410" s="343" t="s">
        <v>168</v>
      </c>
    </row>
    <row r="1411" spans="1:11" ht="26.25" customHeight="1">
      <c r="A1411" s="343" t="s">
        <v>4304</v>
      </c>
      <c r="B1411" s="344" t="s">
        <v>162</v>
      </c>
      <c r="C1411" s="344">
        <v>7157</v>
      </c>
      <c r="D1411" s="343" t="s">
        <v>4474</v>
      </c>
      <c r="E1411" s="344">
        <v>5517588</v>
      </c>
      <c r="F1411" s="343" t="s">
        <v>4476</v>
      </c>
      <c r="G1411" s="360" t="s">
        <v>10802</v>
      </c>
      <c r="H1411" s="361">
        <v>42534</v>
      </c>
      <c r="I1411" s="343" t="s">
        <v>4073</v>
      </c>
      <c r="J1411" s="343" t="s">
        <v>10803</v>
      </c>
      <c r="K1411" s="343" t="s">
        <v>168</v>
      </c>
    </row>
    <row r="1412" spans="1:11" ht="26.25" customHeight="1">
      <c r="A1412" s="343" t="s">
        <v>4304</v>
      </c>
      <c r="B1412" s="344" t="s">
        <v>162</v>
      </c>
      <c r="C1412" s="344">
        <v>7182</v>
      </c>
      <c r="D1412" s="343" t="s">
        <v>4582</v>
      </c>
      <c r="E1412" s="344">
        <v>6296429</v>
      </c>
      <c r="F1412" s="343" t="s">
        <v>4585</v>
      </c>
      <c r="G1412" s="360" t="s">
        <v>10804</v>
      </c>
      <c r="H1412" s="361">
        <v>42536</v>
      </c>
      <c r="I1412" s="343" t="s">
        <v>4320</v>
      </c>
      <c r="J1412" s="343" t="s">
        <v>10805</v>
      </c>
      <c r="K1412" s="343" t="s">
        <v>168</v>
      </c>
    </row>
    <row r="1413" spans="1:11" ht="26.25" customHeight="1">
      <c r="A1413" s="343" t="s">
        <v>4304</v>
      </c>
      <c r="B1413" s="344" t="s">
        <v>162</v>
      </c>
      <c r="C1413" s="344">
        <v>11565</v>
      </c>
      <c r="D1413" s="343" t="s">
        <v>4360</v>
      </c>
      <c r="E1413" s="344">
        <v>6239011</v>
      </c>
      <c r="F1413" s="343" t="s">
        <v>4361</v>
      </c>
      <c r="G1413" s="360" t="s">
        <v>10806</v>
      </c>
      <c r="H1413" s="361">
        <v>42543</v>
      </c>
      <c r="I1413" s="343" t="s">
        <v>193</v>
      </c>
      <c r="J1413" s="343" t="s">
        <v>377</v>
      </c>
      <c r="K1413" s="343" t="s">
        <v>168</v>
      </c>
    </row>
    <row r="1414" spans="1:11" ht="26.25" customHeight="1">
      <c r="A1414" s="343" t="s">
        <v>4304</v>
      </c>
      <c r="B1414" s="344" t="s">
        <v>162</v>
      </c>
      <c r="C1414" s="344">
        <v>7181</v>
      </c>
      <c r="D1414" s="343" t="s">
        <v>4544</v>
      </c>
      <c r="E1414" s="344">
        <v>4208883</v>
      </c>
      <c r="F1414" s="343" t="s">
        <v>4545</v>
      </c>
      <c r="G1414" s="360" t="s">
        <v>10807</v>
      </c>
      <c r="H1414" s="361">
        <v>42552</v>
      </c>
      <c r="I1414" s="343" t="s">
        <v>366</v>
      </c>
      <c r="J1414" s="343" t="s">
        <v>366</v>
      </c>
      <c r="K1414" s="343" t="s">
        <v>168</v>
      </c>
    </row>
    <row r="1415" spans="1:11" ht="26.25" customHeight="1">
      <c r="A1415" s="343" t="s">
        <v>4304</v>
      </c>
      <c r="B1415" s="344" t="s">
        <v>162</v>
      </c>
      <c r="C1415" s="344">
        <v>7181</v>
      </c>
      <c r="D1415" s="343" t="s">
        <v>4544</v>
      </c>
      <c r="E1415" s="344">
        <v>4208872</v>
      </c>
      <c r="F1415" s="343" t="s">
        <v>4547</v>
      </c>
      <c r="G1415" s="360" t="s">
        <v>10807</v>
      </c>
      <c r="H1415" s="361">
        <v>42552</v>
      </c>
      <c r="I1415" s="343" t="s">
        <v>366</v>
      </c>
      <c r="J1415" s="343" t="s">
        <v>366</v>
      </c>
      <c r="K1415" s="343" t="s">
        <v>168</v>
      </c>
    </row>
    <row r="1416" spans="1:11" ht="26.25" customHeight="1">
      <c r="A1416" s="343" t="s">
        <v>4304</v>
      </c>
      <c r="B1416" s="344" t="s">
        <v>162</v>
      </c>
      <c r="C1416" s="344">
        <v>7685</v>
      </c>
      <c r="D1416" s="343" t="s">
        <v>4338</v>
      </c>
      <c r="E1416" s="344">
        <v>6226871</v>
      </c>
      <c r="F1416" s="343" t="s">
        <v>4339</v>
      </c>
      <c r="G1416" s="360" t="s">
        <v>10808</v>
      </c>
      <c r="H1416" s="361">
        <v>42557</v>
      </c>
      <c r="I1416" s="343" t="s">
        <v>1038</v>
      </c>
      <c r="J1416" s="343" t="s">
        <v>1165</v>
      </c>
      <c r="K1416" s="343" t="s">
        <v>168</v>
      </c>
    </row>
    <row r="1417" spans="1:11" ht="26.25" customHeight="1">
      <c r="A1417" s="343" t="s">
        <v>4304</v>
      </c>
      <c r="B1417" s="344" t="s">
        <v>162</v>
      </c>
      <c r="C1417" s="344">
        <v>7656</v>
      </c>
      <c r="D1417" s="343" t="s">
        <v>4350</v>
      </c>
      <c r="E1417" s="344">
        <v>6486780</v>
      </c>
      <c r="F1417" s="343" t="s">
        <v>4352</v>
      </c>
      <c r="G1417" s="360" t="s">
        <v>10809</v>
      </c>
      <c r="H1417" s="361">
        <v>42555</v>
      </c>
      <c r="I1417" s="343" t="s">
        <v>3629</v>
      </c>
      <c r="J1417" s="343" t="s">
        <v>10810</v>
      </c>
      <c r="K1417" s="343" t="s">
        <v>168</v>
      </c>
    </row>
    <row r="1418" spans="1:11" ht="26.25" customHeight="1">
      <c r="A1418" s="343" t="s">
        <v>4304</v>
      </c>
      <c r="B1418" s="344" t="s">
        <v>162</v>
      </c>
      <c r="C1418" s="344">
        <v>9396</v>
      </c>
      <c r="D1418" s="343" t="s">
        <v>4570</v>
      </c>
      <c r="E1418" s="344">
        <v>5177908</v>
      </c>
      <c r="F1418" s="343" t="s">
        <v>4573</v>
      </c>
      <c r="G1418" s="360" t="s">
        <v>10811</v>
      </c>
      <c r="H1418" s="361">
        <v>42580</v>
      </c>
      <c r="I1418" s="343" t="s">
        <v>366</v>
      </c>
      <c r="J1418" s="343" t="s">
        <v>366</v>
      </c>
      <c r="K1418" s="343" t="s">
        <v>168</v>
      </c>
    </row>
    <row r="1419" spans="1:11" ht="26.25" customHeight="1">
      <c r="A1419" s="343" t="s">
        <v>4304</v>
      </c>
      <c r="B1419" s="344" t="s">
        <v>162</v>
      </c>
      <c r="C1419" s="344">
        <v>6765</v>
      </c>
      <c r="D1419" s="343" t="s">
        <v>4689</v>
      </c>
      <c r="E1419" s="344">
        <v>5186657</v>
      </c>
      <c r="F1419" s="343" t="s">
        <v>4690</v>
      </c>
      <c r="G1419" s="360" t="s">
        <v>10812</v>
      </c>
      <c r="H1419" s="361">
        <v>42579</v>
      </c>
      <c r="I1419" s="343" t="s">
        <v>670</v>
      </c>
      <c r="J1419" s="343" t="s">
        <v>10731</v>
      </c>
      <c r="K1419" s="343" t="s">
        <v>173</v>
      </c>
    </row>
    <row r="1420" spans="1:11" ht="26.25" customHeight="1">
      <c r="A1420" s="343" t="s">
        <v>4304</v>
      </c>
      <c r="B1420" s="344" t="s">
        <v>162</v>
      </c>
      <c r="C1420" s="344">
        <v>9884</v>
      </c>
      <c r="D1420" s="343" t="s">
        <v>4400</v>
      </c>
      <c r="E1420" s="344">
        <v>4107781</v>
      </c>
      <c r="F1420" s="343" t="s">
        <v>4402</v>
      </c>
      <c r="G1420" s="360" t="s">
        <v>10813</v>
      </c>
      <c r="H1420" s="361">
        <v>42579</v>
      </c>
      <c r="I1420" s="343" t="s">
        <v>806</v>
      </c>
      <c r="J1420" s="343" t="s">
        <v>10814</v>
      </c>
      <c r="K1420" s="343" t="s">
        <v>168</v>
      </c>
    </row>
    <row r="1421" spans="1:11" ht="26.25" customHeight="1">
      <c r="A1421" s="343" t="s">
        <v>4304</v>
      </c>
      <c r="B1421" s="344" t="s">
        <v>162</v>
      </c>
      <c r="C1421" s="344">
        <v>8442</v>
      </c>
      <c r="D1421" s="343" t="s">
        <v>4486</v>
      </c>
      <c r="E1421" s="344">
        <v>6456300</v>
      </c>
      <c r="F1421" s="343" t="s">
        <v>4495</v>
      </c>
      <c r="G1421" s="360" t="s">
        <v>10815</v>
      </c>
      <c r="H1421" s="361">
        <v>42594</v>
      </c>
      <c r="I1421" s="343" t="s">
        <v>180</v>
      </c>
      <c r="J1421" s="343" t="s">
        <v>10816</v>
      </c>
      <c r="K1421" s="343" t="s">
        <v>173</v>
      </c>
    </row>
    <row r="1422" spans="1:11" ht="26.25" customHeight="1">
      <c r="A1422" s="343" t="s">
        <v>4304</v>
      </c>
      <c r="B1422" s="344" t="s">
        <v>162</v>
      </c>
      <c r="C1422" s="344">
        <v>7156</v>
      </c>
      <c r="D1422" s="343" t="s">
        <v>4442</v>
      </c>
      <c r="E1422" s="344">
        <v>5497614</v>
      </c>
      <c r="F1422" s="343" t="s">
        <v>4443</v>
      </c>
      <c r="G1422" s="360" t="s">
        <v>10267</v>
      </c>
      <c r="H1422" s="361">
        <v>42585</v>
      </c>
      <c r="I1422" s="343" t="s">
        <v>984</v>
      </c>
      <c r="J1422" s="343" t="s">
        <v>10817</v>
      </c>
      <c r="K1422" s="343" t="s">
        <v>168</v>
      </c>
    </row>
    <row r="1423" spans="1:11" ht="26.25" customHeight="1">
      <c r="A1423" s="343" t="s">
        <v>4304</v>
      </c>
      <c r="B1423" s="344" t="s">
        <v>162</v>
      </c>
      <c r="C1423" s="344">
        <v>7156</v>
      </c>
      <c r="D1423" s="343" t="s">
        <v>4442</v>
      </c>
      <c r="E1423" s="344">
        <v>3965524</v>
      </c>
      <c r="F1423" s="343" t="s">
        <v>4444</v>
      </c>
      <c r="G1423" s="360" t="s">
        <v>10818</v>
      </c>
      <c r="H1423" s="361">
        <v>42590</v>
      </c>
      <c r="I1423" s="343" t="s">
        <v>984</v>
      </c>
      <c r="J1423" s="343" t="s">
        <v>985</v>
      </c>
      <c r="K1423" s="343" t="s">
        <v>168</v>
      </c>
    </row>
    <row r="1424" spans="1:11" ht="26.25" customHeight="1">
      <c r="A1424" s="343" t="s">
        <v>4304</v>
      </c>
      <c r="B1424" s="344" t="s">
        <v>162</v>
      </c>
      <c r="C1424" s="344">
        <v>7187</v>
      </c>
      <c r="D1424" s="343" t="s">
        <v>4436</v>
      </c>
      <c r="E1424" s="344">
        <v>4506446</v>
      </c>
      <c r="F1424" s="343" t="s">
        <v>4438</v>
      </c>
      <c r="G1424" s="360" t="s">
        <v>10819</v>
      </c>
      <c r="H1424" s="361">
        <v>42605</v>
      </c>
      <c r="I1424" s="343" t="s">
        <v>211</v>
      </c>
      <c r="J1424" s="343" t="s">
        <v>948</v>
      </c>
      <c r="K1424" s="343" t="s">
        <v>168</v>
      </c>
    </row>
    <row r="1425" spans="1:11" ht="26.25" customHeight="1">
      <c r="A1425" s="343" t="s">
        <v>4304</v>
      </c>
      <c r="B1425" s="344" t="s">
        <v>162</v>
      </c>
      <c r="C1425" s="344">
        <v>12431</v>
      </c>
      <c r="D1425" s="343" t="s">
        <v>4303</v>
      </c>
      <c r="E1425" s="344">
        <v>6441613</v>
      </c>
      <c r="F1425" s="343" t="s">
        <v>4309</v>
      </c>
      <c r="G1425" s="360" t="s">
        <v>9542</v>
      </c>
      <c r="H1425" s="361">
        <v>42605</v>
      </c>
      <c r="I1425" s="343" t="s">
        <v>709</v>
      </c>
      <c r="J1425" s="343" t="s">
        <v>978</v>
      </c>
      <c r="K1425" s="343" t="s">
        <v>173</v>
      </c>
    </row>
    <row r="1426" spans="1:11" ht="26.25" customHeight="1">
      <c r="A1426" s="343" t="s">
        <v>4304</v>
      </c>
      <c r="B1426" s="344" t="s">
        <v>162</v>
      </c>
      <c r="C1426" s="344">
        <v>7181</v>
      </c>
      <c r="D1426" s="343" t="s">
        <v>4544</v>
      </c>
      <c r="E1426" s="344">
        <v>4645580</v>
      </c>
      <c r="F1426" s="343" t="s">
        <v>4546</v>
      </c>
      <c r="G1426" s="360" t="s">
        <v>10820</v>
      </c>
      <c r="H1426" s="361">
        <v>42618</v>
      </c>
      <c r="I1426" s="343" t="s">
        <v>366</v>
      </c>
      <c r="J1426" s="343" t="s">
        <v>10800</v>
      </c>
      <c r="K1426" s="343" t="s">
        <v>168</v>
      </c>
    </row>
    <row r="1427" spans="1:11" ht="26.25" customHeight="1">
      <c r="A1427" s="343" t="s">
        <v>4304</v>
      </c>
      <c r="B1427" s="344" t="s">
        <v>162</v>
      </c>
      <c r="C1427" s="344">
        <v>8442</v>
      </c>
      <c r="D1427" s="343" t="s">
        <v>4486</v>
      </c>
      <c r="E1427" s="344">
        <v>4700160</v>
      </c>
      <c r="F1427" s="343" t="s">
        <v>4487</v>
      </c>
      <c r="G1427" s="360" t="s">
        <v>9875</v>
      </c>
      <c r="H1427" s="361">
        <v>42618</v>
      </c>
      <c r="I1427" s="343" t="s">
        <v>4412</v>
      </c>
      <c r="J1427" s="343" t="s">
        <v>10821</v>
      </c>
      <c r="K1427" s="343" t="s">
        <v>168</v>
      </c>
    </row>
    <row r="1428" spans="1:11" ht="26.25" customHeight="1">
      <c r="A1428" s="343" t="s">
        <v>4304</v>
      </c>
      <c r="B1428" s="344" t="s">
        <v>162</v>
      </c>
      <c r="C1428" s="344">
        <v>7182</v>
      </c>
      <c r="D1428" s="343" t="s">
        <v>4582</v>
      </c>
      <c r="E1428" s="344">
        <v>5244433</v>
      </c>
      <c r="F1428" s="343" t="s">
        <v>4584</v>
      </c>
      <c r="G1428" s="360" t="s">
        <v>10822</v>
      </c>
      <c r="H1428" s="361">
        <v>42628</v>
      </c>
      <c r="I1428" s="343" t="s">
        <v>366</v>
      </c>
      <c r="J1428" s="343" t="s">
        <v>1095</v>
      </c>
      <c r="K1428" s="343" t="s">
        <v>168</v>
      </c>
    </row>
    <row r="1429" spans="1:11" ht="26.25" customHeight="1">
      <c r="A1429" s="343" t="s">
        <v>4304</v>
      </c>
      <c r="B1429" s="344" t="s">
        <v>162</v>
      </c>
      <c r="C1429" s="344">
        <v>8442</v>
      </c>
      <c r="D1429" s="343" t="s">
        <v>4486</v>
      </c>
      <c r="E1429" s="344">
        <v>4103278</v>
      </c>
      <c r="F1429" s="343" t="s">
        <v>4488</v>
      </c>
      <c r="G1429" s="360" t="s">
        <v>10823</v>
      </c>
      <c r="H1429" s="361">
        <v>42633</v>
      </c>
      <c r="I1429" s="343" t="s">
        <v>198</v>
      </c>
      <c r="J1429" s="343" t="s">
        <v>1327</v>
      </c>
      <c r="K1429" s="343" t="s">
        <v>168</v>
      </c>
    </row>
    <row r="1430" spans="1:11" ht="26.25" customHeight="1">
      <c r="A1430" s="343" t="s">
        <v>4304</v>
      </c>
      <c r="B1430" s="344" t="s">
        <v>162</v>
      </c>
      <c r="C1430" s="344">
        <v>7158</v>
      </c>
      <c r="D1430" s="343" t="s">
        <v>4513</v>
      </c>
      <c r="E1430" s="344">
        <v>5115817</v>
      </c>
      <c r="F1430" s="343" t="s">
        <v>4519</v>
      </c>
      <c r="G1430" s="360" t="s">
        <v>10824</v>
      </c>
      <c r="H1430" s="361">
        <v>42629</v>
      </c>
      <c r="I1430" s="343" t="s">
        <v>1403</v>
      </c>
      <c r="J1430" s="343" t="s">
        <v>10825</v>
      </c>
      <c r="K1430" s="343" t="s">
        <v>168</v>
      </c>
    </row>
    <row r="1431" spans="1:11" ht="26.25" customHeight="1">
      <c r="A1431" s="343" t="s">
        <v>4304</v>
      </c>
      <c r="B1431" s="344" t="s">
        <v>162</v>
      </c>
      <c r="C1431" s="344">
        <v>12719</v>
      </c>
      <c r="D1431" s="343" t="s">
        <v>4650</v>
      </c>
      <c r="E1431" s="344">
        <v>6187415</v>
      </c>
      <c r="F1431" s="343" t="s">
        <v>4654</v>
      </c>
      <c r="G1431" s="360" t="s">
        <v>10826</v>
      </c>
      <c r="H1431" s="361">
        <v>42642</v>
      </c>
      <c r="I1431" s="343" t="s">
        <v>180</v>
      </c>
      <c r="J1431" s="343" t="s">
        <v>10827</v>
      </c>
      <c r="K1431" s="343" t="s">
        <v>168</v>
      </c>
    </row>
    <row r="1432" spans="1:11" ht="26.25" customHeight="1">
      <c r="A1432" s="343" t="s">
        <v>4304</v>
      </c>
      <c r="B1432" s="344" t="s">
        <v>162</v>
      </c>
      <c r="C1432" s="344">
        <v>9025</v>
      </c>
      <c r="D1432" s="343" t="s">
        <v>4698</v>
      </c>
      <c r="E1432" s="344">
        <v>6152229</v>
      </c>
      <c r="F1432" s="343" t="s">
        <v>4703</v>
      </c>
      <c r="G1432" s="360" t="s">
        <v>10828</v>
      </c>
      <c r="H1432" s="361">
        <v>42639</v>
      </c>
      <c r="I1432" s="343" t="s">
        <v>806</v>
      </c>
      <c r="J1432" s="343" t="s">
        <v>10829</v>
      </c>
      <c r="K1432" s="343" t="s">
        <v>173</v>
      </c>
    </row>
    <row r="1433" spans="1:11" ht="26.25" customHeight="1">
      <c r="A1433" s="343" t="s">
        <v>4304</v>
      </c>
      <c r="B1433" s="344" t="s">
        <v>162</v>
      </c>
      <c r="C1433" s="344">
        <v>7149</v>
      </c>
      <c r="D1433" s="343" t="s">
        <v>4599</v>
      </c>
      <c r="E1433" s="344">
        <v>4902682</v>
      </c>
      <c r="F1433" s="343" t="s">
        <v>4600</v>
      </c>
      <c r="G1433" s="360" t="s">
        <v>10830</v>
      </c>
      <c r="H1433" s="361">
        <v>42641</v>
      </c>
      <c r="I1433" s="343" t="s">
        <v>3606</v>
      </c>
      <c r="J1433" s="343" t="s">
        <v>3606</v>
      </c>
      <c r="K1433" s="343" t="s">
        <v>168</v>
      </c>
    </row>
    <row r="1434" spans="1:11" ht="26.25" customHeight="1">
      <c r="A1434" s="343" t="s">
        <v>4304</v>
      </c>
      <c r="B1434" s="344" t="s">
        <v>162</v>
      </c>
      <c r="C1434" s="344">
        <v>12717</v>
      </c>
      <c r="D1434" s="343" t="s">
        <v>4430</v>
      </c>
      <c r="E1434" s="344">
        <v>5484520</v>
      </c>
      <c r="F1434" s="343" t="s">
        <v>4431</v>
      </c>
      <c r="G1434" s="360" t="s">
        <v>10831</v>
      </c>
      <c r="H1434" s="361">
        <v>42646</v>
      </c>
      <c r="I1434" s="343" t="s">
        <v>662</v>
      </c>
      <c r="J1434" s="343" t="s">
        <v>10832</v>
      </c>
      <c r="K1434" s="343" t="s">
        <v>248</v>
      </c>
    </row>
    <row r="1435" spans="1:11" ht="26.25" customHeight="1">
      <c r="A1435" s="343" t="s">
        <v>4304</v>
      </c>
      <c r="B1435" s="344" t="s">
        <v>162</v>
      </c>
      <c r="C1435" s="344">
        <v>7155</v>
      </c>
      <c r="D1435" s="343" t="s">
        <v>4552</v>
      </c>
      <c r="E1435" s="344">
        <v>6033715</v>
      </c>
      <c r="F1435" s="343" t="s">
        <v>4554</v>
      </c>
      <c r="G1435" s="360" t="s">
        <v>10298</v>
      </c>
      <c r="H1435" s="361">
        <v>42654</v>
      </c>
      <c r="I1435" s="343" t="s">
        <v>366</v>
      </c>
      <c r="J1435" s="343" t="s">
        <v>366</v>
      </c>
      <c r="K1435" s="343" t="s">
        <v>168</v>
      </c>
    </row>
    <row r="1436" spans="1:11" ht="26.25" customHeight="1">
      <c r="A1436" s="343" t="s">
        <v>4304</v>
      </c>
      <c r="B1436" s="344" t="s">
        <v>162</v>
      </c>
      <c r="C1436" s="344">
        <v>12146</v>
      </c>
      <c r="D1436" s="343" t="s">
        <v>4405</v>
      </c>
      <c r="E1436" s="344">
        <v>4567824</v>
      </c>
      <c r="F1436" s="343" t="s">
        <v>4408</v>
      </c>
      <c r="G1436" s="360" t="s">
        <v>10833</v>
      </c>
      <c r="H1436" s="361">
        <v>42664</v>
      </c>
      <c r="I1436" s="343" t="s">
        <v>271</v>
      </c>
      <c r="J1436" s="343" t="s">
        <v>333</v>
      </c>
      <c r="K1436" s="343" t="s">
        <v>168</v>
      </c>
    </row>
    <row r="1437" spans="1:11" ht="26.25" customHeight="1">
      <c r="A1437" s="343" t="s">
        <v>4304</v>
      </c>
      <c r="B1437" s="344" t="s">
        <v>162</v>
      </c>
      <c r="C1437" s="344">
        <v>7207</v>
      </c>
      <c r="D1437" s="343" t="s">
        <v>4469</v>
      </c>
      <c r="E1437" s="344">
        <v>3901656</v>
      </c>
      <c r="F1437" s="343" t="s">
        <v>4472</v>
      </c>
      <c r="G1437" s="360" t="s">
        <v>10834</v>
      </c>
      <c r="H1437" s="361">
        <v>42696</v>
      </c>
      <c r="I1437" s="343" t="s">
        <v>193</v>
      </c>
      <c r="J1437" s="343" t="s">
        <v>10835</v>
      </c>
      <c r="K1437" s="343" t="s">
        <v>168</v>
      </c>
    </row>
    <row r="1438" spans="1:11" ht="26.25" customHeight="1">
      <c r="A1438" s="343" t="s">
        <v>4304</v>
      </c>
      <c r="B1438" s="344" t="s">
        <v>162</v>
      </c>
      <c r="C1438" s="344">
        <v>8430</v>
      </c>
      <c r="D1438" s="343" t="s">
        <v>4421</v>
      </c>
      <c r="E1438" s="344">
        <v>4438439</v>
      </c>
      <c r="F1438" s="343" t="s">
        <v>4426</v>
      </c>
      <c r="G1438" s="360" t="s">
        <v>840</v>
      </c>
      <c r="H1438" s="361">
        <v>40221</v>
      </c>
      <c r="I1438" s="343" t="s">
        <v>211</v>
      </c>
      <c r="J1438" s="343" t="s">
        <v>211</v>
      </c>
      <c r="K1438" s="343" t="s">
        <v>168</v>
      </c>
    </row>
    <row r="1439" spans="1:11" ht="26.25" customHeight="1">
      <c r="A1439" s="343" t="s">
        <v>4304</v>
      </c>
      <c r="B1439" s="344" t="s">
        <v>162</v>
      </c>
      <c r="C1439" s="344">
        <v>8439</v>
      </c>
      <c r="D1439" s="343" t="s">
        <v>4715</v>
      </c>
      <c r="E1439" s="344">
        <v>4818266</v>
      </c>
      <c r="F1439" s="343" t="s">
        <v>4723</v>
      </c>
      <c r="G1439" s="360" t="s">
        <v>10836</v>
      </c>
      <c r="H1439" s="361">
        <v>41677</v>
      </c>
      <c r="I1439" s="343" t="s">
        <v>349</v>
      </c>
      <c r="J1439" s="343" t="s">
        <v>167</v>
      </c>
      <c r="K1439" s="343" t="s">
        <v>168</v>
      </c>
    </row>
    <row r="1440" spans="1:11" ht="26.25" customHeight="1">
      <c r="A1440" s="343" t="s">
        <v>4304</v>
      </c>
      <c r="B1440" s="344" t="s">
        <v>162</v>
      </c>
      <c r="C1440" s="344">
        <v>7658</v>
      </c>
      <c r="D1440" s="343" t="s">
        <v>4366</v>
      </c>
      <c r="E1440" s="344">
        <v>6435902</v>
      </c>
      <c r="F1440" s="343" t="s">
        <v>4368</v>
      </c>
      <c r="G1440" s="360" t="s">
        <v>10837</v>
      </c>
      <c r="H1440" s="361">
        <v>42705</v>
      </c>
      <c r="I1440" s="343" t="s">
        <v>802</v>
      </c>
      <c r="J1440" s="343" t="s">
        <v>10838</v>
      </c>
      <c r="K1440" s="343" t="s">
        <v>168</v>
      </c>
    </row>
    <row r="1441" spans="1:11" ht="26.25" customHeight="1">
      <c r="A1441" s="343" t="s">
        <v>4304</v>
      </c>
      <c r="B1441" s="344" t="s">
        <v>162</v>
      </c>
      <c r="C1441" s="344">
        <v>7115</v>
      </c>
      <c r="D1441" s="343" t="s">
        <v>4477</v>
      </c>
      <c r="E1441" s="344">
        <v>4866520</v>
      </c>
      <c r="F1441" s="343" t="s">
        <v>4478</v>
      </c>
      <c r="G1441" s="360" t="s">
        <v>10839</v>
      </c>
      <c r="H1441" s="361">
        <v>41691</v>
      </c>
      <c r="I1441" s="343" t="s">
        <v>193</v>
      </c>
      <c r="J1441" s="343" t="s">
        <v>9877</v>
      </c>
      <c r="K1441" s="343" t="s">
        <v>168</v>
      </c>
    </row>
    <row r="1442" spans="1:11" ht="26.25" customHeight="1">
      <c r="A1442" s="343" t="s">
        <v>4304</v>
      </c>
      <c r="B1442" s="344" t="s">
        <v>162</v>
      </c>
      <c r="C1442" s="344">
        <v>7152</v>
      </c>
      <c r="D1442" s="343" t="s">
        <v>4459</v>
      </c>
      <c r="E1442" s="344">
        <v>4919032</v>
      </c>
      <c r="F1442" s="343" t="s">
        <v>4460</v>
      </c>
      <c r="G1442" s="360" t="s">
        <v>10840</v>
      </c>
      <c r="H1442" s="361">
        <v>41984</v>
      </c>
      <c r="I1442" s="343" t="s">
        <v>766</v>
      </c>
      <c r="J1442" s="343" t="s">
        <v>10841</v>
      </c>
      <c r="K1442" s="343" t="s">
        <v>168</v>
      </c>
    </row>
    <row r="1443" spans="1:11" ht="26.25" customHeight="1">
      <c r="A1443" s="343" t="s">
        <v>4304</v>
      </c>
      <c r="B1443" s="344" t="s">
        <v>162</v>
      </c>
      <c r="C1443" s="344">
        <v>7183</v>
      </c>
      <c r="D1443" s="343" t="s">
        <v>4586</v>
      </c>
      <c r="E1443" s="344">
        <v>4482637</v>
      </c>
      <c r="F1443" s="343" t="s">
        <v>4591</v>
      </c>
      <c r="G1443" s="360" t="s">
        <v>10842</v>
      </c>
      <c r="H1443" s="361">
        <v>41976</v>
      </c>
      <c r="I1443" s="343" t="s">
        <v>193</v>
      </c>
      <c r="J1443" s="343" t="s">
        <v>637</v>
      </c>
      <c r="K1443" s="343" t="s">
        <v>168</v>
      </c>
    </row>
    <row r="1444" spans="1:11" ht="26.25" customHeight="1">
      <c r="A1444" s="343" t="s">
        <v>4304</v>
      </c>
      <c r="B1444" s="344" t="s">
        <v>162</v>
      </c>
      <c r="C1444" s="344">
        <v>9396</v>
      </c>
      <c r="D1444" s="343" t="s">
        <v>4570</v>
      </c>
      <c r="E1444" s="344">
        <v>3683540</v>
      </c>
      <c r="F1444" s="343" t="s">
        <v>4581</v>
      </c>
      <c r="G1444" s="360" t="s">
        <v>10843</v>
      </c>
      <c r="H1444" s="361">
        <v>40578</v>
      </c>
      <c r="I1444" s="343" t="s">
        <v>211</v>
      </c>
      <c r="J1444" s="343" t="s">
        <v>909</v>
      </c>
      <c r="K1444" s="343" t="s">
        <v>168</v>
      </c>
    </row>
    <row r="1445" spans="1:11" ht="26.25" customHeight="1">
      <c r="A1445" s="343" t="s">
        <v>4304</v>
      </c>
      <c r="B1445" s="344" t="s">
        <v>162</v>
      </c>
      <c r="C1445" s="344">
        <v>8442</v>
      </c>
      <c r="D1445" s="343" t="s">
        <v>4486</v>
      </c>
      <c r="E1445" s="344">
        <v>3885809</v>
      </c>
      <c r="F1445" s="343" t="s">
        <v>4489</v>
      </c>
      <c r="G1445" s="360" t="s">
        <v>10844</v>
      </c>
      <c r="H1445" s="361">
        <v>40444</v>
      </c>
      <c r="I1445" s="343" t="s">
        <v>366</v>
      </c>
      <c r="J1445" s="343" t="s">
        <v>366</v>
      </c>
      <c r="K1445" s="343" t="s">
        <v>168</v>
      </c>
    </row>
    <row r="1446" spans="1:11" ht="26.25" customHeight="1">
      <c r="A1446" s="343" t="s">
        <v>4304</v>
      </c>
      <c r="B1446" s="344" t="s">
        <v>162</v>
      </c>
      <c r="C1446" s="344">
        <v>8439</v>
      </c>
      <c r="D1446" s="343" t="s">
        <v>4715</v>
      </c>
      <c r="E1446" s="344">
        <v>4764817</v>
      </c>
      <c r="F1446" s="343" t="s">
        <v>4717</v>
      </c>
      <c r="G1446" s="360" t="s">
        <v>10845</v>
      </c>
      <c r="H1446" s="361">
        <v>41928</v>
      </c>
      <c r="I1446" s="343" t="s">
        <v>261</v>
      </c>
      <c r="J1446" s="343" t="s">
        <v>10846</v>
      </c>
      <c r="K1446" s="343" t="s">
        <v>168</v>
      </c>
    </row>
    <row r="1447" spans="1:11" ht="26.25" customHeight="1">
      <c r="A1447" s="343" t="s">
        <v>4304</v>
      </c>
      <c r="B1447" s="344" t="s">
        <v>162</v>
      </c>
      <c r="C1447" s="344">
        <v>12143</v>
      </c>
      <c r="D1447" s="343" t="s">
        <v>4482</v>
      </c>
      <c r="E1447" s="344">
        <v>5000774</v>
      </c>
      <c r="F1447" s="343" t="s">
        <v>4485</v>
      </c>
      <c r="G1447" s="360" t="s">
        <v>10847</v>
      </c>
      <c r="H1447" s="361">
        <v>42124</v>
      </c>
      <c r="I1447" s="343" t="s">
        <v>580</v>
      </c>
      <c r="J1447" s="343" t="s">
        <v>10848</v>
      </c>
      <c r="K1447" s="343" t="s">
        <v>248</v>
      </c>
    </row>
    <row r="1448" spans="1:11" ht="26.25" customHeight="1">
      <c r="A1448" s="343" t="s">
        <v>4304</v>
      </c>
      <c r="B1448" s="344" t="s">
        <v>162</v>
      </c>
      <c r="C1448" s="344">
        <v>7183</v>
      </c>
      <c r="D1448" s="343" t="s">
        <v>4586</v>
      </c>
      <c r="E1448" s="344">
        <v>4293211</v>
      </c>
      <c r="F1448" s="343" t="s">
        <v>4589</v>
      </c>
      <c r="G1448" s="360" t="s">
        <v>10849</v>
      </c>
      <c r="H1448" s="361">
        <v>40779</v>
      </c>
      <c r="I1448" s="343" t="s">
        <v>211</v>
      </c>
      <c r="J1448" s="343" t="s">
        <v>211</v>
      </c>
      <c r="K1448" s="343" t="s">
        <v>168</v>
      </c>
    </row>
    <row r="1449" spans="1:11" ht="26.25" customHeight="1">
      <c r="A1449" s="343" t="s">
        <v>4304</v>
      </c>
      <c r="B1449" s="344" t="s">
        <v>162</v>
      </c>
      <c r="C1449" s="344">
        <v>9396</v>
      </c>
      <c r="D1449" s="343" t="s">
        <v>4570</v>
      </c>
      <c r="E1449" s="344">
        <v>4502865</v>
      </c>
      <c r="F1449" s="343" t="s">
        <v>4578</v>
      </c>
      <c r="G1449" s="360" t="s">
        <v>10850</v>
      </c>
      <c r="H1449" s="361">
        <v>40708</v>
      </c>
      <c r="I1449" s="343" t="s">
        <v>261</v>
      </c>
      <c r="J1449" s="343" t="s">
        <v>841</v>
      </c>
      <c r="K1449" s="343" t="s">
        <v>168</v>
      </c>
    </row>
    <row r="1450" spans="1:11" ht="26.25" customHeight="1">
      <c r="A1450" s="343" t="s">
        <v>4304</v>
      </c>
      <c r="B1450" s="344" t="s">
        <v>162</v>
      </c>
      <c r="C1450" s="344">
        <v>8439</v>
      </c>
      <c r="D1450" s="343" t="s">
        <v>4715</v>
      </c>
      <c r="E1450" s="344">
        <v>5116884</v>
      </c>
      <c r="F1450" s="343" t="s">
        <v>4716</v>
      </c>
      <c r="G1450" s="360" t="s">
        <v>10851</v>
      </c>
      <c r="H1450" s="361">
        <v>40955</v>
      </c>
      <c r="I1450" s="343" t="s">
        <v>211</v>
      </c>
      <c r="J1450" s="343" t="s">
        <v>909</v>
      </c>
      <c r="K1450" s="343" t="s">
        <v>168</v>
      </c>
    </row>
    <row r="1451" spans="1:11" ht="26.25" customHeight="1">
      <c r="A1451" s="343" t="s">
        <v>4304</v>
      </c>
      <c r="B1451" s="344" t="s">
        <v>162</v>
      </c>
      <c r="C1451" s="344">
        <v>7185</v>
      </c>
      <c r="D1451" s="343" t="s">
        <v>4433</v>
      </c>
      <c r="E1451" s="344">
        <v>4718739</v>
      </c>
      <c r="F1451" s="343" t="s">
        <v>4435</v>
      </c>
      <c r="G1451" s="360" t="s">
        <v>10852</v>
      </c>
      <c r="H1451" s="361">
        <v>40963</v>
      </c>
      <c r="I1451" s="343" t="s">
        <v>166</v>
      </c>
      <c r="J1451" s="343" t="s">
        <v>799</v>
      </c>
      <c r="K1451" s="343" t="s">
        <v>168</v>
      </c>
    </row>
    <row r="1452" spans="1:11" ht="26.25" customHeight="1">
      <c r="A1452" s="343" t="s">
        <v>4304</v>
      </c>
      <c r="B1452" s="344" t="s">
        <v>162</v>
      </c>
      <c r="C1452" s="344">
        <v>9396</v>
      </c>
      <c r="D1452" s="343" t="s">
        <v>4570</v>
      </c>
      <c r="E1452" s="344">
        <v>4839913</v>
      </c>
      <c r="F1452" s="343" t="s">
        <v>4574</v>
      </c>
      <c r="G1452" s="360" t="s">
        <v>10853</v>
      </c>
      <c r="H1452" s="361">
        <v>41269</v>
      </c>
      <c r="I1452" s="343" t="s">
        <v>261</v>
      </c>
      <c r="J1452" s="343" t="s">
        <v>992</v>
      </c>
      <c r="K1452" s="343" t="s">
        <v>168</v>
      </c>
    </row>
    <row r="1453" spans="1:11" ht="26.25" customHeight="1">
      <c r="A1453" s="343" t="s">
        <v>4304</v>
      </c>
      <c r="B1453" s="344" t="s">
        <v>162</v>
      </c>
      <c r="C1453" s="344">
        <v>7204</v>
      </c>
      <c r="D1453" s="343" t="s">
        <v>4596</v>
      </c>
      <c r="E1453" s="344">
        <v>4869838</v>
      </c>
      <c r="F1453" s="343" t="s">
        <v>4597</v>
      </c>
      <c r="G1453" s="360" t="s">
        <v>1018</v>
      </c>
      <c r="H1453" s="361">
        <v>41019</v>
      </c>
      <c r="I1453" s="343" t="s">
        <v>166</v>
      </c>
      <c r="J1453" s="343" t="s">
        <v>799</v>
      </c>
      <c r="K1453" s="343" t="s">
        <v>168</v>
      </c>
    </row>
    <row r="1454" spans="1:11" ht="26.25" customHeight="1">
      <c r="A1454" s="343" t="s">
        <v>4304</v>
      </c>
      <c r="B1454" s="344" t="s">
        <v>162</v>
      </c>
      <c r="C1454" s="344">
        <v>7185</v>
      </c>
      <c r="D1454" s="343" t="s">
        <v>4433</v>
      </c>
      <c r="E1454" s="344">
        <v>4512077</v>
      </c>
      <c r="F1454" s="343" t="s">
        <v>4434</v>
      </c>
      <c r="G1454" s="360" t="s">
        <v>10854</v>
      </c>
      <c r="H1454" s="361">
        <v>41025</v>
      </c>
      <c r="I1454" s="343" t="s">
        <v>366</v>
      </c>
      <c r="J1454" s="343" t="s">
        <v>366</v>
      </c>
      <c r="K1454" s="343" t="s">
        <v>168</v>
      </c>
    </row>
    <row r="1455" spans="1:11" ht="26.25" customHeight="1">
      <c r="A1455" s="343" t="s">
        <v>4304</v>
      </c>
      <c r="B1455" s="344" t="s">
        <v>162</v>
      </c>
      <c r="C1455" s="344">
        <v>7156</v>
      </c>
      <c r="D1455" s="343" t="s">
        <v>4442</v>
      </c>
      <c r="E1455" s="344">
        <v>5252220</v>
      </c>
      <c r="F1455" s="343" t="s">
        <v>4445</v>
      </c>
      <c r="G1455" s="360" t="s">
        <v>10855</v>
      </c>
      <c r="H1455" s="361">
        <v>41165</v>
      </c>
      <c r="I1455" s="343" t="s">
        <v>211</v>
      </c>
      <c r="J1455" s="343" t="s">
        <v>211</v>
      </c>
      <c r="K1455" s="343" t="s">
        <v>168</v>
      </c>
    </row>
    <row r="1456" spans="1:11" ht="26.25" customHeight="1">
      <c r="A1456" s="343" t="s">
        <v>4304</v>
      </c>
      <c r="B1456" s="344" t="s">
        <v>162</v>
      </c>
      <c r="C1456" s="344">
        <v>7156</v>
      </c>
      <c r="D1456" s="343" t="s">
        <v>4442</v>
      </c>
      <c r="E1456" s="344">
        <v>3717740</v>
      </c>
      <c r="F1456" s="343" t="s">
        <v>4446</v>
      </c>
      <c r="G1456" s="360" t="s">
        <v>10856</v>
      </c>
      <c r="H1456" s="361">
        <v>41038</v>
      </c>
      <c r="I1456" s="343" t="s">
        <v>198</v>
      </c>
      <c r="J1456" s="343" t="s">
        <v>198</v>
      </c>
      <c r="K1456" s="343" t="s">
        <v>168</v>
      </c>
    </row>
    <row r="1457" spans="1:11" ht="26.25" customHeight="1">
      <c r="A1457" s="343" t="s">
        <v>4304</v>
      </c>
      <c r="B1457" s="344" t="s">
        <v>162</v>
      </c>
      <c r="C1457" s="344">
        <v>8442</v>
      </c>
      <c r="D1457" s="343" t="s">
        <v>4486</v>
      </c>
      <c r="E1457" s="344">
        <v>5267722</v>
      </c>
      <c r="F1457" s="343" t="s">
        <v>4491</v>
      </c>
      <c r="G1457" s="360" t="s">
        <v>10857</v>
      </c>
      <c r="H1457" s="361">
        <v>41137</v>
      </c>
      <c r="I1457" s="343" t="s">
        <v>1038</v>
      </c>
      <c r="J1457" s="343" t="s">
        <v>1039</v>
      </c>
      <c r="K1457" s="343" t="s">
        <v>168</v>
      </c>
    </row>
    <row r="1458" spans="1:11" ht="26.25" customHeight="1">
      <c r="A1458" s="343" t="s">
        <v>4304</v>
      </c>
      <c r="B1458" s="344" t="s">
        <v>162</v>
      </c>
      <c r="C1458" s="344">
        <v>8442</v>
      </c>
      <c r="D1458" s="343" t="s">
        <v>4486</v>
      </c>
      <c r="E1458" s="344">
        <v>3123343</v>
      </c>
      <c r="F1458" s="343" t="s">
        <v>4496</v>
      </c>
      <c r="G1458" s="360" t="s">
        <v>10858</v>
      </c>
      <c r="H1458" s="361">
        <v>41117</v>
      </c>
      <c r="I1458" s="343" t="s">
        <v>3759</v>
      </c>
      <c r="J1458" s="343" t="s">
        <v>10859</v>
      </c>
      <c r="K1458" s="343" t="s">
        <v>168</v>
      </c>
    </row>
    <row r="1459" spans="1:11" ht="26.25" customHeight="1">
      <c r="A1459" s="343" t="s">
        <v>4304</v>
      </c>
      <c r="B1459" s="344" t="s">
        <v>162</v>
      </c>
      <c r="C1459" s="344">
        <v>8439</v>
      </c>
      <c r="D1459" s="343" t="s">
        <v>4715</v>
      </c>
      <c r="E1459" s="344">
        <v>5036033</v>
      </c>
      <c r="F1459" s="343" t="s">
        <v>4727</v>
      </c>
      <c r="G1459" s="360" t="s">
        <v>10860</v>
      </c>
      <c r="H1459" s="361">
        <v>41319</v>
      </c>
      <c r="I1459" s="343" t="s">
        <v>3596</v>
      </c>
      <c r="J1459" s="343" t="s">
        <v>10861</v>
      </c>
      <c r="K1459" s="343" t="s">
        <v>168</v>
      </c>
    </row>
    <row r="1460" spans="1:11" ht="26.25" customHeight="1">
      <c r="A1460" s="343" t="s">
        <v>4304</v>
      </c>
      <c r="B1460" s="344" t="s">
        <v>162</v>
      </c>
      <c r="C1460" s="344">
        <v>7150</v>
      </c>
      <c r="D1460" s="343" t="s">
        <v>4533</v>
      </c>
      <c r="E1460" s="344">
        <v>4591343</v>
      </c>
      <c r="F1460" s="343" t="s">
        <v>4535</v>
      </c>
      <c r="G1460" s="360" t="s">
        <v>10862</v>
      </c>
      <c r="H1460" s="361">
        <v>41324</v>
      </c>
      <c r="I1460" s="343" t="s">
        <v>709</v>
      </c>
      <c r="J1460" s="343" t="s">
        <v>978</v>
      </c>
      <c r="K1460" s="343" t="s">
        <v>173</v>
      </c>
    </row>
    <row r="1461" spans="1:11" ht="26.25" customHeight="1">
      <c r="A1461" s="343" t="s">
        <v>4304</v>
      </c>
      <c r="B1461" s="344" t="s">
        <v>162</v>
      </c>
      <c r="C1461" s="344">
        <v>7207</v>
      </c>
      <c r="D1461" s="343" t="s">
        <v>4469</v>
      </c>
      <c r="E1461" s="344">
        <v>4649282</v>
      </c>
      <c r="F1461" s="343" t="s">
        <v>4471</v>
      </c>
      <c r="G1461" s="360" t="s">
        <v>10863</v>
      </c>
      <c r="H1461" s="361">
        <v>41597</v>
      </c>
      <c r="I1461" s="343" t="s">
        <v>366</v>
      </c>
      <c r="J1461" s="343" t="s">
        <v>366</v>
      </c>
      <c r="K1461" s="343" t="s">
        <v>168</v>
      </c>
    </row>
    <row r="1462" spans="1:11" ht="26.25" customHeight="1">
      <c r="A1462" s="343" t="s">
        <v>4304</v>
      </c>
      <c r="B1462" s="344" t="s">
        <v>162</v>
      </c>
      <c r="C1462" s="344">
        <v>12146</v>
      </c>
      <c r="D1462" s="343" t="s">
        <v>4405</v>
      </c>
      <c r="E1462" s="344">
        <v>5936029</v>
      </c>
      <c r="F1462" s="343" t="s">
        <v>4409</v>
      </c>
      <c r="G1462" s="360" t="s">
        <v>10864</v>
      </c>
      <c r="H1462" s="361">
        <v>41691</v>
      </c>
      <c r="I1462" s="343" t="s">
        <v>4410</v>
      </c>
      <c r="J1462" s="343" t="s">
        <v>4410</v>
      </c>
      <c r="K1462" s="343" t="s">
        <v>168</v>
      </c>
    </row>
    <row r="1463" spans="1:11" ht="26.25" customHeight="1">
      <c r="A1463" s="343" t="s">
        <v>4304</v>
      </c>
      <c r="B1463" s="344" t="s">
        <v>162</v>
      </c>
      <c r="C1463" s="344">
        <v>12719</v>
      </c>
      <c r="D1463" s="343" t="s">
        <v>4650</v>
      </c>
      <c r="E1463" s="344">
        <v>5031948</v>
      </c>
      <c r="F1463" s="343" t="s">
        <v>4652</v>
      </c>
      <c r="G1463" s="360" t="s">
        <v>10865</v>
      </c>
      <c r="H1463" s="361">
        <v>41334</v>
      </c>
      <c r="I1463" s="343" t="s">
        <v>166</v>
      </c>
      <c r="J1463" s="343" t="s">
        <v>799</v>
      </c>
      <c r="K1463" s="343" t="s">
        <v>168</v>
      </c>
    </row>
    <row r="1464" spans="1:11" ht="26.25" customHeight="1">
      <c r="A1464" s="343" t="s">
        <v>4304</v>
      </c>
      <c r="B1464" s="344" t="s">
        <v>162</v>
      </c>
      <c r="C1464" s="344">
        <v>12143</v>
      </c>
      <c r="D1464" s="343" t="s">
        <v>4482</v>
      </c>
      <c r="E1464" s="344">
        <v>4475157</v>
      </c>
      <c r="F1464" s="343" t="s">
        <v>4484</v>
      </c>
      <c r="G1464" s="360" t="s">
        <v>10866</v>
      </c>
      <c r="H1464" s="361">
        <v>41572</v>
      </c>
      <c r="I1464" s="343" t="s">
        <v>806</v>
      </c>
      <c r="J1464" s="343" t="s">
        <v>807</v>
      </c>
      <c r="K1464" s="343" t="s">
        <v>168</v>
      </c>
    </row>
    <row r="1465" spans="1:11" ht="26.25" customHeight="1">
      <c r="A1465" s="343" t="s">
        <v>4304</v>
      </c>
      <c r="B1465" s="344" t="s">
        <v>162</v>
      </c>
      <c r="C1465" s="344">
        <v>7150</v>
      </c>
      <c r="D1465" s="343" t="s">
        <v>4533</v>
      </c>
      <c r="E1465" s="344">
        <v>4479245</v>
      </c>
      <c r="F1465" s="343" t="s">
        <v>4534</v>
      </c>
      <c r="G1465" s="360" t="s">
        <v>10867</v>
      </c>
      <c r="H1465" s="361">
        <v>41337</v>
      </c>
      <c r="I1465" s="343" t="s">
        <v>211</v>
      </c>
      <c r="J1465" s="343" t="s">
        <v>211</v>
      </c>
      <c r="K1465" s="343" t="s">
        <v>168</v>
      </c>
    </row>
    <row r="1466" spans="1:11" ht="26.25" customHeight="1">
      <c r="A1466" s="343" t="s">
        <v>4304</v>
      </c>
      <c r="B1466" s="344" t="s">
        <v>162</v>
      </c>
      <c r="C1466" s="344">
        <v>7205</v>
      </c>
      <c r="D1466" s="343" t="s">
        <v>4566</v>
      </c>
      <c r="E1466" s="344">
        <v>4697793</v>
      </c>
      <c r="F1466" s="343" t="s">
        <v>4569</v>
      </c>
      <c r="G1466" s="360" t="s">
        <v>10868</v>
      </c>
      <c r="H1466" s="361">
        <v>41561</v>
      </c>
      <c r="I1466" s="343" t="s">
        <v>301</v>
      </c>
      <c r="J1466" s="343" t="s">
        <v>10869</v>
      </c>
      <c r="K1466" s="343" t="s">
        <v>168</v>
      </c>
    </row>
    <row r="1467" spans="1:11" ht="26.25" customHeight="1">
      <c r="A1467" s="343" t="s">
        <v>4304</v>
      </c>
      <c r="B1467" s="344" t="s">
        <v>162</v>
      </c>
      <c r="C1467" s="344">
        <v>7205</v>
      </c>
      <c r="D1467" s="343" t="s">
        <v>4566</v>
      </c>
      <c r="E1467" s="344">
        <v>4433113</v>
      </c>
      <c r="F1467" s="343" t="s">
        <v>4567</v>
      </c>
      <c r="G1467" s="360" t="s">
        <v>10870</v>
      </c>
      <c r="H1467" s="361">
        <v>41561</v>
      </c>
      <c r="I1467" s="343" t="s">
        <v>465</v>
      </c>
      <c r="J1467" s="343" t="s">
        <v>553</v>
      </c>
      <c r="K1467" s="343" t="s">
        <v>168</v>
      </c>
    </row>
    <row r="1468" spans="1:11" ht="26.25" customHeight="1">
      <c r="A1468" s="343" t="s">
        <v>4304</v>
      </c>
      <c r="B1468" s="344" t="s">
        <v>162</v>
      </c>
      <c r="C1468" s="344">
        <v>7150</v>
      </c>
      <c r="D1468" s="343" t="s">
        <v>4533</v>
      </c>
      <c r="E1468" s="344">
        <v>4817891</v>
      </c>
      <c r="F1468" s="343" t="s">
        <v>4539</v>
      </c>
      <c r="G1468" s="360" t="s">
        <v>10871</v>
      </c>
      <c r="H1468" s="361">
        <v>41801</v>
      </c>
      <c r="I1468" s="343" t="s">
        <v>349</v>
      </c>
      <c r="J1468" s="343" t="s">
        <v>167</v>
      </c>
      <c r="K1468" s="343" t="s">
        <v>168</v>
      </c>
    </row>
    <row r="1469" spans="1:11" ht="26.25" customHeight="1">
      <c r="A1469" s="343" t="s">
        <v>4304</v>
      </c>
      <c r="B1469" s="344" t="s">
        <v>162</v>
      </c>
      <c r="C1469" s="344">
        <v>7183</v>
      </c>
      <c r="D1469" s="343" t="s">
        <v>4586</v>
      </c>
      <c r="E1469" s="344">
        <v>3556020</v>
      </c>
      <c r="F1469" s="343" t="s">
        <v>4587</v>
      </c>
      <c r="G1469" s="360" t="s">
        <v>10872</v>
      </c>
      <c r="H1469" s="361">
        <v>41823</v>
      </c>
      <c r="I1469" s="343" t="s">
        <v>4588</v>
      </c>
      <c r="J1469" s="343" t="s">
        <v>10873</v>
      </c>
      <c r="K1469" s="343" t="s">
        <v>168</v>
      </c>
    </row>
    <row r="1470" spans="1:11" ht="26.25" customHeight="1">
      <c r="A1470" s="343" t="s">
        <v>4304</v>
      </c>
      <c r="B1470" s="344" t="s">
        <v>162</v>
      </c>
      <c r="C1470" s="344">
        <v>8439</v>
      </c>
      <c r="D1470" s="343" t="s">
        <v>4715</v>
      </c>
      <c r="E1470" s="344">
        <v>5900204</v>
      </c>
      <c r="F1470" s="343" t="s">
        <v>4718</v>
      </c>
      <c r="G1470" s="360" t="s">
        <v>10874</v>
      </c>
      <c r="H1470" s="361">
        <v>41844</v>
      </c>
      <c r="I1470" s="343" t="s">
        <v>4719</v>
      </c>
      <c r="J1470" s="343" t="s">
        <v>10875</v>
      </c>
      <c r="K1470" s="343" t="s">
        <v>248</v>
      </c>
    </row>
    <row r="1471" spans="1:11" ht="26.25" customHeight="1">
      <c r="A1471" s="343" t="s">
        <v>4304</v>
      </c>
      <c r="B1471" s="344" t="s">
        <v>162</v>
      </c>
      <c r="C1471" s="344">
        <v>7156</v>
      </c>
      <c r="D1471" s="343" t="s">
        <v>4442</v>
      </c>
      <c r="E1471" s="344">
        <v>4481430</v>
      </c>
      <c r="F1471" s="343" t="s">
        <v>4452</v>
      </c>
      <c r="G1471" s="360" t="s">
        <v>10876</v>
      </c>
      <c r="H1471" s="361">
        <v>41695</v>
      </c>
      <c r="I1471" s="343" t="s">
        <v>198</v>
      </c>
      <c r="J1471" s="343" t="s">
        <v>577</v>
      </c>
      <c r="K1471" s="343" t="s">
        <v>168</v>
      </c>
    </row>
    <row r="1472" spans="1:11" ht="26.25" customHeight="1">
      <c r="A1472" s="343" t="s">
        <v>4304</v>
      </c>
      <c r="B1472" s="344" t="s">
        <v>162</v>
      </c>
      <c r="C1472" s="344">
        <v>7187</v>
      </c>
      <c r="D1472" s="343" t="s">
        <v>4436</v>
      </c>
      <c r="E1472" s="344">
        <v>4772067</v>
      </c>
      <c r="F1472" s="343" t="s">
        <v>4439</v>
      </c>
      <c r="G1472" s="360" t="s">
        <v>9375</v>
      </c>
      <c r="H1472" s="361">
        <v>41697</v>
      </c>
      <c r="I1472" s="343" t="s">
        <v>193</v>
      </c>
      <c r="J1472" s="343" t="s">
        <v>10877</v>
      </c>
      <c r="K1472" s="343" t="s">
        <v>168</v>
      </c>
    </row>
    <row r="1473" spans="1:11" ht="26.25" customHeight="1">
      <c r="A1473" s="343" t="s">
        <v>4304</v>
      </c>
      <c r="B1473" s="344" t="s">
        <v>162</v>
      </c>
      <c r="C1473" s="344">
        <v>9267</v>
      </c>
      <c r="D1473" s="343" t="s">
        <v>4631</v>
      </c>
      <c r="E1473" s="344">
        <v>5536267</v>
      </c>
      <c r="F1473" s="343" t="s">
        <v>4633</v>
      </c>
      <c r="G1473" s="360" t="s">
        <v>10878</v>
      </c>
      <c r="H1473" s="361">
        <v>41521</v>
      </c>
      <c r="I1473" s="343" t="s">
        <v>1182</v>
      </c>
      <c r="J1473" s="343" t="s">
        <v>10879</v>
      </c>
      <c r="K1473" s="343" t="s">
        <v>173</v>
      </c>
    </row>
    <row r="1474" spans="1:11" ht="26.25" customHeight="1">
      <c r="A1474" s="343" t="s">
        <v>4304</v>
      </c>
      <c r="B1474" s="344" t="s">
        <v>162</v>
      </c>
      <c r="C1474" s="344">
        <v>7117</v>
      </c>
      <c r="D1474" s="343" t="s">
        <v>4466</v>
      </c>
      <c r="E1474" s="344">
        <v>4746476</v>
      </c>
      <c r="F1474" s="343" t="s">
        <v>4467</v>
      </c>
      <c r="G1474" s="360" t="s">
        <v>10880</v>
      </c>
      <c r="H1474" s="361">
        <v>41367</v>
      </c>
      <c r="I1474" s="343" t="s">
        <v>187</v>
      </c>
      <c r="J1474" s="343" t="s">
        <v>10881</v>
      </c>
      <c r="K1474" s="343" t="s">
        <v>168</v>
      </c>
    </row>
    <row r="1475" spans="1:11" ht="26.25" customHeight="1">
      <c r="A1475" s="343" t="s">
        <v>4304</v>
      </c>
      <c r="B1475" s="344" t="s">
        <v>162</v>
      </c>
      <c r="C1475" s="344">
        <v>12146</v>
      </c>
      <c r="D1475" s="343" t="s">
        <v>4405</v>
      </c>
      <c r="E1475" s="344">
        <v>4767247</v>
      </c>
      <c r="F1475" s="343" t="s">
        <v>4407</v>
      </c>
      <c r="G1475" s="360" t="s">
        <v>10882</v>
      </c>
      <c r="H1475" s="361">
        <v>42719</v>
      </c>
      <c r="I1475" s="343" t="s">
        <v>193</v>
      </c>
      <c r="J1475" s="343" t="s">
        <v>1256</v>
      </c>
      <c r="K1475" s="343" t="s">
        <v>168</v>
      </c>
    </row>
    <row r="1476" spans="1:11" ht="26.25" customHeight="1">
      <c r="A1476" s="343" t="s">
        <v>4304</v>
      </c>
      <c r="B1476" s="344" t="s">
        <v>162</v>
      </c>
      <c r="C1476" s="344">
        <v>8439</v>
      </c>
      <c r="D1476" s="343" t="s">
        <v>4715</v>
      </c>
      <c r="E1476" s="344">
        <v>5127359</v>
      </c>
      <c r="F1476" s="343" t="s">
        <v>4720</v>
      </c>
      <c r="G1476" s="360" t="s">
        <v>10883</v>
      </c>
      <c r="H1476" s="361">
        <v>41375</v>
      </c>
      <c r="I1476" s="343" t="s">
        <v>465</v>
      </c>
      <c r="J1476" s="343" t="s">
        <v>9697</v>
      </c>
      <c r="K1476" s="343" t="s">
        <v>168</v>
      </c>
    </row>
    <row r="1477" spans="1:11" ht="26.25" customHeight="1">
      <c r="A1477" s="343" t="s">
        <v>4304</v>
      </c>
      <c r="B1477" s="344" t="s">
        <v>162</v>
      </c>
      <c r="C1477" s="344">
        <v>7158</v>
      </c>
      <c r="D1477" s="343" t="s">
        <v>4513</v>
      </c>
      <c r="E1477" s="344">
        <v>3773897</v>
      </c>
      <c r="F1477" s="343" t="s">
        <v>4518</v>
      </c>
      <c r="G1477" s="360" t="s">
        <v>10884</v>
      </c>
      <c r="H1477" s="361">
        <v>41495</v>
      </c>
      <c r="I1477" s="343" t="s">
        <v>709</v>
      </c>
      <c r="J1477" s="343" t="s">
        <v>10885</v>
      </c>
      <c r="K1477" s="343" t="s">
        <v>168</v>
      </c>
    </row>
    <row r="1478" spans="1:11" ht="26.25" customHeight="1">
      <c r="A1478" s="343" t="s">
        <v>4304</v>
      </c>
      <c r="B1478" s="344" t="s">
        <v>162</v>
      </c>
      <c r="C1478" s="344">
        <v>7154</v>
      </c>
      <c r="D1478" s="343" t="s">
        <v>4562</v>
      </c>
      <c r="E1478" s="344">
        <v>3537064</v>
      </c>
      <c r="F1478" s="343" t="s">
        <v>4563</v>
      </c>
      <c r="G1478" s="360" t="s">
        <v>10886</v>
      </c>
      <c r="H1478" s="361">
        <v>41380</v>
      </c>
      <c r="I1478" s="343" t="s">
        <v>198</v>
      </c>
      <c r="J1478" s="343" t="s">
        <v>198</v>
      </c>
      <c r="K1478" s="343" t="s">
        <v>168</v>
      </c>
    </row>
    <row r="1479" spans="1:11" ht="26.25" customHeight="1">
      <c r="A1479" s="343" t="s">
        <v>4304</v>
      </c>
      <c r="B1479" s="344" t="s">
        <v>162</v>
      </c>
      <c r="C1479" s="344">
        <v>9884</v>
      </c>
      <c r="D1479" s="343" t="s">
        <v>4400</v>
      </c>
      <c r="E1479" s="344">
        <v>4480707</v>
      </c>
      <c r="F1479" s="343" t="s">
        <v>4401</v>
      </c>
      <c r="G1479" s="360" t="s">
        <v>10887</v>
      </c>
      <c r="H1479" s="361">
        <v>41383</v>
      </c>
      <c r="I1479" s="343" t="s">
        <v>193</v>
      </c>
      <c r="J1479" s="343" t="s">
        <v>228</v>
      </c>
      <c r="K1479" s="343" t="s">
        <v>168</v>
      </c>
    </row>
    <row r="1480" spans="1:11" ht="26.25" customHeight="1">
      <c r="A1480" s="343" t="s">
        <v>4304</v>
      </c>
      <c r="B1480" s="344" t="s">
        <v>162</v>
      </c>
      <c r="C1480" s="344">
        <v>8439</v>
      </c>
      <c r="D1480" s="343" t="s">
        <v>4715</v>
      </c>
      <c r="E1480" s="344">
        <v>5020463</v>
      </c>
      <c r="F1480" s="343" t="s">
        <v>4724</v>
      </c>
      <c r="G1480" s="360" t="s">
        <v>10888</v>
      </c>
      <c r="H1480" s="361">
        <v>41485</v>
      </c>
      <c r="I1480" s="343" t="s">
        <v>4725</v>
      </c>
      <c r="J1480" s="343" t="s">
        <v>10889</v>
      </c>
      <c r="K1480" s="343" t="s">
        <v>168</v>
      </c>
    </row>
    <row r="1481" spans="1:11" ht="26.25" customHeight="1">
      <c r="A1481" s="343" t="s">
        <v>4304</v>
      </c>
      <c r="B1481" s="344" t="s">
        <v>162</v>
      </c>
      <c r="C1481" s="344">
        <v>7156</v>
      </c>
      <c r="D1481" s="343" t="s">
        <v>4442</v>
      </c>
      <c r="E1481" s="344">
        <v>4984626</v>
      </c>
      <c r="F1481" s="343" t="s">
        <v>4448</v>
      </c>
      <c r="G1481" s="360" t="s">
        <v>10890</v>
      </c>
      <c r="H1481" s="361">
        <v>41465</v>
      </c>
      <c r="I1481" s="343" t="s">
        <v>211</v>
      </c>
      <c r="J1481" s="343" t="s">
        <v>10891</v>
      </c>
      <c r="K1481" s="343" t="s">
        <v>168</v>
      </c>
    </row>
    <row r="1482" spans="1:11" ht="26.25" customHeight="1">
      <c r="A1482" s="343" t="s">
        <v>4304</v>
      </c>
      <c r="B1482" s="344" t="s">
        <v>162</v>
      </c>
      <c r="C1482" s="344">
        <v>7149</v>
      </c>
      <c r="D1482" s="343" t="s">
        <v>4599</v>
      </c>
      <c r="E1482" s="344">
        <v>4083689</v>
      </c>
      <c r="F1482" s="343" t="s">
        <v>4604</v>
      </c>
      <c r="G1482" s="360" t="s">
        <v>10892</v>
      </c>
      <c r="H1482" s="361">
        <v>41457</v>
      </c>
      <c r="I1482" s="343" t="s">
        <v>547</v>
      </c>
      <c r="J1482" s="343" t="s">
        <v>1028</v>
      </c>
      <c r="K1482" s="343" t="s">
        <v>248</v>
      </c>
    </row>
    <row r="1483" spans="1:11" ht="26.25" customHeight="1">
      <c r="A1483" s="343" t="s">
        <v>4304</v>
      </c>
      <c r="B1483" s="344" t="s">
        <v>162</v>
      </c>
      <c r="C1483" s="344">
        <v>9396</v>
      </c>
      <c r="D1483" s="343" t="s">
        <v>4570</v>
      </c>
      <c r="E1483" s="344">
        <v>4345870</v>
      </c>
      <c r="F1483" s="343" t="s">
        <v>4572</v>
      </c>
      <c r="G1483" s="360" t="s">
        <v>10853</v>
      </c>
      <c r="H1483" s="361">
        <v>41449</v>
      </c>
      <c r="I1483" s="343" t="s">
        <v>366</v>
      </c>
      <c r="J1483" s="343" t="s">
        <v>10263</v>
      </c>
      <c r="K1483" s="343" t="s">
        <v>168</v>
      </c>
    </row>
    <row r="1484" spans="1:11" ht="26.25" customHeight="1">
      <c r="A1484" s="343" t="s">
        <v>4304</v>
      </c>
      <c r="B1484" s="344" t="s">
        <v>162</v>
      </c>
      <c r="C1484" s="344">
        <v>7156</v>
      </c>
      <c r="D1484" s="343" t="s">
        <v>4442</v>
      </c>
      <c r="E1484" s="344">
        <v>3467400</v>
      </c>
      <c r="F1484" s="343" t="s">
        <v>4447</v>
      </c>
      <c r="G1484" s="360" t="s">
        <v>10893</v>
      </c>
      <c r="H1484" s="361">
        <v>41402</v>
      </c>
      <c r="I1484" s="343" t="s">
        <v>806</v>
      </c>
      <c r="J1484" s="343" t="s">
        <v>10894</v>
      </c>
      <c r="K1484" s="343" t="s">
        <v>168</v>
      </c>
    </row>
    <row r="1485" spans="1:11" ht="26.25" customHeight="1">
      <c r="A1485" s="343" t="s">
        <v>4304</v>
      </c>
      <c r="B1485" s="344" t="s">
        <v>162</v>
      </c>
      <c r="C1485" s="344">
        <v>7114</v>
      </c>
      <c r="D1485" s="343" t="s">
        <v>4455</v>
      </c>
      <c r="E1485" s="344">
        <v>4856369</v>
      </c>
      <c r="F1485" s="343" t="s">
        <v>4456</v>
      </c>
      <c r="G1485" s="360" t="s">
        <v>10895</v>
      </c>
      <c r="H1485" s="361">
        <v>41449</v>
      </c>
      <c r="I1485" s="343" t="s">
        <v>4457</v>
      </c>
      <c r="J1485" s="343" t="s">
        <v>10896</v>
      </c>
      <c r="K1485" s="343" t="s">
        <v>168</v>
      </c>
    </row>
    <row r="1486" spans="1:11" ht="26.25" customHeight="1">
      <c r="A1486" s="343" t="s">
        <v>4304</v>
      </c>
      <c r="B1486" s="344" t="s">
        <v>162</v>
      </c>
      <c r="C1486" s="344">
        <v>9396</v>
      </c>
      <c r="D1486" s="343" t="s">
        <v>4570</v>
      </c>
      <c r="E1486" s="344">
        <v>4812977</v>
      </c>
      <c r="F1486" s="343" t="s">
        <v>4575</v>
      </c>
      <c r="G1486" s="360" t="s">
        <v>10897</v>
      </c>
      <c r="H1486" s="361">
        <v>41449</v>
      </c>
      <c r="I1486" s="343" t="s">
        <v>4576</v>
      </c>
      <c r="J1486" s="343" t="s">
        <v>10898</v>
      </c>
      <c r="K1486" s="343" t="s">
        <v>168</v>
      </c>
    </row>
    <row r="1487" spans="1:11" ht="26.25" customHeight="1">
      <c r="A1487" s="343" t="s">
        <v>4304</v>
      </c>
      <c r="B1487" s="344" t="s">
        <v>162</v>
      </c>
      <c r="C1487" s="344">
        <v>7156</v>
      </c>
      <c r="D1487" s="343" t="s">
        <v>4442</v>
      </c>
      <c r="E1487" s="344">
        <v>3766686</v>
      </c>
      <c r="F1487" s="343" t="s">
        <v>4453</v>
      </c>
      <c r="G1487" s="360" t="s">
        <v>10899</v>
      </c>
      <c r="H1487" s="361">
        <v>41726</v>
      </c>
      <c r="I1487" s="343" t="s">
        <v>198</v>
      </c>
      <c r="J1487" s="343" t="s">
        <v>198</v>
      </c>
      <c r="K1487" s="343" t="s">
        <v>168</v>
      </c>
    </row>
    <row r="1488" spans="1:11" ht="26.25" customHeight="1">
      <c r="A1488" s="343" t="s">
        <v>4304</v>
      </c>
      <c r="B1488" s="344" t="s">
        <v>162</v>
      </c>
      <c r="C1488" s="344">
        <v>7147</v>
      </c>
      <c r="D1488" s="343" t="s">
        <v>4504</v>
      </c>
      <c r="E1488" s="344">
        <v>4671564</v>
      </c>
      <c r="F1488" s="343" t="s">
        <v>4506</v>
      </c>
      <c r="G1488" s="360" t="s">
        <v>10900</v>
      </c>
      <c r="H1488" s="361">
        <v>41719</v>
      </c>
      <c r="I1488" s="343" t="s">
        <v>366</v>
      </c>
      <c r="J1488" s="343" t="s">
        <v>366</v>
      </c>
      <c r="K1488" s="343" t="s">
        <v>168</v>
      </c>
    </row>
    <row r="1489" spans="1:11" ht="26.25" customHeight="1">
      <c r="A1489" s="343" t="s">
        <v>4304</v>
      </c>
      <c r="B1489" s="344" t="s">
        <v>162</v>
      </c>
      <c r="C1489" s="344">
        <v>7152</v>
      </c>
      <c r="D1489" s="343" t="s">
        <v>4459</v>
      </c>
      <c r="E1489" s="344">
        <v>4302709</v>
      </c>
      <c r="F1489" s="343" t="s">
        <v>4461</v>
      </c>
      <c r="G1489" s="360" t="s">
        <v>10901</v>
      </c>
      <c r="H1489" s="361">
        <v>41059</v>
      </c>
      <c r="I1489" s="343" t="s">
        <v>4147</v>
      </c>
      <c r="J1489" s="343" t="s">
        <v>10902</v>
      </c>
      <c r="K1489" s="343" t="s">
        <v>173</v>
      </c>
    </row>
    <row r="1490" spans="1:11" ht="26.25" customHeight="1">
      <c r="A1490" s="343" t="s">
        <v>4304</v>
      </c>
      <c r="B1490" s="344" t="s">
        <v>162</v>
      </c>
      <c r="C1490" s="344">
        <v>7186</v>
      </c>
      <c r="D1490" s="343" t="s">
        <v>4530</v>
      </c>
      <c r="E1490" s="344">
        <v>5101543</v>
      </c>
      <c r="F1490" s="343" t="s">
        <v>4531</v>
      </c>
      <c r="G1490" s="360" t="s">
        <v>10903</v>
      </c>
      <c r="H1490" s="361">
        <v>41733</v>
      </c>
      <c r="I1490" s="343" t="s">
        <v>670</v>
      </c>
      <c r="J1490" s="343" t="s">
        <v>10731</v>
      </c>
      <c r="K1490" s="343" t="s">
        <v>173</v>
      </c>
    </row>
    <row r="1491" spans="1:11" ht="26.25" customHeight="1">
      <c r="A1491" s="343" t="s">
        <v>4304</v>
      </c>
      <c r="B1491" s="344" t="s">
        <v>162</v>
      </c>
      <c r="C1491" s="344">
        <v>8439</v>
      </c>
      <c r="D1491" s="343" t="s">
        <v>4715</v>
      </c>
      <c r="E1491" s="344">
        <v>3999029</v>
      </c>
      <c r="F1491" s="343" t="s">
        <v>4728</v>
      </c>
      <c r="G1491" s="360" t="s">
        <v>10904</v>
      </c>
      <c r="H1491" s="361">
        <v>40955</v>
      </c>
      <c r="I1491" s="343" t="s">
        <v>198</v>
      </c>
      <c r="J1491" s="343" t="s">
        <v>198</v>
      </c>
      <c r="K1491" s="343" t="s">
        <v>168</v>
      </c>
    </row>
    <row r="1492" spans="1:11" ht="26.25" customHeight="1">
      <c r="A1492" s="343" t="s">
        <v>4304</v>
      </c>
      <c r="B1492" s="344" t="s">
        <v>162</v>
      </c>
      <c r="C1492" s="344">
        <v>7652</v>
      </c>
      <c r="D1492" s="343" t="s">
        <v>4341</v>
      </c>
      <c r="E1492" s="344">
        <v>6464063</v>
      </c>
      <c r="F1492" s="343" t="s">
        <v>4342</v>
      </c>
      <c r="G1492" s="360" t="s">
        <v>10708</v>
      </c>
      <c r="H1492" s="361">
        <v>42739</v>
      </c>
      <c r="I1492" s="343" t="s">
        <v>305</v>
      </c>
      <c r="J1492" s="343" t="s">
        <v>10905</v>
      </c>
      <c r="K1492" s="343" t="s">
        <v>168</v>
      </c>
    </row>
    <row r="1493" spans="1:11" ht="26.25" customHeight="1">
      <c r="A1493" s="343" t="s">
        <v>4304</v>
      </c>
      <c r="B1493" s="344" t="s">
        <v>162</v>
      </c>
      <c r="C1493" s="344">
        <v>7150</v>
      </c>
      <c r="D1493" s="343" t="s">
        <v>4533</v>
      </c>
      <c r="E1493" s="344">
        <v>5190967</v>
      </c>
      <c r="F1493" s="343" t="s">
        <v>4542</v>
      </c>
      <c r="G1493" s="360" t="s">
        <v>10906</v>
      </c>
      <c r="H1493" s="361">
        <v>42744</v>
      </c>
      <c r="I1493" s="343" t="s">
        <v>193</v>
      </c>
      <c r="J1493" s="343" t="s">
        <v>637</v>
      </c>
      <c r="K1493" s="343" t="s">
        <v>168</v>
      </c>
    </row>
    <row r="1494" spans="1:11" ht="26.25" customHeight="1">
      <c r="A1494" s="343" t="s">
        <v>4304</v>
      </c>
      <c r="B1494" s="344" t="s">
        <v>162</v>
      </c>
      <c r="C1494" s="344">
        <v>7182</v>
      </c>
      <c r="D1494" s="343" t="s">
        <v>4582</v>
      </c>
      <c r="E1494" s="344">
        <v>5930659</v>
      </c>
      <c r="F1494" s="343" t="s">
        <v>4583</v>
      </c>
      <c r="G1494" s="360" t="s">
        <v>10907</v>
      </c>
      <c r="H1494" s="361">
        <v>42758</v>
      </c>
      <c r="I1494" s="343" t="s">
        <v>336</v>
      </c>
      <c r="J1494" s="343" t="s">
        <v>10908</v>
      </c>
      <c r="K1494" s="343" t="s">
        <v>168</v>
      </c>
    </row>
    <row r="1495" spans="1:11" ht="26.25" customHeight="1">
      <c r="A1495" s="343" t="s">
        <v>4304</v>
      </c>
      <c r="B1495" s="344" t="s">
        <v>162</v>
      </c>
      <c r="C1495" s="344">
        <v>6761</v>
      </c>
      <c r="D1495" s="343" t="s">
        <v>4676</v>
      </c>
      <c r="E1495" s="344">
        <v>5939269</v>
      </c>
      <c r="F1495" s="343" t="s">
        <v>4677</v>
      </c>
      <c r="G1495" s="360" t="s">
        <v>1353</v>
      </c>
      <c r="H1495" s="361">
        <v>42758</v>
      </c>
      <c r="I1495" s="343" t="s">
        <v>166</v>
      </c>
      <c r="J1495" s="343" t="s">
        <v>327</v>
      </c>
      <c r="K1495" s="343" t="s">
        <v>168</v>
      </c>
    </row>
    <row r="1496" spans="1:11" ht="26.25" customHeight="1">
      <c r="A1496" s="343" t="s">
        <v>4304</v>
      </c>
      <c r="B1496" s="344" t="s">
        <v>162</v>
      </c>
      <c r="C1496" s="344">
        <v>8437</v>
      </c>
      <c r="D1496" s="343" t="s">
        <v>4638</v>
      </c>
      <c r="E1496" s="344">
        <v>6686106</v>
      </c>
      <c r="F1496" s="343" t="s">
        <v>4639</v>
      </c>
      <c r="G1496" s="360" t="s">
        <v>10478</v>
      </c>
      <c r="H1496" s="361">
        <v>42766</v>
      </c>
      <c r="I1496" s="343" t="s">
        <v>261</v>
      </c>
      <c r="J1496" s="343" t="s">
        <v>631</v>
      </c>
      <c r="K1496" s="343" t="s">
        <v>168</v>
      </c>
    </row>
    <row r="1497" spans="1:11" ht="26.25" customHeight="1">
      <c r="A1497" s="343" t="s">
        <v>4304</v>
      </c>
      <c r="B1497" s="344" t="s">
        <v>162</v>
      </c>
      <c r="C1497" s="344">
        <v>12183</v>
      </c>
      <c r="D1497" s="343" t="s">
        <v>4379</v>
      </c>
      <c r="E1497" s="344">
        <v>6670260</v>
      </c>
      <c r="F1497" s="343" t="s">
        <v>4380</v>
      </c>
      <c r="G1497" s="360" t="s">
        <v>10909</v>
      </c>
      <c r="H1497" s="361">
        <v>42768</v>
      </c>
      <c r="I1497" s="343" t="s">
        <v>271</v>
      </c>
      <c r="J1497" s="343" t="s">
        <v>10910</v>
      </c>
      <c r="K1497" s="343" t="s">
        <v>168</v>
      </c>
    </row>
    <row r="1498" spans="1:11" ht="26.25" customHeight="1">
      <c r="A1498" s="343" t="s">
        <v>4304</v>
      </c>
      <c r="B1498" s="344" t="s">
        <v>162</v>
      </c>
      <c r="C1498" s="344">
        <v>6804</v>
      </c>
      <c r="D1498" s="343" t="s">
        <v>4681</v>
      </c>
      <c r="E1498" s="344">
        <v>5773817</v>
      </c>
      <c r="F1498" s="343" t="s">
        <v>4682</v>
      </c>
      <c r="G1498" s="360" t="s">
        <v>9398</v>
      </c>
      <c r="H1498" s="361">
        <v>42772</v>
      </c>
      <c r="I1498" s="343" t="s">
        <v>465</v>
      </c>
      <c r="J1498" s="343" t="s">
        <v>1118</v>
      </c>
      <c r="K1498" s="343" t="s">
        <v>168</v>
      </c>
    </row>
    <row r="1499" spans="1:11" ht="26.25" customHeight="1">
      <c r="A1499" s="343" t="s">
        <v>4304</v>
      </c>
      <c r="B1499" s="344" t="s">
        <v>162</v>
      </c>
      <c r="C1499" s="344">
        <v>9025</v>
      </c>
      <c r="D1499" s="343" t="s">
        <v>4698</v>
      </c>
      <c r="E1499" s="344">
        <v>6729652</v>
      </c>
      <c r="F1499" s="343" t="s">
        <v>4701</v>
      </c>
      <c r="G1499" s="360" t="s">
        <v>10911</v>
      </c>
      <c r="H1499" s="361">
        <v>42773</v>
      </c>
      <c r="I1499" s="343" t="s">
        <v>887</v>
      </c>
      <c r="J1499" s="343" t="s">
        <v>10912</v>
      </c>
      <c r="K1499" s="343" t="s">
        <v>168</v>
      </c>
    </row>
    <row r="1500" spans="1:11" ht="26.25" customHeight="1">
      <c r="A1500" s="343" t="s">
        <v>4304</v>
      </c>
      <c r="B1500" s="344" t="s">
        <v>162</v>
      </c>
      <c r="C1500" s="344">
        <v>7183</v>
      </c>
      <c r="D1500" s="343" t="s">
        <v>4586</v>
      </c>
      <c r="E1500" s="344">
        <v>5235246</v>
      </c>
      <c r="F1500" s="343" t="s">
        <v>4590</v>
      </c>
      <c r="G1500" s="360" t="s">
        <v>10512</v>
      </c>
      <c r="H1500" s="361">
        <v>42773</v>
      </c>
      <c r="I1500" s="343" t="s">
        <v>1182</v>
      </c>
      <c r="J1500" s="343" t="s">
        <v>10913</v>
      </c>
      <c r="K1500" s="343" t="s">
        <v>173</v>
      </c>
    </row>
    <row r="1501" spans="1:11" ht="26.25" customHeight="1">
      <c r="A1501" s="343" t="s">
        <v>4304</v>
      </c>
      <c r="B1501" s="344" t="s">
        <v>162</v>
      </c>
      <c r="C1501" s="344">
        <v>8442</v>
      </c>
      <c r="D1501" s="343" t="s">
        <v>4486</v>
      </c>
      <c r="E1501" s="344">
        <v>5279466</v>
      </c>
      <c r="F1501" s="343" t="s">
        <v>4494</v>
      </c>
      <c r="G1501" s="360" t="s">
        <v>10914</v>
      </c>
      <c r="H1501" s="361">
        <v>42779</v>
      </c>
      <c r="I1501" s="343" t="s">
        <v>366</v>
      </c>
      <c r="J1501" s="343" t="s">
        <v>366</v>
      </c>
      <c r="K1501" s="343" t="s">
        <v>168</v>
      </c>
    </row>
    <row r="1502" spans="1:11" ht="26.25" customHeight="1">
      <c r="A1502" s="343" t="s">
        <v>4304</v>
      </c>
      <c r="B1502" s="344" t="s">
        <v>162</v>
      </c>
      <c r="C1502" s="344">
        <v>6856</v>
      </c>
      <c r="D1502" s="343" t="s">
        <v>4706</v>
      </c>
      <c r="E1502" s="344">
        <v>5711812</v>
      </c>
      <c r="F1502" s="343" t="s">
        <v>4707</v>
      </c>
      <c r="G1502" s="360" t="s">
        <v>10915</v>
      </c>
      <c r="H1502" s="361">
        <v>42779</v>
      </c>
      <c r="I1502" s="343" t="s">
        <v>547</v>
      </c>
      <c r="J1502" s="343" t="s">
        <v>936</v>
      </c>
      <c r="K1502" s="343" t="s">
        <v>248</v>
      </c>
    </row>
    <row r="1503" spans="1:11" ht="26.25" customHeight="1">
      <c r="A1503" s="343" t="s">
        <v>4304</v>
      </c>
      <c r="B1503" s="344" t="s">
        <v>162</v>
      </c>
      <c r="C1503" s="344">
        <v>6798</v>
      </c>
      <c r="D1503" s="343" t="s">
        <v>4704</v>
      </c>
      <c r="E1503" s="344">
        <v>6110256</v>
      </c>
      <c r="F1503" s="343" t="s">
        <v>4705</v>
      </c>
      <c r="G1503" s="360" t="s">
        <v>10137</v>
      </c>
      <c r="H1503" s="361">
        <v>42779</v>
      </c>
      <c r="I1503" s="343" t="s">
        <v>806</v>
      </c>
      <c r="J1503" s="343" t="s">
        <v>10766</v>
      </c>
      <c r="K1503" s="343" t="s">
        <v>168</v>
      </c>
    </row>
    <row r="1504" spans="1:11" ht="26.25" customHeight="1">
      <c r="A1504" s="343" t="s">
        <v>4304</v>
      </c>
      <c r="B1504" s="344" t="s">
        <v>162</v>
      </c>
      <c r="C1504" s="344">
        <v>12148</v>
      </c>
      <c r="D1504" s="343" t="s">
        <v>4394</v>
      </c>
      <c r="E1504" s="344">
        <v>6393451</v>
      </c>
      <c r="F1504" s="343" t="s">
        <v>4398</v>
      </c>
      <c r="G1504" s="360" t="s">
        <v>10916</v>
      </c>
      <c r="H1504" s="361">
        <v>42779</v>
      </c>
      <c r="I1504" s="343" t="s">
        <v>166</v>
      </c>
      <c r="J1504" s="343" t="s">
        <v>10044</v>
      </c>
      <c r="K1504" s="343" t="s">
        <v>168</v>
      </c>
    </row>
    <row r="1505" spans="1:11" ht="26.25" customHeight="1">
      <c r="A1505" s="343" t="s">
        <v>4304</v>
      </c>
      <c r="B1505" s="344" t="s">
        <v>162</v>
      </c>
      <c r="C1505" s="344">
        <v>6804</v>
      </c>
      <c r="D1505" s="343" t="s">
        <v>4681</v>
      </c>
      <c r="E1505" s="344">
        <v>5882336</v>
      </c>
      <c r="F1505" s="343" t="s">
        <v>4683</v>
      </c>
      <c r="G1505" s="360" t="s">
        <v>10464</v>
      </c>
      <c r="H1505" s="361">
        <v>42779</v>
      </c>
      <c r="I1505" s="343" t="s">
        <v>465</v>
      </c>
      <c r="J1505" s="343" t="s">
        <v>1118</v>
      </c>
      <c r="K1505" s="343" t="s">
        <v>168</v>
      </c>
    </row>
    <row r="1506" spans="1:11" ht="26.25" customHeight="1">
      <c r="A1506" s="343" t="s">
        <v>4304</v>
      </c>
      <c r="B1506" s="344" t="s">
        <v>162</v>
      </c>
      <c r="C1506" s="344">
        <v>6837</v>
      </c>
      <c r="D1506" s="343" t="s">
        <v>4696</v>
      </c>
      <c r="E1506" s="344">
        <v>5778353</v>
      </c>
      <c r="F1506" s="343" t="s">
        <v>4697</v>
      </c>
      <c r="G1506" s="360" t="s">
        <v>1277</v>
      </c>
      <c r="H1506" s="361">
        <v>42779</v>
      </c>
      <c r="I1506" s="343" t="s">
        <v>198</v>
      </c>
      <c r="J1506" s="343" t="s">
        <v>198</v>
      </c>
      <c r="K1506" s="343" t="s">
        <v>168</v>
      </c>
    </row>
    <row r="1507" spans="1:11" ht="26.25" customHeight="1">
      <c r="A1507" s="343" t="s">
        <v>4304</v>
      </c>
      <c r="B1507" s="344" t="s">
        <v>162</v>
      </c>
      <c r="C1507" s="344">
        <v>10750</v>
      </c>
      <c r="D1507" s="343" t="s">
        <v>4684</v>
      </c>
      <c r="E1507" s="344">
        <v>5895771</v>
      </c>
      <c r="F1507" s="343" t="s">
        <v>4685</v>
      </c>
      <c r="G1507" s="360" t="s">
        <v>10917</v>
      </c>
      <c r="H1507" s="361">
        <v>42776</v>
      </c>
      <c r="I1507" s="343" t="s">
        <v>193</v>
      </c>
      <c r="J1507" s="343" t="s">
        <v>509</v>
      </c>
      <c r="K1507" s="343" t="s">
        <v>168</v>
      </c>
    </row>
    <row r="1508" spans="1:11" ht="26.25" customHeight="1">
      <c r="A1508" s="343" t="s">
        <v>4304</v>
      </c>
      <c r="B1508" s="344" t="s">
        <v>162</v>
      </c>
      <c r="C1508" s="344">
        <v>12431</v>
      </c>
      <c r="D1508" s="343" t="s">
        <v>4303</v>
      </c>
      <c r="E1508" s="344">
        <v>5959456</v>
      </c>
      <c r="F1508" s="343" t="s">
        <v>4307</v>
      </c>
      <c r="G1508" s="360" t="s">
        <v>10918</v>
      </c>
      <c r="H1508" s="361">
        <v>42776</v>
      </c>
      <c r="I1508" s="343" t="s">
        <v>4308</v>
      </c>
      <c r="J1508" s="343" t="s">
        <v>10919</v>
      </c>
      <c r="K1508" s="343" t="s">
        <v>248</v>
      </c>
    </row>
    <row r="1509" spans="1:11" ht="26.25" customHeight="1">
      <c r="A1509" s="343" t="s">
        <v>4304</v>
      </c>
      <c r="B1509" s="344" t="s">
        <v>162</v>
      </c>
      <c r="C1509" s="344">
        <v>12147</v>
      </c>
      <c r="D1509" s="343" t="s">
        <v>4417</v>
      </c>
      <c r="E1509" s="344">
        <v>6521743</v>
      </c>
      <c r="F1509" s="343" t="s">
        <v>4419</v>
      </c>
      <c r="G1509" s="360" t="s">
        <v>1112</v>
      </c>
      <c r="H1509" s="361">
        <v>42782</v>
      </c>
      <c r="I1509" s="343" t="s">
        <v>580</v>
      </c>
      <c r="J1509" s="343" t="s">
        <v>10920</v>
      </c>
      <c r="K1509" s="343" t="s">
        <v>248</v>
      </c>
    </row>
    <row r="1510" spans="1:11" ht="26.25" customHeight="1">
      <c r="A1510" s="343" t="s">
        <v>4304</v>
      </c>
      <c r="B1510" s="344" t="s">
        <v>162</v>
      </c>
      <c r="C1510" s="344">
        <v>8437</v>
      </c>
      <c r="D1510" s="343" t="s">
        <v>4638</v>
      </c>
      <c r="E1510" s="344">
        <v>6708518</v>
      </c>
      <c r="F1510" s="343" t="s">
        <v>4640</v>
      </c>
      <c r="G1510" s="360" t="s">
        <v>10921</v>
      </c>
      <c r="H1510" s="361">
        <v>42781</v>
      </c>
      <c r="I1510" s="343" t="s">
        <v>219</v>
      </c>
      <c r="J1510" s="343" t="s">
        <v>220</v>
      </c>
      <c r="K1510" s="343" t="s">
        <v>173</v>
      </c>
    </row>
    <row r="1511" spans="1:11" ht="26.25" customHeight="1">
      <c r="A1511" s="343" t="s">
        <v>4304</v>
      </c>
      <c r="B1511" s="344" t="s">
        <v>162</v>
      </c>
      <c r="C1511" s="344">
        <v>6610</v>
      </c>
      <c r="D1511" s="343" t="s">
        <v>4666</v>
      </c>
      <c r="E1511" s="344">
        <v>6193265</v>
      </c>
      <c r="F1511" s="343" t="s">
        <v>4670</v>
      </c>
      <c r="G1511" s="360" t="s">
        <v>9957</v>
      </c>
      <c r="H1511" s="361">
        <v>42782</v>
      </c>
      <c r="I1511" s="343" t="s">
        <v>751</v>
      </c>
      <c r="J1511" s="343" t="s">
        <v>10922</v>
      </c>
      <c r="K1511" s="343" t="s">
        <v>173</v>
      </c>
    </row>
    <row r="1512" spans="1:11" ht="26.25" customHeight="1">
      <c r="A1512" s="343" t="s">
        <v>4304</v>
      </c>
      <c r="B1512" s="344" t="s">
        <v>162</v>
      </c>
      <c r="C1512" s="344">
        <v>7283</v>
      </c>
      <c r="D1512" s="343" t="s">
        <v>4313</v>
      </c>
      <c r="E1512" s="344">
        <v>6675201</v>
      </c>
      <c r="F1512" s="343" t="s">
        <v>4324</v>
      </c>
      <c r="G1512" s="360" t="s">
        <v>10923</v>
      </c>
      <c r="H1512" s="361">
        <v>42782</v>
      </c>
      <c r="I1512" s="343" t="s">
        <v>271</v>
      </c>
      <c r="J1512" s="343" t="s">
        <v>10924</v>
      </c>
      <c r="K1512" s="343" t="s">
        <v>168</v>
      </c>
    </row>
    <row r="1513" spans="1:11" ht="26.25" customHeight="1">
      <c r="A1513" s="343" t="s">
        <v>4304</v>
      </c>
      <c r="B1513" s="344" t="s">
        <v>162</v>
      </c>
      <c r="C1513" s="344">
        <v>6858</v>
      </c>
      <c r="D1513" s="343" t="s">
        <v>4661</v>
      </c>
      <c r="E1513" s="344">
        <v>5723111</v>
      </c>
      <c r="F1513" s="343" t="s">
        <v>4664</v>
      </c>
      <c r="G1513" s="360" t="s">
        <v>10925</v>
      </c>
      <c r="H1513" s="361">
        <v>42782</v>
      </c>
      <c r="I1513" s="343" t="s">
        <v>802</v>
      </c>
      <c r="J1513" s="343" t="s">
        <v>10926</v>
      </c>
      <c r="K1513" s="343" t="s">
        <v>168</v>
      </c>
    </row>
    <row r="1514" spans="1:11" ht="26.25" customHeight="1">
      <c r="A1514" s="343" t="s">
        <v>4304</v>
      </c>
      <c r="B1514" s="344" t="s">
        <v>162</v>
      </c>
      <c r="C1514" s="344">
        <v>7669</v>
      </c>
      <c r="D1514" s="343" t="s">
        <v>4353</v>
      </c>
      <c r="E1514" s="344">
        <v>6153234</v>
      </c>
      <c r="F1514" s="343" t="s">
        <v>4358</v>
      </c>
      <c r="G1514" s="360" t="s">
        <v>10927</v>
      </c>
      <c r="H1514" s="361">
        <v>42783</v>
      </c>
      <c r="I1514" s="343" t="s">
        <v>349</v>
      </c>
      <c r="J1514" s="343" t="s">
        <v>881</v>
      </c>
      <c r="K1514" s="343" t="s">
        <v>168</v>
      </c>
    </row>
    <row r="1515" spans="1:11" ht="26.25" customHeight="1">
      <c r="A1515" s="343" t="s">
        <v>4304</v>
      </c>
      <c r="B1515" s="344" t="s">
        <v>162</v>
      </c>
      <c r="C1515" s="344">
        <v>7669</v>
      </c>
      <c r="D1515" s="343" t="s">
        <v>4353</v>
      </c>
      <c r="E1515" s="344">
        <v>6391091</v>
      </c>
      <c r="F1515" s="343" t="s">
        <v>4356</v>
      </c>
      <c r="G1515" s="360" t="s">
        <v>232</v>
      </c>
      <c r="H1515" s="361">
        <v>42783</v>
      </c>
      <c r="I1515" s="343" t="s">
        <v>4357</v>
      </c>
      <c r="J1515" s="343" t="s">
        <v>10928</v>
      </c>
      <c r="K1515" s="343" t="s">
        <v>168</v>
      </c>
    </row>
    <row r="1516" spans="1:11" ht="26.25" customHeight="1">
      <c r="A1516" s="343" t="s">
        <v>4304</v>
      </c>
      <c r="B1516" s="344" t="s">
        <v>162</v>
      </c>
      <c r="C1516" s="344">
        <v>12147</v>
      </c>
      <c r="D1516" s="343" t="s">
        <v>4417</v>
      </c>
      <c r="E1516" s="344">
        <v>5746252</v>
      </c>
      <c r="F1516" s="343" t="s">
        <v>4420</v>
      </c>
      <c r="G1516" s="360" t="s">
        <v>10333</v>
      </c>
      <c r="H1516" s="361">
        <v>42783</v>
      </c>
      <c r="I1516" s="343" t="s">
        <v>261</v>
      </c>
      <c r="J1516" s="343" t="s">
        <v>631</v>
      </c>
      <c r="K1516" s="343" t="s">
        <v>168</v>
      </c>
    </row>
    <row r="1517" spans="1:11" ht="26.25" customHeight="1">
      <c r="A1517" s="343" t="s">
        <v>4304</v>
      </c>
      <c r="B1517" s="344" t="s">
        <v>162</v>
      </c>
      <c r="C1517" s="344">
        <v>7156</v>
      </c>
      <c r="D1517" s="343" t="s">
        <v>4442</v>
      </c>
      <c r="E1517" s="344">
        <v>3501265</v>
      </c>
      <c r="F1517" s="343" t="s">
        <v>4449</v>
      </c>
      <c r="G1517" s="360" t="s">
        <v>565</v>
      </c>
      <c r="H1517" s="361">
        <v>42786</v>
      </c>
      <c r="I1517" s="343" t="s">
        <v>766</v>
      </c>
      <c r="J1517" s="343" t="s">
        <v>10929</v>
      </c>
      <c r="K1517" s="343" t="s">
        <v>168</v>
      </c>
    </row>
    <row r="1518" spans="1:11" ht="26.25" customHeight="1">
      <c r="A1518" s="343" t="s">
        <v>4304</v>
      </c>
      <c r="B1518" s="344" t="s">
        <v>162</v>
      </c>
      <c r="C1518" s="344">
        <v>7175</v>
      </c>
      <c r="D1518" s="343" t="s">
        <v>4557</v>
      </c>
      <c r="E1518" s="344">
        <v>5965372</v>
      </c>
      <c r="F1518" s="343" t="s">
        <v>4560</v>
      </c>
      <c r="G1518" s="360" t="s">
        <v>10930</v>
      </c>
      <c r="H1518" s="361">
        <v>42786</v>
      </c>
      <c r="I1518" s="343" t="s">
        <v>166</v>
      </c>
      <c r="J1518" s="343" t="s">
        <v>296</v>
      </c>
      <c r="K1518" s="343" t="s">
        <v>168</v>
      </c>
    </row>
    <row r="1519" spans="1:11" ht="26.25" customHeight="1">
      <c r="A1519" s="343" t="s">
        <v>4304</v>
      </c>
      <c r="B1519" s="344" t="s">
        <v>162</v>
      </c>
      <c r="C1519" s="344">
        <v>12146</v>
      </c>
      <c r="D1519" s="343" t="s">
        <v>4405</v>
      </c>
      <c r="E1519" s="344">
        <v>4047425</v>
      </c>
      <c r="F1519" s="343" t="s">
        <v>4411</v>
      </c>
      <c r="G1519" s="360" t="s">
        <v>10931</v>
      </c>
      <c r="H1519" s="361">
        <v>42782</v>
      </c>
      <c r="I1519" s="343" t="s">
        <v>4412</v>
      </c>
      <c r="J1519" s="343" t="s">
        <v>10932</v>
      </c>
      <c r="K1519" s="343" t="s">
        <v>168</v>
      </c>
    </row>
    <row r="1520" spans="1:11" ht="26.25" customHeight="1">
      <c r="A1520" s="343" t="s">
        <v>4304</v>
      </c>
      <c r="B1520" s="344" t="s">
        <v>162</v>
      </c>
      <c r="C1520" s="344">
        <v>12146</v>
      </c>
      <c r="D1520" s="343" t="s">
        <v>4405</v>
      </c>
      <c r="E1520" s="344">
        <v>6583665</v>
      </c>
      <c r="F1520" s="343" t="s">
        <v>4413</v>
      </c>
      <c r="G1520" s="360" t="s">
        <v>10933</v>
      </c>
      <c r="H1520" s="361">
        <v>42782</v>
      </c>
      <c r="I1520" s="343" t="s">
        <v>4414</v>
      </c>
      <c r="J1520" s="343" t="s">
        <v>10934</v>
      </c>
      <c r="K1520" s="343" t="s">
        <v>168</v>
      </c>
    </row>
    <row r="1521" spans="1:11" ht="26.25" customHeight="1">
      <c r="A1521" s="343" t="s">
        <v>4304</v>
      </c>
      <c r="B1521" s="344" t="s">
        <v>162</v>
      </c>
      <c r="C1521" s="344">
        <v>9883</v>
      </c>
      <c r="D1521" s="343" t="s">
        <v>4382</v>
      </c>
      <c r="E1521" s="344">
        <v>6521729</v>
      </c>
      <c r="F1521" s="343" t="s">
        <v>4384</v>
      </c>
      <c r="G1521" s="360" t="s">
        <v>10935</v>
      </c>
      <c r="H1521" s="361">
        <v>42782</v>
      </c>
      <c r="I1521" s="343" t="s">
        <v>275</v>
      </c>
      <c r="J1521" s="343" t="s">
        <v>585</v>
      </c>
      <c r="K1521" s="343" t="s">
        <v>173</v>
      </c>
    </row>
    <row r="1522" spans="1:11" ht="26.25" customHeight="1">
      <c r="A1522" s="343" t="s">
        <v>4304</v>
      </c>
      <c r="B1522" s="344" t="s">
        <v>162</v>
      </c>
      <c r="C1522" s="344">
        <v>7156</v>
      </c>
      <c r="D1522" s="343" t="s">
        <v>4442</v>
      </c>
      <c r="E1522" s="344">
        <v>5185639</v>
      </c>
      <c r="F1522" s="343" t="s">
        <v>4454</v>
      </c>
      <c r="G1522" s="360" t="s">
        <v>10936</v>
      </c>
      <c r="H1522" s="361">
        <v>42782</v>
      </c>
      <c r="I1522" s="343" t="s">
        <v>193</v>
      </c>
      <c r="J1522" s="343" t="s">
        <v>194</v>
      </c>
      <c r="K1522" s="343" t="s">
        <v>168</v>
      </c>
    </row>
    <row r="1523" spans="1:11" ht="26.25" customHeight="1">
      <c r="A1523" s="343" t="s">
        <v>4304</v>
      </c>
      <c r="B1523" s="344" t="s">
        <v>162</v>
      </c>
      <c r="C1523" s="344">
        <v>9040</v>
      </c>
      <c r="D1523" s="343" t="s">
        <v>4549</v>
      </c>
      <c r="E1523" s="344">
        <v>4976250</v>
      </c>
      <c r="F1523" s="343" t="s">
        <v>4550</v>
      </c>
      <c r="G1523" s="360" t="s">
        <v>10937</v>
      </c>
      <c r="H1523" s="361">
        <v>42782</v>
      </c>
      <c r="I1523" s="343" t="s">
        <v>4551</v>
      </c>
      <c r="J1523" s="343" t="s">
        <v>10938</v>
      </c>
      <c r="K1523" s="343" t="s">
        <v>168</v>
      </c>
    </row>
    <row r="1524" spans="1:11" ht="26.25" customHeight="1">
      <c r="A1524" s="343" t="s">
        <v>4304</v>
      </c>
      <c r="B1524" s="344" t="s">
        <v>162</v>
      </c>
      <c r="C1524" s="344">
        <v>9883</v>
      </c>
      <c r="D1524" s="343" t="s">
        <v>4382</v>
      </c>
      <c r="E1524" s="344">
        <v>6748462</v>
      </c>
      <c r="F1524" s="343" t="s">
        <v>4387</v>
      </c>
      <c r="G1524" s="360" t="s">
        <v>10939</v>
      </c>
      <c r="H1524" s="361">
        <v>42782</v>
      </c>
      <c r="I1524" s="343" t="s">
        <v>366</v>
      </c>
      <c r="J1524" s="343" t="s">
        <v>366</v>
      </c>
      <c r="K1524" s="343" t="s">
        <v>168</v>
      </c>
    </row>
    <row r="1525" spans="1:11" ht="26.25" customHeight="1">
      <c r="A1525" s="343" t="s">
        <v>4304</v>
      </c>
      <c r="B1525" s="344" t="s">
        <v>162</v>
      </c>
      <c r="C1525" s="344">
        <v>7186</v>
      </c>
      <c r="D1525" s="343" t="s">
        <v>4530</v>
      </c>
      <c r="E1525" s="344">
        <v>5986954</v>
      </c>
      <c r="F1525" s="343" t="s">
        <v>4532</v>
      </c>
      <c r="G1525" s="360" t="s">
        <v>1005</v>
      </c>
      <c r="H1525" s="361">
        <v>42782</v>
      </c>
      <c r="I1525" s="343" t="s">
        <v>211</v>
      </c>
      <c r="J1525" s="343" t="s">
        <v>909</v>
      </c>
      <c r="K1525" s="343" t="s">
        <v>168</v>
      </c>
    </row>
    <row r="1526" spans="1:11" ht="26.25" customHeight="1">
      <c r="A1526" s="343" t="s">
        <v>4304</v>
      </c>
      <c r="B1526" s="344" t="s">
        <v>162</v>
      </c>
      <c r="C1526" s="344">
        <v>6803</v>
      </c>
      <c r="D1526" s="343" t="s">
        <v>4618</v>
      </c>
      <c r="E1526" s="344">
        <v>5769130</v>
      </c>
      <c r="F1526" s="343" t="s">
        <v>4619</v>
      </c>
      <c r="G1526" s="360" t="s">
        <v>1400</v>
      </c>
      <c r="H1526" s="361">
        <v>42800</v>
      </c>
      <c r="I1526" s="343" t="s">
        <v>180</v>
      </c>
      <c r="J1526" s="343" t="s">
        <v>10940</v>
      </c>
      <c r="K1526" s="343" t="s">
        <v>168</v>
      </c>
    </row>
    <row r="1527" spans="1:11" ht="26.25" customHeight="1">
      <c r="A1527" s="343" t="s">
        <v>4304</v>
      </c>
      <c r="B1527" s="344" t="s">
        <v>162</v>
      </c>
      <c r="C1527" s="344">
        <v>9130</v>
      </c>
      <c r="D1527" s="343" t="s">
        <v>4620</v>
      </c>
      <c r="E1527" s="344">
        <v>5935680</v>
      </c>
      <c r="F1527" s="343" t="s">
        <v>4621</v>
      </c>
      <c r="G1527" s="360" t="s">
        <v>1102</v>
      </c>
      <c r="H1527" s="361">
        <v>42790</v>
      </c>
      <c r="I1527" s="343" t="s">
        <v>193</v>
      </c>
      <c r="J1527" s="343" t="s">
        <v>194</v>
      </c>
      <c r="K1527" s="343" t="s">
        <v>168</v>
      </c>
    </row>
    <row r="1528" spans="1:11" ht="26.25" customHeight="1">
      <c r="A1528" s="343" t="s">
        <v>4304</v>
      </c>
      <c r="B1528" s="344" t="s">
        <v>162</v>
      </c>
      <c r="C1528" s="344">
        <v>9300</v>
      </c>
      <c r="D1528" s="343" t="s">
        <v>4641</v>
      </c>
      <c r="E1528" s="344">
        <v>6091577</v>
      </c>
      <c r="F1528" s="343" t="s">
        <v>4642</v>
      </c>
      <c r="G1528" s="360" t="s">
        <v>9630</v>
      </c>
      <c r="H1528" s="361">
        <v>42788</v>
      </c>
      <c r="I1528" s="343" t="s">
        <v>166</v>
      </c>
      <c r="J1528" s="343" t="s">
        <v>327</v>
      </c>
      <c r="K1528" s="343" t="s">
        <v>168</v>
      </c>
    </row>
    <row r="1529" spans="1:11" ht="26.25" customHeight="1">
      <c r="A1529" s="343" t="s">
        <v>4304</v>
      </c>
      <c r="B1529" s="344" t="s">
        <v>162</v>
      </c>
      <c r="C1529" s="344">
        <v>7183</v>
      </c>
      <c r="D1529" s="343" t="s">
        <v>4586</v>
      </c>
      <c r="E1529" s="344">
        <v>5267788</v>
      </c>
      <c r="F1529" s="343" t="s">
        <v>4593</v>
      </c>
      <c r="G1529" s="360" t="s">
        <v>10941</v>
      </c>
      <c r="H1529" s="361">
        <v>42790</v>
      </c>
      <c r="I1529" s="343" t="s">
        <v>4594</v>
      </c>
      <c r="J1529" s="343" t="s">
        <v>10942</v>
      </c>
      <c r="K1529" s="343" t="s">
        <v>168</v>
      </c>
    </row>
    <row r="1530" spans="1:11" ht="26.25" customHeight="1">
      <c r="A1530" s="343" t="s">
        <v>4304</v>
      </c>
      <c r="B1530" s="344" t="s">
        <v>162</v>
      </c>
      <c r="C1530" s="344">
        <v>7152</v>
      </c>
      <c r="D1530" s="343" t="s">
        <v>4459</v>
      </c>
      <c r="E1530" s="344">
        <v>5209769</v>
      </c>
      <c r="F1530" s="343" t="s">
        <v>4463</v>
      </c>
      <c r="G1530" s="360" t="s">
        <v>10943</v>
      </c>
      <c r="H1530" s="361">
        <v>42803</v>
      </c>
      <c r="I1530" s="343" t="s">
        <v>180</v>
      </c>
      <c r="J1530" s="343" t="s">
        <v>10944</v>
      </c>
      <c r="K1530" s="343" t="s">
        <v>173</v>
      </c>
    </row>
    <row r="1531" spans="1:11" ht="26.25" customHeight="1">
      <c r="A1531" s="343" t="s">
        <v>4304</v>
      </c>
      <c r="B1531" s="344" t="s">
        <v>162</v>
      </c>
      <c r="C1531" s="344">
        <v>7158</v>
      </c>
      <c r="D1531" s="343" t="s">
        <v>4513</v>
      </c>
      <c r="E1531" s="344">
        <v>4990401</v>
      </c>
      <c r="F1531" s="343" t="s">
        <v>4514</v>
      </c>
      <c r="G1531" s="360" t="s">
        <v>9845</v>
      </c>
      <c r="H1531" s="361">
        <v>42801</v>
      </c>
      <c r="I1531" s="343" t="s">
        <v>366</v>
      </c>
      <c r="J1531" s="343" t="s">
        <v>366</v>
      </c>
      <c r="K1531" s="343" t="s">
        <v>168</v>
      </c>
    </row>
    <row r="1532" spans="1:11" ht="26.25" customHeight="1">
      <c r="A1532" s="343" t="s">
        <v>4304</v>
      </c>
      <c r="B1532" s="344" t="s">
        <v>162</v>
      </c>
      <c r="C1532" s="344">
        <v>10750</v>
      </c>
      <c r="D1532" s="343" t="s">
        <v>4684</v>
      </c>
      <c r="E1532" s="344">
        <v>5876422</v>
      </c>
      <c r="F1532" s="343" t="s">
        <v>4688</v>
      </c>
      <c r="G1532" s="360" t="s">
        <v>9370</v>
      </c>
      <c r="H1532" s="361">
        <v>42801</v>
      </c>
      <c r="I1532" s="343" t="s">
        <v>301</v>
      </c>
      <c r="J1532" s="343" t="s">
        <v>1113</v>
      </c>
      <c r="K1532" s="343" t="s">
        <v>168</v>
      </c>
    </row>
    <row r="1533" spans="1:11" ht="26.25" customHeight="1">
      <c r="A1533" s="343" t="s">
        <v>4304</v>
      </c>
      <c r="B1533" s="344" t="s">
        <v>162</v>
      </c>
      <c r="C1533" s="344">
        <v>7150</v>
      </c>
      <c r="D1533" s="343" t="s">
        <v>4533</v>
      </c>
      <c r="E1533" s="344">
        <v>5191919</v>
      </c>
      <c r="F1533" s="343" t="s">
        <v>4541</v>
      </c>
      <c r="G1533" s="360" t="s">
        <v>10945</v>
      </c>
      <c r="H1533" s="361">
        <v>42800</v>
      </c>
      <c r="I1533" s="343" t="s">
        <v>366</v>
      </c>
      <c r="J1533" s="343" t="s">
        <v>366</v>
      </c>
      <c r="K1533" s="343" t="s">
        <v>168</v>
      </c>
    </row>
    <row r="1534" spans="1:11" ht="26.25" customHeight="1">
      <c r="A1534" s="343" t="s">
        <v>4304</v>
      </c>
      <c r="B1534" s="344" t="s">
        <v>162</v>
      </c>
      <c r="C1534" s="344">
        <v>6795</v>
      </c>
      <c r="D1534" s="343" t="s">
        <v>4636</v>
      </c>
      <c r="E1534" s="344">
        <v>6729370</v>
      </c>
      <c r="F1534" s="343" t="s">
        <v>4637</v>
      </c>
      <c r="G1534" s="360" t="s">
        <v>9398</v>
      </c>
      <c r="H1534" s="361">
        <v>42800</v>
      </c>
      <c r="I1534" s="343" t="s">
        <v>366</v>
      </c>
      <c r="J1534" s="343" t="s">
        <v>366</v>
      </c>
      <c r="K1534" s="343" t="s">
        <v>168</v>
      </c>
    </row>
    <row r="1535" spans="1:11" ht="26.25" customHeight="1">
      <c r="A1535" s="343" t="s">
        <v>4304</v>
      </c>
      <c r="B1535" s="344" t="s">
        <v>162</v>
      </c>
      <c r="C1535" s="344">
        <v>9267</v>
      </c>
      <c r="D1535" s="343" t="s">
        <v>4631</v>
      </c>
      <c r="E1535" s="344">
        <v>6079503</v>
      </c>
      <c r="F1535" s="343" t="s">
        <v>4634</v>
      </c>
      <c r="G1535" s="360" t="s">
        <v>10647</v>
      </c>
      <c r="H1535" s="361">
        <v>42796</v>
      </c>
      <c r="I1535" s="343" t="s">
        <v>465</v>
      </c>
      <c r="J1535" s="343" t="s">
        <v>1118</v>
      </c>
      <c r="K1535" s="343" t="s">
        <v>168</v>
      </c>
    </row>
    <row r="1536" spans="1:11" ht="26.25" customHeight="1">
      <c r="A1536" s="343" t="s">
        <v>4304</v>
      </c>
      <c r="B1536" s="344" t="s">
        <v>162</v>
      </c>
      <c r="C1536" s="344">
        <v>6856</v>
      </c>
      <c r="D1536" s="343" t="s">
        <v>4706</v>
      </c>
      <c r="E1536" s="344">
        <v>5626308</v>
      </c>
      <c r="F1536" s="343" t="s">
        <v>4708</v>
      </c>
      <c r="G1536" s="360" t="s">
        <v>10946</v>
      </c>
      <c r="H1536" s="361">
        <v>42797</v>
      </c>
      <c r="I1536" s="343" t="s">
        <v>4709</v>
      </c>
      <c r="J1536" s="343" t="s">
        <v>10947</v>
      </c>
      <c r="K1536" s="343" t="s">
        <v>168</v>
      </c>
    </row>
    <row r="1537" spans="1:11" ht="26.25" customHeight="1">
      <c r="A1537" s="343" t="s">
        <v>4304</v>
      </c>
      <c r="B1537" s="344" t="s">
        <v>162</v>
      </c>
      <c r="C1537" s="344">
        <v>6858</v>
      </c>
      <c r="D1537" s="343" t="s">
        <v>4661</v>
      </c>
      <c r="E1537" s="344">
        <v>6181730</v>
      </c>
      <c r="F1537" s="343" t="s">
        <v>4665</v>
      </c>
      <c r="G1537" s="360" t="s">
        <v>10948</v>
      </c>
      <c r="H1537" s="361">
        <v>42797</v>
      </c>
      <c r="I1537" s="343" t="s">
        <v>166</v>
      </c>
      <c r="J1537" s="343" t="s">
        <v>296</v>
      </c>
      <c r="K1537" s="343" t="s">
        <v>168</v>
      </c>
    </row>
    <row r="1538" spans="1:11" ht="26.25" customHeight="1">
      <c r="A1538" s="343" t="s">
        <v>4304</v>
      </c>
      <c r="B1538" s="344" t="s">
        <v>162</v>
      </c>
      <c r="C1538" s="344">
        <v>8439</v>
      </c>
      <c r="D1538" s="343" t="s">
        <v>4715</v>
      </c>
      <c r="E1538" s="344">
        <v>5892180</v>
      </c>
      <c r="F1538" s="343" t="s">
        <v>4730</v>
      </c>
      <c r="G1538" s="360" t="s">
        <v>10949</v>
      </c>
      <c r="H1538" s="361">
        <v>42797</v>
      </c>
      <c r="I1538" s="343" t="s">
        <v>514</v>
      </c>
      <c r="J1538" s="343" t="s">
        <v>10950</v>
      </c>
      <c r="K1538" s="343" t="s">
        <v>168</v>
      </c>
    </row>
    <row r="1539" spans="1:11" ht="26.25" customHeight="1">
      <c r="A1539" s="343" t="s">
        <v>4304</v>
      </c>
      <c r="B1539" s="344" t="s">
        <v>162</v>
      </c>
      <c r="C1539" s="344">
        <v>7187</v>
      </c>
      <c r="D1539" s="343" t="s">
        <v>4436</v>
      </c>
      <c r="E1539" s="344">
        <v>3897010</v>
      </c>
      <c r="F1539" s="343" t="s">
        <v>4441</v>
      </c>
      <c r="G1539" s="360" t="s">
        <v>10951</v>
      </c>
      <c r="H1539" s="361">
        <v>42797</v>
      </c>
      <c r="I1539" s="343" t="s">
        <v>547</v>
      </c>
      <c r="J1539" s="343" t="s">
        <v>936</v>
      </c>
      <c r="K1539" s="343" t="s">
        <v>248</v>
      </c>
    </row>
    <row r="1540" spans="1:11" ht="26.25" customHeight="1">
      <c r="A1540" s="343" t="s">
        <v>4304</v>
      </c>
      <c r="B1540" s="344" t="s">
        <v>162</v>
      </c>
      <c r="C1540" s="344">
        <v>7148</v>
      </c>
      <c r="D1540" s="343" t="s">
        <v>4523</v>
      </c>
      <c r="E1540" s="344">
        <v>4337668</v>
      </c>
      <c r="F1540" s="343" t="s">
        <v>4524</v>
      </c>
      <c r="G1540" s="360" t="s">
        <v>555</v>
      </c>
      <c r="H1540" s="361">
        <v>42802</v>
      </c>
      <c r="I1540" s="343" t="s">
        <v>198</v>
      </c>
      <c r="J1540" s="343" t="s">
        <v>198</v>
      </c>
      <c r="K1540" s="343" t="s">
        <v>168</v>
      </c>
    </row>
    <row r="1541" spans="1:11" ht="26.25" customHeight="1">
      <c r="A1541" s="343" t="s">
        <v>4304</v>
      </c>
      <c r="B1541" s="344" t="s">
        <v>162</v>
      </c>
      <c r="C1541" s="344">
        <v>7204</v>
      </c>
      <c r="D1541" s="343" t="s">
        <v>4596</v>
      </c>
      <c r="E1541" s="344">
        <v>4464853</v>
      </c>
      <c r="F1541" s="343" t="s">
        <v>4598</v>
      </c>
      <c r="G1541" s="360" t="s">
        <v>10952</v>
      </c>
      <c r="H1541" s="361">
        <v>42802</v>
      </c>
      <c r="I1541" s="343" t="s">
        <v>4428</v>
      </c>
      <c r="J1541" s="343" t="s">
        <v>10953</v>
      </c>
      <c r="K1541" s="343" t="s">
        <v>168</v>
      </c>
    </row>
    <row r="1542" spans="1:11" ht="26.25" customHeight="1">
      <c r="A1542" s="343" t="s">
        <v>4304</v>
      </c>
      <c r="B1542" s="344" t="s">
        <v>162</v>
      </c>
      <c r="C1542" s="344">
        <v>6855</v>
      </c>
      <c r="D1542" s="343" t="s">
        <v>4606</v>
      </c>
      <c r="E1542" s="344">
        <v>6001063</v>
      </c>
      <c r="F1542" s="343" t="s">
        <v>4608</v>
      </c>
      <c r="G1542" s="360" t="s">
        <v>10954</v>
      </c>
      <c r="H1542" s="361">
        <v>42802</v>
      </c>
      <c r="I1542" s="343" t="s">
        <v>193</v>
      </c>
      <c r="J1542" s="343" t="s">
        <v>603</v>
      </c>
      <c r="K1542" s="343" t="s">
        <v>168</v>
      </c>
    </row>
    <row r="1543" spans="1:11" ht="26.25" customHeight="1">
      <c r="A1543" s="343" t="s">
        <v>4304</v>
      </c>
      <c r="B1543" s="344" t="s">
        <v>162</v>
      </c>
      <c r="C1543" s="344">
        <v>12719</v>
      </c>
      <c r="D1543" s="343" t="s">
        <v>4650</v>
      </c>
      <c r="E1543" s="344">
        <v>6452207</v>
      </c>
      <c r="F1543" s="343" t="s">
        <v>4651</v>
      </c>
      <c r="G1543" s="360" t="s">
        <v>10955</v>
      </c>
      <c r="H1543" s="361">
        <v>42802</v>
      </c>
      <c r="I1543" s="343" t="s">
        <v>193</v>
      </c>
      <c r="J1543" s="343" t="s">
        <v>9511</v>
      </c>
      <c r="K1543" s="343" t="s">
        <v>168</v>
      </c>
    </row>
    <row r="1544" spans="1:11" ht="26.25" customHeight="1">
      <c r="A1544" s="343" t="s">
        <v>4304</v>
      </c>
      <c r="B1544" s="344" t="s">
        <v>162</v>
      </c>
      <c r="C1544" s="344">
        <v>10750</v>
      </c>
      <c r="D1544" s="343" t="s">
        <v>4684</v>
      </c>
      <c r="E1544" s="344">
        <v>5904698</v>
      </c>
      <c r="F1544" s="343" t="s">
        <v>4687</v>
      </c>
      <c r="G1544" s="360" t="s">
        <v>10956</v>
      </c>
      <c r="H1544" s="361">
        <v>42809</v>
      </c>
      <c r="I1544" s="343" t="s">
        <v>4320</v>
      </c>
      <c r="J1544" s="343" t="s">
        <v>10957</v>
      </c>
      <c r="K1544" s="343" t="s">
        <v>168</v>
      </c>
    </row>
    <row r="1545" spans="1:11" ht="26.25" customHeight="1">
      <c r="A1545" s="343" t="s">
        <v>4304</v>
      </c>
      <c r="B1545" s="344" t="s">
        <v>162</v>
      </c>
      <c r="C1545" s="344">
        <v>6849</v>
      </c>
      <c r="D1545" s="343" t="s">
        <v>4647</v>
      </c>
      <c r="E1545" s="344">
        <v>5867118</v>
      </c>
      <c r="F1545" s="343" t="s">
        <v>4648</v>
      </c>
      <c r="G1545" s="360" t="s">
        <v>10958</v>
      </c>
      <c r="H1545" s="361">
        <v>42809</v>
      </c>
      <c r="I1545" s="343" t="s">
        <v>4649</v>
      </c>
      <c r="J1545" s="343" t="s">
        <v>10959</v>
      </c>
      <c r="K1545" s="343" t="s">
        <v>168</v>
      </c>
    </row>
    <row r="1546" spans="1:11" ht="26.25" customHeight="1">
      <c r="A1546" s="343" t="s">
        <v>4304</v>
      </c>
      <c r="B1546" s="344" t="s">
        <v>162</v>
      </c>
      <c r="C1546" s="344">
        <v>12147</v>
      </c>
      <c r="D1546" s="343" t="s">
        <v>4417</v>
      </c>
      <c r="E1546" s="344">
        <v>5996484</v>
      </c>
      <c r="F1546" s="343" t="s">
        <v>4418</v>
      </c>
      <c r="G1546" s="360" t="s">
        <v>10960</v>
      </c>
      <c r="H1546" s="361">
        <v>42809</v>
      </c>
      <c r="I1546" s="343" t="s">
        <v>1242</v>
      </c>
      <c r="J1546" s="343" t="s">
        <v>1243</v>
      </c>
      <c r="K1546" s="343" t="s">
        <v>168</v>
      </c>
    </row>
    <row r="1547" spans="1:11" ht="26.25" customHeight="1">
      <c r="A1547" s="343" t="s">
        <v>4304</v>
      </c>
      <c r="B1547" s="344" t="s">
        <v>162</v>
      </c>
      <c r="C1547" s="344">
        <v>7183</v>
      </c>
      <c r="D1547" s="343" t="s">
        <v>4586</v>
      </c>
      <c r="E1547" s="344">
        <v>5689568</v>
      </c>
      <c r="F1547" s="343" t="s">
        <v>4595</v>
      </c>
      <c r="G1547" s="360" t="s">
        <v>9694</v>
      </c>
      <c r="H1547" s="361">
        <v>42809</v>
      </c>
      <c r="I1547" s="343" t="s">
        <v>1124</v>
      </c>
      <c r="J1547" s="343" t="s">
        <v>10414</v>
      </c>
      <c r="K1547" s="343" t="s">
        <v>173</v>
      </c>
    </row>
    <row r="1548" spans="1:11" ht="26.25" customHeight="1">
      <c r="A1548" s="343" t="s">
        <v>4304</v>
      </c>
      <c r="B1548" s="344" t="s">
        <v>162</v>
      </c>
      <c r="C1548" s="344">
        <v>6796</v>
      </c>
      <c r="D1548" s="343" t="s">
        <v>4694</v>
      </c>
      <c r="E1548" s="344">
        <v>6822536</v>
      </c>
      <c r="F1548" s="343" t="s">
        <v>4695</v>
      </c>
      <c r="G1548" s="360" t="s">
        <v>9606</v>
      </c>
      <c r="H1548" s="361">
        <v>42817</v>
      </c>
      <c r="I1548" s="343" t="s">
        <v>301</v>
      </c>
      <c r="J1548" s="343" t="s">
        <v>1113</v>
      </c>
      <c r="K1548" s="343" t="s">
        <v>168</v>
      </c>
    </row>
    <row r="1549" spans="1:11" ht="26.25" customHeight="1">
      <c r="A1549" s="343" t="s">
        <v>4304</v>
      </c>
      <c r="B1549" s="344" t="s">
        <v>162</v>
      </c>
      <c r="C1549" s="344">
        <v>7117</v>
      </c>
      <c r="D1549" s="343" t="s">
        <v>4466</v>
      </c>
      <c r="E1549" s="344">
        <v>4907085</v>
      </c>
      <c r="F1549" s="343" t="s">
        <v>4468</v>
      </c>
      <c r="G1549" s="360" t="s">
        <v>10961</v>
      </c>
      <c r="H1549" s="361">
        <v>42816</v>
      </c>
      <c r="I1549" s="343" t="s">
        <v>198</v>
      </c>
      <c r="J1549" s="343" t="s">
        <v>198</v>
      </c>
      <c r="K1549" s="343" t="s">
        <v>168</v>
      </c>
    </row>
    <row r="1550" spans="1:11" ht="26.25" customHeight="1">
      <c r="A1550" s="343" t="s">
        <v>4304</v>
      </c>
      <c r="B1550" s="344" t="s">
        <v>162</v>
      </c>
      <c r="C1550" s="344">
        <v>6759</v>
      </c>
      <c r="D1550" s="343" t="s">
        <v>4610</v>
      </c>
      <c r="E1550" s="344">
        <v>5776044</v>
      </c>
      <c r="F1550" s="343" t="s">
        <v>4611</v>
      </c>
      <c r="G1550" s="360" t="s">
        <v>10962</v>
      </c>
      <c r="H1550" s="361">
        <v>42816</v>
      </c>
      <c r="I1550" s="343" t="s">
        <v>709</v>
      </c>
      <c r="J1550" s="343" t="s">
        <v>978</v>
      </c>
      <c r="K1550" s="343" t="s">
        <v>173</v>
      </c>
    </row>
    <row r="1551" spans="1:11" ht="26.25" customHeight="1">
      <c r="A1551" s="343" t="s">
        <v>4304</v>
      </c>
      <c r="B1551" s="344" t="s">
        <v>162</v>
      </c>
      <c r="C1551" s="344">
        <v>7283</v>
      </c>
      <c r="D1551" s="343" t="s">
        <v>4313</v>
      </c>
      <c r="E1551" s="344">
        <v>6529931</v>
      </c>
      <c r="F1551" s="343" t="s">
        <v>4322</v>
      </c>
      <c r="G1551" s="360" t="s">
        <v>10963</v>
      </c>
      <c r="H1551" s="361">
        <v>42844</v>
      </c>
      <c r="I1551" s="343" t="s">
        <v>4323</v>
      </c>
      <c r="J1551" s="343" t="s">
        <v>10964</v>
      </c>
      <c r="K1551" s="343" t="s">
        <v>168</v>
      </c>
    </row>
    <row r="1552" spans="1:11" ht="26.25" customHeight="1">
      <c r="A1552" s="343" t="s">
        <v>4304</v>
      </c>
      <c r="B1552" s="344" t="s">
        <v>162</v>
      </c>
      <c r="C1552" s="344">
        <v>7283</v>
      </c>
      <c r="D1552" s="343" t="s">
        <v>4313</v>
      </c>
      <c r="E1552" s="344">
        <v>6316526</v>
      </c>
      <c r="F1552" s="343" t="s">
        <v>4316</v>
      </c>
      <c r="G1552" s="360" t="s">
        <v>9499</v>
      </c>
      <c r="H1552" s="361">
        <v>42844</v>
      </c>
      <c r="I1552" s="343" t="s">
        <v>166</v>
      </c>
      <c r="J1552" s="343" t="s">
        <v>9752</v>
      </c>
      <c r="K1552" s="343" t="s">
        <v>248</v>
      </c>
    </row>
    <row r="1553" spans="1:11" ht="26.25" customHeight="1">
      <c r="A1553" s="343" t="s">
        <v>4304</v>
      </c>
      <c r="B1553" s="344" t="s">
        <v>162</v>
      </c>
      <c r="C1553" s="344">
        <v>7283</v>
      </c>
      <c r="D1553" s="343" t="s">
        <v>4313</v>
      </c>
      <c r="E1553" s="344">
        <v>6691278</v>
      </c>
      <c r="F1553" s="343" t="s">
        <v>4321</v>
      </c>
      <c r="G1553" s="360" t="s">
        <v>10965</v>
      </c>
      <c r="H1553" s="361">
        <v>42829</v>
      </c>
      <c r="I1553" s="343" t="s">
        <v>271</v>
      </c>
      <c r="J1553" s="343" t="s">
        <v>10924</v>
      </c>
      <c r="K1553" s="343" t="s">
        <v>168</v>
      </c>
    </row>
    <row r="1554" spans="1:11" ht="26.25" customHeight="1">
      <c r="A1554" s="343" t="s">
        <v>4304</v>
      </c>
      <c r="B1554" s="344" t="s">
        <v>162</v>
      </c>
      <c r="C1554" s="344">
        <v>7283</v>
      </c>
      <c r="D1554" s="343" t="s">
        <v>4313</v>
      </c>
      <c r="E1554" s="344">
        <v>6664455</v>
      </c>
      <c r="F1554" s="343" t="s">
        <v>4318</v>
      </c>
      <c r="G1554" s="360" t="s">
        <v>9721</v>
      </c>
      <c r="H1554" s="361">
        <v>42829</v>
      </c>
      <c r="I1554" s="343" t="s">
        <v>271</v>
      </c>
      <c r="J1554" s="343" t="s">
        <v>10924</v>
      </c>
      <c r="K1554" s="343" t="s">
        <v>168</v>
      </c>
    </row>
    <row r="1555" spans="1:11" ht="26.25" customHeight="1">
      <c r="A1555" s="343" t="s">
        <v>4304</v>
      </c>
      <c r="B1555" s="344" t="s">
        <v>162</v>
      </c>
      <c r="C1555" s="344">
        <v>8430</v>
      </c>
      <c r="D1555" s="343" t="s">
        <v>4421</v>
      </c>
      <c r="E1555" s="344">
        <v>4612639</v>
      </c>
      <c r="F1555" s="343" t="s">
        <v>4425</v>
      </c>
      <c r="G1555" s="360" t="s">
        <v>10966</v>
      </c>
      <c r="H1555" s="361">
        <v>42837</v>
      </c>
      <c r="I1555" s="343" t="s">
        <v>3583</v>
      </c>
      <c r="J1555" s="343" t="s">
        <v>10967</v>
      </c>
      <c r="K1555" s="343" t="s">
        <v>173</v>
      </c>
    </row>
    <row r="1556" spans="1:11" ht="26.25" customHeight="1">
      <c r="A1556" s="343" t="s">
        <v>4304</v>
      </c>
      <c r="B1556" s="344" t="s">
        <v>162</v>
      </c>
      <c r="C1556" s="344">
        <v>7685</v>
      </c>
      <c r="D1556" s="343" t="s">
        <v>4338</v>
      </c>
      <c r="E1556" s="344">
        <v>6404355</v>
      </c>
      <c r="F1556" s="343" t="s">
        <v>4340</v>
      </c>
      <c r="G1556" s="360" t="s">
        <v>9402</v>
      </c>
      <c r="H1556" s="361">
        <v>42843</v>
      </c>
      <c r="I1556" s="343" t="s">
        <v>3988</v>
      </c>
      <c r="J1556" s="343" t="s">
        <v>10968</v>
      </c>
      <c r="K1556" s="343" t="s">
        <v>168</v>
      </c>
    </row>
    <row r="1557" spans="1:11" ht="26.25" customHeight="1">
      <c r="A1557" s="343" t="s">
        <v>4304</v>
      </c>
      <c r="B1557" s="344" t="s">
        <v>162</v>
      </c>
      <c r="C1557" s="344">
        <v>6610</v>
      </c>
      <c r="D1557" s="343" t="s">
        <v>4666</v>
      </c>
      <c r="E1557" s="344">
        <v>6756853</v>
      </c>
      <c r="F1557" s="343" t="s">
        <v>4667</v>
      </c>
      <c r="G1557" s="360" t="s">
        <v>10969</v>
      </c>
      <c r="H1557" s="361">
        <v>42843</v>
      </c>
      <c r="I1557" s="343" t="s">
        <v>3850</v>
      </c>
      <c r="J1557" s="343" t="s">
        <v>9605</v>
      </c>
      <c r="K1557" s="343" t="s">
        <v>168</v>
      </c>
    </row>
    <row r="1558" spans="1:11" ht="26.25" customHeight="1">
      <c r="A1558" s="343" t="s">
        <v>4304</v>
      </c>
      <c r="B1558" s="344" t="s">
        <v>162</v>
      </c>
      <c r="C1558" s="344">
        <v>6858</v>
      </c>
      <c r="D1558" s="343" t="s">
        <v>4661</v>
      </c>
      <c r="E1558" s="344">
        <v>5833297</v>
      </c>
      <c r="F1558" s="343" t="s">
        <v>4663</v>
      </c>
      <c r="G1558" s="360" t="s">
        <v>10433</v>
      </c>
      <c r="H1558" s="361">
        <v>42843</v>
      </c>
      <c r="I1558" s="343" t="s">
        <v>166</v>
      </c>
      <c r="J1558" s="343" t="s">
        <v>296</v>
      </c>
      <c r="K1558" s="343" t="s">
        <v>168</v>
      </c>
    </row>
    <row r="1559" spans="1:11" ht="26.25" customHeight="1">
      <c r="A1559" s="343" t="s">
        <v>4304</v>
      </c>
      <c r="B1559" s="344" t="s">
        <v>162</v>
      </c>
      <c r="C1559" s="344">
        <v>7183</v>
      </c>
      <c r="D1559" s="343" t="s">
        <v>4586</v>
      </c>
      <c r="E1559" s="344">
        <v>4199784</v>
      </c>
      <c r="F1559" s="343" t="s">
        <v>4592</v>
      </c>
      <c r="G1559" s="360" t="s">
        <v>10970</v>
      </c>
      <c r="H1559" s="361">
        <v>42843</v>
      </c>
      <c r="I1559" s="343" t="s">
        <v>198</v>
      </c>
      <c r="J1559" s="343" t="s">
        <v>198</v>
      </c>
      <c r="K1559" s="343" t="s">
        <v>168</v>
      </c>
    </row>
    <row r="1560" spans="1:11" ht="26.25" customHeight="1">
      <c r="A1560" s="343" t="s">
        <v>4304</v>
      </c>
      <c r="B1560" s="344" t="s">
        <v>162</v>
      </c>
      <c r="C1560" s="344">
        <v>12183</v>
      </c>
      <c r="D1560" s="343" t="s">
        <v>4379</v>
      </c>
      <c r="E1560" s="344">
        <v>6720678</v>
      </c>
      <c r="F1560" s="343" t="s">
        <v>4381</v>
      </c>
      <c r="G1560" s="360" t="s">
        <v>9418</v>
      </c>
      <c r="H1560" s="361">
        <v>42842</v>
      </c>
      <c r="I1560" s="343" t="s">
        <v>284</v>
      </c>
      <c r="J1560" s="343" t="s">
        <v>9963</v>
      </c>
      <c r="K1560" s="343" t="s">
        <v>168</v>
      </c>
    </row>
    <row r="1561" spans="1:11" ht="26.25" customHeight="1">
      <c r="A1561" s="343" t="s">
        <v>4304</v>
      </c>
      <c r="B1561" s="344" t="s">
        <v>162</v>
      </c>
      <c r="C1561" s="344">
        <v>6610</v>
      </c>
      <c r="D1561" s="343" t="s">
        <v>4666</v>
      </c>
      <c r="E1561" s="344">
        <v>6816166</v>
      </c>
      <c r="F1561" s="343" t="s">
        <v>4668</v>
      </c>
      <c r="G1561" s="360" t="s">
        <v>10971</v>
      </c>
      <c r="H1561" s="361">
        <v>42842</v>
      </c>
      <c r="I1561" s="343" t="s">
        <v>166</v>
      </c>
      <c r="J1561" s="343" t="s">
        <v>296</v>
      </c>
      <c r="K1561" s="343" t="s">
        <v>168</v>
      </c>
    </row>
    <row r="1562" spans="1:11" ht="26.25" customHeight="1">
      <c r="A1562" s="343" t="s">
        <v>4304</v>
      </c>
      <c r="B1562" s="344" t="s">
        <v>162</v>
      </c>
      <c r="C1562" s="344">
        <v>7115</v>
      </c>
      <c r="D1562" s="343" t="s">
        <v>4477</v>
      </c>
      <c r="E1562" s="344">
        <v>5090488</v>
      </c>
      <c r="F1562" s="343" t="s">
        <v>4479</v>
      </c>
      <c r="G1562" s="360" t="s">
        <v>10972</v>
      </c>
      <c r="H1562" s="361">
        <v>42843</v>
      </c>
      <c r="I1562" s="343" t="s">
        <v>166</v>
      </c>
      <c r="J1562" s="343" t="s">
        <v>327</v>
      </c>
      <c r="K1562" s="343" t="s">
        <v>168</v>
      </c>
    </row>
    <row r="1563" spans="1:11" ht="26.25" customHeight="1">
      <c r="A1563" s="343" t="s">
        <v>4304</v>
      </c>
      <c r="B1563" s="344" t="s">
        <v>162</v>
      </c>
      <c r="C1563" s="344">
        <v>6762</v>
      </c>
      <c r="D1563" s="343" t="s">
        <v>4644</v>
      </c>
      <c r="E1563" s="344">
        <v>6124615</v>
      </c>
      <c r="F1563" s="343" t="s">
        <v>4645</v>
      </c>
      <c r="G1563" s="360" t="s">
        <v>10973</v>
      </c>
      <c r="H1563" s="361">
        <v>42849</v>
      </c>
      <c r="I1563" s="343" t="s">
        <v>4646</v>
      </c>
      <c r="J1563" s="343" t="s">
        <v>10974</v>
      </c>
      <c r="K1563" s="343" t="s">
        <v>248</v>
      </c>
    </row>
    <row r="1564" spans="1:11" ht="26.25" customHeight="1">
      <c r="A1564" s="343" t="s">
        <v>4304</v>
      </c>
      <c r="B1564" s="344" t="s">
        <v>162</v>
      </c>
      <c r="C1564" s="344">
        <v>9883</v>
      </c>
      <c r="D1564" s="343" t="s">
        <v>4382</v>
      </c>
      <c r="E1564" s="344">
        <v>6628315</v>
      </c>
      <c r="F1564" s="343" t="s">
        <v>4383</v>
      </c>
      <c r="G1564" s="360" t="s">
        <v>10626</v>
      </c>
      <c r="H1564" s="361">
        <v>42844</v>
      </c>
      <c r="I1564" s="343" t="s">
        <v>423</v>
      </c>
      <c r="J1564" s="343" t="s">
        <v>10975</v>
      </c>
      <c r="K1564" s="343" t="s">
        <v>168</v>
      </c>
    </row>
    <row r="1565" spans="1:11" ht="26.25" customHeight="1">
      <c r="A1565" s="343" t="s">
        <v>4304</v>
      </c>
      <c r="B1565" s="344" t="s">
        <v>162</v>
      </c>
      <c r="C1565" s="344">
        <v>10750</v>
      </c>
      <c r="D1565" s="343" t="s">
        <v>4684</v>
      </c>
      <c r="E1565" s="344">
        <v>5763499</v>
      </c>
      <c r="F1565" s="343" t="s">
        <v>4686</v>
      </c>
      <c r="G1565" s="360" t="s">
        <v>10043</v>
      </c>
      <c r="H1565" s="361">
        <v>42845</v>
      </c>
      <c r="I1565" s="343" t="s">
        <v>166</v>
      </c>
      <c r="J1565" s="343" t="s">
        <v>327</v>
      </c>
      <c r="K1565" s="343" t="s">
        <v>168</v>
      </c>
    </row>
    <row r="1566" spans="1:11" ht="26.25" customHeight="1">
      <c r="A1566" s="343" t="s">
        <v>4304</v>
      </c>
      <c r="B1566" s="344" t="s">
        <v>162</v>
      </c>
      <c r="C1566" s="344">
        <v>7658</v>
      </c>
      <c r="D1566" s="343" t="s">
        <v>4366</v>
      </c>
      <c r="E1566" s="344">
        <v>6481032</v>
      </c>
      <c r="F1566" s="343" t="s">
        <v>4367</v>
      </c>
      <c r="G1566" s="360" t="s">
        <v>9761</v>
      </c>
      <c r="H1566" s="361">
        <v>42849</v>
      </c>
      <c r="I1566" s="343" t="s">
        <v>1016</v>
      </c>
      <c r="J1566" s="343" t="s">
        <v>10976</v>
      </c>
      <c r="K1566" s="343" t="s">
        <v>168</v>
      </c>
    </row>
    <row r="1567" spans="1:11" ht="26.25" customHeight="1">
      <c r="A1567" s="343" t="s">
        <v>4304</v>
      </c>
      <c r="B1567" s="344" t="s">
        <v>162</v>
      </c>
      <c r="C1567" s="344">
        <v>11565</v>
      </c>
      <c r="D1567" s="343" t="s">
        <v>4360</v>
      </c>
      <c r="E1567" s="344">
        <v>6584029</v>
      </c>
      <c r="F1567" s="343" t="s">
        <v>4364</v>
      </c>
      <c r="G1567" s="360" t="s">
        <v>10977</v>
      </c>
      <c r="H1567" s="361">
        <v>42849</v>
      </c>
      <c r="I1567" s="343" t="s">
        <v>4365</v>
      </c>
      <c r="J1567" s="343" t="s">
        <v>10978</v>
      </c>
      <c r="K1567" s="343" t="s">
        <v>168</v>
      </c>
    </row>
    <row r="1568" spans="1:11" ht="26.25" customHeight="1">
      <c r="A1568" s="343" t="s">
        <v>4304</v>
      </c>
      <c r="B1568" s="344" t="s">
        <v>162</v>
      </c>
      <c r="C1568" s="344">
        <v>9267</v>
      </c>
      <c r="D1568" s="343" t="s">
        <v>4631</v>
      </c>
      <c r="E1568" s="344">
        <v>5739218</v>
      </c>
      <c r="F1568" s="343" t="s">
        <v>4632</v>
      </c>
      <c r="G1568" s="360" t="s">
        <v>10979</v>
      </c>
      <c r="H1568" s="361">
        <v>42849</v>
      </c>
      <c r="I1568" s="343" t="s">
        <v>1478</v>
      </c>
      <c r="J1568" s="343" t="s">
        <v>10980</v>
      </c>
      <c r="K1568" s="343" t="s">
        <v>168</v>
      </c>
    </row>
    <row r="1569" spans="1:11" ht="26.25" customHeight="1">
      <c r="A1569" s="343" t="s">
        <v>4304</v>
      </c>
      <c r="B1569" s="344" t="s">
        <v>162</v>
      </c>
      <c r="C1569" s="344">
        <v>6610</v>
      </c>
      <c r="D1569" s="343" t="s">
        <v>4666</v>
      </c>
      <c r="E1569" s="344">
        <v>6776202</v>
      </c>
      <c r="F1569" s="343" t="s">
        <v>4669</v>
      </c>
      <c r="G1569" s="360" t="s">
        <v>10981</v>
      </c>
      <c r="H1569" s="361">
        <v>42849</v>
      </c>
      <c r="I1569" s="343" t="s">
        <v>193</v>
      </c>
      <c r="J1569" s="343" t="s">
        <v>194</v>
      </c>
      <c r="K1569" s="343" t="s">
        <v>168</v>
      </c>
    </row>
    <row r="1570" spans="1:11" ht="26.25" customHeight="1">
      <c r="A1570" s="343" t="s">
        <v>4304</v>
      </c>
      <c r="B1570" s="344" t="s">
        <v>162</v>
      </c>
      <c r="C1570" s="344">
        <v>6801</v>
      </c>
      <c r="D1570" s="343" t="s">
        <v>4614</v>
      </c>
      <c r="E1570" s="344">
        <v>5958154</v>
      </c>
      <c r="F1570" s="343" t="s">
        <v>4615</v>
      </c>
      <c r="G1570" s="360" t="s">
        <v>10982</v>
      </c>
      <c r="H1570" s="361">
        <v>42849</v>
      </c>
      <c r="I1570" s="343" t="s">
        <v>4616</v>
      </c>
      <c r="J1570" s="343" t="s">
        <v>10983</v>
      </c>
      <c r="K1570" s="343" t="s">
        <v>168</v>
      </c>
    </row>
    <row r="1571" spans="1:11" ht="26.25" customHeight="1">
      <c r="A1571" s="343" t="s">
        <v>4304</v>
      </c>
      <c r="B1571" s="344" t="s">
        <v>162</v>
      </c>
      <c r="C1571" s="344">
        <v>7650</v>
      </c>
      <c r="D1571" s="343" t="s">
        <v>4346</v>
      </c>
      <c r="E1571" s="344">
        <v>6678168</v>
      </c>
      <c r="F1571" s="343" t="s">
        <v>4348</v>
      </c>
      <c r="G1571" s="360" t="s">
        <v>10252</v>
      </c>
      <c r="H1571" s="361">
        <v>42851</v>
      </c>
      <c r="I1571" s="343" t="s">
        <v>193</v>
      </c>
      <c r="J1571" s="343" t="s">
        <v>194</v>
      </c>
      <c r="K1571" s="343" t="s">
        <v>168</v>
      </c>
    </row>
    <row r="1572" spans="1:11" ht="26.25" customHeight="1">
      <c r="A1572" s="343" t="s">
        <v>4304</v>
      </c>
      <c r="B1572" s="344" t="s">
        <v>162</v>
      </c>
      <c r="C1572" s="344">
        <v>7158</v>
      </c>
      <c r="D1572" s="343" t="s">
        <v>4513</v>
      </c>
      <c r="E1572" s="344">
        <v>5221476</v>
      </c>
      <c r="F1572" s="343" t="s">
        <v>4515</v>
      </c>
      <c r="G1572" s="360" t="s">
        <v>10833</v>
      </c>
      <c r="H1572" s="361">
        <v>42864</v>
      </c>
      <c r="I1572" s="343" t="s">
        <v>423</v>
      </c>
      <c r="J1572" s="343" t="s">
        <v>10984</v>
      </c>
      <c r="K1572" s="343" t="s">
        <v>168</v>
      </c>
    </row>
    <row r="1573" spans="1:11" ht="26.25" customHeight="1">
      <c r="A1573" s="343" t="s">
        <v>4304</v>
      </c>
      <c r="B1573" s="344" t="s">
        <v>162</v>
      </c>
      <c r="C1573" s="344">
        <v>7205</v>
      </c>
      <c r="D1573" s="343" t="s">
        <v>4566</v>
      </c>
      <c r="E1573" s="344">
        <v>4961587</v>
      </c>
      <c r="F1573" s="343" t="s">
        <v>4568</v>
      </c>
      <c r="G1573" s="360" t="s">
        <v>10985</v>
      </c>
      <c r="H1573" s="361">
        <v>42857</v>
      </c>
      <c r="I1573" s="343" t="s">
        <v>198</v>
      </c>
      <c r="J1573" s="343" t="s">
        <v>198</v>
      </c>
      <c r="K1573" s="343" t="s">
        <v>168</v>
      </c>
    </row>
    <row r="1574" spans="1:11" ht="26.25" customHeight="1">
      <c r="A1574" s="343" t="s">
        <v>4304</v>
      </c>
      <c r="B1574" s="344" t="s">
        <v>162</v>
      </c>
      <c r="C1574" s="344">
        <v>7158</v>
      </c>
      <c r="D1574" s="343" t="s">
        <v>4513</v>
      </c>
      <c r="E1574" s="344">
        <v>4454769</v>
      </c>
      <c r="F1574" s="343" t="s">
        <v>4521</v>
      </c>
      <c r="G1574" s="360" t="s">
        <v>977</v>
      </c>
      <c r="H1574" s="361">
        <v>42863</v>
      </c>
      <c r="I1574" s="343" t="s">
        <v>4522</v>
      </c>
      <c r="J1574" s="343" t="s">
        <v>10986</v>
      </c>
      <c r="K1574" s="343" t="s">
        <v>168</v>
      </c>
    </row>
    <row r="1575" spans="1:11" ht="26.25" customHeight="1">
      <c r="A1575" s="343" t="s">
        <v>4304</v>
      </c>
      <c r="B1575" s="344" t="s">
        <v>162</v>
      </c>
      <c r="C1575" s="344">
        <v>7650</v>
      </c>
      <c r="D1575" s="343" t="s">
        <v>4346</v>
      </c>
      <c r="E1575" s="344">
        <v>6633030</v>
      </c>
      <c r="F1575" s="343" t="s">
        <v>4349</v>
      </c>
      <c r="G1575" s="360" t="s">
        <v>10019</v>
      </c>
      <c r="H1575" s="361">
        <v>42863</v>
      </c>
      <c r="I1575" s="343" t="s">
        <v>193</v>
      </c>
      <c r="J1575" s="343" t="s">
        <v>194</v>
      </c>
      <c r="K1575" s="343" t="s">
        <v>168</v>
      </c>
    </row>
    <row r="1576" spans="1:11" ht="26.25" customHeight="1">
      <c r="A1576" s="343" t="s">
        <v>4304</v>
      </c>
      <c r="B1576" s="344" t="s">
        <v>162</v>
      </c>
      <c r="C1576" s="344">
        <v>7148</v>
      </c>
      <c r="D1576" s="343" t="s">
        <v>4523</v>
      </c>
      <c r="E1576" s="344">
        <v>5705648</v>
      </c>
      <c r="F1576" s="343" t="s">
        <v>4529</v>
      </c>
      <c r="G1576" s="360" t="s">
        <v>10987</v>
      </c>
      <c r="H1576" s="361">
        <v>42864</v>
      </c>
      <c r="I1576" s="343" t="s">
        <v>465</v>
      </c>
      <c r="J1576" s="343" t="s">
        <v>466</v>
      </c>
      <c r="K1576" s="343" t="s">
        <v>168</v>
      </c>
    </row>
    <row r="1577" spans="1:11" ht="26.25" customHeight="1">
      <c r="A1577" s="343" t="s">
        <v>4304</v>
      </c>
      <c r="B1577" s="344" t="s">
        <v>162</v>
      </c>
      <c r="C1577" s="344">
        <v>7653</v>
      </c>
      <c r="D1577" s="343" t="s">
        <v>4327</v>
      </c>
      <c r="E1577" s="344">
        <v>6351014</v>
      </c>
      <c r="F1577" s="343" t="s">
        <v>4328</v>
      </c>
      <c r="G1577" s="360" t="s">
        <v>9455</v>
      </c>
      <c r="H1577" s="361">
        <v>42864</v>
      </c>
      <c r="I1577" s="343" t="s">
        <v>166</v>
      </c>
      <c r="J1577" s="343" t="s">
        <v>327</v>
      </c>
      <c r="K1577" s="343" t="s">
        <v>168</v>
      </c>
    </row>
    <row r="1578" spans="1:11" ht="26.25" customHeight="1">
      <c r="A1578" s="343" t="s">
        <v>4304</v>
      </c>
      <c r="B1578" s="344" t="s">
        <v>162</v>
      </c>
      <c r="C1578" s="344">
        <v>7152</v>
      </c>
      <c r="D1578" s="343" t="s">
        <v>4459</v>
      </c>
      <c r="E1578" s="344">
        <v>4322764</v>
      </c>
      <c r="F1578" s="343" t="s">
        <v>4465</v>
      </c>
      <c r="G1578" s="360" t="s">
        <v>10988</v>
      </c>
      <c r="H1578" s="361">
        <v>42864</v>
      </c>
      <c r="I1578" s="343" t="s">
        <v>806</v>
      </c>
      <c r="J1578" s="343" t="s">
        <v>10989</v>
      </c>
      <c r="K1578" s="343" t="s">
        <v>168</v>
      </c>
    </row>
    <row r="1579" spans="1:11" ht="26.25" customHeight="1">
      <c r="A1579" s="343" t="s">
        <v>4304</v>
      </c>
      <c r="B1579" s="344" t="s">
        <v>162</v>
      </c>
      <c r="C1579" s="344">
        <v>7283</v>
      </c>
      <c r="D1579" s="343" t="s">
        <v>4313</v>
      </c>
      <c r="E1579" s="344">
        <v>6096513</v>
      </c>
      <c r="F1579" s="343" t="s">
        <v>4319</v>
      </c>
      <c r="G1579" s="360" t="s">
        <v>9533</v>
      </c>
      <c r="H1579" s="361">
        <v>42866</v>
      </c>
      <c r="I1579" s="343" t="s">
        <v>4320</v>
      </c>
      <c r="J1579" s="343" t="s">
        <v>10990</v>
      </c>
      <c r="K1579" s="343" t="s">
        <v>173</v>
      </c>
    </row>
    <row r="1580" spans="1:11" ht="26.25" customHeight="1">
      <c r="A1580" s="343" t="s">
        <v>4304</v>
      </c>
      <c r="B1580" s="344" t="s">
        <v>162</v>
      </c>
      <c r="C1580" s="344">
        <v>7666</v>
      </c>
      <c r="D1580" s="343" t="s">
        <v>4369</v>
      </c>
      <c r="E1580" s="344">
        <v>6489380</v>
      </c>
      <c r="F1580" s="343" t="s">
        <v>4370</v>
      </c>
      <c r="G1580" s="360" t="s">
        <v>10991</v>
      </c>
      <c r="H1580" s="361">
        <v>42852</v>
      </c>
      <c r="I1580" s="343" t="s">
        <v>166</v>
      </c>
      <c r="J1580" s="343" t="s">
        <v>327</v>
      </c>
      <c r="K1580" s="343" t="s">
        <v>168</v>
      </c>
    </row>
    <row r="1581" spans="1:11" ht="26.25" customHeight="1">
      <c r="A1581" s="343" t="s">
        <v>4304</v>
      </c>
      <c r="B1581" s="344" t="s">
        <v>162</v>
      </c>
      <c r="C1581" s="344">
        <v>7653</v>
      </c>
      <c r="D1581" s="343" t="s">
        <v>4327</v>
      </c>
      <c r="E1581" s="344">
        <v>6714530</v>
      </c>
      <c r="F1581" s="343" t="s">
        <v>4331</v>
      </c>
      <c r="G1581" s="360" t="s">
        <v>10992</v>
      </c>
      <c r="H1581" s="361">
        <v>42852</v>
      </c>
      <c r="I1581" s="343" t="s">
        <v>3629</v>
      </c>
      <c r="J1581" s="343" t="s">
        <v>10993</v>
      </c>
      <c r="K1581" s="343" t="s">
        <v>168</v>
      </c>
    </row>
    <row r="1582" spans="1:11" ht="26.25" customHeight="1">
      <c r="A1582" s="343" t="s">
        <v>4304</v>
      </c>
      <c r="B1582" s="344" t="s">
        <v>162</v>
      </c>
      <c r="C1582" s="344">
        <v>7283</v>
      </c>
      <c r="D1582" s="343" t="s">
        <v>4313</v>
      </c>
      <c r="E1582" s="344">
        <v>6627359</v>
      </c>
      <c r="F1582" s="343" t="s">
        <v>4314</v>
      </c>
      <c r="G1582" s="360" t="s">
        <v>200</v>
      </c>
      <c r="H1582" s="361">
        <v>42881</v>
      </c>
      <c r="I1582" s="343" t="s">
        <v>4315</v>
      </c>
      <c r="J1582" s="343" t="s">
        <v>10994</v>
      </c>
      <c r="K1582" s="343" t="s">
        <v>168</v>
      </c>
    </row>
    <row r="1583" spans="1:11" ht="26.25" customHeight="1">
      <c r="A1583" s="343" t="s">
        <v>4304</v>
      </c>
      <c r="B1583" s="344" t="s">
        <v>162</v>
      </c>
      <c r="C1583" s="344">
        <v>7206</v>
      </c>
      <c r="D1583" s="343" t="s">
        <v>4480</v>
      </c>
      <c r="E1583" s="344">
        <v>4662329</v>
      </c>
      <c r="F1583" s="343" t="s">
        <v>4481</v>
      </c>
      <c r="G1583" s="360" t="s">
        <v>10995</v>
      </c>
      <c r="H1583" s="361">
        <v>42877</v>
      </c>
      <c r="I1583" s="343" t="s">
        <v>275</v>
      </c>
      <c r="J1583" s="343" t="s">
        <v>585</v>
      </c>
      <c r="K1583" s="343" t="s">
        <v>173</v>
      </c>
    </row>
    <row r="1584" spans="1:11" ht="26.25" customHeight="1">
      <c r="A1584" s="343" t="s">
        <v>4304</v>
      </c>
      <c r="B1584" s="344" t="s">
        <v>162</v>
      </c>
      <c r="C1584" s="344">
        <v>8442</v>
      </c>
      <c r="D1584" s="343" t="s">
        <v>4486</v>
      </c>
      <c r="E1584" s="344">
        <v>5298733</v>
      </c>
      <c r="F1584" s="343" t="s">
        <v>4492</v>
      </c>
      <c r="G1584" s="360" t="s">
        <v>716</v>
      </c>
      <c r="H1584" s="361">
        <v>42873</v>
      </c>
      <c r="I1584" s="343" t="s">
        <v>4493</v>
      </c>
      <c r="J1584" s="343" t="s">
        <v>10996</v>
      </c>
      <c r="K1584" s="343" t="s">
        <v>168</v>
      </c>
    </row>
    <row r="1585" spans="1:11" ht="26.25" customHeight="1">
      <c r="A1585" s="343" t="s">
        <v>4304</v>
      </c>
      <c r="B1585" s="344" t="s">
        <v>162</v>
      </c>
      <c r="C1585" s="344">
        <v>6859</v>
      </c>
      <c r="D1585" s="343" t="s">
        <v>4624</v>
      </c>
      <c r="E1585" s="344">
        <v>6724808</v>
      </c>
      <c r="F1585" s="343" t="s">
        <v>4626</v>
      </c>
      <c r="G1585" s="360" t="s">
        <v>9462</v>
      </c>
      <c r="H1585" s="361">
        <v>42872</v>
      </c>
      <c r="I1585" s="343" t="s">
        <v>465</v>
      </c>
      <c r="J1585" s="343" t="s">
        <v>466</v>
      </c>
      <c r="K1585" s="343" t="s">
        <v>168</v>
      </c>
    </row>
    <row r="1586" spans="1:11" ht="26.25" customHeight="1">
      <c r="A1586" s="343" t="s">
        <v>4304</v>
      </c>
      <c r="B1586" s="344" t="s">
        <v>162</v>
      </c>
      <c r="C1586" s="344">
        <v>7669</v>
      </c>
      <c r="D1586" s="343" t="s">
        <v>4353</v>
      </c>
      <c r="E1586" s="344">
        <v>6597728</v>
      </c>
      <c r="F1586" s="343" t="s">
        <v>4359</v>
      </c>
      <c r="G1586" s="360" t="s">
        <v>10997</v>
      </c>
      <c r="H1586" s="361">
        <v>42872</v>
      </c>
      <c r="I1586" s="343" t="s">
        <v>349</v>
      </c>
      <c r="J1586" s="343" t="s">
        <v>10998</v>
      </c>
      <c r="K1586" s="343" t="s">
        <v>168</v>
      </c>
    </row>
    <row r="1587" spans="1:11" ht="26.25" customHeight="1">
      <c r="A1587" s="343" t="s">
        <v>4304</v>
      </c>
      <c r="B1587" s="344" t="s">
        <v>162</v>
      </c>
      <c r="C1587" s="344">
        <v>7156</v>
      </c>
      <c r="D1587" s="343" t="s">
        <v>4442</v>
      </c>
      <c r="E1587" s="344">
        <v>6296978</v>
      </c>
      <c r="F1587" s="343" t="s">
        <v>4450</v>
      </c>
      <c r="G1587" s="360" t="s">
        <v>565</v>
      </c>
      <c r="H1587" s="361">
        <v>42867</v>
      </c>
      <c r="I1587" s="343" t="s">
        <v>284</v>
      </c>
      <c r="J1587" s="343" t="s">
        <v>10999</v>
      </c>
      <c r="K1587" s="343" t="s">
        <v>168</v>
      </c>
    </row>
    <row r="1588" spans="1:11" ht="26.25" customHeight="1">
      <c r="A1588" s="343" t="s">
        <v>4304</v>
      </c>
      <c r="B1588" s="344" t="s">
        <v>162</v>
      </c>
      <c r="C1588" s="344">
        <v>7203</v>
      </c>
      <c r="D1588" s="343" t="s">
        <v>4555</v>
      </c>
      <c r="E1588" s="344">
        <v>5261509</v>
      </c>
      <c r="F1588" s="343" t="s">
        <v>4556</v>
      </c>
      <c r="G1588" s="360" t="s">
        <v>11000</v>
      </c>
      <c r="H1588" s="361">
        <v>42892</v>
      </c>
      <c r="I1588" s="343" t="s">
        <v>180</v>
      </c>
      <c r="J1588" s="343" t="s">
        <v>11001</v>
      </c>
      <c r="K1588" s="343" t="s">
        <v>168</v>
      </c>
    </row>
    <row r="1589" spans="1:11" ht="26.25" customHeight="1">
      <c r="A1589" s="343" t="s">
        <v>4304</v>
      </c>
      <c r="B1589" s="344" t="s">
        <v>162</v>
      </c>
      <c r="C1589" s="344">
        <v>7669</v>
      </c>
      <c r="D1589" s="343" t="s">
        <v>4353</v>
      </c>
      <c r="E1589" s="344">
        <v>6701931</v>
      </c>
      <c r="F1589" s="343" t="s">
        <v>4355</v>
      </c>
      <c r="G1589" s="360" t="s">
        <v>11002</v>
      </c>
      <c r="H1589" s="361">
        <v>42884</v>
      </c>
      <c r="I1589" s="343" t="s">
        <v>349</v>
      </c>
      <c r="J1589" s="343" t="s">
        <v>640</v>
      </c>
      <c r="K1589" s="343" t="s">
        <v>168</v>
      </c>
    </row>
    <row r="1590" spans="1:11" ht="26.25" customHeight="1">
      <c r="A1590" s="343" t="s">
        <v>4304</v>
      </c>
      <c r="B1590" s="344" t="s">
        <v>162</v>
      </c>
      <c r="C1590" s="344">
        <v>6858</v>
      </c>
      <c r="D1590" s="343" t="s">
        <v>4661</v>
      </c>
      <c r="E1590" s="344">
        <v>6730947</v>
      </c>
      <c r="F1590" s="343" t="s">
        <v>4662</v>
      </c>
      <c r="G1590" s="360" t="s">
        <v>11003</v>
      </c>
      <c r="H1590" s="361">
        <v>42884</v>
      </c>
      <c r="I1590" s="343" t="s">
        <v>3850</v>
      </c>
      <c r="J1590" s="343" t="s">
        <v>11004</v>
      </c>
      <c r="K1590" s="343" t="s">
        <v>168</v>
      </c>
    </row>
    <row r="1591" spans="1:11" ht="26.25" customHeight="1">
      <c r="A1591" s="343" t="s">
        <v>4304</v>
      </c>
      <c r="B1591" s="344" t="s">
        <v>162</v>
      </c>
      <c r="C1591" s="344">
        <v>7647</v>
      </c>
      <c r="D1591" s="343" t="s">
        <v>4371</v>
      </c>
      <c r="E1591" s="344">
        <v>6580762</v>
      </c>
      <c r="F1591" s="343" t="s">
        <v>4373</v>
      </c>
      <c r="G1591" s="360" t="s">
        <v>9464</v>
      </c>
      <c r="H1591" s="361">
        <v>42884</v>
      </c>
      <c r="I1591" s="343" t="s">
        <v>271</v>
      </c>
      <c r="J1591" s="343" t="s">
        <v>333</v>
      </c>
      <c r="K1591" s="343" t="s">
        <v>168</v>
      </c>
    </row>
    <row r="1592" spans="1:11" ht="26.25" customHeight="1">
      <c r="A1592" s="343" t="s">
        <v>4304</v>
      </c>
      <c r="B1592" s="344" t="s">
        <v>162</v>
      </c>
      <c r="C1592" s="344">
        <v>7158</v>
      </c>
      <c r="D1592" s="343" t="s">
        <v>4513</v>
      </c>
      <c r="E1592" s="344">
        <v>5659372</v>
      </c>
      <c r="F1592" s="343" t="s">
        <v>4520</v>
      </c>
      <c r="G1592" s="360" t="s">
        <v>11005</v>
      </c>
      <c r="H1592" s="361">
        <v>42884</v>
      </c>
      <c r="I1592" s="343" t="s">
        <v>1182</v>
      </c>
      <c r="J1592" s="343" t="s">
        <v>10913</v>
      </c>
      <c r="K1592" s="343" t="s">
        <v>173</v>
      </c>
    </row>
    <row r="1593" spans="1:11" ht="26.25" customHeight="1">
      <c r="A1593" s="343" t="s">
        <v>4304</v>
      </c>
      <c r="B1593" s="344" t="s">
        <v>162</v>
      </c>
      <c r="C1593" s="344">
        <v>7175</v>
      </c>
      <c r="D1593" s="343" t="s">
        <v>4557</v>
      </c>
      <c r="E1593" s="344">
        <v>5082869</v>
      </c>
      <c r="F1593" s="343" t="s">
        <v>4558</v>
      </c>
      <c r="G1593" s="360" t="s">
        <v>820</v>
      </c>
      <c r="H1593" s="361">
        <v>42886</v>
      </c>
      <c r="I1593" s="343" t="s">
        <v>187</v>
      </c>
      <c r="J1593" s="343" t="s">
        <v>11006</v>
      </c>
      <c r="K1593" s="343" t="s">
        <v>168</v>
      </c>
    </row>
    <row r="1594" spans="1:11" ht="26.25" customHeight="1">
      <c r="A1594" s="343" t="s">
        <v>4304</v>
      </c>
      <c r="B1594" s="344" t="s">
        <v>162</v>
      </c>
      <c r="C1594" s="344">
        <v>9300</v>
      </c>
      <c r="D1594" s="343" t="s">
        <v>4641</v>
      </c>
      <c r="E1594" s="344">
        <v>5986497</v>
      </c>
      <c r="F1594" s="343" t="s">
        <v>4643</v>
      </c>
      <c r="G1594" s="360" t="s">
        <v>11007</v>
      </c>
      <c r="H1594" s="361">
        <v>42885</v>
      </c>
      <c r="I1594" s="343" t="s">
        <v>166</v>
      </c>
      <c r="J1594" s="343" t="s">
        <v>296</v>
      </c>
      <c r="K1594" s="343" t="s">
        <v>168</v>
      </c>
    </row>
    <row r="1595" spans="1:11" ht="26.25" customHeight="1">
      <c r="A1595" s="343" t="s">
        <v>4304</v>
      </c>
      <c r="B1595" s="344" t="s">
        <v>162</v>
      </c>
      <c r="C1595" s="344">
        <v>6859</v>
      </c>
      <c r="D1595" s="343" t="s">
        <v>4624</v>
      </c>
      <c r="E1595" s="344">
        <v>5979609</v>
      </c>
      <c r="F1595" s="343" t="s">
        <v>4625</v>
      </c>
      <c r="G1595" s="360" t="s">
        <v>1455</v>
      </c>
      <c r="H1595" s="361">
        <v>42894</v>
      </c>
      <c r="I1595" s="343" t="s">
        <v>465</v>
      </c>
      <c r="J1595" s="343" t="s">
        <v>1118</v>
      </c>
      <c r="K1595" s="343" t="s">
        <v>168</v>
      </c>
    </row>
    <row r="1596" spans="1:11" ht="26.25" customHeight="1">
      <c r="A1596" s="343" t="s">
        <v>4304</v>
      </c>
      <c r="B1596" s="344" t="s">
        <v>162</v>
      </c>
      <c r="C1596" s="344">
        <v>6799</v>
      </c>
      <c r="D1596" s="343" t="s">
        <v>4671</v>
      </c>
      <c r="E1596" s="344">
        <v>6447450</v>
      </c>
      <c r="F1596" s="343" t="s">
        <v>4672</v>
      </c>
      <c r="G1596" s="360" t="s">
        <v>11008</v>
      </c>
      <c r="H1596" s="361">
        <v>42894</v>
      </c>
      <c r="I1596" s="343" t="s">
        <v>193</v>
      </c>
      <c r="J1596" s="343" t="s">
        <v>194</v>
      </c>
      <c r="K1596" s="343" t="s">
        <v>168</v>
      </c>
    </row>
    <row r="1597" spans="1:11" ht="26.25" customHeight="1">
      <c r="A1597" s="343" t="s">
        <v>4304</v>
      </c>
      <c r="B1597" s="344" t="s">
        <v>162</v>
      </c>
      <c r="C1597" s="344">
        <v>7147</v>
      </c>
      <c r="D1597" s="343" t="s">
        <v>4504</v>
      </c>
      <c r="E1597" s="344">
        <v>5857274</v>
      </c>
      <c r="F1597" s="343" t="s">
        <v>4507</v>
      </c>
      <c r="G1597" s="360" t="s">
        <v>864</v>
      </c>
      <c r="H1597" s="361">
        <v>42894</v>
      </c>
      <c r="I1597" s="343" t="s">
        <v>547</v>
      </c>
      <c r="J1597" s="343" t="s">
        <v>936</v>
      </c>
      <c r="K1597" s="343" t="s">
        <v>248</v>
      </c>
    </row>
    <row r="1598" spans="1:11" ht="26.25" customHeight="1">
      <c r="A1598" s="343" t="s">
        <v>4304</v>
      </c>
      <c r="B1598" s="344" t="s">
        <v>162</v>
      </c>
      <c r="C1598" s="344">
        <v>7654</v>
      </c>
      <c r="D1598" s="343" t="s">
        <v>4374</v>
      </c>
      <c r="E1598" s="344">
        <v>6383820</v>
      </c>
      <c r="F1598" s="343" t="s">
        <v>4375</v>
      </c>
      <c r="G1598" s="360" t="s">
        <v>11009</v>
      </c>
      <c r="H1598" s="361">
        <v>42908</v>
      </c>
      <c r="I1598" s="343" t="s">
        <v>313</v>
      </c>
      <c r="J1598" s="343" t="s">
        <v>397</v>
      </c>
      <c r="K1598" s="343" t="s">
        <v>173</v>
      </c>
    </row>
    <row r="1599" spans="1:11" ht="26.25" customHeight="1">
      <c r="A1599" s="343" t="s">
        <v>4304</v>
      </c>
      <c r="B1599" s="344" t="s">
        <v>162</v>
      </c>
      <c r="C1599" s="344">
        <v>6800</v>
      </c>
      <c r="D1599" s="343" t="s">
        <v>4678</v>
      </c>
      <c r="E1599" s="344">
        <v>5759320</v>
      </c>
      <c r="F1599" s="343" t="s">
        <v>4679</v>
      </c>
      <c r="G1599" s="360" t="s">
        <v>11010</v>
      </c>
      <c r="H1599" s="361">
        <v>42914</v>
      </c>
      <c r="I1599" s="343" t="s">
        <v>211</v>
      </c>
      <c r="J1599" s="343" t="s">
        <v>211</v>
      </c>
      <c r="K1599" s="343" t="s">
        <v>168</v>
      </c>
    </row>
    <row r="1600" spans="1:11" ht="26.25" customHeight="1">
      <c r="A1600" s="343" t="s">
        <v>4304</v>
      </c>
      <c r="B1600" s="344" t="s">
        <v>162</v>
      </c>
      <c r="C1600" s="344">
        <v>7207</v>
      </c>
      <c r="D1600" s="343" t="s">
        <v>4469</v>
      </c>
      <c r="E1600" s="344">
        <v>5242283</v>
      </c>
      <c r="F1600" s="343" t="s">
        <v>4473</v>
      </c>
      <c r="G1600" s="360" t="s">
        <v>11011</v>
      </c>
      <c r="H1600" s="361">
        <v>42914</v>
      </c>
      <c r="I1600" s="343" t="s">
        <v>709</v>
      </c>
      <c r="J1600" s="343" t="s">
        <v>9629</v>
      </c>
      <c r="K1600" s="343" t="s">
        <v>168</v>
      </c>
    </row>
    <row r="1601" spans="1:11" ht="26.25" customHeight="1">
      <c r="A1601" s="343" t="s">
        <v>4304</v>
      </c>
      <c r="B1601" s="344" t="s">
        <v>162</v>
      </c>
      <c r="C1601" s="344">
        <v>7207</v>
      </c>
      <c r="D1601" s="343" t="s">
        <v>4469</v>
      </c>
      <c r="E1601" s="344">
        <v>5098646</v>
      </c>
      <c r="F1601" s="343" t="s">
        <v>4470</v>
      </c>
      <c r="G1601" s="360" t="s">
        <v>10366</v>
      </c>
      <c r="H1601" s="361">
        <v>42914</v>
      </c>
      <c r="I1601" s="343" t="s">
        <v>709</v>
      </c>
      <c r="J1601" s="343" t="s">
        <v>9629</v>
      </c>
      <c r="K1601" s="343" t="s">
        <v>168</v>
      </c>
    </row>
    <row r="1602" spans="1:11" ht="26.25" customHeight="1">
      <c r="A1602" s="343" t="s">
        <v>4304</v>
      </c>
      <c r="B1602" s="344" t="s">
        <v>162</v>
      </c>
      <c r="C1602" s="344">
        <v>7152</v>
      </c>
      <c r="D1602" s="343" t="s">
        <v>4459</v>
      </c>
      <c r="E1602" s="344">
        <v>5151666</v>
      </c>
      <c r="F1602" s="343" t="s">
        <v>4464</v>
      </c>
      <c r="G1602" s="360" t="s">
        <v>11012</v>
      </c>
      <c r="H1602" s="361">
        <v>42914</v>
      </c>
      <c r="I1602" s="343" t="s">
        <v>423</v>
      </c>
      <c r="J1602" s="343" t="s">
        <v>11013</v>
      </c>
      <c r="K1602" s="343" t="s">
        <v>168</v>
      </c>
    </row>
    <row r="1603" spans="1:11" ht="26.25" customHeight="1">
      <c r="A1603" s="343" t="s">
        <v>4304</v>
      </c>
      <c r="B1603" s="344" t="s">
        <v>162</v>
      </c>
      <c r="C1603" s="344">
        <v>9025</v>
      </c>
      <c r="D1603" s="343" t="s">
        <v>4698</v>
      </c>
      <c r="E1603" s="344">
        <v>6622849</v>
      </c>
      <c r="F1603" s="343" t="s">
        <v>4702</v>
      </c>
      <c r="G1603" s="360" t="s">
        <v>11014</v>
      </c>
      <c r="H1603" s="361">
        <v>42919</v>
      </c>
      <c r="I1603" s="343" t="s">
        <v>709</v>
      </c>
      <c r="J1603" s="343" t="s">
        <v>709</v>
      </c>
      <c r="K1603" s="343" t="s">
        <v>173</v>
      </c>
    </row>
    <row r="1604" spans="1:11" ht="26.25" customHeight="1">
      <c r="A1604" s="343" t="s">
        <v>4304</v>
      </c>
      <c r="B1604" s="344" t="s">
        <v>162</v>
      </c>
      <c r="C1604" s="344">
        <v>9884</v>
      </c>
      <c r="D1604" s="343" t="s">
        <v>4400</v>
      </c>
      <c r="E1604" s="344">
        <v>4187332</v>
      </c>
      <c r="F1604" s="343" t="s">
        <v>4404</v>
      </c>
      <c r="G1604" s="360" t="s">
        <v>11015</v>
      </c>
      <c r="H1604" s="361">
        <v>42919</v>
      </c>
      <c r="I1604" s="343" t="s">
        <v>984</v>
      </c>
      <c r="J1604" s="343" t="s">
        <v>9373</v>
      </c>
      <c r="K1604" s="343" t="s">
        <v>168</v>
      </c>
    </row>
    <row r="1605" spans="1:11" ht="26.25" customHeight="1">
      <c r="A1605" s="343" t="s">
        <v>4304</v>
      </c>
      <c r="B1605" s="344" t="s">
        <v>162</v>
      </c>
      <c r="C1605" s="344">
        <v>6760</v>
      </c>
      <c r="D1605" s="343" t="s">
        <v>4691</v>
      </c>
      <c r="E1605" s="344">
        <v>6730561</v>
      </c>
      <c r="F1605" s="343" t="s">
        <v>4692</v>
      </c>
      <c r="G1605" s="360" t="s">
        <v>11016</v>
      </c>
      <c r="H1605" s="361">
        <v>42920</v>
      </c>
      <c r="I1605" s="343" t="s">
        <v>7301</v>
      </c>
      <c r="J1605" s="343" t="s">
        <v>11017</v>
      </c>
      <c r="K1605" s="343" t="s">
        <v>173</v>
      </c>
    </row>
    <row r="1606" spans="1:11" ht="26.25" customHeight="1">
      <c r="A1606" s="343" t="s">
        <v>4304</v>
      </c>
      <c r="B1606" s="344" t="s">
        <v>162</v>
      </c>
      <c r="C1606" s="344">
        <v>9883</v>
      </c>
      <c r="D1606" s="343" t="s">
        <v>4382</v>
      </c>
      <c r="E1606" s="344">
        <v>6611923</v>
      </c>
      <c r="F1606" s="343" t="s">
        <v>4392</v>
      </c>
      <c r="G1606" s="360" t="s">
        <v>11018</v>
      </c>
      <c r="H1606" s="361">
        <v>42921</v>
      </c>
      <c r="I1606" s="343" t="s">
        <v>193</v>
      </c>
      <c r="J1606" s="343" t="s">
        <v>194</v>
      </c>
      <c r="K1606" s="343" t="s">
        <v>168</v>
      </c>
    </row>
    <row r="1607" spans="1:11" ht="26.25" customHeight="1">
      <c r="A1607" s="343" t="s">
        <v>4304</v>
      </c>
      <c r="B1607" s="344" t="s">
        <v>162</v>
      </c>
      <c r="C1607" s="344">
        <v>9632</v>
      </c>
      <c r="D1607" s="343" t="s">
        <v>4334</v>
      </c>
      <c r="E1607" s="344">
        <v>6457705</v>
      </c>
      <c r="F1607" s="343" t="s">
        <v>4335</v>
      </c>
      <c r="G1607" s="360" t="s">
        <v>11019</v>
      </c>
      <c r="H1607" s="361">
        <v>42921</v>
      </c>
      <c r="I1607" s="343" t="s">
        <v>4336</v>
      </c>
      <c r="J1607" s="343" t="s">
        <v>11020</v>
      </c>
      <c r="K1607" s="343" t="s">
        <v>168</v>
      </c>
    </row>
    <row r="1608" spans="1:11" ht="26.25" customHeight="1">
      <c r="A1608" s="343" t="s">
        <v>4304</v>
      </c>
      <c r="B1608" s="344" t="s">
        <v>162</v>
      </c>
      <c r="C1608" s="344">
        <v>7283</v>
      </c>
      <c r="D1608" s="343" t="s">
        <v>4313</v>
      </c>
      <c r="E1608" s="344">
        <v>6439590</v>
      </c>
      <c r="F1608" s="343" t="s">
        <v>4317</v>
      </c>
      <c r="G1608" s="360" t="s">
        <v>11021</v>
      </c>
      <c r="H1608" s="361">
        <v>42923</v>
      </c>
      <c r="I1608" s="343" t="s">
        <v>465</v>
      </c>
      <c r="J1608" s="343" t="s">
        <v>466</v>
      </c>
      <c r="K1608" s="343" t="s">
        <v>168</v>
      </c>
    </row>
    <row r="1609" spans="1:11" ht="26.25" customHeight="1">
      <c r="A1609" s="343" t="s">
        <v>4304</v>
      </c>
      <c r="B1609" s="344" t="s">
        <v>162</v>
      </c>
      <c r="C1609" s="344">
        <v>7148</v>
      </c>
      <c r="D1609" s="343" t="s">
        <v>4523</v>
      </c>
      <c r="E1609" s="344">
        <v>4937570</v>
      </c>
      <c r="F1609" s="343" t="s">
        <v>4527</v>
      </c>
      <c r="G1609" s="360" t="s">
        <v>11022</v>
      </c>
      <c r="H1609" s="361">
        <v>42923</v>
      </c>
      <c r="I1609" s="343" t="s">
        <v>4528</v>
      </c>
      <c r="J1609" s="343" t="s">
        <v>11023</v>
      </c>
      <c r="K1609" s="343" t="s">
        <v>168</v>
      </c>
    </row>
    <row r="1610" spans="1:11" ht="26.25" customHeight="1">
      <c r="A1610" s="343" t="s">
        <v>4304</v>
      </c>
      <c r="B1610" s="344" t="s">
        <v>162</v>
      </c>
      <c r="C1610" s="344">
        <v>12701</v>
      </c>
      <c r="D1610" s="343" t="s">
        <v>4343</v>
      </c>
      <c r="E1610" s="344">
        <v>6386337</v>
      </c>
      <c r="F1610" s="343" t="s">
        <v>4344</v>
      </c>
      <c r="G1610" s="360" t="s">
        <v>11024</v>
      </c>
      <c r="H1610" s="361">
        <v>42926</v>
      </c>
      <c r="I1610" s="343" t="s">
        <v>193</v>
      </c>
      <c r="J1610" s="343" t="s">
        <v>637</v>
      </c>
      <c r="K1610" s="343" t="s">
        <v>168</v>
      </c>
    </row>
    <row r="1611" spans="1:11" ht="26.25" customHeight="1">
      <c r="A1611" s="343" t="s">
        <v>4304</v>
      </c>
      <c r="B1611" s="344" t="s">
        <v>162</v>
      </c>
      <c r="C1611" s="344">
        <v>7649</v>
      </c>
      <c r="D1611" s="343" t="s">
        <v>4310</v>
      </c>
      <c r="E1611" s="344">
        <v>6729810</v>
      </c>
      <c r="F1611" s="343" t="s">
        <v>4311</v>
      </c>
      <c r="G1611" s="360" t="s">
        <v>11025</v>
      </c>
      <c r="H1611" s="361">
        <v>42928</v>
      </c>
      <c r="I1611" s="343" t="s">
        <v>193</v>
      </c>
      <c r="J1611" s="343" t="s">
        <v>509</v>
      </c>
      <c r="K1611" s="343" t="s">
        <v>168</v>
      </c>
    </row>
    <row r="1612" spans="1:11" ht="26.25" customHeight="1">
      <c r="A1612" s="343" t="s">
        <v>4304</v>
      </c>
      <c r="B1612" s="344" t="s">
        <v>162</v>
      </c>
      <c r="C1612" s="344">
        <v>7175</v>
      </c>
      <c r="D1612" s="343" t="s">
        <v>4557</v>
      </c>
      <c r="E1612" s="344">
        <v>5626003</v>
      </c>
      <c r="F1612" s="343" t="s">
        <v>4559</v>
      </c>
      <c r="G1612" s="360" t="s">
        <v>11026</v>
      </c>
      <c r="H1612" s="361">
        <v>42929</v>
      </c>
      <c r="I1612" s="343" t="s">
        <v>366</v>
      </c>
      <c r="J1612" s="343" t="s">
        <v>366</v>
      </c>
      <c r="K1612" s="343" t="s">
        <v>168</v>
      </c>
    </row>
    <row r="1613" spans="1:11" ht="26.25" customHeight="1">
      <c r="A1613" s="343" t="s">
        <v>4304</v>
      </c>
      <c r="B1613" s="344" t="s">
        <v>162</v>
      </c>
      <c r="C1613" s="344">
        <v>12701</v>
      </c>
      <c r="D1613" s="343" t="s">
        <v>4343</v>
      </c>
      <c r="E1613" s="344">
        <v>6392739</v>
      </c>
      <c r="F1613" s="343" t="s">
        <v>4345</v>
      </c>
      <c r="G1613" s="360" t="s">
        <v>9968</v>
      </c>
      <c r="H1613" s="361">
        <v>42950</v>
      </c>
      <c r="I1613" s="343" t="s">
        <v>366</v>
      </c>
      <c r="J1613" s="343" t="s">
        <v>11027</v>
      </c>
      <c r="K1613" s="343" t="s">
        <v>168</v>
      </c>
    </row>
    <row r="1614" spans="1:11" ht="26.25" customHeight="1">
      <c r="A1614" s="343" t="s">
        <v>4304</v>
      </c>
      <c r="B1614" s="344" t="s">
        <v>162</v>
      </c>
      <c r="C1614" s="344">
        <v>9883</v>
      </c>
      <c r="D1614" s="343" t="s">
        <v>4382</v>
      </c>
      <c r="E1614" s="344">
        <v>6764840</v>
      </c>
      <c r="F1614" s="343" t="s">
        <v>4386</v>
      </c>
      <c r="G1614" s="360" t="s">
        <v>11028</v>
      </c>
      <c r="H1614" s="361">
        <v>42951</v>
      </c>
      <c r="I1614" s="343" t="s">
        <v>301</v>
      </c>
      <c r="J1614" s="343" t="s">
        <v>1113</v>
      </c>
      <c r="K1614" s="343" t="s">
        <v>168</v>
      </c>
    </row>
    <row r="1615" spans="1:11" ht="26.25" customHeight="1">
      <c r="A1615" s="343" t="s">
        <v>4304</v>
      </c>
      <c r="B1615" s="344" t="s">
        <v>162</v>
      </c>
      <c r="C1615" s="344">
        <v>9883</v>
      </c>
      <c r="D1615" s="343" t="s">
        <v>4382</v>
      </c>
      <c r="E1615" s="344">
        <v>6847984</v>
      </c>
      <c r="F1615" s="343" t="s">
        <v>4390</v>
      </c>
      <c r="G1615" s="360" t="s">
        <v>9399</v>
      </c>
      <c r="H1615" s="361">
        <v>42956</v>
      </c>
      <c r="I1615" s="343" t="s">
        <v>4391</v>
      </c>
      <c r="J1615" s="343" t="s">
        <v>9394</v>
      </c>
      <c r="K1615" s="343" t="s">
        <v>173</v>
      </c>
    </row>
    <row r="1616" spans="1:11" ht="26.25" customHeight="1">
      <c r="A1616" s="343" t="s">
        <v>4304</v>
      </c>
      <c r="B1616" s="344" t="s">
        <v>162</v>
      </c>
      <c r="C1616" s="344">
        <v>9570</v>
      </c>
      <c r="D1616" s="343" t="s">
        <v>4713</v>
      </c>
      <c r="E1616" s="344">
        <v>6742070</v>
      </c>
      <c r="F1616" s="343" t="s">
        <v>4714</v>
      </c>
      <c r="G1616" s="360" t="s">
        <v>9900</v>
      </c>
      <c r="H1616" s="361">
        <v>42957</v>
      </c>
      <c r="I1616" s="343" t="s">
        <v>514</v>
      </c>
      <c r="J1616" s="343" t="s">
        <v>9587</v>
      </c>
      <c r="K1616" s="343" t="s">
        <v>168</v>
      </c>
    </row>
    <row r="1617" spans="1:11" ht="26.25" customHeight="1">
      <c r="A1617" s="343" t="s">
        <v>4304</v>
      </c>
      <c r="B1617" s="344" t="s">
        <v>162</v>
      </c>
      <c r="C1617" s="344">
        <v>9130</v>
      </c>
      <c r="D1617" s="343" t="s">
        <v>4620</v>
      </c>
      <c r="E1617" s="344">
        <v>6754844</v>
      </c>
      <c r="F1617" s="343" t="s">
        <v>4623</v>
      </c>
      <c r="G1617" s="360" t="s">
        <v>11029</v>
      </c>
      <c r="H1617" s="361">
        <v>42961</v>
      </c>
      <c r="I1617" s="343" t="s">
        <v>193</v>
      </c>
      <c r="J1617" s="343" t="s">
        <v>11030</v>
      </c>
      <c r="K1617" s="343" t="s">
        <v>168</v>
      </c>
    </row>
    <row r="1618" spans="1:11" ht="26.25" customHeight="1">
      <c r="A1618" s="343" t="s">
        <v>4304</v>
      </c>
      <c r="B1618" s="344" t="s">
        <v>162</v>
      </c>
      <c r="C1618" s="344">
        <v>6806</v>
      </c>
      <c r="D1618" s="343" t="s">
        <v>4674</v>
      </c>
      <c r="E1618" s="344">
        <v>6205945</v>
      </c>
      <c r="F1618" s="343" t="s">
        <v>4675</v>
      </c>
      <c r="G1618" s="360" t="s">
        <v>10229</v>
      </c>
      <c r="H1618" s="361">
        <v>42963</v>
      </c>
      <c r="I1618" s="343" t="s">
        <v>620</v>
      </c>
      <c r="J1618" s="343" t="s">
        <v>11031</v>
      </c>
      <c r="K1618" s="343" t="s">
        <v>168</v>
      </c>
    </row>
    <row r="1619" spans="1:11" ht="26.25" customHeight="1">
      <c r="A1619" s="343" t="s">
        <v>4304</v>
      </c>
      <c r="B1619" s="344" t="s">
        <v>162</v>
      </c>
      <c r="C1619" s="344">
        <v>7204</v>
      </c>
      <c r="D1619" s="343" t="s">
        <v>4596</v>
      </c>
      <c r="E1619" s="344">
        <v>6100241</v>
      </c>
      <c r="F1619" s="343" t="s">
        <v>7204</v>
      </c>
      <c r="G1619" s="360" t="s">
        <v>11032</v>
      </c>
      <c r="H1619" s="361">
        <v>42968</v>
      </c>
      <c r="I1619" s="343" t="s">
        <v>211</v>
      </c>
      <c r="J1619" s="343" t="s">
        <v>909</v>
      </c>
      <c r="K1619" s="343" t="s">
        <v>168</v>
      </c>
    </row>
    <row r="1620" spans="1:11" ht="26.25" customHeight="1">
      <c r="A1620" s="343" t="s">
        <v>4304</v>
      </c>
      <c r="B1620" s="344" t="s">
        <v>162</v>
      </c>
      <c r="C1620" s="344">
        <v>9632</v>
      </c>
      <c r="D1620" s="343" t="s">
        <v>4334</v>
      </c>
      <c r="E1620" s="344">
        <v>6460934</v>
      </c>
      <c r="F1620" s="343" t="s">
        <v>7214</v>
      </c>
      <c r="G1620" s="360" t="s">
        <v>413</v>
      </c>
      <c r="H1620" s="361">
        <v>42968</v>
      </c>
      <c r="I1620" s="343" t="s">
        <v>7254</v>
      </c>
      <c r="J1620" s="343" t="s">
        <v>11033</v>
      </c>
      <c r="K1620" s="343" t="s">
        <v>168</v>
      </c>
    </row>
    <row r="1621" spans="1:11" ht="26.25" customHeight="1">
      <c r="A1621" s="343" t="s">
        <v>4304</v>
      </c>
      <c r="B1621" s="344" t="s">
        <v>162</v>
      </c>
      <c r="C1621" s="344">
        <v>7174</v>
      </c>
      <c r="D1621" s="343" t="s">
        <v>4497</v>
      </c>
      <c r="E1621" s="344">
        <v>4956496</v>
      </c>
      <c r="F1621" s="343" t="s">
        <v>4500</v>
      </c>
      <c r="G1621" s="360" t="s">
        <v>11034</v>
      </c>
      <c r="H1621" s="361">
        <v>42972</v>
      </c>
      <c r="I1621" s="343" t="s">
        <v>4026</v>
      </c>
      <c r="J1621" s="343" t="s">
        <v>10120</v>
      </c>
      <c r="K1621" s="343" t="s">
        <v>168</v>
      </c>
    </row>
    <row r="1622" spans="1:11" ht="26.25" customHeight="1">
      <c r="A1622" s="343" t="s">
        <v>4304</v>
      </c>
      <c r="B1622" s="344" t="s">
        <v>162</v>
      </c>
      <c r="C1622" s="344">
        <v>7652</v>
      </c>
      <c r="D1622" s="343" t="s">
        <v>4341</v>
      </c>
      <c r="E1622" s="344">
        <v>6512380</v>
      </c>
      <c r="F1622" s="343" t="s">
        <v>7210</v>
      </c>
      <c r="G1622" s="360" t="s">
        <v>11035</v>
      </c>
      <c r="H1622" s="361">
        <v>42972</v>
      </c>
      <c r="I1622" s="343" t="s">
        <v>423</v>
      </c>
      <c r="J1622" s="343" t="s">
        <v>10528</v>
      </c>
      <c r="K1622" s="343" t="s">
        <v>168</v>
      </c>
    </row>
    <row r="1623" spans="1:11" ht="26.25" customHeight="1">
      <c r="A1623" s="343" t="s">
        <v>4304</v>
      </c>
      <c r="B1623" s="344" t="s">
        <v>162</v>
      </c>
      <c r="C1623" s="344">
        <v>7206</v>
      </c>
      <c r="D1623" s="343" t="s">
        <v>4480</v>
      </c>
      <c r="E1623" s="344">
        <v>5815491</v>
      </c>
      <c r="F1623" s="343" t="s">
        <v>7205</v>
      </c>
      <c r="G1623" s="360" t="s">
        <v>11036</v>
      </c>
      <c r="H1623" s="361">
        <v>42975</v>
      </c>
      <c r="I1623" s="343" t="s">
        <v>780</v>
      </c>
      <c r="J1623" s="343" t="s">
        <v>11037</v>
      </c>
      <c r="K1623" s="343" t="s">
        <v>168</v>
      </c>
    </row>
    <row r="1624" spans="1:11" ht="26.25" customHeight="1">
      <c r="A1624" s="343" t="s">
        <v>4304</v>
      </c>
      <c r="B1624" s="344" t="s">
        <v>162</v>
      </c>
      <c r="C1624" s="344">
        <v>9130</v>
      </c>
      <c r="D1624" s="343" t="s">
        <v>4620</v>
      </c>
      <c r="E1624" s="344">
        <v>6022855</v>
      </c>
      <c r="F1624" s="343" t="s">
        <v>7213</v>
      </c>
      <c r="G1624" s="360" t="s">
        <v>1222</v>
      </c>
      <c r="H1624" s="361">
        <v>42976</v>
      </c>
      <c r="I1624" s="343" t="s">
        <v>301</v>
      </c>
      <c r="J1624" s="343" t="s">
        <v>9895</v>
      </c>
      <c r="K1624" s="343" t="s">
        <v>168</v>
      </c>
    </row>
    <row r="1625" spans="1:11" ht="26.25" customHeight="1">
      <c r="A1625" s="343" t="s">
        <v>4304</v>
      </c>
      <c r="B1625" s="344" t="s">
        <v>162</v>
      </c>
      <c r="C1625" s="344">
        <v>6802</v>
      </c>
      <c r="D1625" s="343" t="s">
        <v>4416</v>
      </c>
      <c r="E1625" s="344">
        <v>5736662</v>
      </c>
      <c r="F1625" s="343" t="s">
        <v>7196</v>
      </c>
      <c r="G1625" s="360" t="s">
        <v>11038</v>
      </c>
      <c r="H1625" s="361">
        <v>42976</v>
      </c>
      <c r="I1625" s="343" t="s">
        <v>366</v>
      </c>
      <c r="J1625" s="343" t="s">
        <v>366</v>
      </c>
      <c r="K1625" s="343" t="s">
        <v>168</v>
      </c>
    </row>
    <row r="1626" spans="1:11" ht="26.25" customHeight="1">
      <c r="A1626" s="343" t="s">
        <v>4304</v>
      </c>
      <c r="B1626" s="344" t="s">
        <v>162</v>
      </c>
      <c r="C1626" s="344">
        <v>7283</v>
      </c>
      <c r="D1626" s="343" t="s">
        <v>4313</v>
      </c>
      <c r="E1626" s="344">
        <v>6558716</v>
      </c>
      <c r="F1626" s="343" t="s">
        <v>7206</v>
      </c>
      <c r="G1626" s="360" t="s">
        <v>11039</v>
      </c>
      <c r="H1626" s="361">
        <v>42976</v>
      </c>
      <c r="I1626" s="343" t="s">
        <v>7253</v>
      </c>
      <c r="J1626" s="343" t="s">
        <v>11040</v>
      </c>
      <c r="K1626" s="343" t="s">
        <v>173</v>
      </c>
    </row>
    <row r="1627" spans="1:11" ht="26.25" customHeight="1">
      <c r="A1627" s="343" t="s">
        <v>4304</v>
      </c>
      <c r="B1627" s="344" t="s">
        <v>162</v>
      </c>
      <c r="C1627" s="344">
        <v>7187</v>
      </c>
      <c r="D1627" s="343" t="s">
        <v>4436</v>
      </c>
      <c r="E1627" s="344">
        <v>5161749</v>
      </c>
      <c r="F1627" s="343" t="s">
        <v>427</v>
      </c>
      <c r="G1627" s="360" t="s">
        <v>9915</v>
      </c>
      <c r="H1627" s="361">
        <v>42976</v>
      </c>
      <c r="I1627" s="343" t="s">
        <v>198</v>
      </c>
      <c r="J1627" s="343" t="s">
        <v>198</v>
      </c>
      <c r="K1627" s="343" t="s">
        <v>168</v>
      </c>
    </row>
    <row r="1628" spans="1:11" ht="26.25" customHeight="1">
      <c r="A1628" s="343" t="s">
        <v>4304</v>
      </c>
      <c r="B1628" s="344" t="s">
        <v>162</v>
      </c>
      <c r="C1628" s="344">
        <v>7186</v>
      </c>
      <c r="D1628" s="343" t="s">
        <v>4530</v>
      </c>
      <c r="E1628" s="344">
        <v>6240777</v>
      </c>
      <c r="F1628" s="343" t="s">
        <v>7203</v>
      </c>
      <c r="G1628" s="360" t="s">
        <v>11041</v>
      </c>
      <c r="H1628" s="361">
        <v>42977</v>
      </c>
      <c r="I1628" s="343" t="s">
        <v>198</v>
      </c>
      <c r="J1628" s="343" t="s">
        <v>198</v>
      </c>
      <c r="K1628" s="343" t="s">
        <v>168</v>
      </c>
    </row>
    <row r="1629" spans="1:11" ht="26.25" customHeight="1">
      <c r="A1629" s="343" t="s">
        <v>4304</v>
      </c>
      <c r="B1629" s="344" t="s">
        <v>162</v>
      </c>
      <c r="C1629" s="344">
        <v>7181</v>
      </c>
      <c r="D1629" s="343" t="s">
        <v>4544</v>
      </c>
      <c r="E1629" s="344">
        <v>4955424</v>
      </c>
      <c r="F1629" s="343" t="s">
        <v>7202</v>
      </c>
      <c r="G1629" s="360" t="s">
        <v>11042</v>
      </c>
      <c r="H1629" s="361">
        <v>42978</v>
      </c>
      <c r="I1629" s="343" t="s">
        <v>366</v>
      </c>
      <c r="J1629" s="343" t="s">
        <v>366</v>
      </c>
      <c r="K1629" s="343" t="s">
        <v>168</v>
      </c>
    </row>
    <row r="1630" spans="1:11" ht="26.25" customHeight="1">
      <c r="A1630" s="343" t="s">
        <v>4304</v>
      </c>
      <c r="B1630" s="344" t="s">
        <v>162</v>
      </c>
      <c r="C1630" s="344">
        <v>7669</v>
      </c>
      <c r="D1630" s="343" t="s">
        <v>4353</v>
      </c>
      <c r="E1630" s="344">
        <v>6461922</v>
      </c>
      <c r="F1630" s="343" t="s">
        <v>7211</v>
      </c>
      <c r="G1630" s="360" t="s">
        <v>11043</v>
      </c>
      <c r="H1630" s="361">
        <v>42968</v>
      </c>
      <c r="I1630" s="343" t="s">
        <v>193</v>
      </c>
      <c r="J1630" s="343" t="s">
        <v>472</v>
      </c>
      <c r="K1630" s="343" t="s">
        <v>168</v>
      </c>
    </row>
    <row r="1631" spans="1:11" ht="26.25" customHeight="1">
      <c r="A1631" s="343" t="s">
        <v>4304</v>
      </c>
      <c r="B1631" s="344" t="s">
        <v>162</v>
      </c>
      <c r="C1631" s="344">
        <v>6797</v>
      </c>
      <c r="D1631" s="343" t="s">
        <v>4627</v>
      </c>
      <c r="E1631" s="344">
        <v>6183801</v>
      </c>
      <c r="F1631" s="343" t="s">
        <v>7195</v>
      </c>
      <c r="G1631" s="360" t="s">
        <v>11044</v>
      </c>
      <c r="H1631" s="361">
        <v>42979</v>
      </c>
      <c r="I1631" s="343" t="s">
        <v>366</v>
      </c>
      <c r="J1631" s="343" t="s">
        <v>366</v>
      </c>
      <c r="K1631" s="343" t="s">
        <v>168</v>
      </c>
    </row>
    <row r="1632" spans="1:11" ht="26.25" customHeight="1">
      <c r="A1632" s="343" t="s">
        <v>4304</v>
      </c>
      <c r="B1632" s="344" t="s">
        <v>162</v>
      </c>
      <c r="C1632" s="344">
        <v>11565</v>
      </c>
      <c r="D1632" s="343" t="s">
        <v>4360</v>
      </c>
      <c r="E1632" s="344">
        <v>6652059</v>
      </c>
      <c r="F1632" s="343" t="s">
        <v>7216</v>
      </c>
      <c r="G1632" s="360" t="s">
        <v>11045</v>
      </c>
      <c r="H1632" s="361">
        <v>42982</v>
      </c>
      <c r="I1632" s="343" t="s">
        <v>193</v>
      </c>
      <c r="J1632" s="343" t="s">
        <v>472</v>
      </c>
      <c r="K1632" s="343" t="s">
        <v>168</v>
      </c>
    </row>
    <row r="1633" spans="1:11" ht="26.25" customHeight="1">
      <c r="A1633" s="343" t="s">
        <v>4304</v>
      </c>
      <c r="B1633" s="344" t="s">
        <v>162</v>
      </c>
      <c r="C1633" s="344">
        <v>6802</v>
      </c>
      <c r="D1633" s="343" t="s">
        <v>4416</v>
      </c>
      <c r="E1633" s="344">
        <v>6013716</v>
      </c>
      <c r="F1633" s="343" t="s">
        <v>7197</v>
      </c>
      <c r="G1633" s="360" t="s">
        <v>11046</v>
      </c>
      <c r="H1633" s="361">
        <v>42989</v>
      </c>
      <c r="I1633" s="343" t="s">
        <v>4320</v>
      </c>
      <c r="J1633" s="343" t="s">
        <v>10957</v>
      </c>
      <c r="K1633" s="343" t="s">
        <v>168</v>
      </c>
    </row>
    <row r="1634" spans="1:11" ht="26.25" customHeight="1">
      <c r="A1634" s="343" t="s">
        <v>4304</v>
      </c>
      <c r="B1634" s="344" t="s">
        <v>162</v>
      </c>
      <c r="C1634" s="344">
        <v>7650</v>
      </c>
      <c r="D1634" s="343" t="s">
        <v>4346</v>
      </c>
      <c r="E1634" s="344">
        <v>6538974</v>
      </c>
      <c r="F1634" s="343" t="s">
        <v>7208</v>
      </c>
      <c r="G1634" s="360" t="s">
        <v>11047</v>
      </c>
      <c r="H1634" s="361">
        <v>42990</v>
      </c>
      <c r="I1634" s="343" t="s">
        <v>349</v>
      </c>
      <c r="J1634" s="343" t="s">
        <v>1248</v>
      </c>
      <c r="K1634" s="343" t="s">
        <v>168</v>
      </c>
    </row>
    <row r="1635" spans="1:11" ht="26.25" customHeight="1">
      <c r="A1635" s="343" t="s">
        <v>4304</v>
      </c>
      <c r="B1635" s="344" t="s">
        <v>162</v>
      </c>
      <c r="C1635" s="344">
        <v>8439</v>
      </c>
      <c r="D1635" s="343" t="s">
        <v>4715</v>
      </c>
      <c r="E1635" s="344">
        <v>5784117</v>
      </c>
      <c r="F1635" s="343" t="s">
        <v>7212</v>
      </c>
      <c r="G1635" s="360" t="s">
        <v>10560</v>
      </c>
      <c r="H1635" s="361">
        <v>42991</v>
      </c>
      <c r="I1635" s="343" t="s">
        <v>366</v>
      </c>
      <c r="J1635" s="343" t="s">
        <v>366</v>
      </c>
      <c r="K1635" s="343" t="s">
        <v>168</v>
      </c>
    </row>
    <row r="1636" spans="1:11" ht="26.25" customHeight="1">
      <c r="A1636" s="343" t="s">
        <v>4304</v>
      </c>
      <c r="B1636" s="344" t="s">
        <v>162</v>
      </c>
      <c r="C1636" s="344">
        <v>9884</v>
      </c>
      <c r="D1636" s="343" t="s">
        <v>4400</v>
      </c>
      <c r="E1636" s="344">
        <v>5830132</v>
      </c>
      <c r="F1636" s="343" t="s">
        <v>7215</v>
      </c>
      <c r="G1636" s="360" t="s">
        <v>11048</v>
      </c>
      <c r="H1636" s="361">
        <v>42992</v>
      </c>
      <c r="I1636" s="343" t="s">
        <v>709</v>
      </c>
      <c r="J1636" s="343" t="s">
        <v>709</v>
      </c>
      <c r="K1636" s="343" t="s">
        <v>168</v>
      </c>
    </row>
    <row r="1637" spans="1:11" ht="26.25" customHeight="1">
      <c r="A1637" s="343" t="s">
        <v>4304</v>
      </c>
      <c r="B1637" s="344" t="s">
        <v>162</v>
      </c>
      <c r="C1637" s="344">
        <v>6764</v>
      </c>
      <c r="D1637" s="343" t="s">
        <v>4657</v>
      </c>
      <c r="E1637" s="344">
        <v>5836709</v>
      </c>
      <c r="F1637" s="343" t="s">
        <v>7194</v>
      </c>
      <c r="G1637" s="360" t="s">
        <v>489</v>
      </c>
      <c r="H1637" s="361">
        <v>42992</v>
      </c>
      <c r="I1637" s="343" t="s">
        <v>423</v>
      </c>
      <c r="J1637" s="343" t="s">
        <v>11049</v>
      </c>
      <c r="K1637" s="343" t="s">
        <v>168</v>
      </c>
    </row>
    <row r="1638" spans="1:11" ht="26.25" customHeight="1">
      <c r="A1638" s="343" t="s">
        <v>4304</v>
      </c>
      <c r="B1638" s="344" t="s">
        <v>162</v>
      </c>
      <c r="C1638" s="344">
        <v>7650</v>
      </c>
      <c r="D1638" s="343" t="s">
        <v>4346</v>
      </c>
      <c r="E1638" s="344">
        <v>6202732</v>
      </c>
      <c r="F1638" s="343" t="s">
        <v>7209</v>
      </c>
      <c r="G1638" s="360" t="s">
        <v>11050</v>
      </c>
      <c r="H1638" s="361">
        <v>43003</v>
      </c>
      <c r="I1638" s="343" t="s">
        <v>193</v>
      </c>
      <c r="J1638" s="343" t="s">
        <v>194</v>
      </c>
      <c r="K1638" s="343" t="s">
        <v>168</v>
      </c>
    </row>
    <row r="1639" spans="1:11" ht="26.25" customHeight="1">
      <c r="A1639" s="343" t="s">
        <v>4304</v>
      </c>
      <c r="B1639" s="344" t="s">
        <v>162</v>
      </c>
      <c r="C1639" s="344">
        <v>7283</v>
      </c>
      <c r="D1639" s="343" t="s">
        <v>4313</v>
      </c>
      <c r="E1639" s="344">
        <v>6697466</v>
      </c>
      <c r="F1639" s="343" t="s">
        <v>7207</v>
      </c>
      <c r="G1639" s="360" t="s">
        <v>11051</v>
      </c>
      <c r="H1639" s="361">
        <v>43005</v>
      </c>
      <c r="I1639" s="343" t="s">
        <v>166</v>
      </c>
      <c r="J1639" s="343" t="s">
        <v>296</v>
      </c>
      <c r="K1639" s="343" t="s">
        <v>168</v>
      </c>
    </row>
    <row r="1640" spans="1:11" ht="26.25" customHeight="1">
      <c r="A1640" s="343" t="s">
        <v>4304</v>
      </c>
      <c r="B1640" s="344" t="s">
        <v>162</v>
      </c>
      <c r="C1640" s="344">
        <v>7152</v>
      </c>
      <c r="D1640" s="343" t="s">
        <v>4459</v>
      </c>
      <c r="E1640" s="344">
        <v>4349339</v>
      </c>
      <c r="F1640" s="343" t="s">
        <v>7200</v>
      </c>
      <c r="G1640" s="360" t="s">
        <v>11052</v>
      </c>
      <c r="H1640" s="361">
        <v>43005</v>
      </c>
      <c r="I1640" s="343" t="s">
        <v>275</v>
      </c>
      <c r="J1640" s="343" t="s">
        <v>9392</v>
      </c>
      <c r="K1640" s="343" t="s">
        <v>173</v>
      </c>
    </row>
    <row r="1641" spans="1:11" ht="26.25" customHeight="1">
      <c r="A1641" s="343" t="s">
        <v>4304</v>
      </c>
      <c r="B1641" s="344" t="s">
        <v>162</v>
      </c>
      <c r="C1641" s="344">
        <v>6806</v>
      </c>
      <c r="D1641" s="343" t="s">
        <v>4674</v>
      </c>
      <c r="E1641" s="344">
        <v>5858064</v>
      </c>
      <c r="F1641" s="343" t="s">
        <v>7198</v>
      </c>
      <c r="G1641" s="360" t="s">
        <v>10173</v>
      </c>
      <c r="H1641" s="361">
        <v>43006</v>
      </c>
      <c r="I1641" s="343" t="s">
        <v>211</v>
      </c>
      <c r="J1641" s="343" t="s">
        <v>211</v>
      </c>
      <c r="K1641" s="343" t="s">
        <v>168</v>
      </c>
    </row>
    <row r="1642" spans="1:11" ht="26.25" customHeight="1">
      <c r="A1642" s="343" t="s">
        <v>4304</v>
      </c>
      <c r="B1642" s="344" t="s">
        <v>162</v>
      </c>
      <c r="C1642" s="344">
        <v>7155</v>
      </c>
      <c r="D1642" s="343" t="s">
        <v>4552</v>
      </c>
      <c r="E1642" s="344">
        <v>3601075</v>
      </c>
      <c r="F1642" s="343" t="s">
        <v>7201</v>
      </c>
      <c r="G1642" s="360" t="s">
        <v>11053</v>
      </c>
      <c r="H1642" s="361">
        <v>43007</v>
      </c>
      <c r="I1642" s="343" t="s">
        <v>211</v>
      </c>
      <c r="J1642" s="343" t="s">
        <v>211</v>
      </c>
      <c r="K1642" s="343" t="s">
        <v>168</v>
      </c>
    </row>
    <row r="1643" spans="1:11" ht="26.25" customHeight="1">
      <c r="A1643" s="343" t="s">
        <v>4304</v>
      </c>
      <c r="B1643" s="344" t="s">
        <v>162</v>
      </c>
      <c r="C1643" s="344">
        <v>7150</v>
      </c>
      <c r="D1643" s="343" t="s">
        <v>4533</v>
      </c>
      <c r="E1643" s="344">
        <v>4192697</v>
      </c>
      <c r="F1643" s="343" t="s">
        <v>7199</v>
      </c>
      <c r="G1643" s="360" t="s">
        <v>11054</v>
      </c>
      <c r="H1643" s="361">
        <v>43007</v>
      </c>
      <c r="I1643" s="343" t="s">
        <v>211</v>
      </c>
      <c r="J1643" s="343" t="s">
        <v>909</v>
      </c>
      <c r="K1643" s="343" t="s">
        <v>168</v>
      </c>
    </row>
    <row r="1644" spans="1:11" ht="26.25" customHeight="1">
      <c r="A1644" s="343" t="s">
        <v>4304</v>
      </c>
      <c r="B1644" s="344" t="s">
        <v>162</v>
      </c>
      <c r="C1644" s="344">
        <v>12701</v>
      </c>
      <c r="D1644" s="343" t="s">
        <v>4343</v>
      </c>
      <c r="E1644" s="344">
        <v>6703652</v>
      </c>
      <c r="F1644" s="343" t="s">
        <v>7217</v>
      </c>
      <c r="G1644" s="360" t="s">
        <v>11055</v>
      </c>
      <c r="H1644" s="361">
        <v>43012</v>
      </c>
      <c r="I1644" s="343" t="s">
        <v>166</v>
      </c>
      <c r="J1644" s="343" t="s">
        <v>11056</v>
      </c>
      <c r="K1644" s="343" t="s">
        <v>248</v>
      </c>
    </row>
    <row r="1645" spans="1:11" ht="26.25" customHeight="1">
      <c r="A1645" s="343" t="s">
        <v>4304</v>
      </c>
      <c r="B1645" s="344" t="s">
        <v>162</v>
      </c>
      <c r="C1645" s="344">
        <v>12173</v>
      </c>
      <c r="D1645" s="343" t="s">
        <v>4731</v>
      </c>
      <c r="E1645" s="344">
        <v>6362184</v>
      </c>
      <c r="F1645" s="343" t="s">
        <v>7312</v>
      </c>
      <c r="G1645" s="360" t="s">
        <v>11057</v>
      </c>
      <c r="H1645" s="361">
        <v>43017</v>
      </c>
      <c r="I1645" s="343" t="s">
        <v>166</v>
      </c>
      <c r="J1645" s="343" t="s">
        <v>682</v>
      </c>
      <c r="K1645" s="343" t="s">
        <v>168</v>
      </c>
    </row>
    <row r="1646" spans="1:11" ht="26.25" customHeight="1">
      <c r="A1646" s="343" t="s">
        <v>4304</v>
      </c>
      <c r="B1646" s="344" t="s">
        <v>162</v>
      </c>
      <c r="C1646" s="344">
        <v>6801</v>
      </c>
      <c r="D1646" s="343" t="s">
        <v>4614</v>
      </c>
      <c r="E1646" s="344">
        <v>5729272</v>
      </c>
      <c r="F1646" s="343" t="s">
        <v>7304</v>
      </c>
      <c r="G1646" s="360" t="s">
        <v>11058</v>
      </c>
      <c r="H1646" s="361">
        <v>43019</v>
      </c>
      <c r="I1646" s="343" t="s">
        <v>219</v>
      </c>
      <c r="J1646" s="343" t="s">
        <v>11059</v>
      </c>
      <c r="K1646" s="343" t="s">
        <v>173</v>
      </c>
    </row>
    <row r="1647" spans="1:11" ht="26.25" customHeight="1">
      <c r="A1647" s="343" t="s">
        <v>4304</v>
      </c>
      <c r="B1647" s="344" t="s">
        <v>162</v>
      </c>
      <c r="C1647" s="344">
        <v>9023</v>
      </c>
      <c r="D1647" s="343" t="s">
        <v>4612</v>
      </c>
      <c r="E1647" s="344">
        <v>5145526</v>
      </c>
      <c r="F1647" s="343" t="s">
        <v>7309</v>
      </c>
      <c r="G1647" s="360" t="s">
        <v>10777</v>
      </c>
      <c r="H1647" s="361">
        <v>43032</v>
      </c>
      <c r="I1647" s="343" t="s">
        <v>1182</v>
      </c>
      <c r="J1647" s="343" t="s">
        <v>1330</v>
      </c>
      <c r="K1647" s="343" t="s">
        <v>173</v>
      </c>
    </row>
    <row r="1648" spans="1:11" ht="26.25" customHeight="1">
      <c r="A1648" s="343" t="s">
        <v>4304</v>
      </c>
      <c r="B1648" s="344" t="s">
        <v>162</v>
      </c>
      <c r="C1648" s="344">
        <v>8442</v>
      </c>
      <c r="D1648" s="343" t="s">
        <v>4486</v>
      </c>
      <c r="E1648" s="344">
        <v>4726642</v>
      </c>
      <c r="F1648" s="343" t="s">
        <v>7308</v>
      </c>
      <c r="G1648" s="360" t="s">
        <v>11060</v>
      </c>
      <c r="H1648" s="361">
        <v>43032</v>
      </c>
      <c r="I1648" s="343" t="s">
        <v>193</v>
      </c>
      <c r="J1648" s="343" t="s">
        <v>637</v>
      </c>
      <c r="K1648" s="343" t="s">
        <v>168</v>
      </c>
    </row>
    <row r="1649" spans="1:11" ht="26.25" customHeight="1">
      <c r="A1649" s="343" t="s">
        <v>4304</v>
      </c>
      <c r="B1649" s="344" t="s">
        <v>162</v>
      </c>
      <c r="C1649" s="344">
        <v>7117</v>
      </c>
      <c r="D1649" s="343" t="s">
        <v>4466</v>
      </c>
      <c r="E1649" s="344">
        <v>4960284</v>
      </c>
      <c r="F1649" s="343" t="s">
        <v>7305</v>
      </c>
      <c r="G1649" s="360" t="s">
        <v>11061</v>
      </c>
      <c r="H1649" s="361">
        <v>43039</v>
      </c>
      <c r="I1649" s="343" t="s">
        <v>3692</v>
      </c>
      <c r="J1649" s="343" t="s">
        <v>9858</v>
      </c>
      <c r="K1649" s="343" t="s">
        <v>168</v>
      </c>
    </row>
    <row r="1650" spans="1:11" ht="26.25" customHeight="1">
      <c r="A1650" s="343" t="s">
        <v>4304</v>
      </c>
      <c r="B1650" s="344" t="s">
        <v>162</v>
      </c>
      <c r="C1650" s="344">
        <v>8439</v>
      </c>
      <c r="D1650" s="343" t="s">
        <v>4715</v>
      </c>
      <c r="E1650" s="344">
        <v>6697535</v>
      </c>
      <c r="F1650" s="343" t="s">
        <v>4721</v>
      </c>
      <c r="G1650" s="360" t="s">
        <v>11062</v>
      </c>
      <c r="H1650" s="361">
        <v>43053</v>
      </c>
      <c r="I1650" s="343" t="s">
        <v>4722</v>
      </c>
      <c r="J1650" s="343" t="s">
        <v>11063</v>
      </c>
      <c r="K1650" s="343" t="s">
        <v>168</v>
      </c>
    </row>
    <row r="1651" spans="1:11" ht="26.25" customHeight="1">
      <c r="A1651" s="343" t="s">
        <v>4304</v>
      </c>
      <c r="B1651" s="344" t="s">
        <v>162</v>
      </c>
      <c r="C1651" s="344">
        <v>7157</v>
      </c>
      <c r="D1651" s="343" t="s">
        <v>4474</v>
      </c>
      <c r="E1651" s="344">
        <v>3435075</v>
      </c>
      <c r="F1651" s="343" t="s">
        <v>7306</v>
      </c>
      <c r="G1651" s="360" t="s">
        <v>11064</v>
      </c>
      <c r="H1651" s="361">
        <v>43055</v>
      </c>
      <c r="I1651" s="343" t="s">
        <v>211</v>
      </c>
      <c r="J1651" s="343" t="s">
        <v>211</v>
      </c>
      <c r="K1651" s="343" t="s">
        <v>168</v>
      </c>
    </row>
    <row r="1652" spans="1:11" ht="26.25" customHeight="1">
      <c r="A1652" s="343" t="s">
        <v>4304</v>
      </c>
      <c r="B1652" s="344" t="s">
        <v>162</v>
      </c>
      <c r="C1652" s="344">
        <v>7268</v>
      </c>
      <c r="D1652" s="343" t="s">
        <v>4630</v>
      </c>
      <c r="E1652" s="344">
        <v>5838951</v>
      </c>
      <c r="F1652" s="343" t="s">
        <v>7307</v>
      </c>
      <c r="G1652" s="360" t="s">
        <v>11065</v>
      </c>
      <c r="H1652" s="361">
        <v>43055</v>
      </c>
      <c r="I1652" s="343" t="s">
        <v>301</v>
      </c>
      <c r="J1652" s="343" t="s">
        <v>1113</v>
      </c>
      <c r="K1652" s="343" t="s">
        <v>168</v>
      </c>
    </row>
    <row r="1653" spans="1:11" ht="26.25" customHeight="1">
      <c r="A1653" s="343" t="s">
        <v>4304</v>
      </c>
      <c r="B1653" s="344" t="s">
        <v>162</v>
      </c>
      <c r="C1653" s="344">
        <v>6800</v>
      </c>
      <c r="D1653" s="343" t="s">
        <v>4678</v>
      </c>
      <c r="E1653" s="344">
        <v>6905752</v>
      </c>
      <c r="F1653" s="343" t="s">
        <v>7303</v>
      </c>
      <c r="G1653" s="360" t="s">
        <v>9592</v>
      </c>
      <c r="H1653" s="361">
        <v>43055</v>
      </c>
      <c r="I1653" s="343" t="s">
        <v>193</v>
      </c>
      <c r="J1653" s="343" t="s">
        <v>637</v>
      </c>
      <c r="K1653" s="343" t="s">
        <v>168</v>
      </c>
    </row>
    <row r="1654" spans="1:11" ht="26.25" customHeight="1">
      <c r="A1654" s="343" t="s">
        <v>4304</v>
      </c>
      <c r="B1654" s="344" t="s">
        <v>162</v>
      </c>
      <c r="C1654" s="344">
        <v>12146</v>
      </c>
      <c r="D1654" s="343" t="s">
        <v>4405</v>
      </c>
      <c r="E1654" s="344">
        <v>5583850</v>
      </c>
      <c r="F1654" s="343" t="s">
        <v>7310</v>
      </c>
      <c r="G1654" s="360" t="s">
        <v>11066</v>
      </c>
      <c r="H1654" s="361">
        <v>43055</v>
      </c>
      <c r="I1654" s="343" t="s">
        <v>7311</v>
      </c>
      <c r="J1654" s="343" t="s">
        <v>11067</v>
      </c>
      <c r="K1654" s="343" t="s">
        <v>173</v>
      </c>
    </row>
    <row r="1655" spans="1:11" ht="26.25" customHeight="1">
      <c r="A1655" s="343" t="s">
        <v>4304</v>
      </c>
      <c r="B1655" s="344" t="s">
        <v>162</v>
      </c>
      <c r="C1655" s="344">
        <v>9883</v>
      </c>
      <c r="D1655" s="343" t="s">
        <v>4382</v>
      </c>
      <c r="E1655" s="344">
        <v>6630680</v>
      </c>
      <c r="F1655" s="343" t="s">
        <v>7416</v>
      </c>
      <c r="G1655" s="360" t="s">
        <v>10192</v>
      </c>
      <c r="H1655" s="361">
        <v>43074</v>
      </c>
      <c r="I1655" s="343" t="s">
        <v>193</v>
      </c>
      <c r="J1655" s="343" t="s">
        <v>9994</v>
      </c>
      <c r="K1655" s="343" t="s">
        <v>168</v>
      </c>
    </row>
    <row r="1656" spans="1:11" ht="26.25" customHeight="1">
      <c r="A1656" s="343" t="s">
        <v>4304</v>
      </c>
      <c r="B1656" s="344" t="s">
        <v>162</v>
      </c>
      <c r="C1656" s="344">
        <v>7634</v>
      </c>
      <c r="D1656" s="343" t="s">
        <v>4376</v>
      </c>
      <c r="E1656" s="344">
        <v>6525098</v>
      </c>
      <c r="F1656" s="343" t="s">
        <v>7415</v>
      </c>
      <c r="G1656" s="360" t="s">
        <v>11068</v>
      </c>
      <c r="H1656" s="361">
        <v>43076</v>
      </c>
      <c r="I1656" s="343" t="s">
        <v>193</v>
      </c>
      <c r="J1656" s="343" t="s">
        <v>11069</v>
      </c>
      <c r="K1656" s="343" t="s">
        <v>168</v>
      </c>
    </row>
    <row r="1657" spans="1:11" ht="26.25" customHeight="1">
      <c r="A1657" s="343" t="s">
        <v>4304</v>
      </c>
      <c r="B1657" s="344" t="s">
        <v>162</v>
      </c>
      <c r="C1657" s="344">
        <v>7181</v>
      </c>
      <c r="D1657" s="343" t="s">
        <v>4544</v>
      </c>
      <c r="E1657" s="344">
        <v>5959354</v>
      </c>
      <c r="F1657" s="343" t="s">
        <v>7471</v>
      </c>
      <c r="G1657" s="360" t="s">
        <v>11070</v>
      </c>
      <c r="H1657" s="361">
        <v>43080</v>
      </c>
      <c r="I1657" s="343" t="s">
        <v>780</v>
      </c>
      <c r="J1657" s="343" t="s">
        <v>11037</v>
      </c>
      <c r="K1657" s="343" t="s">
        <v>168</v>
      </c>
    </row>
    <row r="1658" spans="1:11" ht="26.25" customHeight="1">
      <c r="A1658" s="343" t="s">
        <v>4304</v>
      </c>
      <c r="B1658" s="344" t="s">
        <v>162</v>
      </c>
      <c r="C1658" s="344">
        <v>6853</v>
      </c>
      <c r="D1658" s="343" t="s">
        <v>4693</v>
      </c>
      <c r="E1658" s="344">
        <v>5726884</v>
      </c>
      <c r="F1658" s="343" t="s">
        <v>7470</v>
      </c>
      <c r="G1658" s="360" t="s">
        <v>11071</v>
      </c>
      <c r="H1658" s="361">
        <v>43080</v>
      </c>
      <c r="I1658" s="343" t="s">
        <v>193</v>
      </c>
      <c r="J1658" s="343" t="s">
        <v>637</v>
      </c>
      <c r="K1658" s="343" t="s">
        <v>168</v>
      </c>
    </row>
    <row r="1659" spans="1:11" ht="26.25" customHeight="1">
      <c r="A1659" s="343" t="s">
        <v>4304</v>
      </c>
      <c r="B1659" s="344" t="s">
        <v>162</v>
      </c>
      <c r="C1659" s="344">
        <v>6801</v>
      </c>
      <c r="D1659" s="343" t="s">
        <v>4614</v>
      </c>
      <c r="E1659" s="344">
        <v>5952227</v>
      </c>
      <c r="F1659" s="343" t="s">
        <v>7468</v>
      </c>
      <c r="G1659" s="360" t="s">
        <v>11072</v>
      </c>
      <c r="H1659" s="361">
        <v>43090</v>
      </c>
      <c r="I1659" s="343" t="s">
        <v>7469</v>
      </c>
      <c r="J1659" s="343" t="s">
        <v>11073</v>
      </c>
      <c r="K1659" s="343" t="s">
        <v>173</v>
      </c>
    </row>
    <row r="1660" spans="1:11" ht="26.25" customHeight="1">
      <c r="A1660" s="343" t="s">
        <v>4304</v>
      </c>
      <c r="B1660" s="344" t="s">
        <v>162</v>
      </c>
      <c r="C1660" s="344">
        <v>6610</v>
      </c>
      <c r="D1660" s="343" t="s">
        <v>4666</v>
      </c>
      <c r="E1660" s="344">
        <v>6468986</v>
      </c>
      <c r="F1660" s="343" t="s">
        <v>7467</v>
      </c>
      <c r="G1660" s="360" t="s">
        <v>11074</v>
      </c>
      <c r="H1660" s="361">
        <v>43102</v>
      </c>
      <c r="I1660" s="343" t="s">
        <v>193</v>
      </c>
      <c r="J1660" s="343" t="s">
        <v>637</v>
      </c>
      <c r="K1660" s="343" t="s">
        <v>168</v>
      </c>
    </row>
    <row r="1661" spans="1:11" ht="26.25" customHeight="1">
      <c r="A1661" s="343" t="s">
        <v>4304</v>
      </c>
      <c r="B1661" s="344" t="s">
        <v>162</v>
      </c>
      <c r="C1661" s="344">
        <v>7184</v>
      </c>
      <c r="D1661" s="343" t="s">
        <v>7472</v>
      </c>
      <c r="E1661" s="344">
        <v>6184505</v>
      </c>
      <c r="F1661" s="343" t="s">
        <v>7473</v>
      </c>
      <c r="G1661" s="360" t="s">
        <v>573</v>
      </c>
      <c r="H1661" s="361">
        <v>43102</v>
      </c>
      <c r="I1661" s="343" t="s">
        <v>198</v>
      </c>
      <c r="J1661" s="343" t="s">
        <v>198</v>
      </c>
      <c r="K1661" s="343" t="s">
        <v>168</v>
      </c>
    </row>
    <row r="1662" spans="1:11" ht="26.25" customHeight="1">
      <c r="A1662" s="343" t="s">
        <v>4304</v>
      </c>
      <c r="B1662" s="344" t="s">
        <v>162</v>
      </c>
      <c r="C1662" s="344">
        <v>7654</v>
      </c>
      <c r="D1662" s="343" t="s">
        <v>4374</v>
      </c>
      <c r="E1662" s="344">
        <v>6553854</v>
      </c>
      <c r="F1662" s="343" t="s">
        <v>4330</v>
      </c>
      <c r="G1662" s="360" t="s">
        <v>11075</v>
      </c>
      <c r="H1662" s="361">
        <v>43119</v>
      </c>
      <c r="I1662" s="343" t="s">
        <v>301</v>
      </c>
      <c r="J1662" s="343" t="s">
        <v>861</v>
      </c>
      <c r="K1662" s="343" t="s">
        <v>168</v>
      </c>
    </row>
    <row r="1663" spans="1:11" ht="26.25" customHeight="1">
      <c r="A1663" s="343" t="s">
        <v>4304</v>
      </c>
      <c r="B1663" s="344" t="s">
        <v>162</v>
      </c>
      <c r="C1663" s="344">
        <v>6805</v>
      </c>
      <c r="D1663" s="343" t="s">
        <v>4635</v>
      </c>
      <c r="E1663" s="344">
        <v>6985522</v>
      </c>
      <c r="F1663" s="343" t="s">
        <v>7630</v>
      </c>
      <c r="G1663" s="360" t="s">
        <v>11076</v>
      </c>
      <c r="H1663" s="361">
        <v>43131</v>
      </c>
      <c r="I1663" s="343" t="s">
        <v>211</v>
      </c>
      <c r="J1663" s="343" t="s">
        <v>909</v>
      </c>
      <c r="K1663" s="343" t="s">
        <v>168</v>
      </c>
    </row>
    <row r="1664" spans="1:11" ht="26.25" customHeight="1">
      <c r="A1664" s="343" t="s">
        <v>4304</v>
      </c>
      <c r="B1664" s="344" t="s">
        <v>162</v>
      </c>
      <c r="C1664" s="344">
        <v>10087</v>
      </c>
      <c r="D1664" s="343" t="s">
        <v>4333</v>
      </c>
      <c r="E1664" s="344">
        <v>6775448</v>
      </c>
      <c r="F1664" s="343" t="s">
        <v>7632</v>
      </c>
      <c r="G1664" s="360" t="s">
        <v>10671</v>
      </c>
      <c r="H1664" s="361">
        <v>43132</v>
      </c>
      <c r="I1664" s="343" t="s">
        <v>193</v>
      </c>
      <c r="J1664" s="343" t="s">
        <v>11077</v>
      </c>
      <c r="K1664" s="343" t="s">
        <v>168</v>
      </c>
    </row>
    <row r="1665" spans="1:11" ht="26.25" customHeight="1">
      <c r="A1665" s="343" t="s">
        <v>4304</v>
      </c>
      <c r="B1665" s="344" t="s">
        <v>162</v>
      </c>
      <c r="C1665" s="344">
        <v>6610</v>
      </c>
      <c r="D1665" s="343" t="s">
        <v>4666</v>
      </c>
      <c r="E1665" s="344">
        <v>6597962</v>
      </c>
      <c r="F1665" s="343" t="s">
        <v>7466</v>
      </c>
      <c r="G1665" s="360" t="s">
        <v>11072</v>
      </c>
      <c r="H1665" s="361">
        <v>43132</v>
      </c>
      <c r="I1665" s="343" t="s">
        <v>166</v>
      </c>
      <c r="J1665" s="343" t="s">
        <v>327</v>
      </c>
      <c r="K1665" s="343" t="s">
        <v>168</v>
      </c>
    </row>
    <row r="1666" spans="1:11" ht="26.25" customHeight="1">
      <c r="A1666" s="343" t="s">
        <v>4304</v>
      </c>
      <c r="B1666" s="344" t="s">
        <v>162</v>
      </c>
      <c r="C1666" s="344">
        <v>12147</v>
      </c>
      <c r="D1666" s="343" t="s">
        <v>4417</v>
      </c>
      <c r="E1666" s="344">
        <v>6231107</v>
      </c>
      <c r="F1666" s="343" t="s">
        <v>7633</v>
      </c>
      <c r="G1666" s="360" t="s">
        <v>9730</v>
      </c>
      <c r="H1666" s="361">
        <v>43132</v>
      </c>
      <c r="I1666" s="343" t="s">
        <v>7634</v>
      </c>
      <c r="J1666" s="343" t="s">
        <v>11078</v>
      </c>
      <c r="K1666" s="343" t="s">
        <v>168</v>
      </c>
    </row>
    <row r="1667" spans="1:11" ht="26.25" customHeight="1">
      <c r="A1667" s="343" t="s">
        <v>4304</v>
      </c>
      <c r="B1667" s="344" t="s">
        <v>162</v>
      </c>
      <c r="C1667" s="344">
        <v>7283</v>
      </c>
      <c r="D1667" s="343" t="s">
        <v>4313</v>
      </c>
      <c r="E1667" s="344">
        <v>6688760</v>
      </c>
      <c r="F1667" s="343" t="s">
        <v>7635</v>
      </c>
      <c r="G1667" s="360" t="s">
        <v>11079</v>
      </c>
      <c r="H1667" s="361">
        <v>43132</v>
      </c>
      <c r="I1667" s="343" t="s">
        <v>166</v>
      </c>
      <c r="J1667" s="343" t="s">
        <v>11080</v>
      </c>
      <c r="K1667" s="343" t="s">
        <v>248</v>
      </c>
    </row>
    <row r="1668" spans="1:11" ht="26.25" customHeight="1">
      <c r="A1668" s="343" t="s">
        <v>4304</v>
      </c>
      <c r="B1668" s="344" t="s">
        <v>162</v>
      </c>
      <c r="C1668" s="344">
        <v>7283</v>
      </c>
      <c r="D1668" s="343" t="s">
        <v>4313</v>
      </c>
      <c r="E1668" s="344">
        <v>6705190</v>
      </c>
      <c r="F1668" s="343" t="s">
        <v>7636</v>
      </c>
      <c r="G1668" s="360" t="s">
        <v>11081</v>
      </c>
      <c r="H1668" s="361">
        <v>43132</v>
      </c>
      <c r="I1668" s="343" t="s">
        <v>166</v>
      </c>
      <c r="J1668" s="343" t="s">
        <v>11082</v>
      </c>
      <c r="K1668" s="343" t="s">
        <v>248</v>
      </c>
    </row>
    <row r="1669" spans="1:11" ht="26.25" customHeight="1">
      <c r="A1669" s="343" t="s">
        <v>4304</v>
      </c>
      <c r="B1669" s="344" t="s">
        <v>162</v>
      </c>
      <c r="C1669" s="344">
        <v>6801</v>
      </c>
      <c r="D1669" s="343" t="s">
        <v>4614</v>
      </c>
      <c r="E1669" s="344">
        <v>6098795</v>
      </c>
      <c r="F1669" s="343" t="s">
        <v>7638</v>
      </c>
      <c r="G1669" s="360" t="s">
        <v>10606</v>
      </c>
      <c r="H1669" s="361">
        <v>43139</v>
      </c>
      <c r="I1669" s="343" t="s">
        <v>4428</v>
      </c>
      <c r="J1669" s="343" t="s">
        <v>11083</v>
      </c>
      <c r="K1669" s="343" t="s">
        <v>168</v>
      </c>
    </row>
    <row r="1670" spans="1:11" ht="26.25" customHeight="1">
      <c r="A1670" s="343" t="s">
        <v>4304</v>
      </c>
      <c r="B1670" s="344" t="s">
        <v>162</v>
      </c>
      <c r="C1670" s="344">
        <v>8439</v>
      </c>
      <c r="D1670" s="343" t="s">
        <v>4715</v>
      </c>
      <c r="E1670" s="344">
        <v>6242291</v>
      </c>
      <c r="F1670" s="343" t="s">
        <v>7639</v>
      </c>
      <c r="G1670" s="360" t="s">
        <v>11084</v>
      </c>
      <c r="H1670" s="361">
        <v>43139</v>
      </c>
      <c r="I1670" s="343" t="s">
        <v>193</v>
      </c>
      <c r="J1670" s="343" t="s">
        <v>11085</v>
      </c>
      <c r="K1670" s="343" t="s">
        <v>168</v>
      </c>
    </row>
    <row r="1671" spans="1:11" ht="26.25" customHeight="1">
      <c r="A1671" s="343" t="s">
        <v>4304</v>
      </c>
      <c r="B1671" s="344" t="s">
        <v>162</v>
      </c>
      <c r="C1671" s="344">
        <v>6837</v>
      </c>
      <c r="D1671" s="343" t="s">
        <v>4696</v>
      </c>
      <c r="E1671" s="344">
        <v>6079627</v>
      </c>
      <c r="F1671" s="343" t="s">
        <v>7640</v>
      </c>
      <c r="G1671" s="360" t="s">
        <v>11086</v>
      </c>
      <c r="H1671" s="361">
        <v>43139</v>
      </c>
      <c r="I1671" s="343" t="s">
        <v>166</v>
      </c>
      <c r="J1671" s="343" t="s">
        <v>327</v>
      </c>
      <c r="K1671" s="343" t="s">
        <v>168</v>
      </c>
    </row>
    <row r="1672" spans="1:11" ht="26.25" customHeight="1">
      <c r="A1672" s="343" t="s">
        <v>4304</v>
      </c>
      <c r="B1672" s="344" t="s">
        <v>162</v>
      </c>
      <c r="C1672" s="344">
        <v>9300</v>
      </c>
      <c r="D1672" s="343" t="s">
        <v>4641</v>
      </c>
      <c r="E1672" s="344">
        <v>5994755</v>
      </c>
      <c r="F1672" s="343" t="s">
        <v>4372</v>
      </c>
      <c r="G1672" s="360" t="s">
        <v>11087</v>
      </c>
      <c r="H1672" s="361">
        <v>43139</v>
      </c>
      <c r="I1672" s="343" t="s">
        <v>166</v>
      </c>
      <c r="J1672" s="343" t="s">
        <v>296</v>
      </c>
      <c r="K1672" s="343" t="s">
        <v>168</v>
      </c>
    </row>
    <row r="1673" spans="1:11" ht="26.25" customHeight="1">
      <c r="A1673" s="343" t="s">
        <v>4304</v>
      </c>
      <c r="B1673" s="344" t="s">
        <v>162</v>
      </c>
      <c r="C1673" s="344">
        <v>6801</v>
      </c>
      <c r="D1673" s="343" t="s">
        <v>4614</v>
      </c>
      <c r="E1673" s="344">
        <v>6089438</v>
      </c>
      <c r="F1673" s="343" t="s">
        <v>7641</v>
      </c>
      <c r="G1673" s="360" t="s">
        <v>11088</v>
      </c>
      <c r="H1673" s="361">
        <v>43139</v>
      </c>
      <c r="I1673" s="343" t="s">
        <v>465</v>
      </c>
      <c r="J1673" s="343" t="s">
        <v>1118</v>
      </c>
      <c r="K1673" s="343" t="s">
        <v>168</v>
      </c>
    </row>
    <row r="1674" spans="1:11" ht="26.25" customHeight="1">
      <c r="A1674" s="343" t="s">
        <v>4304</v>
      </c>
      <c r="B1674" s="344" t="s">
        <v>162</v>
      </c>
      <c r="C1674" s="344">
        <v>7175</v>
      </c>
      <c r="D1674" s="343" t="s">
        <v>4557</v>
      </c>
      <c r="E1674" s="344">
        <v>4717500</v>
      </c>
      <c r="F1674" s="343" t="s">
        <v>4561</v>
      </c>
      <c r="G1674" s="360" t="s">
        <v>11089</v>
      </c>
      <c r="H1674" s="361">
        <v>43140</v>
      </c>
      <c r="I1674" s="343" t="s">
        <v>4512</v>
      </c>
      <c r="J1674" s="343" t="s">
        <v>11090</v>
      </c>
      <c r="K1674" s="343" t="s">
        <v>248</v>
      </c>
    </row>
    <row r="1675" spans="1:11" ht="26.25" customHeight="1">
      <c r="A1675" s="343" t="s">
        <v>4304</v>
      </c>
      <c r="B1675" s="344" t="s">
        <v>162</v>
      </c>
      <c r="C1675" s="344">
        <v>9040</v>
      </c>
      <c r="D1675" s="343" t="s">
        <v>4549</v>
      </c>
      <c r="E1675" s="344">
        <v>6008585</v>
      </c>
      <c r="F1675" s="343" t="s">
        <v>4660</v>
      </c>
      <c r="G1675" s="360" t="s">
        <v>11091</v>
      </c>
      <c r="H1675" s="361">
        <v>43140</v>
      </c>
      <c r="I1675" s="343" t="s">
        <v>211</v>
      </c>
      <c r="J1675" s="343" t="s">
        <v>909</v>
      </c>
      <c r="K1675" s="343" t="s">
        <v>168</v>
      </c>
    </row>
    <row r="1676" spans="1:11" ht="26.25" customHeight="1">
      <c r="A1676" s="343" t="s">
        <v>4304</v>
      </c>
      <c r="B1676" s="344" t="s">
        <v>162</v>
      </c>
      <c r="C1676" s="344">
        <v>7114</v>
      </c>
      <c r="D1676" s="343" t="s">
        <v>4455</v>
      </c>
      <c r="E1676" s="344">
        <v>5679684</v>
      </c>
      <c r="F1676" s="343" t="s">
        <v>7644</v>
      </c>
      <c r="G1676" s="360" t="s">
        <v>11092</v>
      </c>
      <c r="H1676" s="361">
        <v>43140</v>
      </c>
      <c r="I1676" s="343" t="s">
        <v>166</v>
      </c>
      <c r="J1676" s="343" t="s">
        <v>296</v>
      </c>
      <c r="K1676" s="343" t="s">
        <v>168</v>
      </c>
    </row>
    <row r="1677" spans="1:11" ht="26.25" customHeight="1">
      <c r="A1677" s="343" t="s">
        <v>4304</v>
      </c>
      <c r="B1677" s="344" t="s">
        <v>162</v>
      </c>
      <c r="C1677" s="344">
        <v>8437</v>
      </c>
      <c r="D1677" s="343" t="s">
        <v>4638</v>
      </c>
      <c r="E1677" s="344">
        <v>6724237</v>
      </c>
      <c r="F1677" s="343" t="s">
        <v>7645</v>
      </c>
      <c r="G1677" s="360" t="s">
        <v>11093</v>
      </c>
      <c r="H1677" s="361">
        <v>43145</v>
      </c>
      <c r="I1677" s="343" t="s">
        <v>514</v>
      </c>
      <c r="J1677" s="343" t="s">
        <v>11094</v>
      </c>
      <c r="K1677" s="343" t="s">
        <v>168</v>
      </c>
    </row>
    <row r="1678" spans="1:11" ht="26.25" customHeight="1">
      <c r="A1678" s="343" t="s">
        <v>4304</v>
      </c>
      <c r="B1678" s="344" t="s">
        <v>162</v>
      </c>
      <c r="C1678" s="344">
        <v>8437</v>
      </c>
      <c r="D1678" s="343" t="s">
        <v>4638</v>
      </c>
      <c r="E1678" s="344">
        <v>5882555</v>
      </c>
      <c r="F1678" s="343" t="s">
        <v>7646</v>
      </c>
      <c r="G1678" s="360" t="s">
        <v>11095</v>
      </c>
      <c r="H1678" s="361">
        <v>43145</v>
      </c>
      <c r="I1678" s="343" t="s">
        <v>193</v>
      </c>
      <c r="J1678" s="343" t="s">
        <v>637</v>
      </c>
      <c r="K1678" s="343" t="s">
        <v>168</v>
      </c>
    </row>
    <row r="1679" spans="1:11" ht="26.25" customHeight="1">
      <c r="A1679" s="343" t="s">
        <v>4304</v>
      </c>
      <c r="B1679" s="344" t="s">
        <v>162</v>
      </c>
      <c r="C1679" s="344">
        <v>7669</v>
      </c>
      <c r="D1679" s="343" t="s">
        <v>4353</v>
      </c>
      <c r="E1679" s="344">
        <v>6969743</v>
      </c>
      <c r="F1679" s="343" t="s">
        <v>7647</v>
      </c>
      <c r="G1679" s="360" t="s">
        <v>11096</v>
      </c>
      <c r="H1679" s="361">
        <v>43145</v>
      </c>
      <c r="I1679" s="343" t="s">
        <v>7648</v>
      </c>
      <c r="J1679" s="343" t="s">
        <v>11097</v>
      </c>
      <c r="K1679" s="343" t="s">
        <v>248</v>
      </c>
    </row>
    <row r="1680" spans="1:11" ht="26.25" customHeight="1">
      <c r="A1680" s="343" t="s">
        <v>4304</v>
      </c>
      <c r="B1680" s="344" t="s">
        <v>162</v>
      </c>
      <c r="C1680" s="344">
        <v>9448</v>
      </c>
      <c r="D1680" s="343" t="s">
        <v>4312</v>
      </c>
      <c r="E1680" s="344">
        <v>6628517</v>
      </c>
      <c r="F1680" s="343" t="s">
        <v>7649</v>
      </c>
      <c r="G1680" s="360" t="s">
        <v>11098</v>
      </c>
      <c r="H1680" s="361">
        <v>43146</v>
      </c>
      <c r="I1680" s="343" t="s">
        <v>7650</v>
      </c>
      <c r="J1680" s="343" t="s">
        <v>11099</v>
      </c>
      <c r="K1680" s="343" t="s">
        <v>168</v>
      </c>
    </row>
    <row r="1681" spans="1:11" ht="26.25" customHeight="1">
      <c r="A1681" s="343" t="s">
        <v>4304</v>
      </c>
      <c r="B1681" s="344" t="s">
        <v>162</v>
      </c>
      <c r="C1681" s="344">
        <v>7669</v>
      </c>
      <c r="D1681" s="343" t="s">
        <v>4353</v>
      </c>
      <c r="E1681" s="344">
        <v>6958104</v>
      </c>
      <c r="F1681" s="343" t="s">
        <v>7786</v>
      </c>
      <c r="G1681" s="360" t="s">
        <v>11100</v>
      </c>
      <c r="H1681" s="361">
        <v>43147</v>
      </c>
      <c r="I1681" s="343" t="s">
        <v>1082</v>
      </c>
      <c r="J1681" s="343" t="s">
        <v>11101</v>
      </c>
      <c r="K1681" s="343" t="s">
        <v>248</v>
      </c>
    </row>
    <row r="1682" spans="1:11" ht="26.25" customHeight="1">
      <c r="A1682" s="343" t="s">
        <v>4304</v>
      </c>
      <c r="B1682" s="344" t="s">
        <v>162</v>
      </c>
      <c r="C1682" s="344">
        <v>12719</v>
      </c>
      <c r="D1682" s="343" t="s">
        <v>4650</v>
      </c>
      <c r="E1682" s="344">
        <v>5738249</v>
      </c>
      <c r="F1682" s="343" t="s">
        <v>7787</v>
      </c>
      <c r="G1682" s="360" t="s">
        <v>11095</v>
      </c>
      <c r="H1682" s="361">
        <v>43152</v>
      </c>
      <c r="I1682" s="343" t="s">
        <v>887</v>
      </c>
      <c r="J1682" s="343" t="s">
        <v>888</v>
      </c>
      <c r="K1682" s="343" t="s">
        <v>168</v>
      </c>
    </row>
    <row r="1683" spans="1:11" ht="26.25" customHeight="1">
      <c r="A1683" s="343" t="s">
        <v>4304</v>
      </c>
      <c r="B1683" s="344" t="s">
        <v>162</v>
      </c>
      <c r="C1683" s="344">
        <v>12719</v>
      </c>
      <c r="D1683" s="343" t="s">
        <v>4650</v>
      </c>
      <c r="E1683" s="344">
        <v>6804215</v>
      </c>
      <c r="F1683" s="343" t="s">
        <v>7788</v>
      </c>
      <c r="G1683" s="360" t="s">
        <v>11102</v>
      </c>
      <c r="H1683" s="361">
        <v>43152</v>
      </c>
      <c r="I1683" s="343" t="s">
        <v>7789</v>
      </c>
      <c r="J1683" s="343" t="s">
        <v>11103</v>
      </c>
      <c r="K1683" s="343" t="s">
        <v>168</v>
      </c>
    </row>
    <row r="1684" spans="1:11" ht="26.25" customHeight="1">
      <c r="A1684" s="343" t="s">
        <v>4304</v>
      </c>
      <c r="B1684" s="344" t="s">
        <v>162</v>
      </c>
      <c r="C1684" s="344">
        <v>7658</v>
      </c>
      <c r="D1684" s="343" t="s">
        <v>4366</v>
      </c>
      <c r="E1684" s="344">
        <v>6621236</v>
      </c>
      <c r="F1684" s="343" t="s">
        <v>7791</v>
      </c>
      <c r="G1684" s="360" t="s">
        <v>11104</v>
      </c>
      <c r="H1684" s="361">
        <v>43153</v>
      </c>
      <c r="I1684" s="343" t="s">
        <v>349</v>
      </c>
      <c r="J1684" s="343" t="s">
        <v>9692</v>
      </c>
      <c r="K1684" s="343" t="s">
        <v>168</v>
      </c>
    </row>
    <row r="1685" spans="1:11" ht="26.25" customHeight="1">
      <c r="A1685" s="343" t="s">
        <v>4304</v>
      </c>
      <c r="B1685" s="344" t="s">
        <v>162</v>
      </c>
      <c r="C1685" s="344">
        <v>6802</v>
      </c>
      <c r="D1685" s="343" t="s">
        <v>4416</v>
      </c>
      <c r="E1685" s="344">
        <v>6456540</v>
      </c>
      <c r="F1685" s="343" t="s">
        <v>7792</v>
      </c>
      <c r="G1685" s="360" t="s">
        <v>9638</v>
      </c>
      <c r="H1685" s="361">
        <v>43153</v>
      </c>
      <c r="I1685" s="343" t="s">
        <v>1038</v>
      </c>
      <c r="J1685" s="343" t="s">
        <v>1039</v>
      </c>
      <c r="K1685" s="343" t="s">
        <v>168</v>
      </c>
    </row>
    <row r="1686" spans="1:11" ht="26.25" customHeight="1">
      <c r="A1686" s="343" t="s">
        <v>4304</v>
      </c>
      <c r="B1686" s="344" t="s">
        <v>162</v>
      </c>
      <c r="C1686" s="344">
        <v>6856</v>
      </c>
      <c r="D1686" s="343" t="s">
        <v>4706</v>
      </c>
      <c r="E1686" s="344">
        <v>6148295</v>
      </c>
      <c r="F1686" s="343" t="s">
        <v>7793</v>
      </c>
      <c r="G1686" s="360" t="s">
        <v>348</v>
      </c>
      <c r="H1686" s="361">
        <v>43153</v>
      </c>
      <c r="I1686" s="343" t="s">
        <v>366</v>
      </c>
      <c r="J1686" s="343" t="s">
        <v>366</v>
      </c>
      <c r="K1686" s="343" t="s">
        <v>168</v>
      </c>
    </row>
    <row r="1687" spans="1:11" ht="26.25" customHeight="1">
      <c r="A1687" s="343" t="s">
        <v>4304</v>
      </c>
      <c r="B1687" s="344" t="s">
        <v>162</v>
      </c>
      <c r="C1687" s="344">
        <v>6856</v>
      </c>
      <c r="D1687" s="343" t="s">
        <v>4706</v>
      </c>
      <c r="E1687" s="344">
        <v>6148300</v>
      </c>
      <c r="F1687" s="343" t="s">
        <v>7794</v>
      </c>
      <c r="G1687" s="360" t="s">
        <v>348</v>
      </c>
      <c r="H1687" s="361">
        <v>43153</v>
      </c>
      <c r="I1687" s="343" t="s">
        <v>366</v>
      </c>
      <c r="J1687" s="343" t="s">
        <v>366</v>
      </c>
      <c r="K1687" s="343" t="s">
        <v>168</v>
      </c>
    </row>
    <row r="1688" spans="1:11" ht="26.25" customHeight="1">
      <c r="A1688" s="343" t="s">
        <v>4304</v>
      </c>
      <c r="B1688" s="344" t="s">
        <v>162</v>
      </c>
      <c r="C1688" s="344">
        <v>9300</v>
      </c>
      <c r="D1688" s="343" t="s">
        <v>4641</v>
      </c>
      <c r="E1688" s="344">
        <v>6232571</v>
      </c>
      <c r="F1688" s="343" t="s">
        <v>7795</v>
      </c>
      <c r="G1688" s="360" t="s">
        <v>11105</v>
      </c>
      <c r="H1688" s="361">
        <v>43153</v>
      </c>
      <c r="I1688" s="343" t="s">
        <v>166</v>
      </c>
      <c r="J1688" s="343" t="s">
        <v>296</v>
      </c>
      <c r="K1688" s="343" t="s">
        <v>168</v>
      </c>
    </row>
    <row r="1689" spans="1:11" ht="26.25" customHeight="1">
      <c r="A1689" s="343" t="s">
        <v>4304</v>
      </c>
      <c r="B1689" s="344" t="s">
        <v>162</v>
      </c>
      <c r="C1689" s="344">
        <v>7653</v>
      </c>
      <c r="D1689" s="343" t="s">
        <v>4327</v>
      </c>
      <c r="E1689" s="344">
        <v>6396774</v>
      </c>
      <c r="F1689" s="343" t="s">
        <v>4332</v>
      </c>
      <c r="G1689" s="360" t="s">
        <v>11106</v>
      </c>
      <c r="H1689" s="361">
        <v>43153</v>
      </c>
      <c r="I1689" s="343" t="s">
        <v>166</v>
      </c>
      <c r="J1689" s="343" t="s">
        <v>11107</v>
      </c>
      <c r="K1689" s="343" t="s">
        <v>168</v>
      </c>
    </row>
    <row r="1690" spans="1:11" ht="26.25" customHeight="1">
      <c r="A1690" s="343" t="s">
        <v>4304</v>
      </c>
      <c r="B1690" s="344" t="s">
        <v>162</v>
      </c>
      <c r="C1690" s="344">
        <v>7653</v>
      </c>
      <c r="D1690" s="343" t="s">
        <v>4327</v>
      </c>
      <c r="E1690" s="344">
        <v>6972466</v>
      </c>
      <c r="F1690" s="343" t="s">
        <v>7796</v>
      </c>
      <c r="G1690" s="360" t="s">
        <v>251</v>
      </c>
      <c r="H1690" s="361">
        <v>43153</v>
      </c>
      <c r="I1690" s="343" t="s">
        <v>193</v>
      </c>
      <c r="J1690" s="343" t="s">
        <v>11108</v>
      </c>
      <c r="K1690" s="343" t="s">
        <v>168</v>
      </c>
    </row>
    <row r="1691" spans="1:11" ht="26.25" customHeight="1">
      <c r="A1691" s="343" t="s">
        <v>4304</v>
      </c>
      <c r="B1691" s="344" t="s">
        <v>162</v>
      </c>
      <c r="C1691" s="344">
        <v>7653</v>
      </c>
      <c r="D1691" s="343" t="s">
        <v>4327</v>
      </c>
      <c r="E1691" s="344">
        <v>6502161</v>
      </c>
      <c r="F1691" s="343" t="s">
        <v>4329</v>
      </c>
      <c r="G1691" s="360" t="s">
        <v>9777</v>
      </c>
      <c r="H1691" s="361">
        <v>43153</v>
      </c>
      <c r="I1691" s="343" t="s">
        <v>514</v>
      </c>
      <c r="J1691" s="343" t="s">
        <v>11109</v>
      </c>
      <c r="K1691" s="343" t="s">
        <v>248</v>
      </c>
    </row>
    <row r="1692" spans="1:11" ht="26.25" customHeight="1">
      <c r="A1692" s="343" t="s">
        <v>4304</v>
      </c>
      <c r="B1692" s="344" t="s">
        <v>162</v>
      </c>
      <c r="C1692" s="344">
        <v>8434</v>
      </c>
      <c r="D1692" s="343" t="s">
        <v>7798</v>
      </c>
      <c r="E1692" s="344">
        <v>6014359</v>
      </c>
      <c r="F1692" s="343" t="s">
        <v>7799</v>
      </c>
      <c r="G1692" s="360" t="s">
        <v>9524</v>
      </c>
      <c r="H1692" s="361">
        <v>43153</v>
      </c>
      <c r="I1692" s="343" t="s">
        <v>7800</v>
      </c>
      <c r="J1692" s="343" t="s">
        <v>11110</v>
      </c>
      <c r="K1692" s="343" t="s">
        <v>168</v>
      </c>
    </row>
    <row r="1693" spans="1:11" ht="26.25" customHeight="1">
      <c r="A1693" s="343" t="s">
        <v>4304</v>
      </c>
      <c r="B1693" s="344" t="s">
        <v>162</v>
      </c>
      <c r="C1693" s="344">
        <v>7669</v>
      </c>
      <c r="D1693" s="343" t="s">
        <v>4353</v>
      </c>
      <c r="E1693" s="344">
        <v>6704637</v>
      </c>
      <c r="F1693" s="343" t="s">
        <v>7801</v>
      </c>
      <c r="G1693" s="360" t="s">
        <v>11111</v>
      </c>
      <c r="H1693" s="361">
        <v>43153</v>
      </c>
      <c r="I1693" s="343" t="s">
        <v>709</v>
      </c>
      <c r="J1693" s="343" t="s">
        <v>11112</v>
      </c>
      <c r="K1693" s="343" t="s">
        <v>173</v>
      </c>
    </row>
    <row r="1694" spans="1:11" ht="26.25" customHeight="1">
      <c r="A1694" s="343" t="s">
        <v>4304</v>
      </c>
      <c r="B1694" s="344" t="s">
        <v>162</v>
      </c>
      <c r="C1694" s="344">
        <v>9025</v>
      </c>
      <c r="D1694" s="343" t="s">
        <v>4698</v>
      </c>
      <c r="E1694" s="344">
        <v>6979236</v>
      </c>
      <c r="F1694" s="343" t="s">
        <v>7802</v>
      </c>
      <c r="G1694" s="360" t="s">
        <v>11113</v>
      </c>
      <c r="H1694" s="361">
        <v>43153</v>
      </c>
      <c r="I1694" s="343" t="s">
        <v>166</v>
      </c>
      <c r="J1694" s="343" t="s">
        <v>296</v>
      </c>
      <c r="K1694" s="343" t="s">
        <v>168</v>
      </c>
    </row>
    <row r="1695" spans="1:11" ht="26.25" customHeight="1">
      <c r="A1695" s="343" t="s">
        <v>4304</v>
      </c>
      <c r="B1695" s="344" t="s">
        <v>162</v>
      </c>
      <c r="C1695" s="344">
        <v>9025</v>
      </c>
      <c r="D1695" s="343" t="s">
        <v>4698</v>
      </c>
      <c r="E1695" s="344">
        <v>6435134</v>
      </c>
      <c r="F1695" s="343" t="s">
        <v>7803</v>
      </c>
      <c r="G1695" s="360" t="s">
        <v>11114</v>
      </c>
      <c r="H1695" s="361">
        <v>43153</v>
      </c>
      <c r="I1695" s="343" t="s">
        <v>166</v>
      </c>
      <c r="J1695" s="343" t="s">
        <v>296</v>
      </c>
      <c r="K1695" s="343" t="s">
        <v>168</v>
      </c>
    </row>
    <row r="1696" spans="1:11" ht="26.25" customHeight="1">
      <c r="A1696" s="343" t="s">
        <v>4304</v>
      </c>
      <c r="B1696" s="344" t="s">
        <v>162</v>
      </c>
      <c r="C1696" s="344">
        <v>12183</v>
      </c>
      <c r="D1696" s="343" t="s">
        <v>4379</v>
      </c>
      <c r="E1696" s="344">
        <v>6755189</v>
      </c>
      <c r="F1696" s="343" t="s">
        <v>7804</v>
      </c>
      <c r="G1696" s="360" t="s">
        <v>11009</v>
      </c>
      <c r="H1696" s="361">
        <v>43153</v>
      </c>
      <c r="I1696" s="343" t="s">
        <v>193</v>
      </c>
      <c r="J1696" s="343" t="s">
        <v>11115</v>
      </c>
      <c r="K1696" s="343" t="s">
        <v>168</v>
      </c>
    </row>
    <row r="1697" spans="1:11" ht="26.25" customHeight="1">
      <c r="A1697" s="343" t="s">
        <v>4304</v>
      </c>
      <c r="B1697" s="344" t="s">
        <v>162</v>
      </c>
      <c r="C1697" s="344">
        <v>12183</v>
      </c>
      <c r="D1697" s="343" t="s">
        <v>4379</v>
      </c>
      <c r="E1697" s="344">
        <v>6948279</v>
      </c>
      <c r="F1697" s="343" t="s">
        <v>7805</v>
      </c>
      <c r="G1697" s="360" t="s">
        <v>11116</v>
      </c>
      <c r="H1697" s="361">
        <v>43153</v>
      </c>
      <c r="I1697" s="343" t="s">
        <v>166</v>
      </c>
      <c r="J1697" s="343" t="s">
        <v>9752</v>
      </c>
      <c r="K1697" s="343" t="s">
        <v>248</v>
      </c>
    </row>
    <row r="1698" spans="1:11" ht="26.25" customHeight="1">
      <c r="A1698" s="343" t="s">
        <v>4304</v>
      </c>
      <c r="B1698" s="344" t="s">
        <v>162</v>
      </c>
      <c r="C1698" s="344">
        <v>7684</v>
      </c>
      <c r="D1698" s="343" t="s">
        <v>4326</v>
      </c>
      <c r="E1698" s="344">
        <v>6962754</v>
      </c>
      <c r="F1698" s="343" t="s">
        <v>7637</v>
      </c>
      <c r="G1698" s="360" t="s">
        <v>9622</v>
      </c>
      <c r="H1698" s="361">
        <v>43153</v>
      </c>
      <c r="I1698" s="343" t="s">
        <v>166</v>
      </c>
      <c r="J1698" s="343" t="s">
        <v>11117</v>
      </c>
      <c r="K1698" s="343" t="s">
        <v>173</v>
      </c>
    </row>
    <row r="1699" spans="1:11" ht="26.25" customHeight="1">
      <c r="A1699" s="343" t="s">
        <v>4304</v>
      </c>
      <c r="B1699" s="344" t="s">
        <v>162</v>
      </c>
      <c r="C1699" s="344">
        <v>8436</v>
      </c>
      <c r="D1699" s="343" t="s">
        <v>7806</v>
      </c>
      <c r="E1699" s="344">
        <v>6117591</v>
      </c>
      <c r="F1699" s="343" t="s">
        <v>7807</v>
      </c>
      <c r="G1699" s="360" t="s">
        <v>679</v>
      </c>
      <c r="H1699" s="361">
        <v>43160</v>
      </c>
      <c r="I1699" s="343" t="s">
        <v>4017</v>
      </c>
      <c r="J1699" s="343" t="s">
        <v>9651</v>
      </c>
      <c r="K1699" s="343" t="s">
        <v>168</v>
      </c>
    </row>
    <row r="1700" spans="1:11" ht="26.25" customHeight="1">
      <c r="A1700" s="343" t="s">
        <v>4304</v>
      </c>
      <c r="B1700" s="344" t="s">
        <v>162</v>
      </c>
      <c r="C1700" s="344">
        <v>7148</v>
      </c>
      <c r="D1700" s="343" t="s">
        <v>4523</v>
      </c>
      <c r="E1700" s="344">
        <v>6045019</v>
      </c>
      <c r="F1700" s="343" t="s">
        <v>7414</v>
      </c>
      <c r="G1700" s="360" t="s">
        <v>11118</v>
      </c>
      <c r="H1700" s="361">
        <v>43160</v>
      </c>
      <c r="I1700" s="343" t="s">
        <v>198</v>
      </c>
      <c r="J1700" s="343" t="s">
        <v>198</v>
      </c>
      <c r="K1700" s="343" t="s">
        <v>168</v>
      </c>
    </row>
    <row r="1701" spans="1:11" ht="26.25" customHeight="1">
      <c r="A1701" s="343" t="s">
        <v>4304</v>
      </c>
      <c r="B1701" s="344" t="s">
        <v>162</v>
      </c>
      <c r="C1701" s="344">
        <v>6799</v>
      </c>
      <c r="D1701" s="343" t="s">
        <v>4671</v>
      </c>
      <c r="E1701" s="344">
        <v>6760936</v>
      </c>
      <c r="F1701" s="343" t="s">
        <v>7808</v>
      </c>
      <c r="G1701" s="360" t="s">
        <v>11119</v>
      </c>
      <c r="H1701" s="361">
        <v>43160</v>
      </c>
      <c r="I1701" s="343" t="s">
        <v>166</v>
      </c>
      <c r="J1701" s="343" t="s">
        <v>296</v>
      </c>
      <c r="K1701" s="343" t="s">
        <v>168</v>
      </c>
    </row>
    <row r="1702" spans="1:11" ht="26.25" customHeight="1">
      <c r="A1702" s="343" t="s">
        <v>4304</v>
      </c>
      <c r="B1702" s="344" t="s">
        <v>162</v>
      </c>
      <c r="C1702" s="344">
        <v>7268</v>
      </c>
      <c r="D1702" s="343" t="s">
        <v>4630</v>
      </c>
      <c r="E1702" s="344">
        <v>6183488</v>
      </c>
      <c r="F1702" s="343" t="s">
        <v>7809</v>
      </c>
      <c r="G1702" s="360" t="s">
        <v>10956</v>
      </c>
      <c r="H1702" s="361">
        <v>43161</v>
      </c>
      <c r="I1702" s="343" t="s">
        <v>7810</v>
      </c>
      <c r="J1702" s="343" t="s">
        <v>11120</v>
      </c>
      <c r="K1702" s="343" t="s">
        <v>168</v>
      </c>
    </row>
    <row r="1703" spans="1:11" ht="26.25" customHeight="1">
      <c r="A1703" s="343" t="s">
        <v>4304</v>
      </c>
      <c r="B1703" s="344" t="s">
        <v>162</v>
      </c>
      <c r="C1703" s="344">
        <v>6856</v>
      </c>
      <c r="D1703" s="343" t="s">
        <v>4706</v>
      </c>
      <c r="E1703" s="344">
        <v>6135497</v>
      </c>
      <c r="F1703" s="343" t="s">
        <v>7811</v>
      </c>
      <c r="G1703" s="360" t="s">
        <v>9569</v>
      </c>
      <c r="H1703" s="361">
        <v>43161</v>
      </c>
      <c r="I1703" s="343" t="s">
        <v>211</v>
      </c>
      <c r="J1703" s="343" t="s">
        <v>211</v>
      </c>
      <c r="K1703" s="343" t="s">
        <v>168</v>
      </c>
    </row>
    <row r="1704" spans="1:11" ht="26.25" customHeight="1">
      <c r="A1704" s="343" t="s">
        <v>4304</v>
      </c>
      <c r="B1704" s="344" t="s">
        <v>162</v>
      </c>
      <c r="C1704" s="344">
        <v>6806</v>
      </c>
      <c r="D1704" s="343" t="s">
        <v>4674</v>
      </c>
      <c r="E1704" s="344">
        <v>6479836</v>
      </c>
      <c r="F1704" s="343" t="s">
        <v>7812</v>
      </c>
      <c r="G1704" s="360" t="s">
        <v>300</v>
      </c>
      <c r="H1704" s="361">
        <v>43161</v>
      </c>
      <c r="I1704" s="343" t="s">
        <v>198</v>
      </c>
      <c r="J1704" s="343" t="s">
        <v>198</v>
      </c>
      <c r="K1704" s="343" t="s">
        <v>168</v>
      </c>
    </row>
    <row r="1705" spans="1:11" ht="26.25" customHeight="1">
      <c r="A1705" s="343" t="s">
        <v>4304</v>
      </c>
      <c r="B1705" s="344" t="s">
        <v>162</v>
      </c>
      <c r="C1705" s="344">
        <v>8436</v>
      </c>
      <c r="D1705" s="343" t="s">
        <v>7806</v>
      </c>
      <c r="E1705" s="344">
        <v>6727367</v>
      </c>
      <c r="F1705" s="343" t="s">
        <v>7813</v>
      </c>
      <c r="G1705" s="360" t="s">
        <v>11121</v>
      </c>
      <c r="H1705" s="361">
        <v>43161</v>
      </c>
      <c r="I1705" s="343" t="s">
        <v>7814</v>
      </c>
      <c r="J1705" s="343" t="s">
        <v>11122</v>
      </c>
      <c r="K1705" s="343" t="s">
        <v>173</v>
      </c>
    </row>
    <row r="1706" spans="1:11" ht="26.25" customHeight="1">
      <c r="A1706" s="343" t="s">
        <v>4304</v>
      </c>
      <c r="B1706" s="344" t="s">
        <v>162</v>
      </c>
      <c r="C1706" s="344">
        <v>7183</v>
      </c>
      <c r="D1706" s="343" t="s">
        <v>4586</v>
      </c>
      <c r="E1706" s="344">
        <v>4580059</v>
      </c>
      <c r="F1706" s="343" t="s">
        <v>7815</v>
      </c>
      <c r="G1706" s="360" t="s">
        <v>10517</v>
      </c>
      <c r="H1706" s="361">
        <v>43161</v>
      </c>
      <c r="I1706" s="343" t="s">
        <v>211</v>
      </c>
      <c r="J1706" s="343" t="s">
        <v>211</v>
      </c>
      <c r="K1706" s="343" t="s">
        <v>168</v>
      </c>
    </row>
    <row r="1707" spans="1:11" ht="26.25" customHeight="1">
      <c r="A1707" s="343" t="s">
        <v>4304</v>
      </c>
      <c r="B1707" s="344" t="s">
        <v>162</v>
      </c>
      <c r="C1707" s="344">
        <v>7183</v>
      </c>
      <c r="D1707" s="343" t="s">
        <v>4586</v>
      </c>
      <c r="E1707" s="344">
        <v>5235246</v>
      </c>
      <c r="F1707" s="343" t="s">
        <v>4590</v>
      </c>
      <c r="G1707" s="360" t="s">
        <v>10512</v>
      </c>
      <c r="H1707" s="361">
        <v>43161</v>
      </c>
      <c r="I1707" s="343" t="s">
        <v>1182</v>
      </c>
      <c r="J1707" s="343" t="s">
        <v>9518</v>
      </c>
      <c r="K1707" s="343" t="s">
        <v>173</v>
      </c>
    </row>
    <row r="1708" spans="1:11" ht="26.25" customHeight="1">
      <c r="A1708" s="343" t="s">
        <v>4304</v>
      </c>
      <c r="B1708" s="344" t="s">
        <v>162</v>
      </c>
      <c r="C1708" s="344">
        <v>6759</v>
      </c>
      <c r="D1708" s="343" t="s">
        <v>4610</v>
      </c>
      <c r="E1708" s="344">
        <v>5990559</v>
      </c>
      <c r="F1708" s="343" t="s">
        <v>7816</v>
      </c>
      <c r="G1708" s="360" t="s">
        <v>11123</v>
      </c>
      <c r="H1708" s="361">
        <v>43161</v>
      </c>
      <c r="I1708" s="343" t="s">
        <v>4711</v>
      </c>
      <c r="J1708" s="343" t="s">
        <v>11124</v>
      </c>
      <c r="K1708" s="343" t="s">
        <v>168</v>
      </c>
    </row>
    <row r="1709" spans="1:11" ht="26.25" customHeight="1">
      <c r="A1709" s="343" t="s">
        <v>4304</v>
      </c>
      <c r="B1709" s="344" t="s">
        <v>162</v>
      </c>
      <c r="C1709" s="344">
        <v>6761</v>
      </c>
      <c r="D1709" s="343" t="s">
        <v>4676</v>
      </c>
      <c r="E1709" s="344">
        <v>5860432</v>
      </c>
      <c r="F1709" s="343" t="s">
        <v>7817</v>
      </c>
      <c r="G1709" s="360" t="s">
        <v>1353</v>
      </c>
      <c r="H1709" s="361">
        <v>43161</v>
      </c>
      <c r="I1709" s="343" t="s">
        <v>198</v>
      </c>
      <c r="J1709" s="343" t="s">
        <v>198</v>
      </c>
      <c r="K1709" s="343" t="s">
        <v>168</v>
      </c>
    </row>
    <row r="1710" spans="1:11" ht="26.25" customHeight="1">
      <c r="A1710" s="343" t="s">
        <v>4304</v>
      </c>
      <c r="B1710" s="344" t="s">
        <v>162</v>
      </c>
      <c r="C1710" s="344">
        <v>6759</v>
      </c>
      <c r="D1710" s="343" t="s">
        <v>4610</v>
      </c>
      <c r="E1710" s="344">
        <v>6120015</v>
      </c>
      <c r="F1710" s="343" t="s">
        <v>7818</v>
      </c>
      <c r="G1710" s="360" t="s">
        <v>365</v>
      </c>
      <c r="H1710" s="361">
        <v>43161</v>
      </c>
      <c r="I1710" s="343" t="s">
        <v>336</v>
      </c>
      <c r="J1710" s="343" t="s">
        <v>10159</v>
      </c>
      <c r="K1710" s="343" t="s">
        <v>168</v>
      </c>
    </row>
    <row r="1711" spans="1:11" ht="26.25" customHeight="1">
      <c r="A1711" s="343" t="s">
        <v>4304</v>
      </c>
      <c r="B1711" s="344" t="s">
        <v>162</v>
      </c>
      <c r="C1711" s="344">
        <v>6759</v>
      </c>
      <c r="D1711" s="343" t="s">
        <v>4610</v>
      </c>
      <c r="E1711" s="344">
        <v>6121493</v>
      </c>
      <c r="F1711" s="343" t="s">
        <v>7819</v>
      </c>
      <c r="G1711" s="360" t="s">
        <v>11125</v>
      </c>
      <c r="H1711" s="361">
        <v>43161</v>
      </c>
      <c r="I1711" s="343" t="s">
        <v>166</v>
      </c>
      <c r="J1711" s="343" t="s">
        <v>296</v>
      </c>
      <c r="K1711" s="343" t="s">
        <v>168</v>
      </c>
    </row>
    <row r="1712" spans="1:11" ht="26.25" customHeight="1">
      <c r="A1712" s="343" t="s">
        <v>4304</v>
      </c>
      <c r="B1712" s="344" t="s">
        <v>162</v>
      </c>
      <c r="C1712" s="344">
        <v>7158</v>
      </c>
      <c r="D1712" s="343" t="s">
        <v>4513</v>
      </c>
      <c r="E1712" s="344">
        <v>6749236</v>
      </c>
      <c r="F1712" s="343" t="s">
        <v>7820</v>
      </c>
      <c r="G1712" s="360" t="s">
        <v>895</v>
      </c>
      <c r="H1712" s="361">
        <v>43165</v>
      </c>
      <c r="I1712" s="343" t="s">
        <v>580</v>
      </c>
      <c r="J1712" s="343" t="s">
        <v>11126</v>
      </c>
      <c r="K1712" s="343" t="s">
        <v>248</v>
      </c>
    </row>
    <row r="1713" spans="1:11" ht="26.25" customHeight="1">
      <c r="A1713" s="343" t="s">
        <v>4304</v>
      </c>
      <c r="B1713" s="344" t="s">
        <v>162</v>
      </c>
      <c r="C1713" s="344">
        <v>6764</v>
      </c>
      <c r="D1713" s="343" t="s">
        <v>4657</v>
      </c>
      <c r="E1713" s="344">
        <v>6658323</v>
      </c>
      <c r="F1713" s="343" t="s">
        <v>7821</v>
      </c>
      <c r="G1713" s="360" t="s">
        <v>11127</v>
      </c>
      <c r="H1713" s="361">
        <v>43167</v>
      </c>
      <c r="I1713" s="343" t="s">
        <v>180</v>
      </c>
      <c r="J1713" s="343" t="s">
        <v>11128</v>
      </c>
      <c r="K1713" s="343" t="s">
        <v>173</v>
      </c>
    </row>
    <row r="1714" spans="1:11" ht="26.25" customHeight="1">
      <c r="A1714" s="343" t="s">
        <v>4304</v>
      </c>
      <c r="B1714" s="344" t="s">
        <v>162</v>
      </c>
      <c r="C1714" s="344">
        <v>9300</v>
      </c>
      <c r="D1714" s="343" t="s">
        <v>4641</v>
      </c>
      <c r="E1714" s="344">
        <v>5743974</v>
      </c>
      <c r="F1714" s="343" t="s">
        <v>7822</v>
      </c>
      <c r="G1714" s="360" t="s">
        <v>511</v>
      </c>
      <c r="H1714" s="361">
        <v>43171</v>
      </c>
      <c r="I1714" s="343" t="s">
        <v>193</v>
      </c>
      <c r="J1714" s="343" t="s">
        <v>637</v>
      </c>
      <c r="K1714" s="343" t="s">
        <v>168</v>
      </c>
    </row>
    <row r="1715" spans="1:11" ht="26.25" customHeight="1">
      <c r="A1715" s="343" t="s">
        <v>4304</v>
      </c>
      <c r="B1715" s="344" t="s">
        <v>162</v>
      </c>
      <c r="C1715" s="344">
        <v>9632</v>
      </c>
      <c r="D1715" s="343" t="s">
        <v>4334</v>
      </c>
      <c r="E1715" s="344">
        <v>6883703</v>
      </c>
      <c r="F1715" s="343" t="s">
        <v>7823</v>
      </c>
      <c r="G1715" s="360" t="s">
        <v>9622</v>
      </c>
      <c r="H1715" s="361">
        <v>43171</v>
      </c>
      <c r="I1715" s="343" t="s">
        <v>193</v>
      </c>
      <c r="J1715" s="343" t="s">
        <v>9500</v>
      </c>
      <c r="K1715" s="343" t="s">
        <v>168</v>
      </c>
    </row>
    <row r="1716" spans="1:11" ht="26.25" customHeight="1">
      <c r="A1716" s="343" t="s">
        <v>4304</v>
      </c>
      <c r="B1716" s="344" t="s">
        <v>162</v>
      </c>
      <c r="C1716" s="344">
        <v>7174</v>
      </c>
      <c r="D1716" s="343" t="s">
        <v>4497</v>
      </c>
      <c r="E1716" s="344">
        <v>5251158</v>
      </c>
      <c r="F1716" s="343" t="s">
        <v>4501</v>
      </c>
      <c r="G1716" s="360" t="s">
        <v>11129</v>
      </c>
      <c r="H1716" s="361">
        <v>43171</v>
      </c>
      <c r="I1716" s="343" t="s">
        <v>4711</v>
      </c>
      <c r="J1716" s="343" t="s">
        <v>11124</v>
      </c>
      <c r="K1716" s="343" t="s">
        <v>168</v>
      </c>
    </row>
    <row r="1717" spans="1:11" ht="26.25" customHeight="1">
      <c r="A1717" s="343" t="s">
        <v>4304</v>
      </c>
      <c r="B1717" s="344" t="s">
        <v>162</v>
      </c>
      <c r="C1717" s="344">
        <v>8437</v>
      </c>
      <c r="D1717" s="343" t="s">
        <v>4638</v>
      </c>
      <c r="E1717" s="344">
        <v>6491543</v>
      </c>
      <c r="F1717" s="343" t="s">
        <v>7824</v>
      </c>
      <c r="G1717" s="360" t="s">
        <v>11130</v>
      </c>
      <c r="H1717" s="361">
        <v>43171</v>
      </c>
      <c r="I1717" s="343" t="s">
        <v>193</v>
      </c>
      <c r="J1717" s="343" t="s">
        <v>637</v>
      </c>
      <c r="K1717" s="343" t="s">
        <v>168</v>
      </c>
    </row>
    <row r="1718" spans="1:11" ht="26.25" customHeight="1">
      <c r="A1718" s="343" t="s">
        <v>4304</v>
      </c>
      <c r="B1718" s="344" t="s">
        <v>162</v>
      </c>
      <c r="C1718" s="344">
        <v>12719</v>
      </c>
      <c r="D1718" s="343" t="s">
        <v>4650</v>
      </c>
      <c r="E1718" s="344">
        <v>6880865</v>
      </c>
      <c r="F1718" s="343" t="s">
        <v>7825</v>
      </c>
      <c r="G1718" s="360" t="s">
        <v>513</v>
      </c>
      <c r="H1718" s="361">
        <v>43171</v>
      </c>
      <c r="I1718" s="343" t="s">
        <v>193</v>
      </c>
      <c r="J1718" s="343" t="s">
        <v>637</v>
      </c>
      <c r="K1718" s="343" t="s">
        <v>168</v>
      </c>
    </row>
    <row r="1719" spans="1:11" ht="26.25" customHeight="1">
      <c r="A1719" s="343" t="s">
        <v>4304</v>
      </c>
      <c r="B1719" s="344" t="s">
        <v>162</v>
      </c>
      <c r="C1719" s="344">
        <v>7656</v>
      </c>
      <c r="D1719" s="343" t="s">
        <v>4350</v>
      </c>
      <c r="E1719" s="344">
        <v>6168457</v>
      </c>
      <c r="F1719" s="343" t="s">
        <v>4351</v>
      </c>
      <c r="G1719" s="360" t="s">
        <v>11131</v>
      </c>
      <c r="H1719" s="361">
        <v>43171</v>
      </c>
      <c r="I1719" s="343" t="s">
        <v>7826</v>
      </c>
      <c r="J1719" s="343" t="s">
        <v>11132</v>
      </c>
      <c r="K1719" s="343" t="s">
        <v>173</v>
      </c>
    </row>
    <row r="1720" spans="1:11" ht="26.25" customHeight="1">
      <c r="A1720" s="343" t="s">
        <v>4304</v>
      </c>
      <c r="B1720" s="344" t="s">
        <v>162</v>
      </c>
      <c r="C1720" s="344">
        <v>9883</v>
      </c>
      <c r="D1720" s="343" t="s">
        <v>4382</v>
      </c>
      <c r="E1720" s="344">
        <v>6917295</v>
      </c>
      <c r="F1720" s="343" t="s">
        <v>7827</v>
      </c>
      <c r="G1720" s="360" t="s">
        <v>10113</v>
      </c>
      <c r="H1720" s="361">
        <v>43171</v>
      </c>
      <c r="I1720" s="343" t="s">
        <v>166</v>
      </c>
      <c r="J1720" s="343" t="s">
        <v>296</v>
      </c>
      <c r="K1720" s="343" t="s">
        <v>168</v>
      </c>
    </row>
    <row r="1721" spans="1:11" ht="26.25" customHeight="1">
      <c r="A1721" s="343" t="s">
        <v>4304</v>
      </c>
      <c r="B1721" s="344" t="s">
        <v>162</v>
      </c>
      <c r="C1721" s="344">
        <v>12148</v>
      </c>
      <c r="D1721" s="343" t="s">
        <v>4394</v>
      </c>
      <c r="E1721" s="344">
        <v>6576338</v>
      </c>
      <c r="F1721" s="343" t="s">
        <v>7828</v>
      </c>
      <c r="G1721" s="360" t="s">
        <v>9989</v>
      </c>
      <c r="H1721" s="361">
        <v>43171</v>
      </c>
      <c r="I1721" s="343" t="s">
        <v>166</v>
      </c>
      <c r="J1721" s="343" t="s">
        <v>11133</v>
      </c>
      <c r="K1721" s="343" t="s">
        <v>173</v>
      </c>
    </row>
    <row r="1722" spans="1:11" ht="26.25" customHeight="1">
      <c r="A1722" s="343" t="s">
        <v>4304</v>
      </c>
      <c r="B1722" s="344" t="s">
        <v>162</v>
      </c>
      <c r="C1722" s="344">
        <v>7149</v>
      </c>
      <c r="D1722" s="343" t="s">
        <v>4599</v>
      </c>
      <c r="E1722" s="344">
        <v>5718430</v>
      </c>
      <c r="F1722" s="343" t="s">
        <v>7829</v>
      </c>
      <c r="G1722" s="360" t="s">
        <v>11134</v>
      </c>
      <c r="H1722" s="361">
        <v>43171</v>
      </c>
      <c r="I1722" s="343" t="s">
        <v>366</v>
      </c>
      <c r="J1722" s="343" t="s">
        <v>366</v>
      </c>
      <c r="K1722" s="343" t="s">
        <v>168</v>
      </c>
    </row>
    <row r="1723" spans="1:11" ht="26.25" customHeight="1">
      <c r="A1723" s="343" t="s">
        <v>4304</v>
      </c>
      <c r="B1723" s="344" t="s">
        <v>162</v>
      </c>
      <c r="C1723" s="344">
        <v>6799</v>
      </c>
      <c r="D1723" s="343" t="s">
        <v>4671</v>
      </c>
      <c r="E1723" s="344">
        <v>6287714</v>
      </c>
      <c r="F1723" s="343" t="s">
        <v>7302</v>
      </c>
      <c r="G1723" s="360" t="s">
        <v>1400</v>
      </c>
      <c r="H1723" s="361">
        <v>43172</v>
      </c>
      <c r="I1723" s="343" t="s">
        <v>313</v>
      </c>
      <c r="J1723" s="343" t="s">
        <v>10246</v>
      </c>
      <c r="K1723" s="343" t="s">
        <v>173</v>
      </c>
    </row>
    <row r="1724" spans="1:11" ht="26.25" customHeight="1">
      <c r="A1724" s="343" t="s">
        <v>4304</v>
      </c>
      <c r="B1724" s="344" t="s">
        <v>162</v>
      </c>
      <c r="C1724" s="344">
        <v>7658</v>
      </c>
      <c r="D1724" s="343" t="s">
        <v>4366</v>
      </c>
      <c r="E1724" s="344">
        <v>6756286</v>
      </c>
      <c r="F1724" s="343" t="s">
        <v>7830</v>
      </c>
      <c r="G1724" s="360" t="s">
        <v>11135</v>
      </c>
      <c r="H1724" s="361">
        <v>43172</v>
      </c>
      <c r="I1724" s="343" t="s">
        <v>166</v>
      </c>
      <c r="J1724" s="343" t="s">
        <v>296</v>
      </c>
      <c r="K1724" s="343" t="s">
        <v>168</v>
      </c>
    </row>
    <row r="1725" spans="1:11" ht="26.25" customHeight="1">
      <c r="A1725" s="343" t="s">
        <v>4304</v>
      </c>
      <c r="B1725" s="344" t="s">
        <v>162</v>
      </c>
      <c r="C1725" s="344">
        <v>6800</v>
      </c>
      <c r="D1725" s="343" t="s">
        <v>4678</v>
      </c>
      <c r="E1725" s="344">
        <v>6905183</v>
      </c>
      <c r="F1725" s="343" t="s">
        <v>7831</v>
      </c>
      <c r="G1725" s="360" t="s">
        <v>10569</v>
      </c>
      <c r="H1725" s="361">
        <v>43172</v>
      </c>
      <c r="I1725" s="343" t="s">
        <v>219</v>
      </c>
      <c r="J1725" s="343" t="s">
        <v>11136</v>
      </c>
      <c r="K1725" s="343" t="s">
        <v>173</v>
      </c>
    </row>
    <row r="1726" spans="1:11" ht="26.25" customHeight="1">
      <c r="A1726" s="343" t="s">
        <v>4304</v>
      </c>
      <c r="B1726" s="344" t="s">
        <v>162</v>
      </c>
      <c r="C1726" s="344">
        <v>9040</v>
      </c>
      <c r="D1726" s="343" t="s">
        <v>4549</v>
      </c>
      <c r="E1726" s="344">
        <v>5855323</v>
      </c>
      <c r="F1726" s="343" t="s">
        <v>7832</v>
      </c>
      <c r="G1726" s="360" t="s">
        <v>9901</v>
      </c>
      <c r="H1726" s="361">
        <v>43172</v>
      </c>
      <c r="I1726" s="343" t="s">
        <v>465</v>
      </c>
      <c r="J1726" s="343" t="s">
        <v>9614</v>
      </c>
      <c r="K1726" s="343" t="s">
        <v>168</v>
      </c>
    </row>
    <row r="1727" spans="1:11" ht="26.25" customHeight="1">
      <c r="A1727" s="343" t="s">
        <v>4304</v>
      </c>
      <c r="B1727" s="344" t="s">
        <v>162</v>
      </c>
      <c r="C1727" s="344">
        <v>9023</v>
      </c>
      <c r="D1727" s="343" t="s">
        <v>4612</v>
      </c>
      <c r="E1727" s="344">
        <v>5917146</v>
      </c>
      <c r="F1727" s="343" t="s">
        <v>3915</v>
      </c>
      <c r="G1727" s="360" t="s">
        <v>9372</v>
      </c>
      <c r="H1727" s="361">
        <v>43172</v>
      </c>
      <c r="I1727" s="343" t="s">
        <v>7833</v>
      </c>
      <c r="J1727" s="343" t="s">
        <v>11137</v>
      </c>
      <c r="K1727" s="343" t="s">
        <v>168</v>
      </c>
    </row>
    <row r="1728" spans="1:11" ht="26.25" customHeight="1">
      <c r="A1728" s="343" t="s">
        <v>4304</v>
      </c>
      <c r="B1728" s="344" t="s">
        <v>162</v>
      </c>
      <c r="C1728" s="344">
        <v>9023</v>
      </c>
      <c r="D1728" s="343" t="s">
        <v>4612</v>
      </c>
      <c r="E1728" s="344">
        <v>5916918</v>
      </c>
      <c r="F1728" s="343" t="s">
        <v>3914</v>
      </c>
      <c r="G1728" s="360" t="s">
        <v>9372</v>
      </c>
      <c r="H1728" s="361">
        <v>43172</v>
      </c>
      <c r="I1728" s="343" t="s">
        <v>7833</v>
      </c>
      <c r="J1728" s="343" t="s">
        <v>11137</v>
      </c>
      <c r="K1728" s="343" t="s">
        <v>168</v>
      </c>
    </row>
    <row r="1729" spans="1:11" ht="26.25" customHeight="1">
      <c r="A1729" s="343" t="s">
        <v>4304</v>
      </c>
      <c r="B1729" s="344" t="s">
        <v>162</v>
      </c>
      <c r="C1729" s="344">
        <v>9023</v>
      </c>
      <c r="D1729" s="343" t="s">
        <v>4612</v>
      </c>
      <c r="E1729" s="344">
        <v>5916927</v>
      </c>
      <c r="F1729" s="343" t="s">
        <v>7834</v>
      </c>
      <c r="G1729" s="360" t="s">
        <v>9372</v>
      </c>
      <c r="H1729" s="361">
        <v>43172</v>
      </c>
      <c r="I1729" s="343" t="s">
        <v>7833</v>
      </c>
      <c r="J1729" s="343" t="s">
        <v>11137</v>
      </c>
      <c r="K1729" s="343" t="s">
        <v>168</v>
      </c>
    </row>
    <row r="1730" spans="1:11" ht="26.25" customHeight="1">
      <c r="A1730" s="343" t="s">
        <v>4304</v>
      </c>
      <c r="B1730" s="344" t="s">
        <v>162</v>
      </c>
      <c r="C1730" s="344">
        <v>7656</v>
      </c>
      <c r="D1730" s="343" t="s">
        <v>4350</v>
      </c>
      <c r="E1730" s="344">
        <v>6605680</v>
      </c>
      <c r="F1730" s="343" t="s">
        <v>7835</v>
      </c>
      <c r="G1730" s="360" t="s">
        <v>11138</v>
      </c>
      <c r="H1730" s="361">
        <v>43172</v>
      </c>
      <c r="I1730" s="343" t="s">
        <v>166</v>
      </c>
      <c r="J1730" s="343" t="s">
        <v>296</v>
      </c>
      <c r="K1730" s="343" t="s">
        <v>168</v>
      </c>
    </row>
    <row r="1731" spans="1:11" ht="26.25" customHeight="1">
      <c r="A1731" s="343" t="s">
        <v>4304</v>
      </c>
      <c r="B1731" s="344" t="s">
        <v>162</v>
      </c>
      <c r="C1731" s="344">
        <v>8437</v>
      </c>
      <c r="D1731" s="343" t="s">
        <v>4638</v>
      </c>
      <c r="E1731" s="344">
        <v>6433161</v>
      </c>
      <c r="F1731" s="343" t="s">
        <v>7836</v>
      </c>
      <c r="G1731" s="360" t="s">
        <v>11139</v>
      </c>
      <c r="H1731" s="361">
        <v>43172</v>
      </c>
      <c r="I1731" s="343" t="s">
        <v>193</v>
      </c>
      <c r="J1731" s="343" t="s">
        <v>9500</v>
      </c>
      <c r="K1731" s="343" t="s">
        <v>168</v>
      </c>
    </row>
    <row r="1732" spans="1:11" ht="26.25" customHeight="1">
      <c r="A1732" s="343" t="s">
        <v>4304</v>
      </c>
      <c r="B1732" s="344" t="s">
        <v>162</v>
      </c>
      <c r="C1732" s="344">
        <v>12148</v>
      </c>
      <c r="D1732" s="343" t="s">
        <v>4394</v>
      </c>
      <c r="E1732" s="344">
        <v>6934510</v>
      </c>
      <c r="F1732" s="343" t="s">
        <v>7838</v>
      </c>
      <c r="G1732" s="360" t="s">
        <v>11140</v>
      </c>
      <c r="H1732" s="361">
        <v>43172</v>
      </c>
      <c r="I1732" s="343" t="s">
        <v>166</v>
      </c>
      <c r="J1732" s="343" t="s">
        <v>296</v>
      </c>
      <c r="K1732" s="343" t="s">
        <v>168</v>
      </c>
    </row>
    <row r="1733" spans="1:11" ht="26.25" customHeight="1">
      <c r="A1733" s="343" t="s">
        <v>4304</v>
      </c>
      <c r="B1733" s="344" t="s">
        <v>162</v>
      </c>
      <c r="C1733" s="344">
        <v>6857</v>
      </c>
      <c r="D1733" s="343" t="s">
        <v>7839</v>
      </c>
      <c r="E1733" s="344">
        <v>6106248</v>
      </c>
      <c r="F1733" s="343" t="s">
        <v>7840</v>
      </c>
      <c r="G1733" s="360" t="s">
        <v>11141</v>
      </c>
      <c r="H1733" s="361">
        <v>43172</v>
      </c>
      <c r="I1733" s="343" t="s">
        <v>7841</v>
      </c>
      <c r="J1733" s="343" t="s">
        <v>11142</v>
      </c>
      <c r="K1733" s="343" t="s">
        <v>168</v>
      </c>
    </row>
    <row r="1734" spans="1:11" ht="26.25" customHeight="1">
      <c r="A1734" s="343" t="s">
        <v>4304</v>
      </c>
      <c r="B1734" s="344" t="s">
        <v>162</v>
      </c>
      <c r="C1734" s="344">
        <v>8437</v>
      </c>
      <c r="D1734" s="343" t="s">
        <v>4638</v>
      </c>
      <c r="E1734" s="344">
        <v>6640257</v>
      </c>
      <c r="F1734" s="343" t="s">
        <v>7843</v>
      </c>
      <c r="G1734" s="360" t="s">
        <v>11057</v>
      </c>
      <c r="H1734" s="361">
        <v>43172</v>
      </c>
      <c r="I1734" s="343" t="s">
        <v>7844</v>
      </c>
      <c r="J1734" s="343" t="s">
        <v>11143</v>
      </c>
      <c r="K1734" s="343" t="s">
        <v>173</v>
      </c>
    </row>
    <row r="1735" spans="1:11" ht="26.25" customHeight="1">
      <c r="A1735" s="343" t="s">
        <v>4304</v>
      </c>
      <c r="B1735" s="344" t="s">
        <v>162</v>
      </c>
      <c r="C1735" s="344">
        <v>6759</v>
      </c>
      <c r="D1735" s="343" t="s">
        <v>4610</v>
      </c>
      <c r="E1735" s="344">
        <v>6207200</v>
      </c>
      <c r="F1735" s="343" t="s">
        <v>7845</v>
      </c>
      <c r="G1735" s="360" t="s">
        <v>1422</v>
      </c>
      <c r="H1735" s="361">
        <v>43175</v>
      </c>
      <c r="I1735" s="343" t="s">
        <v>7846</v>
      </c>
      <c r="J1735" s="343" t="s">
        <v>11144</v>
      </c>
      <c r="K1735" s="343" t="s">
        <v>173</v>
      </c>
    </row>
    <row r="1736" spans="1:11" ht="26.25" customHeight="1">
      <c r="A1736" s="343" t="s">
        <v>4304</v>
      </c>
      <c r="B1736" s="344" t="s">
        <v>162</v>
      </c>
      <c r="C1736" s="344">
        <v>9267</v>
      </c>
      <c r="D1736" s="343" t="s">
        <v>4631</v>
      </c>
      <c r="E1736" s="344">
        <v>6367320</v>
      </c>
      <c r="F1736" s="343" t="s">
        <v>7847</v>
      </c>
      <c r="G1736" s="360" t="s">
        <v>11145</v>
      </c>
      <c r="H1736" s="361">
        <v>43175</v>
      </c>
      <c r="I1736" s="343" t="s">
        <v>193</v>
      </c>
      <c r="J1736" s="343" t="s">
        <v>637</v>
      </c>
      <c r="K1736" s="343" t="s">
        <v>168</v>
      </c>
    </row>
    <row r="1737" spans="1:11" ht="26.25" customHeight="1">
      <c r="A1737" s="343" t="s">
        <v>4304</v>
      </c>
      <c r="B1737" s="344" t="s">
        <v>162</v>
      </c>
      <c r="C1737" s="344">
        <v>12717</v>
      </c>
      <c r="D1737" s="343" t="s">
        <v>4430</v>
      </c>
      <c r="E1737" s="344">
        <v>5103626</v>
      </c>
      <c r="F1737" s="343" t="s">
        <v>4432</v>
      </c>
      <c r="G1737" s="360" t="s">
        <v>9922</v>
      </c>
      <c r="H1737" s="361">
        <v>43175</v>
      </c>
      <c r="I1737" s="343" t="s">
        <v>7848</v>
      </c>
      <c r="J1737" s="343" t="s">
        <v>11146</v>
      </c>
      <c r="K1737" s="343" t="s">
        <v>248</v>
      </c>
    </row>
    <row r="1738" spans="1:11" ht="26.25" customHeight="1">
      <c r="A1738" s="343" t="s">
        <v>4304</v>
      </c>
      <c r="B1738" s="344" t="s">
        <v>162</v>
      </c>
      <c r="C1738" s="344">
        <v>7283</v>
      </c>
      <c r="D1738" s="343" t="s">
        <v>4313</v>
      </c>
      <c r="E1738" s="344">
        <v>6947213</v>
      </c>
      <c r="F1738" s="343" t="s">
        <v>7849</v>
      </c>
      <c r="G1738" s="360" t="s">
        <v>11147</v>
      </c>
      <c r="H1738" s="361">
        <v>43175</v>
      </c>
      <c r="I1738" s="343" t="s">
        <v>1016</v>
      </c>
      <c r="J1738" s="343" t="s">
        <v>11148</v>
      </c>
      <c r="K1738" s="343" t="s">
        <v>168</v>
      </c>
    </row>
    <row r="1739" spans="1:11" ht="26.25" customHeight="1">
      <c r="A1739" s="343" t="s">
        <v>4304</v>
      </c>
      <c r="B1739" s="344" t="s">
        <v>162</v>
      </c>
      <c r="C1739" s="344">
        <v>8442</v>
      </c>
      <c r="D1739" s="343" t="s">
        <v>4486</v>
      </c>
      <c r="E1739" s="344">
        <v>3607295</v>
      </c>
      <c r="F1739" s="343" t="s">
        <v>7851</v>
      </c>
      <c r="G1739" s="360" t="s">
        <v>11149</v>
      </c>
      <c r="H1739" s="361">
        <v>43175</v>
      </c>
      <c r="I1739" s="343" t="s">
        <v>7852</v>
      </c>
      <c r="J1739" s="343" t="s">
        <v>11150</v>
      </c>
      <c r="K1739" s="343" t="s">
        <v>168</v>
      </c>
    </row>
    <row r="1740" spans="1:11" ht="26.25" customHeight="1">
      <c r="A1740" s="343" t="s">
        <v>4304</v>
      </c>
      <c r="B1740" s="344" t="s">
        <v>162</v>
      </c>
      <c r="C1740" s="344">
        <v>9300</v>
      </c>
      <c r="D1740" s="343" t="s">
        <v>4641</v>
      </c>
      <c r="E1740" s="344">
        <v>6228932</v>
      </c>
      <c r="F1740" s="343" t="s">
        <v>7853</v>
      </c>
      <c r="G1740" s="360" t="s">
        <v>11076</v>
      </c>
      <c r="H1740" s="361">
        <v>43175</v>
      </c>
      <c r="I1740" s="343" t="s">
        <v>193</v>
      </c>
      <c r="J1740" s="343" t="s">
        <v>637</v>
      </c>
      <c r="K1740" s="343" t="s">
        <v>168</v>
      </c>
    </row>
    <row r="1741" spans="1:11" ht="26.25" customHeight="1">
      <c r="A1741" s="343" t="s">
        <v>4304</v>
      </c>
      <c r="B1741" s="344" t="s">
        <v>162</v>
      </c>
      <c r="C1741" s="344">
        <v>6764</v>
      </c>
      <c r="D1741" s="343" t="s">
        <v>4657</v>
      </c>
      <c r="E1741" s="344">
        <v>6210514</v>
      </c>
      <c r="F1741" s="343" t="s">
        <v>7854</v>
      </c>
      <c r="G1741" s="360" t="s">
        <v>10049</v>
      </c>
      <c r="H1741" s="361">
        <v>43175</v>
      </c>
      <c r="I1741" s="343" t="s">
        <v>193</v>
      </c>
      <c r="J1741" s="343" t="s">
        <v>637</v>
      </c>
      <c r="K1741" s="343" t="s">
        <v>168</v>
      </c>
    </row>
    <row r="1742" spans="1:11" ht="26.25" customHeight="1">
      <c r="A1742" s="343" t="s">
        <v>4304</v>
      </c>
      <c r="B1742" s="344" t="s">
        <v>162</v>
      </c>
      <c r="C1742" s="344">
        <v>6763</v>
      </c>
      <c r="D1742" s="343" t="s">
        <v>4617</v>
      </c>
      <c r="E1742" s="344">
        <v>5844421</v>
      </c>
      <c r="F1742" s="343" t="s">
        <v>7855</v>
      </c>
      <c r="G1742" s="360" t="s">
        <v>11151</v>
      </c>
      <c r="H1742" s="361">
        <v>43180</v>
      </c>
      <c r="I1742" s="343" t="s">
        <v>7648</v>
      </c>
      <c r="J1742" s="343" t="s">
        <v>11152</v>
      </c>
      <c r="K1742" s="343" t="s">
        <v>168</v>
      </c>
    </row>
    <row r="1743" spans="1:11" ht="26.25" customHeight="1">
      <c r="A1743" s="343" t="s">
        <v>4304</v>
      </c>
      <c r="B1743" s="344" t="s">
        <v>162</v>
      </c>
      <c r="C1743" s="344">
        <v>8435</v>
      </c>
      <c r="D1743" s="343" t="s">
        <v>4710</v>
      </c>
      <c r="E1743" s="344">
        <v>5974573</v>
      </c>
      <c r="F1743" s="343" t="s">
        <v>8446</v>
      </c>
      <c r="G1743" s="360" t="s">
        <v>11072</v>
      </c>
      <c r="H1743" s="361">
        <v>43188</v>
      </c>
      <c r="I1743" s="343" t="s">
        <v>193</v>
      </c>
      <c r="J1743" s="343" t="s">
        <v>637</v>
      </c>
      <c r="K1743" s="343" t="s">
        <v>168</v>
      </c>
    </row>
    <row r="1744" spans="1:11" ht="26.25" customHeight="1">
      <c r="A1744" s="343" t="s">
        <v>4304</v>
      </c>
      <c r="B1744" s="344" t="s">
        <v>162</v>
      </c>
      <c r="C1744" s="344">
        <v>12146</v>
      </c>
      <c r="D1744" s="343" t="s">
        <v>4405</v>
      </c>
      <c r="E1744" s="344">
        <v>7035463</v>
      </c>
      <c r="F1744" s="343" t="s">
        <v>8447</v>
      </c>
      <c r="G1744" s="360" t="s">
        <v>657</v>
      </c>
      <c r="H1744" s="361">
        <v>43192</v>
      </c>
      <c r="I1744" s="343" t="s">
        <v>166</v>
      </c>
      <c r="J1744" s="343" t="s">
        <v>296</v>
      </c>
      <c r="K1744" s="343" t="s">
        <v>168</v>
      </c>
    </row>
    <row r="1745" spans="1:11" ht="26.25" customHeight="1">
      <c r="A1745" s="343" t="s">
        <v>4304</v>
      </c>
      <c r="B1745" s="344" t="s">
        <v>162</v>
      </c>
      <c r="C1745" s="344">
        <v>6799</v>
      </c>
      <c r="D1745" s="343" t="s">
        <v>4671</v>
      </c>
      <c r="E1745" s="344">
        <v>5729512</v>
      </c>
      <c r="F1745" s="343" t="s">
        <v>4673</v>
      </c>
      <c r="G1745" s="360" t="s">
        <v>11153</v>
      </c>
      <c r="H1745" s="361">
        <v>43192</v>
      </c>
      <c r="I1745" s="343" t="s">
        <v>366</v>
      </c>
      <c r="J1745" s="343" t="s">
        <v>11154</v>
      </c>
      <c r="K1745" s="343" t="s">
        <v>168</v>
      </c>
    </row>
    <row r="1746" spans="1:11" ht="26.25" customHeight="1">
      <c r="A1746" s="343" t="s">
        <v>4304</v>
      </c>
      <c r="B1746" s="344" t="s">
        <v>162</v>
      </c>
      <c r="C1746" s="344">
        <v>8435</v>
      </c>
      <c r="D1746" s="343" t="s">
        <v>4710</v>
      </c>
      <c r="E1746" s="344">
        <v>5947784</v>
      </c>
      <c r="F1746" s="343" t="s">
        <v>4712</v>
      </c>
      <c r="G1746" s="360" t="s">
        <v>1400</v>
      </c>
      <c r="H1746" s="361">
        <v>43193</v>
      </c>
      <c r="I1746" s="343" t="s">
        <v>261</v>
      </c>
      <c r="J1746" s="343" t="s">
        <v>631</v>
      </c>
      <c r="K1746" s="343" t="s">
        <v>168</v>
      </c>
    </row>
    <row r="1747" spans="1:11" ht="26.25" customHeight="1">
      <c r="A1747" s="343" t="s">
        <v>4304</v>
      </c>
      <c r="B1747" s="344" t="s">
        <v>162</v>
      </c>
      <c r="C1747" s="344">
        <v>6859</v>
      </c>
      <c r="D1747" s="343" t="s">
        <v>4624</v>
      </c>
      <c r="E1747" s="344">
        <v>6948931</v>
      </c>
      <c r="F1747" s="343" t="s">
        <v>8448</v>
      </c>
      <c r="G1747" s="360" t="s">
        <v>11105</v>
      </c>
      <c r="H1747" s="361">
        <v>43194</v>
      </c>
      <c r="I1747" s="343" t="s">
        <v>366</v>
      </c>
      <c r="J1747" s="343" t="s">
        <v>366</v>
      </c>
      <c r="K1747" s="343" t="s">
        <v>168</v>
      </c>
    </row>
    <row r="1748" spans="1:11" ht="26.25" customHeight="1">
      <c r="A1748" s="343" t="s">
        <v>4304</v>
      </c>
      <c r="B1748" s="344" t="s">
        <v>162</v>
      </c>
      <c r="C1748" s="344">
        <v>6802</v>
      </c>
      <c r="D1748" s="343" t="s">
        <v>4416</v>
      </c>
      <c r="E1748" s="344">
        <v>6135984</v>
      </c>
      <c r="F1748" s="343" t="s">
        <v>8449</v>
      </c>
      <c r="G1748" s="360" t="s">
        <v>11155</v>
      </c>
      <c r="H1748" s="361">
        <v>43194</v>
      </c>
      <c r="I1748" s="343" t="s">
        <v>3606</v>
      </c>
      <c r="J1748" s="343" t="s">
        <v>3606</v>
      </c>
      <c r="K1748" s="343" t="s">
        <v>168</v>
      </c>
    </row>
    <row r="1749" spans="1:11" ht="26.25" customHeight="1">
      <c r="A1749" s="343" t="s">
        <v>4304</v>
      </c>
      <c r="B1749" s="344" t="s">
        <v>162</v>
      </c>
      <c r="C1749" s="344">
        <v>8437</v>
      </c>
      <c r="D1749" s="343" t="s">
        <v>4638</v>
      </c>
      <c r="E1749" s="344">
        <v>6610838</v>
      </c>
      <c r="F1749" s="343" t="s">
        <v>8450</v>
      </c>
      <c r="G1749" s="360" t="s">
        <v>11074</v>
      </c>
      <c r="H1749" s="361">
        <v>43195</v>
      </c>
      <c r="I1749" s="343" t="s">
        <v>349</v>
      </c>
      <c r="J1749" s="343" t="s">
        <v>1248</v>
      </c>
      <c r="K1749" s="343" t="s">
        <v>168</v>
      </c>
    </row>
    <row r="1750" spans="1:11" ht="26.25" customHeight="1">
      <c r="A1750" s="343" t="s">
        <v>4304</v>
      </c>
      <c r="B1750" s="344" t="s">
        <v>162</v>
      </c>
      <c r="C1750" s="344">
        <v>8437</v>
      </c>
      <c r="D1750" s="343" t="s">
        <v>4638</v>
      </c>
      <c r="E1750" s="344">
        <v>6194634</v>
      </c>
      <c r="F1750" s="343" t="s">
        <v>8451</v>
      </c>
      <c r="G1750" s="360" t="s">
        <v>10062</v>
      </c>
      <c r="H1750" s="361">
        <v>43195</v>
      </c>
      <c r="I1750" s="343" t="s">
        <v>8452</v>
      </c>
      <c r="J1750" s="343" t="s">
        <v>11156</v>
      </c>
      <c r="K1750" s="343" t="s">
        <v>168</v>
      </c>
    </row>
    <row r="1751" spans="1:11" ht="26.25" customHeight="1">
      <c r="A1751" s="343" t="s">
        <v>4304</v>
      </c>
      <c r="B1751" s="344" t="s">
        <v>162</v>
      </c>
      <c r="C1751" s="344">
        <v>7151</v>
      </c>
      <c r="D1751" s="343" t="s">
        <v>8453</v>
      </c>
      <c r="E1751" s="344">
        <v>6025640</v>
      </c>
      <c r="F1751" s="343" t="s">
        <v>4680</v>
      </c>
      <c r="G1751" s="360" t="s">
        <v>11157</v>
      </c>
      <c r="H1751" s="361">
        <v>43196</v>
      </c>
      <c r="I1751" s="343" t="s">
        <v>193</v>
      </c>
      <c r="J1751" s="343" t="s">
        <v>637</v>
      </c>
      <c r="K1751" s="343" t="s">
        <v>168</v>
      </c>
    </row>
    <row r="1752" spans="1:11" ht="26.25" customHeight="1">
      <c r="A1752" s="343" t="s">
        <v>4304</v>
      </c>
      <c r="B1752" s="344" t="s">
        <v>162</v>
      </c>
      <c r="C1752" s="344">
        <v>6758</v>
      </c>
      <c r="D1752" s="343" t="s">
        <v>8454</v>
      </c>
      <c r="E1752" s="344">
        <v>7002280</v>
      </c>
      <c r="F1752" s="343" t="s">
        <v>8455</v>
      </c>
      <c r="G1752" s="360" t="s">
        <v>203</v>
      </c>
      <c r="H1752" s="361">
        <v>43196</v>
      </c>
      <c r="I1752" s="343" t="s">
        <v>193</v>
      </c>
      <c r="J1752" s="343" t="s">
        <v>11158</v>
      </c>
      <c r="K1752" s="343" t="s">
        <v>168</v>
      </c>
    </row>
    <row r="1753" spans="1:11" ht="26.25" customHeight="1">
      <c r="A1753" s="343" t="s">
        <v>4304</v>
      </c>
      <c r="B1753" s="344" t="s">
        <v>162</v>
      </c>
      <c r="C1753" s="344">
        <v>9632</v>
      </c>
      <c r="D1753" s="343" t="s">
        <v>4334</v>
      </c>
      <c r="E1753" s="344">
        <v>6481336</v>
      </c>
      <c r="F1753" s="343" t="s">
        <v>8456</v>
      </c>
      <c r="G1753" s="360" t="s">
        <v>11159</v>
      </c>
      <c r="H1753" s="361">
        <v>43196</v>
      </c>
      <c r="I1753" s="343" t="s">
        <v>193</v>
      </c>
      <c r="J1753" s="343" t="s">
        <v>637</v>
      </c>
      <c r="K1753" s="343" t="s">
        <v>168</v>
      </c>
    </row>
    <row r="1754" spans="1:11" ht="26.25" customHeight="1">
      <c r="A1754" s="343" t="s">
        <v>4304</v>
      </c>
      <c r="B1754" s="344" t="s">
        <v>162</v>
      </c>
      <c r="C1754" s="344">
        <v>6761</v>
      </c>
      <c r="D1754" s="343" t="s">
        <v>4676</v>
      </c>
      <c r="E1754" s="344">
        <v>6524401</v>
      </c>
      <c r="F1754" s="343" t="s">
        <v>7850</v>
      </c>
      <c r="G1754" s="360" t="s">
        <v>11160</v>
      </c>
      <c r="H1754" s="361">
        <v>43196</v>
      </c>
      <c r="I1754" s="343" t="s">
        <v>8457</v>
      </c>
      <c r="J1754" s="343" t="s">
        <v>11161</v>
      </c>
      <c r="K1754" s="343" t="s">
        <v>248</v>
      </c>
    </row>
    <row r="1755" spans="1:11" ht="26.25" customHeight="1">
      <c r="A1755" s="343" t="s">
        <v>4304</v>
      </c>
      <c r="B1755" s="344" t="s">
        <v>162</v>
      </c>
      <c r="C1755" s="344">
        <v>7649</v>
      </c>
      <c r="D1755" s="343" t="s">
        <v>4310</v>
      </c>
      <c r="E1755" s="344">
        <v>6727829</v>
      </c>
      <c r="F1755" s="343" t="s">
        <v>7642</v>
      </c>
      <c r="G1755" s="360" t="s">
        <v>10034</v>
      </c>
      <c r="H1755" s="361">
        <v>43202</v>
      </c>
      <c r="I1755" s="343" t="s">
        <v>166</v>
      </c>
      <c r="J1755" s="343" t="s">
        <v>11162</v>
      </c>
      <c r="K1755" s="343" t="s">
        <v>248</v>
      </c>
    </row>
    <row r="1756" spans="1:11" ht="26.25" customHeight="1">
      <c r="A1756" s="343" t="s">
        <v>4304</v>
      </c>
      <c r="B1756" s="344" t="s">
        <v>162</v>
      </c>
      <c r="C1756" s="344">
        <v>6804</v>
      </c>
      <c r="D1756" s="343" t="s">
        <v>4681</v>
      </c>
      <c r="E1756" s="344">
        <v>6113620</v>
      </c>
      <c r="F1756" s="343" t="s">
        <v>8458</v>
      </c>
      <c r="G1756" s="360" t="s">
        <v>11163</v>
      </c>
      <c r="H1756" s="361">
        <v>43202</v>
      </c>
      <c r="I1756" s="343" t="s">
        <v>8209</v>
      </c>
      <c r="J1756" s="343" t="s">
        <v>11164</v>
      </c>
      <c r="K1756" s="343" t="s">
        <v>168</v>
      </c>
    </row>
    <row r="1757" spans="1:11" ht="26.25" customHeight="1">
      <c r="A1757" s="343" t="s">
        <v>4304</v>
      </c>
      <c r="B1757" s="344" t="s">
        <v>162</v>
      </c>
      <c r="C1757" s="344">
        <v>7669</v>
      </c>
      <c r="D1757" s="343" t="s">
        <v>4353</v>
      </c>
      <c r="E1757" s="344">
        <v>6762658</v>
      </c>
      <c r="F1757" s="343" t="s">
        <v>8459</v>
      </c>
      <c r="G1757" s="360" t="s">
        <v>11165</v>
      </c>
      <c r="H1757" s="361">
        <v>43202</v>
      </c>
      <c r="I1757" s="343" t="s">
        <v>193</v>
      </c>
      <c r="J1757" s="343" t="s">
        <v>11166</v>
      </c>
      <c r="K1757" s="343" t="s">
        <v>168</v>
      </c>
    </row>
    <row r="1758" spans="1:11" ht="26.25" customHeight="1">
      <c r="A1758" s="343" t="s">
        <v>4304</v>
      </c>
      <c r="B1758" s="344" t="s">
        <v>162</v>
      </c>
      <c r="C1758" s="344">
        <v>7187</v>
      </c>
      <c r="D1758" s="343" t="s">
        <v>4436</v>
      </c>
      <c r="E1758" s="344">
        <v>4766550</v>
      </c>
      <c r="F1758" s="343" t="s">
        <v>8460</v>
      </c>
      <c r="G1758" s="360" t="s">
        <v>11167</v>
      </c>
      <c r="H1758" s="361">
        <v>43206</v>
      </c>
      <c r="I1758" s="343" t="s">
        <v>193</v>
      </c>
      <c r="J1758" s="343" t="s">
        <v>637</v>
      </c>
      <c r="K1758" s="343" t="s">
        <v>168</v>
      </c>
    </row>
    <row r="1759" spans="1:11" ht="26.25" customHeight="1">
      <c r="A1759" s="343" t="s">
        <v>4304</v>
      </c>
      <c r="B1759" s="344" t="s">
        <v>162</v>
      </c>
      <c r="C1759" s="344">
        <v>11565</v>
      </c>
      <c r="D1759" s="343" t="s">
        <v>4360</v>
      </c>
      <c r="E1759" s="344">
        <v>6905643</v>
      </c>
      <c r="F1759" s="343" t="s">
        <v>8461</v>
      </c>
      <c r="G1759" s="360" t="s">
        <v>11168</v>
      </c>
      <c r="H1759" s="361">
        <v>43206</v>
      </c>
      <c r="I1759" s="343" t="s">
        <v>423</v>
      </c>
      <c r="J1759" s="343" t="s">
        <v>11169</v>
      </c>
      <c r="K1759" s="343" t="s">
        <v>168</v>
      </c>
    </row>
    <row r="1760" spans="1:11" ht="26.25" customHeight="1">
      <c r="A1760" s="343" t="s">
        <v>4304</v>
      </c>
      <c r="B1760" s="344" t="s">
        <v>162</v>
      </c>
      <c r="C1760" s="344">
        <v>6854</v>
      </c>
      <c r="D1760" s="343" t="s">
        <v>8462</v>
      </c>
      <c r="E1760" s="344">
        <v>6769484</v>
      </c>
      <c r="F1760" s="343" t="s">
        <v>8463</v>
      </c>
      <c r="G1760" s="360" t="s">
        <v>11170</v>
      </c>
      <c r="H1760" s="361">
        <v>43209</v>
      </c>
      <c r="I1760" s="343" t="s">
        <v>166</v>
      </c>
      <c r="J1760" s="343" t="s">
        <v>296</v>
      </c>
      <c r="K1760" s="343" t="s">
        <v>168</v>
      </c>
    </row>
    <row r="1761" spans="1:11" ht="26.25" customHeight="1">
      <c r="A1761" s="343" t="s">
        <v>4304</v>
      </c>
      <c r="B1761" s="344" t="s">
        <v>162</v>
      </c>
      <c r="C1761" s="344">
        <v>9300</v>
      </c>
      <c r="D1761" s="343" t="s">
        <v>4641</v>
      </c>
      <c r="E1761" s="344">
        <v>6305596</v>
      </c>
      <c r="F1761" s="343" t="s">
        <v>8464</v>
      </c>
      <c r="G1761" s="360" t="s">
        <v>9556</v>
      </c>
      <c r="H1761" s="361">
        <v>43209</v>
      </c>
      <c r="I1761" s="343" t="s">
        <v>1182</v>
      </c>
      <c r="J1761" s="343" t="s">
        <v>10913</v>
      </c>
      <c r="K1761" s="343" t="s">
        <v>173</v>
      </c>
    </row>
    <row r="1762" spans="1:11" ht="26.25" customHeight="1">
      <c r="A1762" s="343" t="s">
        <v>4304</v>
      </c>
      <c r="B1762" s="344" t="s">
        <v>162</v>
      </c>
      <c r="C1762" s="344">
        <v>6797</v>
      </c>
      <c r="D1762" s="343" t="s">
        <v>4627</v>
      </c>
      <c r="E1762" s="344">
        <v>5942037</v>
      </c>
      <c r="F1762" s="343" t="s">
        <v>4628</v>
      </c>
      <c r="G1762" s="360" t="s">
        <v>11171</v>
      </c>
      <c r="H1762" s="361">
        <v>43214</v>
      </c>
      <c r="I1762" s="343" t="s">
        <v>514</v>
      </c>
      <c r="J1762" s="343" t="s">
        <v>11172</v>
      </c>
      <c r="K1762" s="343" t="s">
        <v>168</v>
      </c>
    </row>
    <row r="1763" spans="1:11" ht="26.25" customHeight="1">
      <c r="A1763" s="343" t="s">
        <v>4304</v>
      </c>
      <c r="B1763" s="344" t="s">
        <v>162</v>
      </c>
      <c r="C1763" s="344">
        <v>6806</v>
      </c>
      <c r="D1763" s="343" t="s">
        <v>4674</v>
      </c>
      <c r="E1763" s="344">
        <v>6027524</v>
      </c>
      <c r="F1763" s="343" t="s">
        <v>8465</v>
      </c>
      <c r="G1763" s="360" t="s">
        <v>11173</v>
      </c>
      <c r="H1763" s="361">
        <v>43214</v>
      </c>
      <c r="I1763" s="343" t="s">
        <v>166</v>
      </c>
      <c r="J1763" s="343" t="s">
        <v>327</v>
      </c>
      <c r="K1763" s="343" t="s">
        <v>168</v>
      </c>
    </row>
    <row r="1764" spans="1:11" ht="26.25" customHeight="1">
      <c r="A1764" s="343" t="s">
        <v>4304</v>
      </c>
      <c r="B1764" s="344" t="s">
        <v>162</v>
      </c>
      <c r="C1764" s="344">
        <v>7203</v>
      </c>
      <c r="D1764" s="343" t="s">
        <v>4555</v>
      </c>
      <c r="E1764" s="344">
        <v>6829515</v>
      </c>
      <c r="F1764" s="343" t="s">
        <v>8467</v>
      </c>
      <c r="G1764" s="360" t="s">
        <v>11174</v>
      </c>
      <c r="H1764" s="361">
        <v>43217</v>
      </c>
      <c r="I1764" s="343" t="s">
        <v>211</v>
      </c>
      <c r="J1764" s="343" t="s">
        <v>909</v>
      </c>
      <c r="K1764" s="343" t="s">
        <v>168</v>
      </c>
    </row>
    <row r="1765" spans="1:11" ht="26.25" customHeight="1">
      <c r="A1765" s="343" t="s">
        <v>4304</v>
      </c>
      <c r="B1765" s="344" t="s">
        <v>162</v>
      </c>
      <c r="C1765" s="344">
        <v>6800</v>
      </c>
      <c r="D1765" s="343" t="s">
        <v>4678</v>
      </c>
      <c r="E1765" s="344">
        <v>5796779</v>
      </c>
      <c r="F1765" s="343" t="s">
        <v>4622</v>
      </c>
      <c r="G1765" s="360" t="s">
        <v>11057</v>
      </c>
      <c r="H1765" s="361">
        <v>43220</v>
      </c>
      <c r="I1765" s="343" t="s">
        <v>802</v>
      </c>
      <c r="J1765" s="343" t="s">
        <v>1075</v>
      </c>
      <c r="K1765" s="343" t="s">
        <v>168</v>
      </c>
    </row>
    <row r="1766" spans="1:11" ht="26.25" customHeight="1">
      <c r="A1766" s="343" t="s">
        <v>4304</v>
      </c>
      <c r="B1766" s="344" t="s">
        <v>162</v>
      </c>
      <c r="C1766" s="344">
        <v>12147</v>
      </c>
      <c r="D1766" s="343" t="s">
        <v>4417</v>
      </c>
      <c r="E1766" s="344">
        <v>6012586</v>
      </c>
      <c r="F1766" s="343" t="s">
        <v>8468</v>
      </c>
      <c r="G1766" s="360" t="s">
        <v>9594</v>
      </c>
      <c r="H1766" s="361">
        <v>43220</v>
      </c>
      <c r="I1766" s="343" t="s">
        <v>166</v>
      </c>
      <c r="J1766" s="343" t="s">
        <v>327</v>
      </c>
      <c r="K1766" s="343" t="s">
        <v>168</v>
      </c>
    </row>
    <row r="1767" spans="1:11" ht="26.25" customHeight="1">
      <c r="A1767" s="343" t="s">
        <v>4304</v>
      </c>
      <c r="B1767" s="344" t="s">
        <v>162</v>
      </c>
      <c r="C1767" s="344">
        <v>10750</v>
      </c>
      <c r="D1767" s="343" t="s">
        <v>4684</v>
      </c>
      <c r="E1767" s="344">
        <v>5930313</v>
      </c>
      <c r="F1767" s="343" t="s">
        <v>8469</v>
      </c>
      <c r="G1767" s="360" t="s">
        <v>9638</v>
      </c>
      <c r="H1767" s="361">
        <v>43222</v>
      </c>
      <c r="I1767" s="343" t="s">
        <v>366</v>
      </c>
      <c r="J1767" s="343" t="s">
        <v>366</v>
      </c>
      <c r="K1767" s="343" t="s">
        <v>168</v>
      </c>
    </row>
    <row r="1768" spans="1:11" ht="26.25" customHeight="1">
      <c r="A1768" s="343" t="s">
        <v>4304</v>
      </c>
      <c r="B1768" s="344" t="s">
        <v>162</v>
      </c>
      <c r="C1768" s="344">
        <v>7114</v>
      </c>
      <c r="D1768" s="343" t="s">
        <v>4455</v>
      </c>
      <c r="E1768" s="344">
        <v>5255001</v>
      </c>
      <c r="F1768" s="343" t="s">
        <v>8470</v>
      </c>
      <c r="G1768" s="360" t="s">
        <v>11175</v>
      </c>
      <c r="H1768" s="361">
        <v>43224</v>
      </c>
      <c r="I1768" s="343" t="s">
        <v>3692</v>
      </c>
      <c r="J1768" s="343" t="s">
        <v>11176</v>
      </c>
      <c r="K1768" s="343" t="s">
        <v>168</v>
      </c>
    </row>
    <row r="1769" spans="1:11" ht="26.25" customHeight="1">
      <c r="A1769" s="343" t="s">
        <v>4304</v>
      </c>
      <c r="B1769" s="344" t="s">
        <v>162</v>
      </c>
      <c r="C1769" s="344">
        <v>8436</v>
      </c>
      <c r="D1769" s="343" t="s">
        <v>7806</v>
      </c>
      <c r="E1769" s="344">
        <v>6981714</v>
      </c>
      <c r="F1769" s="343" t="s">
        <v>7842</v>
      </c>
      <c r="G1769" s="360" t="s">
        <v>11177</v>
      </c>
      <c r="H1769" s="361">
        <v>43224</v>
      </c>
      <c r="I1769" s="343" t="s">
        <v>8471</v>
      </c>
      <c r="J1769" s="343" t="s">
        <v>11178</v>
      </c>
      <c r="K1769" s="343" t="s">
        <v>168</v>
      </c>
    </row>
    <row r="1770" spans="1:11" ht="26.25" customHeight="1">
      <c r="A1770" s="343" t="s">
        <v>4304</v>
      </c>
      <c r="B1770" s="344" t="s">
        <v>162</v>
      </c>
      <c r="C1770" s="344">
        <v>6800</v>
      </c>
      <c r="D1770" s="343" t="s">
        <v>4678</v>
      </c>
      <c r="E1770" s="344">
        <v>6098875</v>
      </c>
      <c r="F1770" s="343" t="s">
        <v>8472</v>
      </c>
      <c r="G1770" s="360" t="s">
        <v>11179</v>
      </c>
      <c r="H1770" s="361">
        <v>43224</v>
      </c>
      <c r="I1770" s="343" t="s">
        <v>198</v>
      </c>
      <c r="J1770" s="343" t="s">
        <v>198</v>
      </c>
      <c r="K1770" s="343" t="s">
        <v>168</v>
      </c>
    </row>
    <row r="1771" spans="1:11" ht="26.25" customHeight="1">
      <c r="A1771" s="343" t="s">
        <v>4304</v>
      </c>
      <c r="B1771" s="344" t="s">
        <v>162</v>
      </c>
      <c r="C1771" s="344">
        <v>7685</v>
      </c>
      <c r="D1771" s="343" t="s">
        <v>4338</v>
      </c>
      <c r="E1771" s="344">
        <v>6769711</v>
      </c>
      <c r="F1771" s="343" t="s">
        <v>8473</v>
      </c>
      <c r="G1771" s="360" t="s">
        <v>11180</v>
      </c>
      <c r="H1771" s="361">
        <v>43224</v>
      </c>
      <c r="I1771" s="343" t="s">
        <v>166</v>
      </c>
      <c r="J1771" s="343" t="s">
        <v>327</v>
      </c>
      <c r="K1771" s="343" t="s">
        <v>168</v>
      </c>
    </row>
    <row r="1772" spans="1:11" ht="26.25" customHeight="1">
      <c r="A1772" s="343" t="s">
        <v>4304</v>
      </c>
      <c r="B1772" s="344" t="s">
        <v>162</v>
      </c>
      <c r="C1772" s="344">
        <v>7685</v>
      </c>
      <c r="D1772" s="343" t="s">
        <v>4338</v>
      </c>
      <c r="E1772" s="344">
        <v>6807592</v>
      </c>
      <c r="F1772" s="343" t="s">
        <v>8474</v>
      </c>
      <c r="G1772" s="360" t="s">
        <v>11181</v>
      </c>
      <c r="H1772" s="361">
        <v>43224</v>
      </c>
      <c r="I1772" s="343" t="s">
        <v>166</v>
      </c>
      <c r="J1772" s="343" t="s">
        <v>9413</v>
      </c>
      <c r="K1772" s="343" t="s">
        <v>168</v>
      </c>
    </row>
    <row r="1773" spans="1:11" ht="26.25" customHeight="1">
      <c r="A1773" s="343" t="s">
        <v>4304</v>
      </c>
      <c r="B1773" s="344" t="s">
        <v>162</v>
      </c>
      <c r="C1773" s="344">
        <v>6802</v>
      </c>
      <c r="D1773" s="343" t="s">
        <v>4416</v>
      </c>
      <c r="E1773" s="344">
        <v>6972528</v>
      </c>
      <c r="F1773" s="343" t="s">
        <v>8475</v>
      </c>
      <c r="G1773" s="360" t="s">
        <v>11182</v>
      </c>
      <c r="H1773" s="361">
        <v>43227</v>
      </c>
      <c r="I1773" s="343" t="s">
        <v>193</v>
      </c>
      <c r="J1773" s="343" t="s">
        <v>9532</v>
      </c>
      <c r="K1773" s="343" t="s">
        <v>168</v>
      </c>
    </row>
    <row r="1774" spans="1:11" ht="26.25" customHeight="1">
      <c r="A1774" s="343" t="s">
        <v>4304</v>
      </c>
      <c r="B1774" s="344" t="s">
        <v>162</v>
      </c>
      <c r="C1774" s="344">
        <v>7204</v>
      </c>
      <c r="D1774" s="343" t="s">
        <v>4596</v>
      </c>
      <c r="E1774" s="344">
        <v>6668022</v>
      </c>
      <c r="F1774" s="343" t="s">
        <v>8476</v>
      </c>
      <c r="G1774" s="360" t="s">
        <v>10477</v>
      </c>
      <c r="H1774" s="361">
        <v>43227</v>
      </c>
      <c r="I1774" s="343" t="s">
        <v>301</v>
      </c>
      <c r="J1774" s="343" t="s">
        <v>1113</v>
      </c>
      <c r="K1774" s="343" t="s">
        <v>168</v>
      </c>
    </row>
    <row r="1775" spans="1:11" ht="26.25" customHeight="1">
      <c r="A1775" s="343" t="s">
        <v>4304</v>
      </c>
      <c r="B1775" s="344" t="s">
        <v>162</v>
      </c>
      <c r="C1775" s="344">
        <v>9396</v>
      </c>
      <c r="D1775" s="343" t="s">
        <v>4570</v>
      </c>
      <c r="E1775" s="344">
        <v>6857484</v>
      </c>
      <c r="F1775" s="343" t="s">
        <v>8477</v>
      </c>
      <c r="G1775" s="360" t="s">
        <v>11183</v>
      </c>
      <c r="H1775" s="361">
        <v>43227</v>
      </c>
      <c r="I1775" s="343" t="s">
        <v>8478</v>
      </c>
      <c r="J1775" s="343" t="s">
        <v>11184</v>
      </c>
      <c r="K1775" s="343" t="s">
        <v>168</v>
      </c>
    </row>
    <row r="1776" spans="1:11" ht="26.25" customHeight="1">
      <c r="A1776" s="343" t="s">
        <v>4304</v>
      </c>
      <c r="B1776" s="344" t="s">
        <v>162</v>
      </c>
      <c r="C1776" s="344">
        <v>6854</v>
      </c>
      <c r="D1776" s="343" t="s">
        <v>8462</v>
      </c>
      <c r="E1776" s="344">
        <v>6407615</v>
      </c>
      <c r="F1776" s="343" t="s">
        <v>8479</v>
      </c>
      <c r="G1776" s="360" t="s">
        <v>10056</v>
      </c>
      <c r="H1776" s="361">
        <v>43227</v>
      </c>
      <c r="I1776" s="343" t="s">
        <v>8480</v>
      </c>
      <c r="J1776" s="343" t="s">
        <v>11185</v>
      </c>
      <c r="K1776" s="343" t="s">
        <v>248</v>
      </c>
    </row>
    <row r="1777" spans="1:11" ht="26.25" customHeight="1">
      <c r="A1777" s="343" t="s">
        <v>4304</v>
      </c>
      <c r="B1777" s="344" t="s">
        <v>162</v>
      </c>
      <c r="C1777" s="344">
        <v>6760</v>
      </c>
      <c r="D1777" s="343" t="s">
        <v>4691</v>
      </c>
      <c r="E1777" s="344">
        <v>5855290</v>
      </c>
      <c r="F1777" s="343" t="s">
        <v>8481</v>
      </c>
      <c r="G1777" s="360" t="s">
        <v>1081</v>
      </c>
      <c r="H1777" s="361">
        <v>43227</v>
      </c>
      <c r="I1777" s="343" t="s">
        <v>8482</v>
      </c>
      <c r="J1777" s="343" t="s">
        <v>11186</v>
      </c>
      <c r="K1777" s="343" t="s">
        <v>168</v>
      </c>
    </row>
    <row r="1778" spans="1:11" ht="26.25" customHeight="1">
      <c r="A1778" s="343" t="s">
        <v>4304</v>
      </c>
      <c r="B1778" s="344" t="s">
        <v>162</v>
      </c>
      <c r="C1778" s="344">
        <v>12173</v>
      </c>
      <c r="D1778" s="343" t="s">
        <v>4731</v>
      </c>
      <c r="E1778" s="344">
        <v>5954372</v>
      </c>
      <c r="F1778" s="343" t="s">
        <v>8483</v>
      </c>
      <c r="G1778" s="360" t="s">
        <v>11127</v>
      </c>
      <c r="H1778" s="361">
        <v>43231</v>
      </c>
      <c r="I1778" s="343" t="s">
        <v>8484</v>
      </c>
      <c r="J1778" s="343" t="s">
        <v>11187</v>
      </c>
      <c r="K1778" s="343" t="s">
        <v>168</v>
      </c>
    </row>
    <row r="1779" spans="1:11" ht="26.25" customHeight="1">
      <c r="A1779" s="343" t="s">
        <v>4304</v>
      </c>
      <c r="B1779" s="344" t="s">
        <v>162</v>
      </c>
      <c r="C1779" s="344">
        <v>7186</v>
      </c>
      <c r="D1779" s="343" t="s">
        <v>4530</v>
      </c>
      <c r="E1779" s="344">
        <v>6312029</v>
      </c>
      <c r="F1779" s="343" t="s">
        <v>8485</v>
      </c>
      <c r="G1779" s="360" t="s">
        <v>653</v>
      </c>
      <c r="H1779" s="361">
        <v>43231</v>
      </c>
      <c r="I1779" s="343" t="s">
        <v>366</v>
      </c>
      <c r="J1779" s="343" t="s">
        <v>366</v>
      </c>
      <c r="K1779" s="343" t="s">
        <v>168</v>
      </c>
    </row>
    <row r="1780" spans="1:11" ht="26.25" customHeight="1">
      <c r="A1780" s="343" t="s">
        <v>4304</v>
      </c>
      <c r="B1780" s="344" t="s">
        <v>162</v>
      </c>
      <c r="C1780" s="344">
        <v>7647</v>
      </c>
      <c r="D1780" s="343" t="s">
        <v>4371</v>
      </c>
      <c r="E1780" s="344">
        <v>6839350</v>
      </c>
      <c r="F1780" s="343" t="s">
        <v>8486</v>
      </c>
      <c r="G1780" s="360" t="s">
        <v>11188</v>
      </c>
      <c r="H1780" s="361">
        <v>43231</v>
      </c>
      <c r="I1780" s="343" t="s">
        <v>271</v>
      </c>
      <c r="J1780" s="343" t="s">
        <v>333</v>
      </c>
      <c r="K1780" s="343" t="s">
        <v>168</v>
      </c>
    </row>
    <row r="1781" spans="1:11" ht="26.25" customHeight="1">
      <c r="A1781" s="343" t="s">
        <v>4304</v>
      </c>
      <c r="B1781" s="344" t="s">
        <v>162</v>
      </c>
      <c r="C1781" s="344">
        <v>12146</v>
      </c>
      <c r="D1781" s="343" t="s">
        <v>4405</v>
      </c>
      <c r="E1781" s="344">
        <v>5145799</v>
      </c>
      <c r="F1781" s="343" t="s">
        <v>8487</v>
      </c>
      <c r="G1781" s="360" t="s">
        <v>11189</v>
      </c>
      <c r="H1781" s="361">
        <v>43231</v>
      </c>
      <c r="I1781" s="343" t="s">
        <v>219</v>
      </c>
      <c r="J1781" s="343" t="s">
        <v>220</v>
      </c>
      <c r="K1781" s="343" t="s">
        <v>173</v>
      </c>
    </row>
    <row r="1782" spans="1:11" ht="26.25" customHeight="1">
      <c r="A1782" s="343" t="s">
        <v>4304</v>
      </c>
      <c r="B1782" s="344" t="s">
        <v>162</v>
      </c>
      <c r="C1782" s="344">
        <v>10087</v>
      </c>
      <c r="D1782" s="343" t="s">
        <v>4333</v>
      </c>
      <c r="E1782" s="344">
        <v>6314604</v>
      </c>
      <c r="F1782" s="343" t="s">
        <v>8489</v>
      </c>
      <c r="G1782" s="360" t="s">
        <v>9359</v>
      </c>
      <c r="H1782" s="361">
        <v>43231</v>
      </c>
      <c r="I1782" s="343" t="s">
        <v>193</v>
      </c>
      <c r="J1782" s="343" t="s">
        <v>603</v>
      </c>
      <c r="K1782" s="343" t="s">
        <v>168</v>
      </c>
    </row>
    <row r="1783" spans="1:11" ht="26.25" customHeight="1">
      <c r="A1783" s="343" t="s">
        <v>4304</v>
      </c>
      <c r="B1783" s="344" t="s">
        <v>162</v>
      </c>
      <c r="C1783" s="344">
        <v>7647</v>
      </c>
      <c r="D1783" s="343" t="s">
        <v>4371</v>
      </c>
      <c r="E1783" s="344">
        <v>6825052</v>
      </c>
      <c r="F1783" s="343" t="s">
        <v>8490</v>
      </c>
      <c r="G1783" s="360" t="s">
        <v>10992</v>
      </c>
      <c r="H1783" s="361">
        <v>43234</v>
      </c>
      <c r="I1783" s="343" t="s">
        <v>8491</v>
      </c>
      <c r="J1783" s="343" t="s">
        <v>11190</v>
      </c>
      <c r="K1783" s="343" t="s">
        <v>168</v>
      </c>
    </row>
    <row r="1784" spans="1:11" ht="26.25" customHeight="1">
      <c r="A1784" s="343" t="s">
        <v>4304</v>
      </c>
      <c r="B1784" s="344" t="s">
        <v>162</v>
      </c>
      <c r="C1784" s="344">
        <v>8433</v>
      </c>
      <c r="D1784" s="343" t="s">
        <v>8492</v>
      </c>
      <c r="E1784" s="344">
        <v>5996447</v>
      </c>
      <c r="F1784" s="343" t="s">
        <v>8493</v>
      </c>
      <c r="G1784" s="360" t="s">
        <v>9644</v>
      </c>
      <c r="H1784" s="361">
        <v>43234</v>
      </c>
      <c r="I1784" s="343" t="s">
        <v>193</v>
      </c>
      <c r="J1784" s="343" t="s">
        <v>637</v>
      </c>
      <c r="K1784" s="343" t="s">
        <v>168</v>
      </c>
    </row>
    <row r="1785" spans="1:11" ht="26.25" customHeight="1">
      <c r="A1785" s="343" t="s">
        <v>4304</v>
      </c>
      <c r="B1785" s="344" t="s">
        <v>162</v>
      </c>
      <c r="C1785" s="344">
        <v>6802</v>
      </c>
      <c r="D1785" s="343" t="s">
        <v>4416</v>
      </c>
      <c r="E1785" s="344">
        <v>5981517</v>
      </c>
      <c r="F1785" s="343" t="s">
        <v>4385</v>
      </c>
      <c r="G1785" s="360" t="s">
        <v>11191</v>
      </c>
      <c r="H1785" s="361">
        <v>43234</v>
      </c>
      <c r="I1785" s="343" t="s">
        <v>3880</v>
      </c>
      <c r="J1785" s="343" t="s">
        <v>11192</v>
      </c>
      <c r="K1785" s="343" t="s">
        <v>168</v>
      </c>
    </row>
    <row r="1786" spans="1:11" ht="26.25" customHeight="1">
      <c r="A1786" s="343" t="s">
        <v>4304</v>
      </c>
      <c r="B1786" s="344" t="s">
        <v>162</v>
      </c>
      <c r="C1786" s="344">
        <v>7175</v>
      </c>
      <c r="D1786" s="343" t="s">
        <v>4557</v>
      </c>
      <c r="E1786" s="344">
        <v>4519201</v>
      </c>
      <c r="F1786" s="343" t="s">
        <v>8494</v>
      </c>
      <c r="G1786" s="360" t="s">
        <v>11174</v>
      </c>
      <c r="H1786" s="361">
        <v>43235</v>
      </c>
      <c r="I1786" s="343" t="s">
        <v>366</v>
      </c>
      <c r="J1786" s="343" t="s">
        <v>11193</v>
      </c>
      <c r="K1786" s="343" t="s">
        <v>168</v>
      </c>
    </row>
    <row r="1787" spans="1:11" ht="26.25" customHeight="1">
      <c r="A1787" s="343" t="s">
        <v>4304</v>
      </c>
      <c r="B1787" s="344" t="s">
        <v>162</v>
      </c>
      <c r="C1787" s="344">
        <v>7268</v>
      </c>
      <c r="D1787" s="343" t="s">
        <v>4630</v>
      </c>
      <c r="E1787" s="344">
        <v>6325324</v>
      </c>
      <c r="F1787" s="343" t="s">
        <v>7797</v>
      </c>
      <c r="G1787" s="360" t="s">
        <v>11194</v>
      </c>
      <c r="H1787" s="361">
        <v>43235</v>
      </c>
      <c r="I1787" s="343" t="s">
        <v>193</v>
      </c>
      <c r="J1787" s="343" t="s">
        <v>9511</v>
      </c>
      <c r="K1787" s="343" t="s">
        <v>168</v>
      </c>
    </row>
    <row r="1788" spans="1:11" ht="26.25" customHeight="1">
      <c r="A1788" s="343" t="s">
        <v>4304</v>
      </c>
      <c r="B1788" s="344" t="s">
        <v>162</v>
      </c>
      <c r="C1788" s="344">
        <v>9040</v>
      </c>
      <c r="D1788" s="343" t="s">
        <v>4549</v>
      </c>
      <c r="E1788" s="344">
        <v>5634955</v>
      </c>
      <c r="F1788" s="343" t="s">
        <v>8495</v>
      </c>
      <c r="G1788" s="360" t="s">
        <v>11195</v>
      </c>
      <c r="H1788" s="361">
        <v>43236</v>
      </c>
      <c r="I1788" s="343" t="s">
        <v>366</v>
      </c>
      <c r="J1788" s="343" t="s">
        <v>366</v>
      </c>
      <c r="K1788" s="343" t="s">
        <v>168</v>
      </c>
    </row>
    <row r="1789" spans="1:11" ht="26.25" customHeight="1">
      <c r="A1789" s="343" t="s">
        <v>4304</v>
      </c>
      <c r="B1789" s="344" t="s">
        <v>162</v>
      </c>
      <c r="C1789" s="344">
        <v>12183</v>
      </c>
      <c r="D1789" s="343" t="s">
        <v>4379</v>
      </c>
      <c r="E1789" s="344">
        <v>6947627</v>
      </c>
      <c r="F1789" s="343" t="s">
        <v>8496</v>
      </c>
      <c r="G1789" s="360" t="s">
        <v>11196</v>
      </c>
      <c r="H1789" s="361">
        <v>43236</v>
      </c>
      <c r="I1789" s="343" t="s">
        <v>305</v>
      </c>
      <c r="J1789" s="343" t="s">
        <v>11197</v>
      </c>
      <c r="K1789" s="343" t="s">
        <v>168</v>
      </c>
    </row>
    <row r="1790" spans="1:11" ht="26.25" customHeight="1">
      <c r="A1790" s="343" t="s">
        <v>4304</v>
      </c>
      <c r="B1790" s="344" t="s">
        <v>162</v>
      </c>
      <c r="C1790" s="344">
        <v>12173</v>
      </c>
      <c r="D1790" s="343" t="s">
        <v>4731</v>
      </c>
      <c r="E1790" s="344">
        <v>6423783</v>
      </c>
      <c r="F1790" s="343" t="s">
        <v>8497</v>
      </c>
      <c r="G1790" s="360" t="s">
        <v>11198</v>
      </c>
      <c r="H1790" s="361">
        <v>43236</v>
      </c>
      <c r="I1790" s="343" t="s">
        <v>198</v>
      </c>
      <c r="J1790" s="343" t="s">
        <v>198</v>
      </c>
      <c r="K1790" s="343" t="s">
        <v>168</v>
      </c>
    </row>
    <row r="1791" spans="1:11" ht="26.25" customHeight="1">
      <c r="A1791" s="343" t="s">
        <v>4304</v>
      </c>
      <c r="B1791" s="344" t="s">
        <v>162</v>
      </c>
      <c r="C1791" s="344">
        <v>8437</v>
      </c>
      <c r="D1791" s="343" t="s">
        <v>4638</v>
      </c>
      <c r="E1791" s="344">
        <v>6261001</v>
      </c>
      <c r="F1791" s="343" t="s">
        <v>8498</v>
      </c>
      <c r="G1791" s="360" t="s">
        <v>11199</v>
      </c>
      <c r="H1791" s="361">
        <v>43238</v>
      </c>
      <c r="I1791" s="343" t="s">
        <v>4978</v>
      </c>
      <c r="J1791" s="343" t="s">
        <v>11200</v>
      </c>
      <c r="K1791" s="343" t="s">
        <v>168</v>
      </c>
    </row>
    <row r="1792" spans="1:11" ht="26.25" customHeight="1">
      <c r="A1792" s="343" t="s">
        <v>4304</v>
      </c>
      <c r="B1792" s="344" t="s">
        <v>162</v>
      </c>
      <c r="C1792" s="344">
        <v>9883</v>
      </c>
      <c r="D1792" s="343" t="s">
        <v>4382</v>
      </c>
      <c r="E1792" s="344">
        <v>6719840</v>
      </c>
      <c r="F1792" s="343" t="s">
        <v>8499</v>
      </c>
      <c r="G1792" s="360" t="s">
        <v>11201</v>
      </c>
      <c r="H1792" s="361">
        <v>43242</v>
      </c>
      <c r="I1792" s="343" t="s">
        <v>193</v>
      </c>
      <c r="J1792" s="343" t="s">
        <v>637</v>
      </c>
      <c r="K1792" s="343" t="s">
        <v>168</v>
      </c>
    </row>
    <row r="1793" spans="1:11" ht="26.25" customHeight="1">
      <c r="A1793" s="343" t="s">
        <v>4304</v>
      </c>
      <c r="B1793" s="344" t="s">
        <v>162</v>
      </c>
      <c r="C1793" s="344">
        <v>7650</v>
      </c>
      <c r="D1793" s="343" t="s">
        <v>4346</v>
      </c>
      <c r="E1793" s="344">
        <v>6831807</v>
      </c>
      <c r="F1793" s="343" t="s">
        <v>8500</v>
      </c>
      <c r="G1793" s="360" t="s">
        <v>11202</v>
      </c>
      <c r="H1793" s="361">
        <v>43242</v>
      </c>
      <c r="I1793" s="343" t="s">
        <v>8501</v>
      </c>
      <c r="J1793" s="343" t="s">
        <v>11203</v>
      </c>
      <c r="K1793" s="343" t="s">
        <v>168</v>
      </c>
    </row>
    <row r="1794" spans="1:11" ht="26.25" customHeight="1">
      <c r="A1794" s="343" t="s">
        <v>4304</v>
      </c>
      <c r="B1794" s="344" t="s">
        <v>162</v>
      </c>
      <c r="C1794" s="344">
        <v>7650</v>
      </c>
      <c r="D1794" s="343" t="s">
        <v>4346</v>
      </c>
      <c r="E1794" s="344">
        <v>6942875</v>
      </c>
      <c r="F1794" s="343" t="s">
        <v>8502</v>
      </c>
      <c r="G1794" s="360" t="s">
        <v>11204</v>
      </c>
      <c r="H1794" s="361">
        <v>43242</v>
      </c>
      <c r="I1794" s="343" t="s">
        <v>193</v>
      </c>
      <c r="J1794" s="343" t="s">
        <v>637</v>
      </c>
      <c r="K1794" s="343" t="s">
        <v>168</v>
      </c>
    </row>
    <row r="1795" spans="1:11" ht="26.25" customHeight="1">
      <c r="A1795" s="343" t="s">
        <v>4304</v>
      </c>
      <c r="B1795" s="344" t="s">
        <v>162</v>
      </c>
      <c r="C1795" s="344">
        <v>7147</v>
      </c>
      <c r="D1795" s="343" t="s">
        <v>4504</v>
      </c>
      <c r="E1795" s="344">
        <v>5872762</v>
      </c>
      <c r="F1795" s="343" t="s">
        <v>8503</v>
      </c>
      <c r="G1795" s="360" t="s">
        <v>11205</v>
      </c>
      <c r="H1795" s="361">
        <v>43243</v>
      </c>
      <c r="I1795" s="343" t="s">
        <v>6973</v>
      </c>
      <c r="J1795" s="343" t="s">
        <v>11206</v>
      </c>
      <c r="K1795" s="343" t="s">
        <v>168</v>
      </c>
    </row>
    <row r="1796" spans="1:11" ht="26.25" customHeight="1">
      <c r="A1796" s="343" t="s">
        <v>4304</v>
      </c>
      <c r="B1796" s="344" t="s">
        <v>162</v>
      </c>
      <c r="C1796" s="344">
        <v>6762</v>
      </c>
      <c r="D1796" s="343" t="s">
        <v>4644</v>
      </c>
      <c r="E1796" s="344">
        <v>5910964</v>
      </c>
      <c r="F1796" s="343" t="s">
        <v>8504</v>
      </c>
      <c r="G1796" s="360" t="s">
        <v>1400</v>
      </c>
      <c r="H1796" s="361">
        <v>43243</v>
      </c>
      <c r="I1796" s="343" t="s">
        <v>4742</v>
      </c>
      <c r="J1796" s="343" t="s">
        <v>11207</v>
      </c>
      <c r="K1796" s="343" t="s">
        <v>168</v>
      </c>
    </row>
    <row r="1797" spans="1:11" ht="26.25" customHeight="1">
      <c r="A1797" s="343" t="s">
        <v>4304</v>
      </c>
      <c r="B1797" s="344" t="s">
        <v>162</v>
      </c>
      <c r="C1797" s="344">
        <v>6762</v>
      </c>
      <c r="D1797" s="343" t="s">
        <v>4644</v>
      </c>
      <c r="E1797" s="344">
        <v>5899788</v>
      </c>
      <c r="F1797" s="343" t="s">
        <v>8505</v>
      </c>
      <c r="G1797" s="360" t="s">
        <v>11208</v>
      </c>
      <c r="H1797" s="361">
        <v>43243</v>
      </c>
      <c r="I1797" s="343" t="s">
        <v>261</v>
      </c>
      <c r="J1797" s="343" t="s">
        <v>631</v>
      </c>
      <c r="K1797" s="343" t="s">
        <v>168</v>
      </c>
    </row>
    <row r="1798" spans="1:11" ht="26.25" customHeight="1">
      <c r="A1798" s="343" t="s">
        <v>4304</v>
      </c>
      <c r="B1798" s="344" t="s">
        <v>162</v>
      </c>
      <c r="C1798" s="344">
        <v>7175</v>
      </c>
      <c r="D1798" s="343" t="s">
        <v>4557</v>
      </c>
      <c r="E1798" s="344">
        <v>5275965</v>
      </c>
      <c r="F1798" s="343" t="s">
        <v>8506</v>
      </c>
      <c r="G1798" s="360" t="s">
        <v>10903</v>
      </c>
      <c r="H1798" s="361">
        <v>43243</v>
      </c>
      <c r="I1798" s="343" t="s">
        <v>198</v>
      </c>
      <c r="J1798" s="343" t="s">
        <v>198</v>
      </c>
      <c r="K1798" s="343" t="s">
        <v>168</v>
      </c>
    </row>
    <row r="1799" spans="1:11" ht="26.25" customHeight="1">
      <c r="A1799" s="343" t="s">
        <v>4304</v>
      </c>
      <c r="B1799" s="344" t="s">
        <v>162</v>
      </c>
      <c r="C1799" s="344">
        <v>8430</v>
      </c>
      <c r="D1799" s="343" t="s">
        <v>4421</v>
      </c>
      <c r="E1799" s="344">
        <v>5210043</v>
      </c>
      <c r="F1799" s="343" t="s">
        <v>4429</v>
      </c>
      <c r="G1799" s="360" t="s">
        <v>11209</v>
      </c>
      <c r="H1799" s="361">
        <v>43243</v>
      </c>
      <c r="I1799" s="343" t="s">
        <v>580</v>
      </c>
      <c r="J1799" s="343" t="s">
        <v>11210</v>
      </c>
      <c r="K1799" s="343" t="s">
        <v>248</v>
      </c>
    </row>
    <row r="1800" spans="1:11" ht="26.25" customHeight="1">
      <c r="A1800" s="343" t="s">
        <v>4304</v>
      </c>
      <c r="B1800" s="344" t="s">
        <v>162</v>
      </c>
      <c r="C1800" s="344">
        <v>8430</v>
      </c>
      <c r="D1800" s="343" t="s">
        <v>4421</v>
      </c>
      <c r="E1800" s="344">
        <v>5213969</v>
      </c>
      <c r="F1800" s="343" t="s">
        <v>4422</v>
      </c>
      <c r="G1800" s="360" t="s">
        <v>11211</v>
      </c>
      <c r="H1800" s="361">
        <v>43243</v>
      </c>
      <c r="I1800" s="343" t="s">
        <v>580</v>
      </c>
      <c r="J1800" s="343" t="s">
        <v>11212</v>
      </c>
      <c r="K1800" s="343" t="s">
        <v>248</v>
      </c>
    </row>
    <row r="1801" spans="1:11" ht="26.25" customHeight="1">
      <c r="A1801" s="343" t="s">
        <v>4304</v>
      </c>
      <c r="B1801" s="344" t="s">
        <v>162</v>
      </c>
      <c r="C1801" s="344">
        <v>10750</v>
      </c>
      <c r="D1801" s="343" t="s">
        <v>4684</v>
      </c>
      <c r="E1801" s="344">
        <v>7009917</v>
      </c>
      <c r="F1801" s="343" t="s">
        <v>8507</v>
      </c>
      <c r="G1801" s="360" t="s">
        <v>11170</v>
      </c>
      <c r="H1801" s="361">
        <v>43244</v>
      </c>
      <c r="I1801" s="343" t="s">
        <v>211</v>
      </c>
      <c r="J1801" s="343" t="s">
        <v>211</v>
      </c>
      <c r="K1801" s="343" t="s">
        <v>168</v>
      </c>
    </row>
    <row r="1802" spans="1:11" ht="26.25" customHeight="1">
      <c r="A1802" s="343" t="s">
        <v>4304</v>
      </c>
      <c r="B1802" s="344" t="s">
        <v>162</v>
      </c>
      <c r="C1802" s="344">
        <v>6806</v>
      </c>
      <c r="D1802" s="343" t="s">
        <v>4674</v>
      </c>
      <c r="E1802" s="344">
        <v>6231672</v>
      </c>
      <c r="F1802" s="343" t="s">
        <v>8508</v>
      </c>
      <c r="G1802" s="360" t="s">
        <v>9594</v>
      </c>
      <c r="H1802" s="361">
        <v>43245</v>
      </c>
      <c r="I1802" s="343" t="s">
        <v>5268</v>
      </c>
      <c r="J1802" s="343" t="s">
        <v>11213</v>
      </c>
      <c r="K1802" s="343" t="s">
        <v>168</v>
      </c>
    </row>
    <row r="1803" spans="1:11" ht="26.25" customHeight="1">
      <c r="A1803" s="343" t="s">
        <v>4304</v>
      </c>
      <c r="B1803" s="344" t="s">
        <v>162</v>
      </c>
      <c r="C1803" s="344">
        <v>7187</v>
      </c>
      <c r="D1803" s="343" t="s">
        <v>4436</v>
      </c>
      <c r="E1803" s="344">
        <v>5672420</v>
      </c>
      <c r="F1803" s="343" t="s">
        <v>8509</v>
      </c>
      <c r="G1803" s="360" t="s">
        <v>11214</v>
      </c>
      <c r="H1803" s="361">
        <v>43245</v>
      </c>
      <c r="I1803" s="343" t="s">
        <v>166</v>
      </c>
      <c r="J1803" s="343" t="s">
        <v>296</v>
      </c>
      <c r="K1803" s="343" t="s">
        <v>168</v>
      </c>
    </row>
    <row r="1804" spans="1:11" ht="26.25" customHeight="1">
      <c r="A1804" s="343" t="s">
        <v>4304</v>
      </c>
      <c r="B1804" s="344" t="s">
        <v>162</v>
      </c>
      <c r="C1804" s="344">
        <v>7669</v>
      </c>
      <c r="D1804" s="343" t="s">
        <v>4353</v>
      </c>
      <c r="E1804" s="344">
        <v>6682292</v>
      </c>
      <c r="F1804" s="343" t="s">
        <v>4354</v>
      </c>
      <c r="G1804" s="360" t="s">
        <v>10255</v>
      </c>
      <c r="H1804" s="361">
        <v>43248</v>
      </c>
      <c r="I1804" s="343" t="s">
        <v>193</v>
      </c>
      <c r="J1804" s="343" t="s">
        <v>9500</v>
      </c>
      <c r="K1804" s="343" t="s">
        <v>168</v>
      </c>
    </row>
    <row r="1805" spans="1:11" ht="26.25" customHeight="1">
      <c r="A1805" s="343" t="s">
        <v>4304</v>
      </c>
      <c r="B1805" s="344" t="s">
        <v>162</v>
      </c>
      <c r="C1805" s="344">
        <v>12717</v>
      </c>
      <c r="D1805" s="343" t="s">
        <v>4430</v>
      </c>
      <c r="E1805" s="344">
        <v>5100656</v>
      </c>
      <c r="F1805" s="343" t="s">
        <v>8510</v>
      </c>
      <c r="G1805" s="360" t="s">
        <v>11215</v>
      </c>
      <c r="H1805" s="361">
        <v>43249</v>
      </c>
      <c r="I1805" s="343" t="s">
        <v>271</v>
      </c>
      <c r="J1805" s="343" t="s">
        <v>11216</v>
      </c>
      <c r="K1805" s="343" t="s">
        <v>168</v>
      </c>
    </row>
    <row r="1806" spans="1:11" ht="26.25" customHeight="1">
      <c r="A1806" s="343" t="s">
        <v>4304</v>
      </c>
      <c r="B1806" s="344" t="s">
        <v>162</v>
      </c>
      <c r="C1806" s="344">
        <v>6801</v>
      </c>
      <c r="D1806" s="343" t="s">
        <v>4614</v>
      </c>
      <c r="E1806" s="344">
        <v>5908052</v>
      </c>
      <c r="F1806" s="343" t="s">
        <v>8511</v>
      </c>
      <c r="G1806" s="360" t="s">
        <v>10954</v>
      </c>
      <c r="H1806" s="361">
        <v>43250</v>
      </c>
      <c r="I1806" s="343" t="s">
        <v>4038</v>
      </c>
      <c r="J1806" s="343" t="s">
        <v>11217</v>
      </c>
      <c r="K1806" s="343" t="s">
        <v>168</v>
      </c>
    </row>
    <row r="1807" spans="1:11" ht="26.25" customHeight="1">
      <c r="A1807" s="343" t="s">
        <v>4304</v>
      </c>
      <c r="B1807" s="344" t="s">
        <v>162</v>
      </c>
      <c r="C1807" s="344">
        <v>6799</v>
      </c>
      <c r="D1807" s="343" t="s">
        <v>4671</v>
      </c>
      <c r="E1807" s="344">
        <v>6985898</v>
      </c>
      <c r="F1807" s="343" t="s">
        <v>8512</v>
      </c>
      <c r="G1807" s="360" t="s">
        <v>10087</v>
      </c>
      <c r="H1807" s="361">
        <v>43250</v>
      </c>
      <c r="I1807" s="343" t="s">
        <v>802</v>
      </c>
      <c r="J1807" s="343" t="s">
        <v>1172</v>
      </c>
      <c r="K1807" s="343" t="s">
        <v>168</v>
      </c>
    </row>
    <row r="1808" spans="1:11" ht="26.25" customHeight="1">
      <c r="A1808" s="343" t="s">
        <v>4304</v>
      </c>
      <c r="B1808" s="344" t="s">
        <v>162</v>
      </c>
      <c r="C1808" s="344">
        <v>7685</v>
      </c>
      <c r="D1808" s="343" t="s">
        <v>4338</v>
      </c>
      <c r="E1808" s="344">
        <v>6800067</v>
      </c>
      <c r="F1808" s="343" t="s">
        <v>8513</v>
      </c>
      <c r="G1808" s="360" t="s">
        <v>11218</v>
      </c>
      <c r="H1808" s="361">
        <v>43250</v>
      </c>
      <c r="I1808" s="343" t="s">
        <v>193</v>
      </c>
      <c r="J1808" s="343" t="s">
        <v>637</v>
      </c>
      <c r="K1808" s="343" t="s">
        <v>168</v>
      </c>
    </row>
    <row r="1809" spans="1:11" ht="26.25" customHeight="1">
      <c r="A1809" s="343" t="s">
        <v>4304</v>
      </c>
      <c r="B1809" s="344" t="s">
        <v>162</v>
      </c>
      <c r="C1809" s="344">
        <v>7283</v>
      </c>
      <c r="D1809" s="343" t="s">
        <v>4313</v>
      </c>
      <c r="E1809" s="344">
        <v>6878446</v>
      </c>
      <c r="F1809" s="343" t="s">
        <v>8514</v>
      </c>
      <c r="G1809" s="360" t="s">
        <v>11219</v>
      </c>
      <c r="H1809" s="361">
        <v>43250</v>
      </c>
      <c r="I1809" s="343" t="s">
        <v>284</v>
      </c>
      <c r="J1809" s="343" t="s">
        <v>11220</v>
      </c>
      <c r="K1809" s="343" t="s">
        <v>168</v>
      </c>
    </row>
    <row r="1810" spans="1:11" ht="26.25" customHeight="1">
      <c r="A1810" s="343" t="s">
        <v>4304</v>
      </c>
      <c r="B1810" s="344" t="s">
        <v>162</v>
      </c>
      <c r="C1810" s="344">
        <v>6800</v>
      </c>
      <c r="D1810" s="343" t="s">
        <v>4678</v>
      </c>
      <c r="E1810" s="344">
        <v>6353182</v>
      </c>
      <c r="F1810" s="343" t="s">
        <v>8515</v>
      </c>
      <c r="G1810" s="360" t="s">
        <v>9584</v>
      </c>
      <c r="H1810" s="361">
        <v>43250</v>
      </c>
      <c r="I1810" s="343" t="s">
        <v>193</v>
      </c>
      <c r="J1810" s="343" t="s">
        <v>637</v>
      </c>
      <c r="K1810" s="343" t="s">
        <v>168</v>
      </c>
    </row>
    <row r="1811" spans="1:11" ht="26.25" customHeight="1">
      <c r="A1811" s="343" t="s">
        <v>4304</v>
      </c>
      <c r="B1811" s="344" t="s">
        <v>162</v>
      </c>
      <c r="C1811" s="344">
        <v>10750</v>
      </c>
      <c r="D1811" s="343" t="s">
        <v>4684</v>
      </c>
      <c r="E1811" s="344">
        <v>6873078</v>
      </c>
      <c r="F1811" s="343" t="s">
        <v>8516</v>
      </c>
      <c r="G1811" s="360" t="s">
        <v>1473</v>
      </c>
      <c r="H1811" s="361">
        <v>43255</v>
      </c>
      <c r="I1811" s="343" t="s">
        <v>180</v>
      </c>
      <c r="J1811" s="343" t="s">
        <v>11221</v>
      </c>
      <c r="K1811" s="343" t="s">
        <v>173</v>
      </c>
    </row>
    <row r="1812" spans="1:11" ht="26.25" customHeight="1">
      <c r="A1812" s="343" t="s">
        <v>4304</v>
      </c>
      <c r="B1812" s="344" t="s">
        <v>162</v>
      </c>
      <c r="C1812" s="344">
        <v>6796</v>
      </c>
      <c r="D1812" s="343" t="s">
        <v>4694</v>
      </c>
      <c r="E1812" s="344">
        <v>6532278</v>
      </c>
      <c r="F1812" s="343" t="s">
        <v>8517</v>
      </c>
      <c r="G1812" s="360" t="s">
        <v>10597</v>
      </c>
      <c r="H1812" s="361">
        <v>43255</v>
      </c>
      <c r="I1812" s="343" t="s">
        <v>3992</v>
      </c>
      <c r="J1812" s="343" t="s">
        <v>239</v>
      </c>
      <c r="K1812" s="343" t="s">
        <v>173</v>
      </c>
    </row>
    <row r="1813" spans="1:11" ht="26.25" customHeight="1">
      <c r="A1813" s="343" t="s">
        <v>4304</v>
      </c>
      <c r="B1813" s="344" t="s">
        <v>162</v>
      </c>
      <c r="C1813" s="344">
        <v>12719</v>
      </c>
      <c r="D1813" s="343" t="s">
        <v>4650</v>
      </c>
      <c r="E1813" s="344">
        <v>6863112</v>
      </c>
      <c r="F1813" s="343" t="s">
        <v>8518</v>
      </c>
      <c r="G1813" s="360" t="s">
        <v>11222</v>
      </c>
      <c r="H1813" s="361">
        <v>43256</v>
      </c>
      <c r="I1813" s="343" t="s">
        <v>180</v>
      </c>
      <c r="J1813" s="343" t="s">
        <v>11223</v>
      </c>
      <c r="K1813" s="343" t="s">
        <v>168</v>
      </c>
    </row>
    <row r="1814" spans="1:11" ht="26.25" customHeight="1">
      <c r="A1814" s="343" t="s">
        <v>4304</v>
      </c>
      <c r="B1814" s="344" t="s">
        <v>162</v>
      </c>
      <c r="C1814" s="344">
        <v>7634</v>
      </c>
      <c r="D1814" s="343" t="s">
        <v>4376</v>
      </c>
      <c r="E1814" s="344">
        <v>6690142</v>
      </c>
      <c r="F1814" s="343" t="s">
        <v>4378</v>
      </c>
      <c r="G1814" s="360" t="s">
        <v>11224</v>
      </c>
      <c r="H1814" s="361">
        <v>43257</v>
      </c>
      <c r="I1814" s="343" t="s">
        <v>301</v>
      </c>
      <c r="J1814" s="343" t="s">
        <v>530</v>
      </c>
      <c r="K1814" s="343" t="s">
        <v>168</v>
      </c>
    </row>
    <row r="1815" spans="1:11" ht="26.25" customHeight="1">
      <c r="A1815" s="343" t="s">
        <v>4304</v>
      </c>
      <c r="B1815" s="344" t="s">
        <v>162</v>
      </c>
      <c r="C1815" s="344">
        <v>6762</v>
      </c>
      <c r="D1815" s="343" t="s">
        <v>4644</v>
      </c>
      <c r="E1815" s="344">
        <v>6154937</v>
      </c>
      <c r="F1815" s="343" t="s">
        <v>8519</v>
      </c>
      <c r="G1815" s="360" t="s">
        <v>11225</v>
      </c>
      <c r="H1815" s="361">
        <v>43257</v>
      </c>
      <c r="I1815" s="343" t="s">
        <v>193</v>
      </c>
      <c r="J1815" s="343" t="s">
        <v>637</v>
      </c>
      <c r="K1815" s="343" t="s">
        <v>168</v>
      </c>
    </row>
    <row r="1816" spans="1:11" ht="26.25" customHeight="1">
      <c r="A1816" s="343" t="s">
        <v>4304</v>
      </c>
      <c r="B1816" s="344" t="s">
        <v>162</v>
      </c>
      <c r="C1816" s="344">
        <v>12701</v>
      </c>
      <c r="D1816" s="343" t="s">
        <v>4343</v>
      </c>
      <c r="E1816" s="344">
        <v>6402426</v>
      </c>
      <c r="F1816" s="343" t="s">
        <v>8520</v>
      </c>
      <c r="G1816" s="360" t="s">
        <v>10431</v>
      </c>
      <c r="H1816" s="361">
        <v>43258</v>
      </c>
      <c r="I1816" s="343" t="s">
        <v>193</v>
      </c>
      <c r="J1816" s="343" t="s">
        <v>637</v>
      </c>
      <c r="K1816" s="343" t="s">
        <v>168</v>
      </c>
    </row>
    <row r="1817" spans="1:11" ht="26.25" customHeight="1">
      <c r="A1817" s="343" t="s">
        <v>4304</v>
      </c>
      <c r="B1817" s="344" t="s">
        <v>162</v>
      </c>
      <c r="C1817" s="344">
        <v>6610</v>
      </c>
      <c r="D1817" s="343" t="s">
        <v>4666</v>
      </c>
      <c r="E1817" s="344">
        <v>7093972</v>
      </c>
      <c r="F1817" s="343" t="s">
        <v>8521</v>
      </c>
      <c r="G1817" s="360" t="s">
        <v>11226</v>
      </c>
      <c r="H1817" s="361">
        <v>43258</v>
      </c>
      <c r="I1817" s="343" t="s">
        <v>211</v>
      </c>
      <c r="J1817" s="343" t="s">
        <v>909</v>
      </c>
      <c r="K1817" s="343" t="s">
        <v>168</v>
      </c>
    </row>
    <row r="1818" spans="1:11" ht="26.25" customHeight="1">
      <c r="A1818" s="343" t="s">
        <v>4304</v>
      </c>
      <c r="B1818" s="344" t="s">
        <v>162</v>
      </c>
      <c r="C1818" s="344">
        <v>7174</v>
      </c>
      <c r="D1818" s="343" t="s">
        <v>4497</v>
      </c>
      <c r="E1818" s="344">
        <v>5723892</v>
      </c>
      <c r="F1818" s="343" t="s">
        <v>8522</v>
      </c>
      <c r="G1818" s="360" t="s">
        <v>1071</v>
      </c>
      <c r="H1818" s="361">
        <v>43258</v>
      </c>
      <c r="I1818" s="343" t="s">
        <v>349</v>
      </c>
      <c r="J1818" s="343" t="s">
        <v>9927</v>
      </c>
      <c r="K1818" s="343" t="s">
        <v>168</v>
      </c>
    </row>
    <row r="1819" spans="1:11" ht="26.25" customHeight="1">
      <c r="A1819" s="343" t="s">
        <v>4304</v>
      </c>
      <c r="B1819" s="344" t="s">
        <v>162</v>
      </c>
      <c r="C1819" s="344">
        <v>7175</v>
      </c>
      <c r="D1819" s="343" t="s">
        <v>4557</v>
      </c>
      <c r="E1819" s="344">
        <v>4954529</v>
      </c>
      <c r="F1819" s="343" t="s">
        <v>8523</v>
      </c>
      <c r="G1819" s="360" t="s">
        <v>11227</v>
      </c>
      <c r="H1819" s="361">
        <v>43262</v>
      </c>
      <c r="I1819" s="343" t="s">
        <v>187</v>
      </c>
      <c r="J1819" s="343" t="s">
        <v>187</v>
      </c>
      <c r="K1819" s="343" t="s">
        <v>168</v>
      </c>
    </row>
    <row r="1820" spans="1:11" ht="26.25" customHeight="1">
      <c r="A1820" s="343" t="s">
        <v>4304</v>
      </c>
      <c r="B1820" s="344" t="s">
        <v>162</v>
      </c>
      <c r="C1820" s="344">
        <v>12701</v>
      </c>
      <c r="D1820" s="343" t="s">
        <v>4343</v>
      </c>
      <c r="E1820" s="344">
        <v>6376610</v>
      </c>
      <c r="F1820" s="343" t="s">
        <v>8524</v>
      </c>
      <c r="G1820" s="360" t="s">
        <v>11228</v>
      </c>
      <c r="H1820" s="361">
        <v>43262</v>
      </c>
      <c r="I1820" s="343" t="s">
        <v>4357</v>
      </c>
      <c r="J1820" s="343" t="s">
        <v>11229</v>
      </c>
      <c r="K1820" s="343" t="s">
        <v>168</v>
      </c>
    </row>
    <row r="1821" spans="1:11" ht="26.25" customHeight="1">
      <c r="A1821" s="343" t="s">
        <v>4304</v>
      </c>
      <c r="B1821" s="344" t="s">
        <v>162</v>
      </c>
      <c r="C1821" s="344">
        <v>12148</v>
      </c>
      <c r="D1821" s="343" t="s">
        <v>4394</v>
      </c>
      <c r="E1821" s="344">
        <v>6618684</v>
      </c>
      <c r="F1821" s="343" t="s">
        <v>4399</v>
      </c>
      <c r="G1821" s="360" t="s">
        <v>11045</v>
      </c>
      <c r="H1821" s="361">
        <v>43262</v>
      </c>
      <c r="I1821" s="343" t="s">
        <v>349</v>
      </c>
      <c r="J1821" s="343" t="s">
        <v>1248</v>
      </c>
      <c r="K1821" s="343" t="s">
        <v>168</v>
      </c>
    </row>
    <row r="1822" spans="1:11" ht="26.25" customHeight="1">
      <c r="A1822" s="343" t="s">
        <v>4304</v>
      </c>
      <c r="B1822" s="344" t="s">
        <v>162</v>
      </c>
      <c r="C1822" s="344">
        <v>12143</v>
      </c>
      <c r="D1822" s="343" t="s">
        <v>4482</v>
      </c>
      <c r="E1822" s="344">
        <v>4478233</v>
      </c>
      <c r="F1822" s="343" t="s">
        <v>8525</v>
      </c>
      <c r="G1822" s="360" t="s">
        <v>11230</v>
      </c>
      <c r="H1822" s="361">
        <v>43262</v>
      </c>
      <c r="I1822" s="343" t="s">
        <v>742</v>
      </c>
      <c r="J1822" s="343" t="s">
        <v>742</v>
      </c>
      <c r="K1822" s="343" t="s">
        <v>168</v>
      </c>
    </row>
    <row r="1823" spans="1:11" ht="26.25" customHeight="1">
      <c r="A1823" s="343" t="s">
        <v>4304</v>
      </c>
      <c r="B1823" s="344" t="s">
        <v>162</v>
      </c>
      <c r="C1823" s="344">
        <v>7268</v>
      </c>
      <c r="D1823" s="343" t="s">
        <v>4630</v>
      </c>
      <c r="E1823" s="344">
        <v>5984233</v>
      </c>
      <c r="F1823" s="343" t="s">
        <v>8526</v>
      </c>
      <c r="G1823" s="360" t="s">
        <v>10973</v>
      </c>
      <c r="H1823" s="361">
        <v>43263</v>
      </c>
      <c r="I1823" s="343" t="s">
        <v>193</v>
      </c>
      <c r="J1823" s="343" t="s">
        <v>637</v>
      </c>
      <c r="K1823" s="343" t="s">
        <v>168</v>
      </c>
    </row>
    <row r="1824" spans="1:11" ht="26.25" customHeight="1">
      <c r="A1824" s="343" t="s">
        <v>4304</v>
      </c>
      <c r="B1824" s="344" t="s">
        <v>162</v>
      </c>
      <c r="C1824" s="344">
        <v>7669</v>
      </c>
      <c r="D1824" s="343" t="s">
        <v>4353</v>
      </c>
      <c r="E1824" s="344">
        <v>6697566</v>
      </c>
      <c r="F1824" s="343" t="s">
        <v>8527</v>
      </c>
      <c r="G1824" s="360" t="s">
        <v>11019</v>
      </c>
      <c r="H1824" s="361">
        <v>43264</v>
      </c>
      <c r="I1824" s="343" t="s">
        <v>8528</v>
      </c>
      <c r="J1824" s="343" t="s">
        <v>11231</v>
      </c>
      <c r="K1824" s="343" t="s">
        <v>248</v>
      </c>
    </row>
    <row r="1825" spans="1:11" ht="26.25" customHeight="1">
      <c r="A1825" s="343" t="s">
        <v>4304</v>
      </c>
      <c r="B1825" s="344" t="s">
        <v>162</v>
      </c>
      <c r="C1825" s="344">
        <v>6805</v>
      </c>
      <c r="D1825" s="343" t="s">
        <v>4635</v>
      </c>
      <c r="E1825" s="344">
        <v>6155275</v>
      </c>
      <c r="F1825" s="343" t="s">
        <v>8529</v>
      </c>
      <c r="G1825" s="360" t="s">
        <v>10229</v>
      </c>
      <c r="H1825" s="361">
        <v>43265</v>
      </c>
      <c r="I1825" s="343" t="s">
        <v>8530</v>
      </c>
      <c r="J1825" s="343" t="s">
        <v>11232</v>
      </c>
      <c r="K1825" s="343" t="s">
        <v>168</v>
      </c>
    </row>
    <row r="1826" spans="1:11" ht="26.25" customHeight="1">
      <c r="A1826" s="343" t="s">
        <v>4304</v>
      </c>
      <c r="B1826" s="344" t="s">
        <v>162</v>
      </c>
      <c r="C1826" s="344">
        <v>7174</v>
      </c>
      <c r="D1826" s="343" t="s">
        <v>4497</v>
      </c>
      <c r="E1826" s="344">
        <v>5595093</v>
      </c>
      <c r="F1826" s="343" t="s">
        <v>8531</v>
      </c>
      <c r="G1826" s="360" t="s">
        <v>11233</v>
      </c>
      <c r="H1826" s="361">
        <v>43266</v>
      </c>
      <c r="I1826" s="343" t="s">
        <v>166</v>
      </c>
      <c r="J1826" s="343" t="s">
        <v>11234</v>
      </c>
      <c r="K1826" s="343" t="s">
        <v>168</v>
      </c>
    </row>
    <row r="1827" spans="1:11" ht="26.25" customHeight="1">
      <c r="A1827" s="343" t="s">
        <v>4304</v>
      </c>
      <c r="B1827" s="344" t="s">
        <v>162</v>
      </c>
      <c r="C1827" s="344">
        <v>6859</v>
      </c>
      <c r="D1827" s="343" t="s">
        <v>4624</v>
      </c>
      <c r="E1827" s="344">
        <v>6978374</v>
      </c>
      <c r="F1827" s="343" t="s">
        <v>8532</v>
      </c>
      <c r="G1827" s="360" t="s">
        <v>10112</v>
      </c>
      <c r="H1827" s="361">
        <v>43266</v>
      </c>
      <c r="I1827" s="343" t="s">
        <v>4296</v>
      </c>
      <c r="J1827" s="343" t="s">
        <v>11235</v>
      </c>
      <c r="K1827" s="343" t="s">
        <v>168</v>
      </c>
    </row>
    <row r="1828" spans="1:11" ht="26.25" customHeight="1">
      <c r="A1828" s="343" t="s">
        <v>4304</v>
      </c>
      <c r="B1828" s="344" t="s">
        <v>162</v>
      </c>
      <c r="C1828" s="344">
        <v>6856</v>
      </c>
      <c r="D1828" s="343" t="s">
        <v>4706</v>
      </c>
      <c r="E1828" s="344">
        <v>6332779</v>
      </c>
      <c r="F1828" s="343" t="s">
        <v>8533</v>
      </c>
      <c r="G1828" s="360" t="s">
        <v>10072</v>
      </c>
      <c r="H1828" s="361">
        <v>43266</v>
      </c>
      <c r="I1828" s="343" t="s">
        <v>366</v>
      </c>
      <c r="J1828" s="343" t="s">
        <v>366</v>
      </c>
      <c r="K1828" s="343" t="s">
        <v>168</v>
      </c>
    </row>
    <row r="1829" spans="1:11" ht="26.25" customHeight="1">
      <c r="A1829" s="343" t="s">
        <v>4304</v>
      </c>
      <c r="B1829" s="344" t="s">
        <v>162</v>
      </c>
      <c r="C1829" s="344">
        <v>9267</v>
      </c>
      <c r="D1829" s="343" t="s">
        <v>4631</v>
      </c>
      <c r="E1829" s="344">
        <v>6827493</v>
      </c>
      <c r="F1829" s="343" t="s">
        <v>7837</v>
      </c>
      <c r="G1829" s="360" t="s">
        <v>10096</v>
      </c>
      <c r="H1829" s="361">
        <v>43273</v>
      </c>
      <c r="I1829" s="343" t="s">
        <v>193</v>
      </c>
      <c r="J1829" s="343" t="s">
        <v>9500</v>
      </c>
      <c r="K1829" s="343" t="s">
        <v>168</v>
      </c>
    </row>
    <row r="1830" spans="1:11" ht="26.25" customHeight="1">
      <c r="A1830" s="343" t="s">
        <v>4304</v>
      </c>
      <c r="B1830" s="344" t="s">
        <v>162</v>
      </c>
      <c r="C1830" s="344">
        <v>9396</v>
      </c>
      <c r="D1830" s="343" t="s">
        <v>4570</v>
      </c>
      <c r="E1830" s="344">
        <v>4466857</v>
      </c>
      <c r="F1830" s="343" t="s">
        <v>4571</v>
      </c>
      <c r="G1830" s="360" t="s">
        <v>11236</v>
      </c>
      <c r="H1830" s="361">
        <v>43273</v>
      </c>
      <c r="I1830" s="343" t="s">
        <v>9129</v>
      </c>
      <c r="J1830" s="343" t="s">
        <v>11237</v>
      </c>
      <c r="K1830" s="343" t="s">
        <v>248</v>
      </c>
    </row>
    <row r="1831" spans="1:11" ht="26.25" customHeight="1">
      <c r="A1831" s="343" t="s">
        <v>4304</v>
      </c>
      <c r="B1831" s="344" t="s">
        <v>162</v>
      </c>
      <c r="C1831" s="344">
        <v>6856</v>
      </c>
      <c r="D1831" s="343" t="s">
        <v>4706</v>
      </c>
      <c r="E1831" s="344">
        <v>6539074</v>
      </c>
      <c r="F1831" s="343" t="s">
        <v>9130</v>
      </c>
      <c r="G1831" s="360" t="s">
        <v>10196</v>
      </c>
      <c r="H1831" s="361">
        <v>43273</v>
      </c>
      <c r="I1831" s="343" t="s">
        <v>9131</v>
      </c>
      <c r="J1831" s="343" t="s">
        <v>11238</v>
      </c>
      <c r="K1831" s="343" t="s">
        <v>168</v>
      </c>
    </row>
    <row r="1832" spans="1:11" ht="26.25" customHeight="1">
      <c r="A1832" s="343" t="s">
        <v>4304</v>
      </c>
      <c r="B1832" s="344" t="s">
        <v>162</v>
      </c>
      <c r="C1832" s="344">
        <v>12146</v>
      </c>
      <c r="D1832" s="343" t="s">
        <v>4405</v>
      </c>
      <c r="E1832" s="344">
        <v>5624858</v>
      </c>
      <c r="F1832" s="343" t="s">
        <v>9132</v>
      </c>
      <c r="G1832" s="360" t="s">
        <v>11239</v>
      </c>
      <c r="H1832" s="361">
        <v>43273</v>
      </c>
      <c r="I1832" s="343" t="s">
        <v>166</v>
      </c>
      <c r="J1832" s="343" t="s">
        <v>327</v>
      </c>
      <c r="K1832" s="343" t="s">
        <v>168</v>
      </c>
    </row>
    <row r="1833" spans="1:11" ht="26.25" customHeight="1">
      <c r="A1833" s="343" t="s">
        <v>4304</v>
      </c>
      <c r="B1833" s="344" t="s">
        <v>162</v>
      </c>
      <c r="C1833" s="344">
        <v>6799</v>
      </c>
      <c r="D1833" s="343" t="s">
        <v>4671</v>
      </c>
      <c r="E1833" s="344">
        <v>5938498</v>
      </c>
      <c r="F1833" s="343" t="s">
        <v>7631</v>
      </c>
      <c r="G1833" s="360" t="s">
        <v>9638</v>
      </c>
      <c r="H1833" s="361">
        <v>43272</v>
      </c>
      <c r="I1833" s="343" t="s">
        <v>166</v>
      </c>
      <c r="J1833" s="343" t="s">
        <v>296</v>
      </c>
      <c r="K1833" s="343" t="s">
        <v>168</v>
      </c>
    </row>
    <row r="1834" spans="1:11" ht="26.25" customHeight="1">
      <c r="A1834" s="343" t="s">
        <v>4304</v>
      </c>
      <c r="B1834" s="344" t="s">
        <v>162</v>
      </c>
      <c r="C1834" s="344">
        <v>12183</v>
      </c>
      <c r="D1834" s="343" t="s">
        <v>4379</v>
      </c>
      <c r="E1834" s="344">
        <v>6709188</v>
      </c>
      <c r="F1834" s="343" t="s">
        <v>9133</v>
      </c>
      <c r="G1834" s="360" t="s">
        <v>10466</v>
      </c>
      <c r="H1834" s="361">
        <v>43279</v>
      </c>
      <c r="I1834" s="343" t="s">
        <v>301</v>
      </c>
      <c r="J1834" s="343" t="s">
        <v>11240</v>
      </c>
      <c r="K1834" s="343" t="s">
        <v>173</v>
      </c>
    </row>
    <row r="1835" spans="1:11" ht="26.25" customHeight="1">
      <c r="A1835" s="343" t="s">
        <v>4304</v>
      </c>
      <c r="B1835" s="344" t="s">
        <v>162</v>
      </c>
      <c r="C1835" s="344">
        <v>7158</v>
      </c>
      <c r="D1835" s="343" t="s">
        <v>4513</v>
      </c>
      <c r="E1835" s="344">
        <v>5669899</v>
      </c>
      <c r="F1835" s="343" t="s">
        <v>9134</v>
      </c>
      <c r="G1835" s="360" t="s">
        <v>1314</v>
      </c>
      <c r="H1835" s="361">
        <v>43279</v>
      </c>
      <c r="I1835" s="343" t="s">
        <v>580</v>
      </c>
      <c r="J1835" s="343" t="s">
        <v>11241</v>
      </c>
      <c r="K1835" s="343" t="s">
        <v>168</v>
      </c>
    </row>
    <row r="1836" spans="1:11" ht="26.25" customHeight="1">
      <c r="A1836" s="343" t="s">
        <v>4304</v>
      </c>
      <c r="B1836" s="344" t="s">
        <v>162</v>
      </c>
      <c r="C1836" s="344">
        <v>7658</v>
      </c>
      <c r="D1836" s="343" t="s">
        <v>4366</v>
      </c>
      <c r="E1836" s="344">
        <v>6755032</v>
      </c>
      <c r="F1836" s="343" t="s">
        <v>7790</v>
      </c>
      <c r="G1836" s="360" t="s">
        <v>11242</v>
      </c>
      <c r="H1836" s="361">
        <v>43284</v>
      </c>
      <c r="I1836" s="343" t="s">
        <v>7878</v>
      </c>
      <c r="J1836" s="343" t="s">
        <v>11243</v>
      </c>
      <c r="K1836" s="343" t="s">
        <v>168</v>
      </c>
    </row>
    <row r="1837" spans="1:11" ht="26.25" customHeight="1">
      <c r="A1837" s="343" t="s">
        <v>4304</v>
      </c>
      <c r="B1837" s="344" t="s">
        <v>162</v>
      </c>
      <c r="C1837" s="344">
        <v>7658</v>
      </c>
      <c r="D1837" s="343" t="s">
        <v>4366</v>
      </c>
      <c r="E1837" s="344">
        <v>6809285</v>
      </c>
      <c r="F1837" s="343" t="s">
        <v>9135</v>
      </c>
      <c r="G1837" s="360" t="s">
        <v>11244</v>
      </c>
      <c r="H1837" s="361">
        <v>43285</v>
      </c>
      <c r="I1837" s="343" t="s">
        <v>193</v>
      </c>
      <c r="J1837" s="343" t="s">
        <v>637</v>
      </c>
      <c r="K1837" s="343" t="s">
        <v>168</v>
      </c>
    </row>
    <row r="1838" spans="1:11" ht="26.25" customHeight="1">
      <c r="A1838" s="343" t="s">
        <v>4304</v>
      </c>
      <c r="B1838" s="344" t="s">
        <v>162</v>
      </c>
      <c r="C1838" s="344">
        <v>9632</v>
      </c>
      <c r="D1838" s="343" t="s">
        <v>4334</v>
      </c>
      <c r="E1838" s="344">
        <v>6911686</v>
      </c>
      <c r="F1838" s="343" t="s">
        <v>9136</v>
      </c>
      <c r="G1838" s="360" t="s">
        <v>9696</v>
      </c>
      <c r="H1838" s="361">
        <v>43285</v>
      </c>
      <c r="I1838" s="343" t="s">
        <v>193</v>
      </c>
      <c r="J1838" s="343" t="s">
        <v>637</v>
      </c>
      <c r="K1838" s="343" t="s">
        <v>168</v>
      </c>
    </row>
    <row r="1839" spans="1:11" ht="26.25" customHeight="1">
      <c r="A1839" s="343" t="s">
        <v>4304</v>
      </c>
      <c r="B1839" s="344" t="s">
        <v>162</v>
      </c>
      <c r="C1839" s="344">
        <v>6805</v>
      </c>
      <c r="D1839" s="343" t="s">
        <v>4635</v>
      </c>
      <c r="E1839" s="344">
        <v>6445791</v>
      </c>
      <c r="F1839" s="343" t="s">
        <v>4659</v>
      </c>
      <c r="G1839" s="360" t="s">
        <v>10078</v>
      </c>
      <c r="H1839" s="361">
        <v>43292</v>
      </c>
      <c r="I1839" s="343" t="s">
        <v>570</v>
      </c>
      <c r="J1839" s="343" t="s">
        <v>11245</v>
      </c>
      <c r="K1839" s="343" t="s">
        <v>248</v>
      </c>
    </row>
    <row r="1840" spans="1:11" ht="26.25" customHeight="1">
      <c r="A1840" s="343" t="s">
        <v>4304</v>
      </c>
      <c r="B1840" s="344" t="s">
        <v>162</v>
      </c>
      <c r="C1840" s="344">
        <v>7658</v>
      </c>
      <c r="D1840" s="343" t="s">
        <v>4366</v>
      </c>
      <c r="E1840" s="344">
        <v>7021678</v>
      </c>
      <c r="F1840" s="343" t="s">
        <v>9230</v>
      </c>
      <c r="G1840" s="360" t="s">
        <v>11246</v>
      </c>
      <c r="H1840" s="361">
        <v>43292</v>
      </c>
      <c r="I1840" s="343" t="s">
        <v>1305</v>
      </c>
      <c r="J1840" s="343" t="s">
        <v>11247</v>
      </c>
      <c r="K1840" s="343" t="s">
        <v>168</v>
      </c>
    </row>
    <row r="1841" spans="1:11" ht="26.25" customHeight="1">
      <c r="A1841" s="343" t="s">
        <v>4304</v>
      </c>
      <c r="B1841" s="344" t="s">
        <v>162</v>
      </c>
      <c r="C1841" s="344">
        <v>9883</v>
      </c>
      <c r="D1841" s="343" t="s">
        <v>4382</v>
      </c>
      <c r="E1841" s="344">
        <v>6423673</v>
      </c>
      <c r="F1841" s="343" t="s">
        <v>9239</v>
      </c>
      <c r="G1841" s="360" t="s">
        <v>11248</v>
      </c>
      <c r="H1841" s="361">
        <v>43292</v>
      </c>
      <c r="I1841" s="343" t="s">
        <v>271</v>
      </c>
      <c r="J1841" s="343" t="s">
        <v>533</v>
      </c>
      <c r="K1841" s="343" t="s">
        <v>168</v>
      </c>
    </row>
    <row r="1842" spans="1:11" ht="26.25" customHeight="1">
      <c r="A1842" s="343" t="s">
        <v>4304</v>
      </c>
      <c r="B1842" s="344" t="s">
        <v>162</v>
      </c>
      <c r="C1842" s="344">
        <v>6855</v>
      </c>
      <c r="D1842" s="343" t="s">
        <v>4606</v>
      </c>
      <c r="E1842" s="344">
        <v>6425900</v>
      </c>
      <c r="F1842" s="343" t="s">
        <v>9236</v>
      </c>
      <c r="G1842" s="360" t="s">
        <v>11249</v>
      </c>
      <c r="H1842" s="361">
        <v>43292</v>
      </c>
      <c r="I1842" s="343" t="s">
        <v>193</v>
      </c>
      <c r="J1842" s="343" t="s">
        <v>11250</v>
      </c>
      <c r="K1842" s="343" t="s">
        <v>168</v>
      </c>
    </row>
    <row r="1843" spans="1:11" ht="26.25" customHeight="1">
      <c r="A1843" s="343" t="s">
        <v>4304</v>
      </c>
      <c r="B1843" s="344" t="s">
        <v>162</v>
      </c>
      <c r="C1843" s="344">
        <v>10087</v>
      </c>
      <c r="D1843" s="343" t="s">
        <v>4333</v>
      </c>
      <c r="E1843" s="344">
        <v>6613291</v>
      </c>
      <c r="F1843" s="343" t="s">
        <v>9238</v>
      </c>
      <c r="G1843" s="360" t="s">
        <v>10440</v>
      </c>
      <c r="H1843" s="361">
        <v>43312</v>
      </c>
      <c r="I1843" s="343" t="s">
        <v>193</v>
      </c>
      <c r="J1843" s="343" t="s">
        <v>9532</v>
      </c>
      <c r="K1843" s="343" t="s">
        <v>168</v>
      </c>
    </row>
    <row r="1844" spans="1:11" ht="26.25" customHeight="1">
      <c r="A1844" s="343" t="s">
        <v>4304</v>
      </c>
      <c r="B1844" s="344" t="s">
        <v>162</v>
      </c>
      <c r="C1844" s="344">
        <v>12147</v>
      </c>
      <c r="D1844" s="343" t="s">
        <v>4417</v>
      </c>
      <c r="E1844" s="344">
        <v>6981441</v>
      </c>
      <c r="F1844" s="343" t="s">
        <v>8488</v>
      </c>
      <c r="G1844" s="360" t="s">
        <v>11102</v>
      </c>
      <c r="H1844" s="361">
        <v>43312</v>
      </c>
      <c r="I1844" s="343" t="s">
        <v>9232</v>
      </c>
      <c r="J1844" s="343" t="s">
        <v>11251</v>
      </c>
      <c r="K1844" s="343" t="s">
        <v>168</v>
      </c>
    </row>
    <row r="1845" spans="1:11" ht="26.25" customHeight="1">
      <c r="A1845" s="343" t="s">
        <v>4304</v>
      </c>
      <c r="B1845" s="344" t="s">
        <v>162</v>
      </c>
      <c r="C1845" s="344">
        <v>7186</v>
      </c>
      <c r="D1845" s="343" t="s">
        <v>4530</v>
      </c>
      <c r="E1845" s="344">
        <v>5749590</v>
      </c>
      <c r="F1845" s="343" t="s">
        <v>9242</v>
      </c>
      <c r="G1845" s="360" t="s">
        <v>11252</v>
      </c>
      <c r="H1845" s="361">
        <v>43312</v>
      </c>
      <c r="I1845" s="343" t="s">
        <v>3708</v>
      </c>
      <c r="J1845" s="343" t="s">
        <v>11253</v>
      </c>
      <c r="K1845" s="343" t="s">
        <v>248</v>
      </c>
    </row>
    <row r="1846" spans="1:11" ht="26.25" customHeight="1">
      <c r="A1846" s="343" t="s">
        <v>4304</v>
      </c>
      <c r="B1846" s="344" t="s">
        <v>162</v>
      </c>
      <c r="C1846" s="344">
        <v>8430</v>
      </c>
      <c r="D1846" s="343" t="s">
        <v>4421</v>
      </c>
      <c r="E1846" s="344">
        <v>4881381</v>
      </c>
      <c r="F1846" s="343" t="s">
        <v>9234</v>
      </c>
      <c r="G1846" s="360" t="s">
        <v>11254</v>
      </c>
      <c r="H1846" s="361">
        <v>43312</v>
      </c>
      <c r="I1846" s="343" t="s">
        <v>211</v>
      </c>
      <c r="J1846" s="343" t="s">
        <v>211</v>
      </c>
      <c r="K1846" s="343" t="s">
        <v>168</v>
      </c>
    </row>
    <row r="1847" spans="1:11" ht="26.25" customHeight="1">
      <c r="A1847" s="343" t="s">
        <v>4304</v>
      </c>
      <c r="B1847" s="344" t="s">
        <v>162</v>
      </c>
      <c r="C1847" s="344">
        <v>8435</v>
      </c>
      <c r="D1847" s="343" t="s">
        <v>4710</v>
      </c>
      <c r="E1847" s="344">
        <v>6099128</v>
      </c>
      <c r="F1847" s="343" t="s">
        <v>9244</v>
      </c>
      <c r="G1847" s="360" t="s">
        <v>11255</v>
      </c>
      <c r="H1847" s="361">
        <v>43314</v>
      </c>
      <c r="I1847" s="343" t="s">
        <v>198</v>
      </c>
      <c r="J1847" s="343" t="s">
        <v>577</v>
      </c>
      <c r="K1847" s="343" t="s">
        <v>168</v>
      </c>
    </row>
    <row r="1848" spans="1:11" ht="26.25" customHeight="1">
      <c r="A1848" s="343" t="s">
        <v>4304</v>
      </c>
      <c r="B1848" s="344" t="s">
        <v>162</v>
      </c>
      <c r="C1848" s="344">
        <v>7175</v>
      </c>
      <c r="D1848" s="343" t="s">
        <v>4557</v>
      </c>
      <c r="E1848" s="344">
        <v>5131891</v>
      </c>
      <c r="F1848" s="343" t="s">
        <v>9229</v>
      </c>
      <c r="G1848" s="360" t="s">
        <v>773</v>
      </c>
      <c r="H1848" s="361">
        <v>43322</v>
      </c>
      <c r="I1848" s="343" t="s">
        <v>193</v>
      </c>
      <c r="J1848" s="343" t="s">
        <v>509</v>
      </c>
      <c r="K1848" s="343" t="s">
        <v>168</v>
      </c>
    </row>
    <row r="1849" spans="1:11" ht="26.25" customHeight="1">
      <c r="A1849" s="343" t="s">
        <v>4304</v>
      </c>
      <c r="B1849" s="344" t="s">
        <v>162</v>
      </c>
      <c r="C1849" s="344">
        <v>9300</v>
      </c>
      <c r="D1849" s="343" t="s">
        <v>4641</v>
      </c>
      <c r="E1849" s="344">
        <v>6232308</v>
      </c>
      <c r="F1849" s="343" t="s">
        <v>9235</v>
      </c>
      <c r="G1849" s="360" t="s">
        <v>10156</v>
      </c>
      <c r="H1849" s="361">
        <v>43322</v>
      </c>
      <c r="I1849" s="343" t="s">
        <v>166</v>
      </c>
      <c r="J1849" s="343" t="s">
        <v>327</v>
      </c>
      <c r="K1849" s="343" t="s">
        <v>168</v>
      </c>
    </row>
    <row r="1850" spans="1:11" ht="26.25" customHeight="1">
      <c r="A1850" s="343" t="s">
        <v>4304</v>
      </c>
      <c r="B1850" s="344" t="s">
        <v>162</v>
      </c>
      <c r="C1850" s="344">
        <v>6800</v>
      </c>
      <c r="D1850" s="343" t="s">
        <v>4678</v>
      </c>
      <c r="E1850" s="344">
        <v>6307758</v>
      </c>
      <c r="F1850" s="343" t="s">
        <v>9240</v>
      </c>
      <c r="G1850" s="360" t="s">
        <v>10449</v>
      </c>
      <c r="H1850" s="361">
        <v>43322</v>
      </c>
      <c r="I1850" s="343" t="s">
        <v>9241</v>
      </c>
      <c r="J1850" s="343" t="s">
        <v>11256</v>
      </c>
      <c r="K1850" s="343" t="s">
        <v>173</v>
      </c>
    </row>
    <row r="1851" spans="1:11" ht="26.25" customHeight="1">
      <c r="A1851" s="343" t="s">
        <v>4304</v>
      </c>
      <c r="B1851" s="344" t="s">
        <v>162</v>
      </c>
      <c r="C1851" s="344">
        <v>7156</v>
      </c>
      <c r="D1851" s="343" t="s">
        <v>4442</v>
      </c>
      <c r="E1851" s="344">
        <v>5162609</v>
      </c>
      <c r="F1851" s="343" t="s">
        <v>9243</v>
      </c>
      <c r="G1851" s="360" t="s">
        <v>11257</v>
      </c>
      <c r="H1851" s="361">
        <v>43327</v>
      </c>
      <c r="I1851" s="343" t="s">
        <v>198</v>
      </c>
      <c r="J1851" s="343" t="s">
        <v>198</v>
      </c>
      <c r="K1851" s="343" t="s">
        <v>168</v>
      </c>
    </row>
    <row r="1852" spans="1:11" ht="26.25" customHeight="1">
      <c r="A1852" s="343" t="s">
        <v>4304</v>
      </c>
      <c r="B1852" s="344" t="s">
        <v>162</v>
      </c>
      <c r="C1852" s="344">
        <v>7652</v>
      </c>
      <c r="D1852" s="343" t="s">
        <v>4341</v>
      </c>
      <c r="E1852" s="344">
        <v>6818260</v>
      </c>
      <c r="F1852" s="343" t="s">
        <v>9237</v>
      </c>
      <c r="G1852" s="360" t="s">
        <v>11258</v>
      </c>
      <c r="H1852" s="361">
        <v>43327</v>
      </c>
      <c r="I1852" s="343" t="s">
        <v>166</v>
      </c>
      <c r="J1852" s="343" t="s">
        <v>682</v>
      </c>
      <c r="K1852" s="343" t="s">
        <v>168</v>
      </c>
    </row>
    <row r="1853" spans="1:11" ht="26.25" customHeight="1">
      <c r="A1853" s="343" t="s">
        <v>4304</v>
      </c>
      <c r="B1853" s="344" t="s">
        <v>162</v>
      </c>
      <c r="C1853" s="344">
        <v>7268</v>
      </c>
      <c r="D1853" s="343" t="s">
        <v>4630</v>
      </c>
      <c r="E1853" s="344">
        <v>5968120</v>
      </c>
      <c r="F1853" s="343" t="s">
        <v>9233</v>
      </c>
      <c r="G1853" s="360" t="s">
        <v>9516</v>
      </c>
      <c r="H1853" s="361">
        <v>43327</v>
      </c>
      <c r="I1853" s="343" t="s">
        <v>193</v>
      </c>
      <c r="J1853" s="343" t="s">
        <v>637</v>
      </c>
      <c r="K1853" s="343" t="s">
        <v>168</v>
      </c>
    </row>
    <row r="1854" spans="1:11" ht="26.25" customHeight="1">
      <c r="A1854" s="343" t="s">
        <v>4304</v>
      </c>
      <c r="B1854" s="344" t="s">
        <v>162</v>
      </c>
      <c r="C1854" s="344">
        <v>6805</v>
      </c>
      <c r="D1854" s="343" t="s">
        <v>4635</v>
      </c>
      <c r="E1854" s="344">
        <v>6222953</v>
      </c>
      <c r="F1854" s="343" t="s">
        <v>11259</v>
      </c>
      <c r="G1854" s="360" t="s">
        <v>529</v>
      </c>
      <c r="H1854" s="361">
        <v>43328</v>
      </c>
      <c r="I1854" s="343" t="s">
        <v>5458</v>
      </c>
      <c r="J1854" s="343" t="s">
        <v>11260</v>
      </c>
      <c r="K1854" s="343" t="s">
        <v>168</v>
      </c>
    </row>
    <row r="1855" spans="1:11" ht="26.25" customHeight="1">
      <c r="A1855" s="343" t="s">
        <v>4304</v>
      </c>
      <c r="B1855" s="344" t="s">
        <v>162</v>
      </c>
      <c r="C1855" s="344">
        <v>7148</v>
      </c>
      <c r="D1855" s="343" t="s">
        <v>4523</v>
      </c>
      <c r="E1855" s="344">
        <v>5231553</v>
      </c>
      <c r="F1855" s="343" t="s">
        <v>11261</v>
      </c>
      <c r="G1855" s="360" t="s">
        <v>10564</v>
      </c>
      <c r="H1855" s="361">
        <v>43328</v>
      </c>
      <c r="I1855" s="343" t="s">
        <v>742</v>
      </c>
      <c r="J1855" s="343" t="s">
        <v>742</v>
      </c>
      <c r="K1855" s="343" t="s">
        <v>168</v>
      </c>
    </row>
    <row r="1856" spans="1:11" ht="26.25" customHeight="1">
      <c r="A1856" s="343" t="s">
        <v>4304</v>
      </c>
      <c r="B1856" s="344" t="s">
        <v>162</v>
      </c>
      <c r="C1856" s="344">
        <v>9403</v>
      </c>
      <c r="D1856" s="343" t="s">
        <v>4658</v>
      </c>
      <c r="E1856" s="344">
        <v>6258735</v>
      </c>
      <c r="F1856" s="343" t="s">
        <v>8466</v>
      </c>
      <c r="G1856" s="360" t="s">
        <v>11262</v>
      </c>
      <c r="H1856" s="361">
        <v>43328</v>
      </c>
      <c r="I1856" s="343" t="s">
        <v>8113</v>
      </c>
      <c r="J1856" s="343" t="s">
        <v>11263</v>
      </c>
      <c r="K1856" s="343" t="s">
        <v>168</v>
      </c>
    </row>
    <row r="1857" spans="1:11" ht="26.25" customHeight="1">
      <c r="A1857" s="343" t="s">
        <v>4304</v>
      </c>
      <c r="B1857" s="344" t="s">
        <v>162</v>
      </c>
      <c r="C1857" s="344">
        <v>6858</v>
      </c>
      <c r="D1857" s="343" t="s">
        <v>4661</v>
      </c>
      <c r="E1857" s="344">
        <v>6127140</v>
      </c>
      <c r="F1857" s="343" t="s">
        <v>4325</v>
      </c>
      <c r="G1857" s="360" t="s">
        <v>9513</v>
      </c>
      <c r="H1857" s="361">
        <v>43329</v>
      </c>
      <c r="I1857" s="343" t="s">
        <v>1038</v>
      </c>
      <c r="J1857" s="343" t="s">
        <v>1039</v>
      </c>
      <c r="K1857" s="343" t="s">
        <v>168</v>
      </c>
    </row>
    <row r="1858" spans="1:11" ht="26.25" customHeight="1">
      <c r="A1858" s="343" t="s">
        <v>4304</v>
      </c>
      <c r="B1858" s="344" t="s">
        <v>162</v>
      </c>
      <c r="C1858" s="344">
        <v>9632</v>
      </c>
      <c r="D1858" s="343" t="s">
        <v>4334</v>
      </c>
      <c r="E1858" s="344">
        <v>6597914</v>
      </c>
      <c r="F1858" s="343" t="s">
        <v>11264</v>
      </c>
      <c r="G1858" s="360" t="s">
        <v>11138</v>
      </c>
      <c r="H1858" s="361">
        <v>43329</v>
      </c>
      <c r="I1858" s="343" t="s">
        <v>284</v>
      </c>
      <c r="J1858" s="343" t="s">
        <v>11265</v>
      </c>
      <c r="K1858" s="343" t="s">
        <v>173</v>
      </c>
    </row>
    <row r="1859" spans="1:11" ht="26.25" customHeight="1">
      <c r="A1859" s="343" t="s">
        <v>4304</v>
      </c>
      <c r="B1859" s="344" t="s">
        <v>162</v>
      </c>
      <c r="C1859" s="344">
        <v>12148</v>
      </c>
      <c r="D1859" s="343" t="s">
        <v>4394</v>
      </c>
      <c r="E1859" s="344">
        <v>6987780</v>
      </c>
      <c r="F1859" s="343" t="s">
        <v>11266</v>
      </c>
      <c r="G1859" s="360" t="s">
        <v>11267</v>
      </c>
      <c r="H1859" s="361">
        <v>43332</v>
      </c>
      <c r="I1859" s="343" t="s">
        <v>271</v>
      </c>
      <c r="J1859" s="343" t="s">
        <v>11268</v>
      </c>
      <c r="K1859" s="343" t="s">
        <v>168</v>
      </c>
    </row>
    <row r="1860" spans="1:11" ht="26.25" customHeight="1">
      <c r="A1860" s="343" t="s">
        <v>4304</v>
      </c>
      <c r="B1860" s="344" t="s">
        <v>162</v>
      </c>
      <c r="C1860" s="344">
        <v>7685</v>
      </c>
      <c r="D1860" s="343" t="s">
        <v>4338</v>
      </c>
      <c r="E1860" s="344">
        <v>6945120</v>
      </c>
      <c r="F1860" s="343" t="s">
        <v>11269</v>
      </c>
      <c r="G1860" s="360" t="s">
        <v>11270</v>
      </c>
      <c r="H1860" s="361">
        <v>43332</v>
      </c>
      <c r="I1860" s="343" t="s">
        <v>166</v>
      </c>
      <c r="J1860" s="343" t="s">
        <v>9413</v>
      </c>
      <c r="K1860" s="343" t="s">
        <v>168</v>
      </c>
    </row>
    <row r="1861" spans="1:11" ht="26.25" customHeight="1">
      <c r="A1861" s="343" t="s">
        <v>4304</v>
      </c>
      <c r="B1861" s="344" t="s">
        <v>162</v>
      </c>
      <c r="C1861" s="344">
        <v>7684</v>
      </c>
      <c r="D1861" s="343" t="s">
        <v>4326</v>
      </c>
      <c r="E1861" s="344">
        <v>6892389</v>
      </c>
      <c r="F1861" s="343" t="s">
        <v>7643</v>
      </c>
      <c r="G1861" s="360" t="s">
        <v>525</v>
      </c>
      <c r="H1861" s="361">
        <v>43334</v>
      </c>
      <c r="I1861" s="343" t="s">
        <v>465</v>
      </c>
      <c r="J1861" s="343" t="s">
        <v>11271</v>
      </c>
      <c r="K1861" s="343" t="s">
        <v>168</v>
      </c>
    </row>
    <row r="1862" spans="1:11" ht="26.25" customHeight="1">
      <c r="A1862" s="343" t="s">
        <v>4304</v>
      </c>
      <c r="B1862" s="344" t="s">
        <v>162</v>
      </c>
      <c r="C1862" s="344">
        <v>6855</v>
      </c>
      <c r="D1862" s="343" t="s">
        <v>4606</v>
      </c>
      <c r="E1862" s="344">
        <v>5972932</v>
      </c>
      <c r="F1862" s="343" t="s">
        <v>11272</v>
      </c>
      <c r="G1862" s="360" t="s">
        <v>1074</v>
      </c>
      <c r="H1862" s="361">
        <v>43334</v>
      </c>
      <c r="I1862" s="343" t="s">
        <v>193</v>
      </c>
      <c r="J1862" s="343" t="s">
        <v>509</v>
      </c>
      <c r="K1862" s="343" t="s">
        <v>168</v>
      </c>
    </row>
    <row r="1863" spans="1:11" ht="26.25" customHeight="1">
      <c r="A1863" s="343" t="s">
        <v>4304</v>
      </c>
      <c r="B1863" s="344" t="s">
        <v>162</v>
      </c>
      <c r="C1863" s="344">
        <v>6849</v>
      </c>
      <c r="D1863" s="343" t="s">
        <v>4647</v>
      </c>
      <c r="E1863" s="344">
        <v>6964143</v>
      </c>
      <c r="F1863" s="343" t="s">
        <v>9231</v>
      </c>
      <c r="G1863" s="360" t="s">
        <v>11222</v>
      </c>
      <c r="H1863" s="361">
        <v>43334</v>
      </c>
      <c r="I1863" s="343" t="s">
        <v>193</v>
      </c>
      <c r="J1863" s="343" t="s">
        <v>637</v>
      </c>
      <c r="K1863" s="343" t="s">
        <v>168</v>
      </c>
    </row>
    <row r="1864" spans="1:11" ht="26.25" customHeight="1">
      <c r="A1864" s="343" t="s">
        <v>4304</v>
      </c>
      <c r="B1864" s="344" t="s">
        <v>162</v>
      </c>
      <c r="C1864" s="344">
        <v>6798</v>
      </c>
      <c r="D1864" s="343" t="s">
        <v>4704</v>
      </c>
      <c r="E1864" s="344">
        <v>5971884</v>
      </c>
      <c r="F1864" s="343" t="s">
        <v>11273</v>
      </c>
      <c r="G1864" s="360" t="s">
        <v>9553</v>
      </c>
      <c r="H1864" s="361">
        <v>43335</v>
      </c>
      <c r="I1864" s="343" t="s">
        <v>166</v>
      </c>
      <c r="J1864" s="343" t="s">
        <v>296</v>
      </c>
      <c r="K1864" s="343" t="s">
        <v>168</v>
      </c>
    </row>
    <row r="1865" spans="1:11" ht="26.25" customHeight="1">
      <c r="A1865" s="343" t="s">
        <v>4304</v>
      </c>
      <c r="B1865" s="344" t="s">
        <v>162</v>
      </c>
      <c r="C1865" s="344">
        <v>8439</v>
      </c>
      <c r="D1865" s="343" t="s">
        <v>4715</v>
      </c>
      <c r="E1865" s="344">
        <v>5942583</v>
      </c>
      <c r="F1865" s="343" t="s">
        <v>11274</v>
      </c>
      <c r="G1865" s="360" t="s">
        <v>11275</v>
      </c>
      <c r="H1865" s="361">
        <v>43335</v>
      </c>
      <c r="I1865" s="343" t="s">
        <v>366</v>
      </c>
      <c r="J1865" s="343" t="s">
        <v>366</v>
      </c>
      <c r="K1865" s="343" t="s">
        <v>168</v>
      </c>
    </row>
    <row r="1866" spans="1:11" ht="26.25" customHeight="1">
      <c r="A1866" s="343" t="s">
        <v>4304</v>
      </c>
      <c r="B1866" s="344" t="s">
        <v>162</v>
      </c>
      <c r="C1866" s="344">
        <v>8439</v>
      </c>
      <c r="D1866" s="343" t="s">
        <v>4715</v>
      </c>
      <c r="E1866" s="344">
        <v>6379454</v>
      </c>
      <c r="F1866" s="343" t="s">
        <v>11276</v>
      </c>
      <c r="G1866" s="360" t="s">
        <v>11277</v>
      </c>
      <c r="H1866" s="361">
        <v>43335</v>
      </c>
      <c r="I1866" s="343" t="s">
        <v>11278</v>
      </c>
      <c r="J1866" s="343" t="s">
        <v>11279</v>
      </c>
      <c r="K1866" s="343" t="s">
        <v>173</v>
      </c>
    </row>
    <row r="1867" spans="1:11" ht="26.25" customHeight="1">
      <c r="A1867" s="343" t="s">
        <v>4304</v>
      </c>
      <c r="B1867" s="344" t="s">
        <v>162</v>
      </c>
      <c r="C1867" s="344">
        <v>7182</v>
      </c>
      <c r="D1867" s="343" t="s">
        <v>4582</v>
      </c>
      <c r="E1867" s="344">
        <v>6825945</v>
      </c>
      <c r="F1867" s="343" t="s">
        <v>11280</v>
      </c>
      <c r="G1867" s="360" t="s">
        <v>11281</v>
      </c>
      <c r="H1867" s="361">
        <v>43335</v>
      </c>
      <c r="I1867" s="343" t="s">
        <v>366</v>
      </c>
      <c r="J1867" s="343" t="s">
        <v>366</v>
      </c>
      <c r="K1867" s="343" t="s">
        <v>168</v>
      </c>
    </row>
    <row r="1868" spans="1:11" ht="26.25" customHeight="1">
      <c r="A1868" s="343" t="s">
        <v>4304</v>
      </c>
      <c r="B1868" s="344" t="s">
        <v>162</v>
      </c>
      <c r="C1868" s="344">
        <v>11565</v>
      </c>
      <c r="D1868" s="343" t="s">
        <v>4360</v>
      </c>
      <c r="E1868" s="344">
        <v>7109813</v>
      </c>
      <c r="F1868" s="343" t="s">
        <v>11282</v>
      </c>
      <c r="G1868" s="360" t="s">
        <v>11283</v>
      </c>
      <c r="H1868" s="361">
        <v>43336</v>
      </c>
      <c r="I1868" s="343" t="s">
        <v>284</v>
      </c>
      <c r="J1868" s="343" t="s">
        <v>11284</v>
      </c>
      <c r="K1868" s="343" t="s">
        <v>168</v>
      </c>
    </row>
    <row r="1869" spans="1:11" ht="26.25" customHeight="1">
      <c r="A1869" s="343" t="s">
        <v>4304</v>
      </c>
      <c r="B1869" s="344" t="s">
        <v>162</v>
      </c>
      <c r="C1869" s="344">
        <v>7666</v>
      </c>
      <c r="D1869" s="343" t="s">
        <v>4369</v>
      </c>
      <c r="E1869" s="344">
        <v>6837975</v>
      </c>
      <c r="F1869" s="343" t="s">
        <v>11285</v>
      </c>
      <c r="G1869" s="360" t="s">
        <v>11286</v>
      </c>
      <c r="H1869" s="361">
        <v>43336</v>
      </c>
      <c r="I1869" s="343" t="s">
        <v>301</v>
      </c>
      <c r="J1869" s="343" t="s">
        <v>530</v>
      </c>
      <c r="K1869" s="343" t="s">
        <v>168</v>
      </c>
    </row>
    <row r="1870" spans="1:11" ht="26.25" customHeight="1">
      <c r="A1870" s="343" t="s">
        <v>4304</v>
      </c>
      <c r="B1870" s="344" t="s">
        <v>162</v>
      </c>
      <c r="C1870" s="344">
        <v>12146</v>
      </c>
      <c r="D1870" s="343" t="s">
        <v>4405</v>
      </c>
      <c r="E1870" s="344">
        <v>4708706</v>
      </c>
      <c r="F1870" s="343" t="s">
        <v>4415</v>
      </c>
      <c r="G1870" s="360" t="s">
        <v>11287</v>
      </c>
      <c r="H1870" s="361">
        <v>43341</v>
      </c>
      <c r="I1870" s="343" t="s">
        <v>784</v>
      </c>
      <c r="J1870" s="343" t="s">
        <v>11288</v>
      </c>
      <c r="K1870" s="343" t="s">
        <v>173</v>
      </c>
    </row>
    <row r="1871" spans="1:11" ht="26.25" customHeight="1">
      <c r="A1871" s="343" t="s">
        <v>4304</v>
      </c>
      <c r="B1871" s="344" t="s">
        <v>162</v>
      </c>
      <c r="C1871" s="344">
        <v>6856</v>
      </c>
      <c r="D1871" s="343" t="s">
        <v>4706</v>
      </c>
      <c r="E1871" s="344">
        <v>6269784</v>
      </c>
      <c r="F1871" s="343" t="s">
        <v>11289</v>
      </c>
      <c r="G1871" s="360" t="s">
        <v>10165</v>
      </c>
      <c r="H1871" s="361">
        <v>43341</v>
      </c>
      <c r="I1871" s="343" t="s">
        <v>271</v>
      </c>
      <c r="J1871" s="343" t="s">
        <v>11290</v>
      </c>
      <c r="K1871" s="343" t="s">
        <v>168</v>
      </c>
    </row>
    <row r="1872" spans="1:11" ht="26.25" customHeight="1">
      <c r="A1872" s="343" t="s">
        <v>4304</v>
      </c>
      <c r="B1872" s="344" t="s">
        <v>162</v>
      </c>
      <c r="C1872" s="344">
        <v>6858</v>
      </c>
      <c r="D1872" s="343" t="s">
        <v>4661</v>
      </c>
      <c r="E1872" s="344">
        <v>6661189</v>
      </c>
      <c r="F1872" s="343" t="s">
        <v>11291</v>
      </c>
      <c r="G1872" s="360" t="s">
        <v>9523</v>
      </c>
      <c r="H1872" s="361">
        <v>43341</v>
      </c>
      <c r="I1872" s="343" t="s">
        <v>7493</v>
      </c>
      <c r="J1872" s="343" t="s">
        <v>11292</v>
      </c>
      <c r="K1872" s="343" t="s">
        <v>168</v>
      </c>
    </row>
    <row r="1873" spans="1:11" ht="26.25" customHeight="1">
      <c r="A1873" s="343" t="s">
        <v>4304</v>
      </c>
      <c r="B1873" s="344" t="s">
        <v>162</v>
      </c>
      <c r="C1873" s="344">
        <v>11565</v>
      </c>
      <c r="D1873" s="343" t="s">
        <v>4360</v>
      </c>
      <c r="E1873" s="344">
        <v>7052533</v>
      </c>
      <c r="F1873" s="343" t="s">
        <v>11293</v>
      </c>
      <c r="G1873" s="360" t="s">
        <v>11294</v>
      </c>
      <c r="H1873" s="361">
        <v>43341</v>
      </c>
      <c r="I1873" s="343" t="s">
        <v>11295</v>
      </c>
      <c r="J1873" s="343" t="s">
        <v>11296</v>
      </c>
      <c r="K1873" s="343" t="s">
        <v>248</v>
      </c>
    </row>
    <row r="1874" spans="1:11" ht="26.25" customHeight="1">
      <c r="A1874" s="343" t="s">
        <v>4304</v>
      </c>
      <c r="B1874" s="344" t="s">
        <v>162</v>
      </c>
      <c r="C1874" s="344">
        <v>7634</v>
      </c>
      <c r="D1874" s="343" t="s">
        <v>4376</v>
      </c>
      <c r="E1874" s="344">
        <v>6984218</v>
      </c>
      <c r="F1874" s="343" t="s">
        <v>11297</v>
      </c>
      <c r="G1874" s="360" t="s">
        <v>11298</v>
      </c>
      <c r="H1874" s="361">
        <v>43343</v>
      </c>
      <c r="I1874" s="343" t="s">
        <v>193</v>
      </c>
      <c r="J1874" s="343" t="s">
        <v>637</v>
      </c>
      <c r="K1874" s="343" t="s">
        <v>168</v>
      </c>
    </row>
    <row r="1875" spans="1:11" ht="26.25" customHeight="1">
      <c r="A1875" s="343" t="s">
        <v>4304</v>
      </c>
      <c r="B1875" s="344" t="s">
        <v>162</v>
      </c>
      <c r="C1875" s="344">
        <v>7656</v>
      </c>
      <c r="D1875" s="343" t="s">
        <v>4350</v>
      </c>
      <c r="E1875" s="344">
        <v>6974839</v>
      </c>
      <c r="F1875" s="343" t="s">
        <v>11299</v>
      </c>
      <c r="G1875" s="360" t="s">
        <v>11300</v>
      </c>
      <c r="H1875" s="361">
        <v>43343</v>
      </c>
      <c r="I1875" s="343" t="s">
        <v>166</v>
      </c>
      <c r="J1875" s="343" t="s">
        <v>9413</v>
      </c>
      <c r="K1875" s="343" t="s">
        <v>168</v>
      </c>
    </row>
    <row r="1876" spans="1:11" ht="26.25" customHeight="1">
      <c r="A1876" s="343" t="s">
        <v>1813</v>
      </c>
      <c r="B1876" s="344" t="s">
        <v>162</v>
      </c>
      <c r="C1876" s="344">
        <v>12096</v>
      </c>
      <c r="D1876" s="343" t="s">
        <v>7334</v>
      </c>
      <c r="E1876" s="344">
        <v>6162492</v>
      </c>
      <c r="F1876" s="343" t="s">
        <v>4852</v>
      </c>
      <c r="G1876" s="360" t="s">
        <v>10927</v>
      </c>
      <c r="H1876" s="361">
        <v>42038</v>
      </c>
      <c r="I1876" s="343" t="s">
        <v>4853</v>
      </c>
      <c r="J1876" s="343" t="s">
        <v>11301</v>
      </c>
      <c r="K1876" s="343" t="s">
        <v>168</v>
      </c>
    </row>
    <row r="1877" spans="1:11" ht="26.25" customHeight="1">
      <c r="A1877" s="343" t="s">
        <v>1813</v>
      </c>
      <c r="B1877" s="344" t="s">
        <v>162</v>
      </c>
      <c r="C1877" s="344">
        <v>12096</v>
      </c>
      <c r="D1877" s="343" t="s">
        <v>7334</v>
      </c>
      <c r="E1877" s="344">
        <v>6092416</v>
      </c>
      <c r="F1877" s="343" t="s">
        <v>4851</v>
      </c>
      <c r="G1877" s="360" t="s">
        <v>11302</v>
      </c>
      <c r="H1877" s="361">
        <v>42241</v>
      </c>
      <c r="I1877" s="343" t="s">
        <v>802</v>
      </c>
      <c r="J1877" s="343" t="s">
        <v>11303</v>
      </c>
      <c r="K1877" s="343" t="s">
        <v>168</v>
      </c>
    </row>
    <row r="1878" spans="1:11" ht="26.25" customHeight="1">
      <c r="A1878" s="343" t="s">
        <v>1813</v>
      </c>
      <c r="B1878" s="344" t="s">
        <v>162</v>
      </c>
      <c r="C1878" s="344">
        <v>8751</v>
      </c>
      <c r="D1878" s="343" t="s">
        <v>4987</v>
      </c>
      <c r="E1878" s="344">
        <v>4261022</v>
      </c>
      <c r="F1878" s="343" t="s">
        <v>4992</v>
      </c>
      <c r="G1878" s="360" t="s">
        <v>11304</v>
      </c>
      <c r="H1878" s="361">
        <v>42279</v>
      </c>
      <c r="I1878" s="343" t="s">
        <v>366</v>
      </c>
      <c r="J1878" s="343" t="s">
        <v>366</v>
      </c>
      <c r="K1878" s="343" t="s">
        <v>168</v>
      </c>
    </row>
    <row r="1879" spans="1:11" ht="26.25" customHeight="1">
      <c r="A1879" s="343" t="s">
        <v>1813</v>
      </c>
      <c r="B1879" s="344" t="s">
        <v>162</v>
      </c>
      <c r="C1879" s="344">
        <v>9881</v>
      </c>
      <c r="D1879" s="343" t="s">
        <v>4926</v>
      </c>
      <c r="E1879" s="344">
        <v>6128981</v>
      </c>
      <c r="F1879" s="343" t="s">
        <v>4927</v>
      </c>
      <c r="G1879" s="360" t="s">
        <v>11305</v>
      </c>
      <c r="H1879" s="361">
        <v>42276</v>
      </c>
      <c r="I1879" s="343" t="s">
        <v>366</v>
      </c>
      <c r="J1879" s="343" t="s">
        <v>11306</v>
      </c>
      <c r="K1879" s="343" t="s">
        <v>168</v>
      </c>
    </row>
    <row r="1880" spans="1:11" ht="26.25" customHeight="1">
      <c r="A1880" s="343" t="s">
        <v>1813</v>
      </c>
      <c r="B1880" s="344" t="s">
        <v>162</v>
      </c>
      <c r="C1880" s="344">
        <v>6992</v>
      </c>
      <c r="D1880" s="343" t="s">
        <v>4917</v>
      </c>
      <c r="E1880" s="344">
        <v>4906518</v>
      </c>
      <c r="F1880" s="343" t="s">
        <v>4921</v>
      </c>
      <c r="G1880" s="360" t="s">
        <v>11307</v>
      </c>
      <c r="H1880" s="361">
        <v>42276</v>
      </c>
      <c r="I1880" s="343" t="s">
        <v>193</v>
      </c>
      <c r="J1880" s="343" t="s">
        <v>377</v>
      </c>
      <c r="K1880" s="343" t="s">
        <v>168</v>
      </c>
    </row>
    <row r="1881" spans="1:11" ht="26.25" customHeight="1">
      <c r="A1881" s="343" t="s">
        <v>1813</v>
      </c>
      <c r="B1881" s="344" t="s">
        <v>162</v>
      </c>
      <c r="C1881" s="344">
        <v>7464</v>
      </c>
      <c r="D1881" s="343" t="s">
        <v>4771</v>
      </c>
      <c r="E1881" s="344">
        <v>5994155</v>
      </c>
      <c r="F1881" s="343" t="s">
        <v>4777</v>
      </c>
      <c r="G1881" s="360" t="s">
        <v>10121</v>
      </c>
      <c r="H1881" s="361">
        <v>42272</v>
      </c>
      <c r="I1881" s="343" t="s">
        <v>166</v>
      </c>
      <c r="J1881" s="343" t="s">
        <v>11308</v>
      </c>
      <c r="K1881" s="343" t="s">
        <v>168</v>
      </c>
    </row>
    <row r="1882" spans="1:11" ht="26.25" customHeight="1">
      <c r="A1882" s="343" t="s">
        <v>1813</v>
      </c>
      <c r="B1882" s="344" t="s">
        <v>162</v>
      </c>
      <c r="C1882" s="344">
        <v>10040</v>
      </c>
      <c r="D1882" s="343" t="s">
        <v>5012</v>
      </c>
      <c r="E1882" s="344">
        <v>4489070</v>
      </c>
      <c r="F1882" s="343" t="s">
        <v>5013</v>
      </c>
      <c r="G1882" s="360" t="s">
        <v>11309</v>
      </c>
      <c r="H1882" s="361">
        <v>42269</v>
      </c>
      <c r="I1882" s="343" t="s">
        <v>211</v>
      </c>
      <c r="J1882" s="343" t="s">
        <v>836</v>
      </c>
      <c r="K1882" s="343" t="s">
        <v>168</v>
      </c>
    </row>
    <row r="1883" spans="1:11" ht="26.25" customHeight="1">
      <c r="A1883" s="343" t="s">
        <v>1813</v>
      </c>
      <c r="B1883" s="344" t="s">
        <v>162</v>
      </c>
      <c r="C1883" s="344">
        <v>7464</v>
      </c>
      <c r="D1883" s="343" t="s">
        <v>4771</v>
      </c>
      <c r="E1883" s="344">
        <v>5711520</v>
      </c>
      <c r="F1883" s="343" t="s">
        <v>4775</v>
      </c>
      <c r="G1883" s="360" t="s">
        <v>1127</v>
      </c>
      <c r="H1883" s="361">
        <v>42220</v>
      </c>
      <c r="I1883" s="343" t="s">
        <v>366</v>
      </c>
      <c r="J1883" s="343" t="s">
        <v>11310</v>
      </c>
      <c r="K1883" s="343" t="s">
        <v>168</v>
      </c>
    </row>
    <row r="1884" spans="1:11" ht="26.25" customHeight="1">
      <c r="A1884" s="343" t="s">
        <v>1813</v>
      </c>
      <c r="B1884" s="344" t="s">
        <v>162</v>
      </c>
      <c r="C1884" s="344">
        <v>6996</v>
      </c>
      <c r="D1884" s="343" t="s">
        <v>4942</v>
      </c>
      <c r="E1884" s="344">
        <v>5102774</v>
      </c>
      <c r="F1884" s="343" t="s">
        <v>4947</v>
      </c>
      <c r="G1884" s="360" t="s">
        <v>11311</v>
      </c>
      <c r="H1884" s="361">
        <v>42208</v>
      </c>
      <c r="I1884" s="343" t="s">
        <v>211</v>
      </c>
      <c r="J1884" s="343" t="s">
        <v>11312</v>
      </c>
      <c r="K1884" s="343" t="s">
        <v>168</v>
      </c>
    </row>
    <row r="1885" spans="1:11" ht="26.25" customHeight="1">
      <c r="A1885" s="343" t="s">
        <v>1813</v>
      </c>
      <c r="B1885" s="344" t="s">
        <v>162</v>
      </c>
      <c r="C1885" s="344">
        <v>11188</v>
      </c>
      <c r="D1885" s="343" t="s">
        <v>5024</v>
      </c>
      <c r="E1885" s="344">
        <v>5253703</v>
      </c>
      <c r="F1885" s="343" t="s">
        <v>5029</v>
      </c>
      <c r="G1885" s="360" t="s">
        <v>11313</v>
      </c>
      <c r="H1885" s="361">
        <v>42340</v>
      </c>
      <c r="I1885" s="343" t="s">
        <v>366</v>
      </c>
      <c r="J1885" s="343" t="s">
        <v>11314</v>
      </c>
      <c r="K1885" s="343" t="s">
        <v>168</v>
      </c>
    </row>
    <row r="1886" spans="1:11" ht="26.25" customHeight="1">
      <c r="A1886" s="343" t="s">
        <v>1813</v>
      </c>
      <c r="B1886" s="344" t="s">
        <v>162</v>
      </c>
      <c r="C1886" s="344">
        <v>7485</v>
      </c>
      <c r="D1886" s="343" t="s">
        <v>4791</v>
      </c>
      <c r="E1886" s="344">
        <v>5883766</v>
      </c>
      <c r="F1886" s="343" t="s">
        <v>4796</v>
      </c>
      <c r="G1886" s="360" t="s">
        <v>1326</v>
      </c>
      <c r="H1886" s="361">
        <v>42300</v>
      </c>
      <c r="I1886" s="343" t="s">
        <v>166</v>
      </c>
      <c r="J1886" s="343" t="s">
        <v>184</v>
      </c>
      <c r="K1886" s="343" t="s">
        <v>168</v>
      </c>
    </row>
    <row r="1887" spans="1:11" ht="26.25" customHeight="1">
      <c r="A1887" s="343" t="s">
        <v>1813</v>
      </c>
      <c r="B1887" s="344" t="s">
        <v>162</v>
      </c>
      <c r="C1887" s="344">
        <v>6983</v>
      </c>
      <c r="D1887" s="343" t="s">
        <v>4967</v>
      </c>
      <c r="E1887" s="344">
        <v>5043365</v>
      </c>
      <c r="F1887" s="343" t="s">
        <v>4970</v>
      </c>
      <c r="G1887" s="360" t="s">
        <v>718</v>
      </c>
      <c r="H1887" s="361">
        <v>42299</v>
      </c>
      <c r="I1887" s="343" t="s">
        <v>366</v>
      </c>
      <c r="J1887" s="343" t="s">
        <v>366</v>
      </c>
      <c r="K1887" s="343" t="s">
        <v>168</v>
      </c>
    </row>
    <row r="1888" spans="1:11" ht="26.25" customHeight="1">
      <c r="A1888" s="343" t="s">
        <v>1813</v>
      </c>
      <c r="B1888" s="344" t="s">
        <v>162</v>
      </c>
      <c r="C1888" s="344">
        <v>9881</v>
      </c>
      <c r="D1888" s="343" t="s">
        <v>4926</v>
      </c>
      <c r="E1888" s="344">
        <v>4810796</v>
      </c>
      <c r="F1888" s="343" t="s">
        <v>4931</v>
      </c>
      <c r="G1888" s="360" t="s">
        <v>10847</v>
      </c>
      <c r="H1888" s="361">
        <v>42283</v>
      </c>
      <c r="I1888" s="343" t="s">
        <v>709</v>
      </c>
      <c r="J1888" s="343" t="s">
        <v>11315</v>
      </c>
      <c r="K1888" s="343" t="s">
        <v>168</v>
      </c>
    </row>
    <row r="1889" spans="1:11" ht="26.25" customHeight="1">
      <c r="A1889" s="343" t="s">
        <v>1813</v>
      </c>
      <c r="B1889" s="344" t="s">
        <v>162</v>
      </c>
      <c r="C1889" s="344">
        <v>7488</v>
      </c>
      <c r="D1889" s="343" t="s">
        <v>4751</v>
      </c>
      <c r="E1889" s="344">
        <v>5639094</v>
      </c>
      <c r="F1889" s="343" t="s">
        <v>4757</v>
      </c>
      <c r="G1889" s="360" t="s">
        <v>10560</v>
      </c>
      <c r="H1889" s="361">
        <v>42181</v>
      </c>
      <c r="I1889" s="343" t="s">
        <v>198</v>
      </c>
      <c r="J1889" s="343" t="s">
        <v>198</v>
      </c>
      <c r="K1889" s="343" t="s">
        <v>168</v>
      </c>
    </row>
    <row r="1890" spans="1:11" ht="26.25" customHeight="1">
      <c r="A1890" s="343" t="s">
        <v>1813</v>
      </c>
      <c r="B1890" s="344" t="s">
        <v>162</v>
      </c>
      <c r="C1890" s="344">
        <v>8751</v>
      </c>
      <c r="D1890" s="343" t="s">
        <v>4987</v>
      </c>
      <c r="E1890" s="344">
        <v>3986677</v>
      </c>
      <c r="F1890" s="343" t="s">
        <v>4994</v>
      </c>
      <c r="G1890" s="360" t="s">
        <v>11316</v>
      </c>
      <c r="H1890" s="361">
        <v>42178</v>
      </c>
      <c r="I1890" s="343" t="s">
        <v>547</v>
      </c>
      <c r="J1890" s="343" t="s">
        <v>1028</v>
      </c>
      <c r="K1890" s="343" t="s">
        <v>248</v>
      </c>
    </row>
    <row r="1891" spans="1:11" ht="26.25" customHeight="1">
      <c r="A1891" s="343" t="s">
        <v>1813</v>
      </c>
      <c r="B1891" s="344" t="s">
        <v>162</v>
      </c>
      <c r="C1891" s="344">
        <v>11528</v>
      </c>
      <c r="D1891" s="343" t="s">
        <v>5098</v>
      </c>
      <c r="E1891" s="344">
        <v>5736717</v>
      </c>
      <c r="F1891" s="343" t="s">
        <v>5102</v>
      </c>
      <c r="G1891" s="360" t="s">
        <v>11317</v>
      </c>
      <c r="H1891" s="361">
        <v>42059</v>
      </c>
      <c r="I1891" s="343" t="s">
        <v>5103</v>
      </c>
      <c r="J1891" s="343" t="s">
        <v>11318</v>
      </c>
      <c r="K1891" s="343" t="s">
        <v>168</v>
      </c>
    </row>
    <row r="1892" spans="1:11" ht="26.25" customHeight="1">
      <c r="A1892" s="343" t="s">
        <v>1813</v>
      </c>
      <c r="B1892" s="344" t="s">
        <v>162</v>
      </c>
      <c r="C1892" s="344">
        <v>7467</v>
      </c>
      <c r="D1892" s="343" t="s">
        <v>4735</v>
      </c>
      <c r="E1892" s="344">
        <v>6153133</v>
      </c>
      <c r="F1892" s="343" t="s">
        <v>4741</v>
      </c>
      <c r="G1892" s="360" t="s">
        <v>508</v>
      </c>
      <c r="H1892" s="361">
        <v>42171</v>
      </c>
      <c r="I1892" s="343" t="s">
        <v>271</v>
      </c>
      <c r="J1892" s="343" t="s">
        <v>333</v>
      </c>
      <c r="K1892" s="343" t="s">
        <v>168</v>
      </c>
    </row>
    <row r="1893" spans="1:11" ht="26.25" customHeight="1">
      <c r="A1893" s="343" t="s">
        <v>1813</v>
      </c>
      <c r="B1893" s="344" t="s">
        <v>162</v>
      </c>
      <c r="C1893" s="344">
        <v>7467</v>
      </c>
      <c r="D1893" s="343" t="s">
        <v>4735</v>
      </c>
      <c r="E1893" s="344">
        <v>5931020</v>
      </c>
      <c r="F1893" s="343" t="s">
        <v>4739</v>
      </c>
      <c r="G1893" s="360" t="s">
        <v>10478</v>
      </c>
      <c r="H1893" s="361">
        <v>42047</v>
      </c>
      <c r="I1893" s="343" t="s">
        <v>4190</v>
      </c>
      <c r="J1893" s="343" t="s">
        <v>9420</v>
      </c>
      <c r="K1893" s="343" t="s">
        <v>168</v>
      </c>
    </row>
    <row r="1894" spans="1:11" ht="26.25" customHeight="1">
      <c r="A1894" s="343" t="s">
        <v>1813</v>
      </c>
      <c r="B1894" s="344" t="s">
        <v>162</v>
      </c>
      <c r="C1894" s="344">
        <v>12096</v>
      </c>
      <c r="D1894" s="343" t="s">
        <v>7334</v>
      </c>
      <c r="E1894" s="344">
        <v>6068778</v>
      </c>
      <c r="F1894" s="343" t="s">
        <v>4850</v>
      </c>
      <c r="G1894" s="360" t="s">
        <v>11319</v>
      </c>
      <c r="H1894" s="361">
        <v>42167</v>
      </c>
      <c r="I1894" s="343" t="s">
        <v>193</v>
      </c>
      <c r="J1894" s="343" t="s">
        <v>637</v>
      </c>
      <c r="K1894" s="343" t="s">
        <v>168</v>
      </c>
    </row>
    <row r="1895" spans="1:11" ht="26.25" customHeight="1">
      <c r="A1895" s="343" t="s">
        <v>1813</v>
      </c>
      <c r="B1895" s="344" t="s">
        <v>162</v>
      </c>
      <c r="C1895" s="344">
        <v>10040</v>
      </c>
      <c r="D1895" s="343" t="s">
        <v>5012</v>
      </c>
      <c r="E1895" s="344">
        <v>4181907</v>
      </c>
      <c r="F1895" s="343" t="s">
        <v>5014</v>
      </c>
      <c r="G1895" s="360" t="s">
        <v>10055</v>
      </c>
      <c r="H1895" s="361">
        <v>42164</v>
      </c>
      <c r="I1895" s="343" t="s">
        <v>198</v>
      </c>
      <c r="J1895" s="343" t="s">
        <v>9683</v>
      </c>
      <c r="K1895" s="343" t="s">
        <v>168</v>
      </c>
    </row>
    <row r="1896" spans="1:11" ht="26.25" customHeight="1">
      <c r="A1896" s="343" t="s">
        <v>1813</v>
      </c>
      <c r="B1896" s="344" t="s">
        <v>162</v>
      </c>
      <c r="C1896" s="344">
        <v>11528</v>
      </c>
      <c r="D1896" s="343" t="s">
        <v>5098</v>
      </c>
      <c r="E1896" s="344">
        <v>5952174</v>
      </c>
      <c r="F1896" s="343" t="s">
        <v>5099</v>
      </c>
      <c r="G1896" s="360" t="s">
        <v>9960</v>
      </c>
      <c r="H1896" s="361">
        <v>42075</v>
      </c>
      <c r="I1896" s="343" t="s">
        <v>5100</v>
      </c>
      <c r="J1896" s="343" t="s">
        <v>5100</v>
      </c>
      <c r="K1896" s="343" t="s">
        <v>168</v>
      </c>
    </row>
    <row r="1897" spans="1:11" ht="26.25" customHeight="1">
      <c r="A1897" s="343" t="s">
        <v>1813</v>
      </c>
      <c r="B1897" s="344" t="s">
        <v>162</v>
      </c>
      <c r="C1897" s="344">
        <v>7488</v>
      </c>
      <c r="D1897" s="343" t="s">
        <v>4751</v>
      </c>
      <c r="E1897" s="344">
        <v>5665569</v>
      </c>
      <c r="F1897" s="343" t="s">
        <v>4756</v>
      </c>
      <c r="G1897" s="360" t="s">
        <v>1200</v>
      </c>
      <c r="H1897" s="361">
        <v>42145</v>
      </c>
      <c r="I1897" s="343" t="s">
        <v>465</v>
      </c>
      <c r="J1897" s="343" t="s">
        <v>553</v>
      </c>
      <c r="K1897" s="343" t="s">
        <v>168</v>
      </c>
    </row>
    <row r="1898" spans="1:11" ht="26.25" customHeight="1">
      <c r="A1898" s="343" t="s">
        <v>1813</v>
      </c>
      <c r="B1898" s="344" t="s">
        <v>162</v>
      </c>
      <c r="C1898" s="344">
        <v>6967</v>
      </c>
      <c r="D1898" s="343" t="s">
        <v>4885</v>
      </c>
      <c r="E1898" s="344">
        <v>4045759</v>
      </c>
      <c r="F1898" s="343" t="s">
        <v>4887</v>
      </c>
      <c r="G1898" s="360" t="s">
        <v>11320</v>
      </c>
      <c r="H1898" s="361">
        <v>42143</v>
      </c>
      <c r="I1898" s="343" t="s">
        <v>193</v>
      </c>
      <c r="J1898" s="343" t="s">
        <v>11321</v>
      </c>
      <c r="K1898" s="343" t="s">
        <v>168</v>
      </c>
    </row>
    <row r="1899" spans="1:11" ht="26.25" customHeight="1">
      <c r="A1899" s="343" t="s">
        <v>1813</v>
      </c>
      <c r="B1899" s="344" t="s">
        <v>162</v>
      </c>
      <c r="C1899" s="344">
        <v>6992</v>
      </c>
      <c r="D1899" s="343" t="s">
        <v>4917</v>
      </c>
      <c r="E1899" s="344">
        <v>4275767</v>
      </c>
      <c r="F1899" s="343" t="s">
        <v>4919</v>
      </c>
      <c r="G1899" s="360" t="s">
        <v>11322</v>
      </c>
      <c r="H1899" s="361">
        <v>42137</v>
      </c>
      <c r="I1899" s="343" t="s">
        <v>261</v>
      </c>
      <c r="J1899" s="343" t="s">
        <v>262</v>
      </c>
      <c r="K1899" s="343" t="s">
        <v>168</v>
      </c>
    </row>
    <row r="1900" spans="1:11" ht="26.25" customHeight="1">
      <c r="A1900" s="343" t="s">
        <v>1813</v>
      </c>
      <c r="B1900" s="344" t="s">
        <v>162</v>
      </c>
      <c r="C1900" s="344">
        <v>6992</v>
      </c>
      <c r="D1900" s="343" t="s">
        <v>4917</v>
      </c>
      <c r="E1900" s="344">
        <v>5776114</v>
      </c>
      <c r="F1900" s="343" t="s">
        <v>4923</v>
      </c>
      <c r="G1900" s="360" t="s">
        <v>801</v>
      </c>
      <c r="H1900" s="361">
        <v>42137</v>
      </c>
      <c r="I1900" s="343" t="s">
        <v>261</v>
      </c>
      <c r="J1900" s="343" t="s">
        <v>262</v>
      </c>
      <c r="K1900" s="343" t="s">
        <v>168</v>
      </c>
    </row>
    <row r="1901" spans="1:11" ht="26.25" customHeight="1">
      <c r="A1901" s="343" t="s">
        <v>1813</v>
      </c>
      <c r="B1901" s="344" t="s">
        <v>162</v>
      </c>
      <c r="C1901" s="344">
        <v>7484</v>
      </c>
      <c r="D1901" s="343" t="s">
        <v>4823</v>
      </c>
      <c r="E1901" s="344">
        <v>6202557</v>
      </c>
      <c r="F1901" s="343" t="s">
        <v>4824</v>
      </c>
      <c r="G1901" s="360" t="s">
        <v>11323</v>
      </c>
      <c r="H1901" s="361">
        <v>42136</v>
      </c>
      <c r="I1901" s="343" t="s">
        <v>4825</v>
      </c>
      <c r="J1901" s="343" t="s">
        <v>11324</v>
      </c>
      <c r="K1901" s="343" t="s">
        <v>168</v>
      </c>
    </row>
    <row r="1902" spans="1:11" ht="26.25" customHeight="1">
      <c r="A1902" s="343" t="s">
        <v>1813</v>
      </c>
      <c r="B1902" s="344" t="s">
        <v>162</v>
      </c>
      <c r="C1902" s="344">
        <v>6996</v>
      </c>
      <c r="D1902" s="343" t="s">
        <v>4942</v>
      </c>
      <c r="E1902" s="344">
        <v>4805930</v>
      </c>
      <c r="F1902" s="343" t="s">
        <v>4944</v>
      </c>
      <c r="G1902" s="360" t="s">
        <v>10855</v>
      </c>
      <c r="H1902" s="361">
        <v>42165</v>
      </c>
      <c r="I1902" s="343" t="s">
        <v>4945</v>
      </c>
      <c r="J1902" s="343" t="s">
        <v>11325</v>
      </c>
      <c r="K1902" s="343" t="s">
        <v>168</v>
      </c>
    </row>
    <row r="1903" spans="1:11" ht="26.25" customHeight="1">
      <c r="A1903" s="343" t="s">
        <v>1813</v>
      </c>
      <c r="B1903" s="344" t="s">
        <v>162</v>
      </c>
      <c r="C1903" s="344">
        <v>10043</v>
      </c>
      <c r="D1903" s="343" t="s">
        <v>4802</v>
      </c>
      <c r="E1903" s="344">
        <v>6069629</v>
      </c>
      <c r="F1903" s="343" t="s">
        <v>4806</v>
      </c>
      <c r="G1903" s="360" t="s">
        <v>11326</v>
      </c>
      <c r="H1903" s="361">
        <v>42118</v>
      </c>
      <c r="I1903" s="343" t="s">
        <v>166</v>
      </c>
      <c r="J1903" s="343" t="s">
        <v>11327</v>
      </c>
      <c r="K1903" s="343" t="s">
        <v>168</v>
      </c>
    </row>
    <row r="1904" spans="1:11" ht="26.25" customHeight="1">
      <c r="A1904" s="343" t="s">
        <v>1813</v>
      </c>
      <c r="B1904" s="344" t="s">
        <v>162</v>
      </c>
      <c r="C1904" s="344">
        <v>6996</v>
      </c>
      <c r="D1904" s="343" t="s">
        <v>4942</v>
      </c>
      <c r="E1904" s="344">
        <v>5890956</v>
      </c>
      <c r="F1904" s="343" t="s">
        <v>4943</v>
      </c>
      <c r="G1904" s="360" t="s">
        <v>10870</v>
      </c>
      <c r="H1904" s="361">
        <v>42135</v>
      </c>
      <c r="I1904" s="343" t="s">
        <v>198</v>
      </c>
      <c r="J1904" s="343" t="s">
        <v>198</v>
      </c>
      <c r="K1904" s="343" t="s">
        <v>168</v>
      </c>
    </row>
    <row r="1905" spans="1:11" ht="26.25" customHeight="1">
      <c r="A1905" s="343" t="s">
        <v>1813</v>
      </c>
      <c r="B1905" s="344" t="s">
        <v>162</v>
      </c>
      <c r="C1905" s="344">
        <v>10045</v>
      </c>
      <c r="D1905" s="343" t="s">
        <v>5134</v>
      </c>
      <c r="E1905" s="344">
        <v>6473824</v>
      </c>
      <c r="F1905" s="343" t="s">
        <v>5135</v>
      </c>
      <c r="G1905" s="360" t="s">
        <v>11328</v>
      </c>
      <c r="H1905" s="361">
        <v>42403</v>
      </c>
      <c r="I1905" s="343" t="s">
        <v>3930</v>
      </c>
      <c r="J1905" s="343" t="s">
        <v>11329</v>
      </c>
      <c r="K1905" s="343" t="s">
        <v>248</v>
      </c>
    </row>
    <row r="1906" spans="1:11" ht="26.25" customHeight="1">
      <c r="A1906" s="343" t="s">
        <v>1813</v>
      </c>
      <c r="B1906" s="344" t="s">
        <v>162</v>
      </c>
      <c r="C1906" s="344">
        <v>8935</v>
      </c>
      <c r="D1906" s="343" t="s">
        <v>5151</v>
      </c>
      <c r="E1906" s="344">
        <v>5704169</v>
      </c>
      <c r="F1906" s="343" t="s">
        <v>5154</v>
      </c>
      <c r="G1906" s="360" t="s">
        <v>11330</v>
      </c>
      <c r="H1906" s="361">
        <v>42417</v>
      </c>
      <c r="I1906" s="343" t="s">
        <v>366</v>
      </c>
      <c r="J1906" s="343" t="s">
        <v>366</v>
      </c>
      <c r="K1906" s="343" t="s">
        <v>168</v>
      </c>
    </row>
    <row r="1907" spans="1:11" ht="26.25" customHeight="1">
      <c r="A1907" s="343" t="s">
        <v>1813</v>
      </c>
      <c r="B1907" s="344" t="s">
        <v>162</v>
      </c>
      <c r="C1907" s="344">
        <v>11188</v>
      </c>
      <c r="D1907" s="343" t="s">
        <v>5024</v>
      </c>
      <c r="E1907" s="344">
        <v>5122992</v>
      </c>
      <c r="F1907" s="343" t="s">
        <v>5030</v>
      </c>
      <c r="G1907" s="360" t="s">
        <v>619</v>
      </c>
      <c r="H1907" s="361">
        <v>42429</v>
      </c>
      <c r="I1907" s="343" t="s">
        <v>5031</v>
      </c>
      <c r="J1907" s="343" t="s">
        <v>11331</v>
      </c>
      <c r="K1907" s="343" t="s">
        <v>168</v>
      </c>
    </row>
    <row r="1908" spans="1:11" ht="26.25" customHeight="1">
      <c r="A1908" s="343" t="s">
        <v>1813</v>
      </c>
      <c r="B1908" s="344" t="s">
        <v>162</v>
      </c>
      <c r="C1908" s="344">
        <v>12096</v>
      </c>
      <c r="D1908" s="343" t="s">
        <v>7334</v>
      </c>
      <c r="E1908" s="344">
        <v>6266588</v>
      </c>
      <c r="F1908" s="343" t="s">
        <v>4849</v>
      </c>
      <c r="G1908" s="360" t="s">
        <v>11332</v>
      </c>
      <c r="H1908" s="361">
        <v>42433</v>
      </c>
      <c r="I1908" s="343" t="s">
        <v>193</v>
      </c>
      <c r="J1908" s="343" t="s">
        <v>11333</v>
      </c>
      <c r="K1908" s="343" t="s">
        <v>168</v>
      </c>
    </row>
    <row r="1909" spans="1:11" ht="26.25" customHeight="1">
      <c r="A1909" s="343" t="s">
        <v>1813</v>
      </c>
      <c r="B1909" s="344" t="s">
        <v>162</v>
      </c>
      <c r="C1909" s="344">
        <v>6979</v>
      </c>
      <c r="D1909" s="343" t="s">
        <v>4888</v>
      </c>
      <c r="E1909" s="344">
        <v>4246762</v>
      </c>
      <c r="F1909" s="343" t="s">
        <v>4893</v>
      </c>
      <c r="G1909" s="360" t="s">
        <v>11334</v>
      </c>
      <c r="H1909" s="361">
        <v>42433</v>
      </c>
      <c r="I1909" s="343" t="s">
        <v>211</v>
      </c>
      <c r="J1909" s="343" t="s">
        <v>836</v>
      </c>
      <c r="K1909" s="343" t="s">
        <v>168</v>
      </c>
    </row>
    <row r="1910" spans="1:11" ht="26.25" customHeight="1">
      <c r="A1910" s="343" t="s">
        <v>1813</v>
      </c>
      <c r="B1910" s="344" t="s">
        <v>162</v>
      </c>
      <c r="C1910" s="344">
        <v>7468</v>
      </c>
      <c r="D1910" s="343" t="s">
        <v>4811</v>
      </c>
      <c r="E1910" s="344">
        <v>6263005</v>
      </c>
      <c r="F1910" s="343" t="s">
        <v>4815</v>
      </c>
      <c r="G1910" s="360" t="s">
        <v>11335</v>
      </c>
      <c r="H1910" s="361">
        <v>42433</v>
      </c>
      <c r="I1910" s="343" t="s">
        <v>3629</v>
      </c>
      <c r="J1910" s="343" t="s">
        <v>11336</v>
      </c>
      <c r="K1910" s="343" t="s">
        <v>168</v>
      </c>
    </row>
    <row r="1911" spans="1:11" ht="26.25" customHeight="1">
      <c r="A1911" s="343" t="s">
        <v>1813</v>
      </c>
      <c r="B1911" s="344" t="s">
        <v>162</v>
      </c>
      <c r="C1911" s="344">
        <v>12094</v>
      </c>
      <c r="D1911" s="343" t="s">
        <v>5157</v>
      </c>
      <c r="E1911" s="344">
        <v>5666301</v>
      </c>
      <c r="F1911" s="343" t="s">
        <v>5159</v>
      </c>
      <c r="G1911" s="360" t="s">
        <v>1098</v>
      </c>
      <c r="H1911" s="361">
        <v>42438</v>
      </c>
      <c r="I1911" s="343" t="s">
        <v>802</v>
      </c>
      <c r="J1911" s="343" t="s">
        <v>11303</v>
      </c>
      <c r="K1911" s="343" t="s">
        <v>168</v>
      </c>
    </row>
    <row r="1912" spans="1:11" ht="26.25" customHeight="1">
      <c r="A1912" s="343" t="s">
        <v>1813</v>
      </c>
      <c r="B1912" s="344" t="s">
        <v>162</v>
      </c>
      <c r="C1912" s="344">
        <v>12094</v>
      </c>
      <c r="D1912" s="343" t="s">
        <v>5157</v>
      </c>
      <c r="E1912" s="344">
        <v>5692341</v>
      </c>
      <c r="F1912" s="343" t="s">
        <v>5158</v>
      </c>
      <c r="G1912" s="360" t="s">
        <v>11337</v>
      </c>
      <c r="H1912" s="361">
        <v>42438</v>
      </c>
      <c r="I1912" s="343" t="s">
        <v>336</v>
      </c>
      <c r="J1912" s="343" t="s">
        <v>11338</v>
      </c>
      <c r="K1912" s="343" t="s">
        <v>168</v>
      </c>
    </row>
    <row r="1913" spans="1:11" ht="26.25" customHeight="1">
      <c r="A1913" s="343" t="s">
        <v>1813</v>
      </c>
      <c r="B1913" s="344" t="s">
        <v>162</v>
      </c>
      <c r="C1913" s="344">
        <v>7488</v>
      </c>
      <c r="D1913" s="343" t="s">
        <v>4751</v>
      </c>
      <c r="E1913" s="344">
        <v>6511435</v>
      </c>
      <c r="F1913" s="343" t="s">
        <v>4755</v>
      </c>
      <c r="G1913" s="360" t="s">
        <v>9777</v>
      </c>
      <c r="H1913" s="361">
        <v>42439</v>
      </c>
      <c r="I1913" s="343" t="s">
        <v>3629</v>
      </c>
      <c r="J1913" s="343" t="s">
        <v>11339</v>
      </c>
      <c r="K1913" s="343" t="s">
        <v>168</v>
      </c>
    </row>
    <row r="1914" spans="1:11" ht="26.25" customHeight="1">
      <c r="A1914" s="343" t="s">
        <v>1813</v>
      </c>
      <c r="B1914" s="344" t="s">
        <v>162</v>
      </c>
      <c r="C1914" s="344">
        <v>6629</v>
      </c>
      <c r="D1914" s="343" t="s">
        <v>5114</v>
      </c>
      <c r="E1914" s="344">
        <v>5765412</v>
      </c>
      <c r="F1914" s="343" t="s">
        <v>5117</v>
      </c>
      <c r="G1914" s="360" t="s">
        <v>10762</v>
      </c>
      <c r="H1914" s="361">
        <v>42439</v>
      </c>
      <c r="I1914" s="343" t="s">
        <v>211</v>
      </c>
      <c r="J1914" s="343" t="s">
        <v>836</v>
      </c>
      <c r="K1914" s="343" t="s">
        <v>168</v>
      </c>
    </row>
    <row r="1915" spans="1:11" ht="26.25" customHeight="1">
      <c r="A1915" s="343" t="s">
        <v>1813</v>
      </c>
      <c r="B1915" s="344" t="s">
        <v>162</v>
      </c>
      <c r="C1915" s="344">
        <v>11188</v>
      </c>
      <c r="D1915" s="343" t="s">
        <v>5024</v>
      </c>
      <c r="E1915" s="344">
        <v>5841287</v>
      </c>
      <c r="F1915" s="343" t="s">
        <v>5028</v>
      </c>
      <c r="G1915" s="360" t="s">
        <v>11340</v>
      </c>
      <c r="H1915" s="361">
        <v>42439</v>
      </c>
      <c r="I1915" s="343" t="s">
        <v>670</v>
      </c>
      <c r="J1915" s="343" t="s">
        <v>10731</v>
      </c>
      <c r="K1915" s="343" t="s">
        <v>173</v>
      </c>
    </row>
    <row r="1916" spans="1:11" ht="26.25" customHeight="1">
      <c r="A1916" s="343" t="s">
        <v>1813</v>
      </c>
      <c r="B1916" s="344" t="s">
        <v>162</v>
      </c>
      <c r="C1916" s="344">
        <v>6630</v>
      </c>
      <c r="D1916" s="343" t="s">
        <v>5078</v>
      </c>
      <c r="E1916" s="344">
        <v>5725942</v>
      </c>
      <c r="F1916" s="343" t="s">
        <v>5082</v>
      </c>
      <c r="G1916" s="360" t="s">
        <v>9698</v>
      </c>
      <c r="H1916" s="361">
        <v>42468</v>
      </c>
      <c r="I1916" s="343" t="s">
        <v>366</v>
      </c>
      <c r="J1916" s="343" t="s">
        <v>11341</v>
      </c>
      <c r="K1916" s="343" t="s">
        <v>168</v>
      </c>
    </row>
    <row r="1917" spans="1:11" ht="26.25" customHeight="1">
      <c r="A1917" s="343" t="s">
        <v>1813</v>
      </c>
      <c r="B1917" s="344" t="s">
        <v>162</v>
      </c>
      <c r="C1917" s="344">
        <v>9043</v>
      </c>
      <c r="D1917" s="343" t="s">
        <v>4996</v>
      </c>
      <c r="E1917" s="344">
        <v>5076218</v>
      </c>
      <c r="F1917" s="343" t="s">
        <v>5000</v>
      </c>
      <c r="G1917" s="360" t="s">
        <v>11342</v>
      </c>
      <c r="H1917" s="361">
        <v>42466</v>
      </c>
      <c r="I1917" s="343" t="s">
        <v>5001</v>
      </c>
      <c r="J1917" s="343" t="s">
        <v>11343</v>
      </c>
      <c r="K1917" s="343" t="s">
        <v>168</v>
      </c>
    </row>
    <row r="1918" spans="1:11" ht="26.25" customHeight="1">
      <c r="A1918" s="343" t="s">
        <v>1813</v>
      </c>
      <c r="B1918" s="344" t="s">
        <v>162</v>
      </c>
      <c r="C1918" s="344">
        <v>9184</v>
      </c>
      <c r="D1918" s="343" t="s">
        <v>4979</v>
      </c>
      <c r="E1918" s="344">
        <v>4954006</v>
      </c>
      <c r="F1918" s="343" t="s">
        <v>4983</v>
      </c>
      <c r="G1918" s="360" t="s">
        <v>11344</v>
      </c>
      <c r="H1918" s="361">
        <v>42466</v>
      </c>
      <c r="I1918" s="343" t="s">
        <v>211</v>
      </c>
      <c r="J1918" s="343" t="s">
        <v>948</v>
      </c>
      <c r="K1918" s="343" t="s">
        <v>168</v>
      </c>
    </row>
    <row r="1919" spans="1:11" ht="26.25" customHeight="1">
      <c r="A1919" s="343" t="s">
        <v>1813</v>
      </c>
      <c r="B1919" s="344" t="s">
        <v>162</v>
      </c>
      <c r="C1919" s="344">
        <v>12094</v>
      </c>
      <c r="D1919" s="343" t="s">
        <v>5157</v>
      </c>
      <c r="E1919" s="344">
        <v>6028589</v>
      </c>
      <c r="F1919" s="343" t="s">
        <v>5160</v>
      </c>
      <c r="G1919" s="360" t="s">
        <v>11345</v>
      </c>
      <c r="H1919" s="361">
        <v>42460</v>
      </c>
      <c r="I1919" s="343" t="s">
        <v>465</v>
      </c>
      <c r="J1919" s="343" t="s">
        <v>553</v>
      </c>
      <c r="K1919" s="343" t="s">
        <v>168</v>
      </c>
    </row>
    <row r="1920" spans="1:11" ht="26.25" customHeight="1">
      <c r="A1920" s="343" t="s">
        <v>1813</v>
      </c>
      <c r="B1920" s="344" t="s">
        <v>162</v>
      </c>
      <c r="C1920" s="344">
        <v>6984</v>
      </c>
      <c r="D1920" s="343" t="s">
        <v>4963</v>
      </c>
      <c r="E1920" s="344">
        <v>4975025</v>
      </c>
      <c r="F1920" s="343" t="s">
        <v>4964</v>
      </c>
      <c r="G1920" s="360" t="s">
        <v>11346</v>
      </c>
      <c r="H1920" s="361">
        <v>42473</v>
      </c>
      <c r="I1920" s="343" t="s">
        <v>211</v>
      </c>
      <c r="J1920" s="343" t="s">
        <v>211</v>
      </c>
      <c r="K1920" s="343" t="s">
        <v>168</v>
      </c>
    </row>
    <row r="1921" spans="1:11" ht="26.25" customHeight="1">
      <c r="A1921" s="343" t="s">
        <v>1813</v>
      </c>
      <c r="B1921" s="344" t="s">
        <v>162</v>
      </c>
      <c r="C1921" s="344">
        <v>9881</v>
      </c>
      <c r="D1921" s="343" t="s">
        <v>4926</v>
      </c>
      <c r="E1921" s="344">
        <v>6373886</v>
      </c>
      <c r="F1921" s="343" t="s">
        <v>4929</v>
      </c>
      <c r="G1921" s="360" t="s">
        <v>11347</v>
      </c>
      <c r="H1921" s="361">
        <v>42464</v>
      </c>
      <c r="I1921" s="343" t="s">
        <v>198</v>
      </c>
      <c r="J1921" s="343" t="s">
        <v>1327</v>
      </c>
      <c r="K1921" s="343" t="s">
        <v>168</v>
      </c>
    </row>
    <row r="1922" spans="1:11" ht="26.25" customHeight="1">
      <c r="A1922" s="343" t="s">
        <v>1813</v>
      </c>
      <c r="B1922" s="344" t="s">
        <v>162</v>
      </c>
      <c r="C1922" s="344">
        <v>12097</v>
      </c>
      <c r="D1922" s="343" t="s">
        <v>4950</v>
      </c>
      <c r="E1922" s="344">
        <v>5618857</v>
      </c>
      <c r="F1922" s="343" t="s">
        <v>4958</v>
      </c>
      <c r="G1922" s="360" t="s">
        <v>11348</v>
      </c>
      <c r="H1922" s="361">
        <v>42489</v>
      </c>
      <c r="I1922" s="343" t="s">
        <v>211</v>
      </c>
      <c r="J1922" s="343" t="s">
        <v>11349</v>
      </c>
      <c r="K1922" s="343" t="s">
        <v>168</v>
      </c>
    </row>
    <row r="1923" spans="1:11" ht="26.25" customHeight="1">
      <c r="A1923" s="343" t="s">
        <v>1813</v>
      </c>
      <c r="B1923" s="344" t="s">
        <v>162</v>
      </c>
      <c r="C1923" s="344">
        <v>9043</v>
      </c>
      <c r="D1923" s="343" t="s">
        <v>4996</v>
      </c>
      <c r="E1923" s="344">
        <v>4689415</v>
      </c>
      <c r="F1923" s="343" t="s">
        <v>4997</v>
      </c>
      <c r="G1923" s="360" t="s">
        <v>11350</v>
      </c>
      <c r="H1923" s="361">
        <v>42485</v>
      </c>
      <c r="I1923" s="343" t="s">
        <v>211</v>
      </c>
      <c r="J1923" s="343" t="s">
        <v>11349</v>
      </c>
      <c r="K1923" s="343" t="s">
        <v>168</v>
      </c>
    </row>
    <row r="1924" spans="1:11" ht="26.25" customHeight="1">
      <c r="A1924" s="343" t="s">
        <v>1813</v>
      </c>
      <c r="B1924" s="344" t="s">
        <v>162</v>
      </c>
      <c r="C1924" s="344">
        <v>6994</v>
      </c>
      <c r="D1924" s="343" t="s">
        <v>4939</v>
      </c>
      <c r="E1924" s="344">
        <v>4078738</v>
      </c>
      <c r="F1924" s="343" t="s">
        <v>4940</v>
      </c>
      <c r="G1924" s="360" t="s">
        <v>11351</v>
      </c>
      <c r="H1924" s="361">
        <v>42494</v>
      </c>
      <c r="I1924" s="343" t="s">
        <v>211</v>
      </c>
      <c r="J1924" s="343" t="s">
        <v>11352</v>
      </c>
      <c r="K1924" s="343" t="s">
        <v>168</v>
      </c>
    </row>
    <row r="1925" spans="1:11" ht="26.25" customHeight="1">
      <c r="A1925" s="343" t="s">
        <v>1813</v>
      </c>
      <c r="B1925" s="344" t="s">
        <v>162</v>
      </c>
      <c r="C1925" s="344">
        <v>7468</v>
      </c>
      <c r="D1925" s="343" t="s">
        <v>4811</v>
      </c>
      <c r="E1925" s="344">
        <v>6226490</v>
      </c>
      <c r="F1925" s="343" t="s">
        <v>4813</v>
      </c>
      <c r="G1925" s="360" t="s">
        <v>11353</v>
      </c>
      <c r="H1925" s="361">
        <v>42501</v>
      </c>
      <c r="I1925" s="343" t="s">
        <v>301</v>
      </c>
      <c r="J1925" s="343" t="s">
        <v>11354</v>
      </c>
      <c r="K1925" s="343" t="s">
        <v>168</v>
      </c>
    </row>
    <row r="1926" spans="1:11" ht="26.25" customHeight="1">
      <c r="A1926" s="343" t="s">
        <v>1813</v>
      </c>
      <c r="B1926" s="344" t="s">
        <v>162</v>
      </c>
      <c r="C1926" s="344">
        <v>12890</v>
      </c>
      <c r="D1926" s="343" t="s">
        <v>5018</v>
      </c>
      <c r="E1926" s="344">
        <v>5899744</v>
      </c>
      <c r="F1926" s="343" t="s">
        <v>5023</v>
      </c>
      <c r="G1926" s="360" t="s">
        <v>11355</v>
      </c>
      <c r="H1926" s="361">
        <v>42509</v>
      </c>
      <c r="I1926" s="343" t="s">
        <v>193</v>
      </c>
      <c r="J1926" s="343" t="s">
        <v>1429</v>
      </c>
      <c r="K1926" s="343" t="s">
        <v>168</v>
      </c>
    </row>
    <row r="1927" spans="1:11" ht="26.25" customHeight="1">
      <c r="A1927" s="343" t="s">
        <v>1813</v>
      </c>
      <c r="B1927" s="344" t="s">
        <v>162</v>
      </c>
      <c r="C1927" s="344">
        <v>9560</v>
      </c>
      <c r="D1927" s="343" t="s">
        <v>4799</v>
      </c>
      <c r="E1927" s="344">
        <v>6391737</v>
      </c>
      <c r="F1927" s="343" t="s">
        <v>4801</v>
      </c>
      <c r="G1927" s="360" t="s">
        <v>11356</v>
      </c>
      <c r="H1927" s="361">
        <v>42513</v>
      </c>
      <c r="I1927" s="343" t="s">
        <v>166</v>
      </c>
      <c r="J1927" s="343" t="s">
        <v>11357</v>
      </c>
      <c r="K1927" s="343" t="s">
        <v>168</v>
      </c>
    </row>
    <row r="1928" spans="1:11" ht="26.25" customHeight="1">
      <c r="A1928" s="343" t="s">
        <v>1813</v>
      </c>
      <c r="B1928" s="344" t="s">
        <v>162</v>
      </c>
      <c r="C1928" s="344">
        <v>6978</v>
      </c>
      <c r="D1928" s="343" t="s">
        <v>4932</v>
      </c>
      <c r="E1928" s="344">
        <v>4943417</v>
      </c>
      <c r="F1928" s="343" t="s">
        <v>4934</v>
      </c>
      <c r="G1928" s="360" t="s">
        <v>11358</v>
      </c>
      <c r="H1928" s="361">
        <v>42513</v>
      </c>
      <c r="I1928" s="343" t="s">
        <v>3596</v>
      </c>
      <c r="J1928" s="343" t="s">
        <v>11359</v>
      </c>
      <c r="K1928" s="343" t="s">
        <v>168</v>
      </c>
    </row>
    <row r="1929" spans="1:11" ht="26.25" customHeight="1">
      <c r="A1929" s="343" t="s">
        <v>1813</v>
      </c>
      <c r="B1929" s="344" t="s">
        <v>162</v>
      </c>
      <c r="C1929" s="344">
        <v>7477</v>
      </c>
      <c r="D1929" s="343" t="s">
        <v>4761</v>
      </c>
      <c r="E1929" s="344">
        <v>6219281</v>
      </c>
      <c r="F1929" s="343" t="s">
        <v>4764</v>
      </c>
      <c r="G1929" s="360" t="s">
        <v>10611</v>
      </c>
      <c r="H1929" s="361">
        <v>42521</v>
      </c>
      <c r="I1929" s="343" t="s">
        <v>193</v>
      </c>
      <c r="J1929" s="343" t="s">
        <v>11360</v>
      </c>
      <c r="K1929" s="343" t="s">
        <v>168</v>
      </c>
    </row>
    <row r="1930" spans="1:11" ht="26.25" customHeight="1">
      <c r="A1930" s="343" t="s">
        <v>1813</v>
      </c>
      <c r="B1930" s="344" t="s">
        <v>162</v>
      </c>
      <c r="C1930" s="344">
        <v>12096</v>
      </c>
      <c r="D1930" s="343" t="s">
        <v>7334</v>
      </c>
      <c r="E1930" s="344">
        <v>6478682</v>
      </c>
      <c r="F1930" s="343" t="s">
        <v>4843</v>
      </c>
      <c r="G1930" s="360" t="s">
        <v>10527</v>
      </c>
      <c r="H1930" s="361">
        <v>42520</v>
      </c>
      <c r="I1930" s="343" t="s">
        <v>4844</v>
      </c>
      <c r="J1930" s="343" t="s">
        <v>11361</v>
      </c>
      <c r="K1930" s="343" t="s">
        <v>173</v>
      </c>
    </row>
    <row r="1931" spans="1:11" ht="26.25" customHeight="1">
      <c r="A1931" s="343" t="s">
        <v>1813</v>
      </c>
      <c r="B1931" s="344" t="s">
        <v>162</v>
      </c>
      <c r="C1931" s="344">
        <v>7479</v>
      </c>
      <c r="D1931" s="343" t="s">
        <v>4779</v>
      </c>
      <c r="E1931" s="344">
        <v>6297408</v>
      </c>
      <c r="F1931" s="343" t="s">
        <v>4784</v>
      </c>
      <c r="G1931" s="360" t="s">
        <v>11362</v>
      </c>
      <c r="H1931" s="361">
        <v>42544</v>
      </c>
      <c r="I1931" s="343" t="s">
        <v>166</v>
      </c>
      <c r="J1931" s="343" t="s">
        <v>344</v>
      </c>
      <c r="K1931" s="343" t="s">
        <v>168</v>
      </c>
    </row>
    <row r="1932" spans="1:11" ht="26.25" customHeight="1">
      <c r="A1932" s="343" t="s">
        <v>1813</v>
      </c>
      <c r="B1932" s="344" t="s">
        <v>162</v>
      </c>
      <c r="C1932" s="344">
        <v>11093</v>
      </c>
      <c r="D1932" s="343" t="s">
        <v>4827</v>
      </c>
      <c r="E1932" s="344">
        <v>5950331</v>
      </c>
      <c r="F1932" s="343" t="s">
        <v>4833</v>
      </c>
      <c r="G1932" s="360" t="s">
        <v>1272</v>
      </c>
      <c r="H1932" s="361">
        <v>42542</v>
      </c>
      <c r="I1932" s="343" t="s">
        <v>198</v>
      </c>
      <c r="J1932" s="343" t="s">
        <v>198</v>
      </c>
      <c r="K1932" s="343" t="s">
        <v>168</v>
      </c>
    </row>
    <row r="1933" spans="1:11" ht="26.25" customHeight="1">
      <c r="A1933" s="343" t="s">
        <v>1813</v>
      </c>
      <c r="B1933" s="344" t="s">
        <v>162</v>
      </c>
      <c r="C1933" s="344">
        <v>10042</v>
      </c>
      <c r="D1933" s="343" t="s">
        <v>4747</v>
      </c>
      <c r="E1933" s="344">
        <v>6372034</v>
      </c>
      <c r="F1933" s="343" t="s">
        <v>4748</v>
      </c>
      <c r="G1933" s="360" t="s">
        <v>11363</v>
      </c>
      <c r="H1933" s="361">
        <v>42535</v>
      </c>
      <c r="I1933" s="343" t="s">
        <v>284</v>
      </c>
      <c r="J1933" s="343" t="s">
        <v>284</v>
      </c>
      <c r="K1933" s="343" t="s">
        <v>168</v>
      </c>
    </row>
    <row r="1934" spans="1:11" ht="26.25" customHeight="1">
      <c r="A1934" s="343" t="s">
        <v>1813</v>
      </c>
      <c r="B1934" s="344" t="s">
        <v>162</v>
      </c>
      <c r="C1934" s="344">
        <v>6982</v>
      </c>
      <c r="D1934" s="343" t="s">
        <v>4974</v>
      </c>
      <c r="E1934" s="344">
        <v>6033837</v>
      </c>
      <c r="F1934" s="343" t="s">
        <v>4976</v>
      </c>
      <c r="G1934" s="360" t="s">
        <v>11364</v>
      </c>
      <c r="H1934" s="361">
        <v>42552</v>
      </c>
      <c r="I1934" s="343" t="s">
        <v>211</v>
      </c>
      <c r="J1934" s="343" t="s">
        <v>211</v>
      </c>
      <c r="K1934" s="343" t="s">
        <v>168</v>
      </c>
    </row>
    <row r="1935" spans="1:11" ht="26.25" customHeight="1">
      <c r="A1935" s="343" t="s">
        <v>1813</v>
      </c>
      <c r="B1935" s="344" t="s">
        <v>162</v>
      </c>
      <c r="C1935" s="344">
        <v>9480</v>
      </c>
      <c r="D1935" s="343" t="s">
        <v>4857</v>
      </c>
      <c r="E1935" s="344">
        <v>4509009</v>
      </c>
      <c r="F1935" s="343" t="s">
        <v>4865</v>
      </c>
      <c r="G1935" s="360" t="s">
        <v>11365</v>
      </c>
      <c r="H1935" s="361">
        <v>42563</v>
      </c>
      <c r="I1935" s="343" t="s">
        <v>166</v>
      </c>
      <c r="J1935" s="343" t="s">
        <v>344</v>
      </c>
      <c r="K1935" s="343" t="s">
        <v>168</v>
      </c>
    </row>
    <row r="1936" spans="1:11" ht="26.25" customHeight="1">
      <c r="A1936" s="343" t="s">
        <v>1813</v>
      </c>
      <c r="B1936" s="344" t="s">
        <v>162</v>
      </c>
      <c r="C1936" s="344">
        <v>7464</v>
      </c>
      <c r="D1936" s="343" t="s">
        <v>4771</v>
      </c>
      <c r="E1936" s="344">
        <v>6284359</v>
      </c>
      <c r="F1936" s="343" t="s">
        <v>4774</v>
      </c>
      <c r="G1936" s="360" t="s">
        <v>9764</v>
      </c>
      <c r="H1936" s="361">
        <v>42583</v>
      </c>
      <c r="I1936" s="343" t="s">
        <v>349</v>
      </c>
      <c r="J1936" s="343" t="s">
        <v>11366</v>
      </c>
      <c r="K1936" s="343" t="s">
        <v>168</v>
      </c>
    </row>
    <row r="1937" spans="1:11" ht="26.25" customHeight="1">
      <c r="A1937" s="343" t="s">
        <v>1813</v>
      </c>
      <c r="B1937" s="344" t="s">
        <v>162</v>
      </c>
      <c r="C1937" s="344">
        <v>7479</v>
      </c>
      <c r="D1937" s="343" t="s">
        <v>4779</v>
      </c>
      <c r="E1937" s="344">
        <v>6342740</v>
      </c>
      <c r="F1937" s="343" t="s">
        <v>4783</v>
      </c>
      <c r="G1937" s="360" t="s">
        <v>11367</v>
      </c>
      <c r="H1937" s="361">
        <v>42583</v>
      </c>
      <c r="I1937" s="343" t="s">
        <v>301</v>
      </c>
      <c r="J1937" s="343" t="s">
        <v>302</v>
      </c>
      <c r="K1937" s="343" t="s">
        <v>168</v>
      </c>
    </row>
    <row r="1938" spans="1:11" ht="26.25" customHeight="1">
      <c r="A1938" s="343" t="s">
        <v>1813</v>
      </c>
      <c r="B1938" s="344" t="s">
        <v>162</v>
      </c>
      <c r="C1938" s="344">
        <v>7485</v>
      </c>
      <c r="D1938" s="343" t="s">
        <v>4791</v>
      </c>
      <c r="E1938" s="344">
        <v>6418811</v>
      </c>
      <c r="F1938" s="343" t="s">
        <v>4798</v>
      </c>
      <c r="G1938" s="360" t="s">
        <v>10233</v>
      </c>
      <c r="H1938" s="361">
        <v>42586</v>
      </c>
      <c r="I1938" s="343" t="s">
        <v>166</v>
      </c>
      <c r="J1938" s="343" t="s">
        <v>344</v>
      </c>
      <c r="K1938" s="343" t="s">
        <v>168</v>
      </c>
    </row>
    <row r="1939" spans="1:11" ht="26.25" customHeight="1">
      <c r="A1939" s="343" t="s">
        <v>1813</v>
      </c>
      <c r="B1939" s="344" t="s">
        <v>162</v>
      </c>
      <c r="C1939" s="344">
        <v>9043</v>
      </c>
      <c r="D1939" s="343" t="s">
        <v>4996</v>
      </c>
      <c r="E1939" s="344">
        <v>5891075</v>
      </c>
      <c r="F1939" s="343" t="s">
        <v>4999</v>
      </c>
      <c r="G1939" s="360" t="s">
        <v>11368</v>
      </c>
      <c r="H1939" s="361">
        <v>42586</v>
      </c>
      <c r="I1939" s="343" t="s">
        <v>3850</v>
      </c>
      <c r="J1939" s="343" t="s">
        <v>11369</v>
      </c>
      <c r="K1939" s="343" t="s">
        <v>168</v>
      </c>
    </row>
    <row r="1940" spans="1:11" ht="26.25" customHeight="1">
      <c r="A1940" s="343" t="s">
        <v>1813</v>
      </c>
      <c r="B1940" s="344" t="s">
        <v>162</v>
      </c>
      <c r="C1940" s="344">
        <v>12103</v>
      </c>
      <c r="D1940" s="343" t="s">
        <v>4874</v>
      </c>
      <c r="E1940" s="344">
        <v>6192315</v>
      </c>
      <c r="F1940" s="343" t="s">
        <v>4877</v>
      </c>
      <c r="G1940" s="360" t="s">
        <v>11370</v>
      </c>
      <c r="H1940" s="361">
        <v>42586</v>
      </c>
      <c r="I1940" s="343" t="s">
        <v>709</v>
      </c>
      <c r="J1940" s="343" t="s">
        <v>978</v>
      </c>
      <c r="K1940" s="343" t="s">
        <v>173</v>
      </c>
    </row>
    <row r="1941" spans="1:11" ht="26.25" customHeight="1">
      <c r="A1941" s="343" t="s">
        <v>1813</v>
      </c>
      <c r="B1941" s="344" t="s">
        <v>162</v>
      </c>
      <c r="C1941" s="344">
        <v>11188</v>
      </c>
      <c r="D1941" s="343" t="s">
        <v>5024</v>
      </c>
      <c r="E1941" s="344">
        <v>6136421</v>
      </c>
      <c r="F1941" s="343" t="s">
        <v>5025</v>
      </c>
      <c r="G1941" s="360" t="s">
        <v>11371</v>
      </c>
      <c r="H1941" s="361">
        <v>42608</v>
      </c>
      <c r="I1941" s="343" t="s">
        <v>193</v>
      </c>
      <c r="J1941" s="343" t="s">
        <v>536</v>
      </c>
      <c r="K1941" s="343" t="s">
        <v>168</v>
      </c>
    </row>
    <row r="1942" spans="1:11" ht="26.25" customHeight="1">
      <c r="A1942" s="343" t="s">
        <v>1813</v>
      </c>
      <c r="B1942" s="344" t="s">
        <v>162</v>
      </c>
      <c r="C1942" s="344">
        <v>11188</v>
      </c>
      <c r="D1942" s="343" t="s">
        <v>5024</v>
      </c>
      <c r="E1942" s="344">
        <v>6281881</v>
      </c>
      <c r="F1942" s="343" t="s">
        <v>5032</v>
      </c>
      <c r="G1942" s="360" t="s">
        <v>11372</v>
      </c>
      <c r="H1942" s="361">
        <v>42621</v>
      </c>
      <c r="I1942" s="343" t="s">
        <v>193</v>
      </c>
      <c r="J1942" s="343" t="s">
        <v>11373</v>
      </c>
      <c r="K1942" s="343" t="s">
        <v>168</v>
      </c>
    </row>
    <row r="1943" spans="1:11" ht="26.25" customHeight="1">
      <c r="A1943" s="343" t="s">
        <v>1813</v>
      </c>
      <c r="B1943" s="344" t="s">
        <v>162</v>
      </c>
      <c r="C1943" s="344">
        <v>10040</v>
      </c>
      <c r="D1943" s="343" t="s">
        <v>5012</v>
      </c>
      <c r="E1943" s="344">
        <v>4495854</v>
      </c>
      <c r="F1943" s="343" t="s">
        <v>5015</v>
      </c>
      <c r="G1943" s="360" t="s">
        <v>11374</v>
      </c>
      <c r="H1943" s="361">
        <v>42639</v>
      </c>
      <c r="I1943" s="343" t="s">
        <v>5016</v>
      </c>
      <c r="J1943" s="343" t="s">
        <v>11375</v>
      </c>
      <c r="K1943" s="343" t="s">
        <v>168</v>
      </c>
    </row>
    <row r="1944" spans="1:11" ht="26.25" customHeight="1">
      <c r="A1944" s="343" t="s">
        <v>1813</v>
      </c>
      <c r="B1944" s="344" t="s">
        <v>162</v>
      </c>
      <c r="C1944" s="344">
        <v>8935</v>
      </c>
      <c r="D1944" s="343" t="s">
        <v>5151</v>
      </c>
      <c r="E1944" s="344">
        <v>6491878</v>
      </c>
      <c r="F1944" s="343" t="s">
        <v>5155</v>
      </c>
      <c r="G1944" s="360" t="s">
        <v>1093</v>
      </c>
      <c r="H1944" s="361">
        <v>42647</v>
      </c>
      <c r="I1944" s="343" t="s">
        <v>193</v>
      </c>
      <c r="J1944" s="343" t="s">
        <v>536</v>
      </c>
      <c r="K1944" s="343" t="s">
        <v>168</v>
      </c>
    </row>
    <row r="1945" spans="1:11" ht="26.25" customHeight="1">
      <c r="A1945" s="343" t="s">
        <v>1813</v>
      </c>
      <c r="B1945" s="344" t="s">
        <v>162</v>
      </c>
      <c r="C1945" s="344">
        <v>6993</v>
      </c>
      <c r="D1945" s="343" t="s">
        <v>4906</v>
      </c>
      <c r="E1945" s="344">
        <v>4695486</v>
      </c>
      <c r="F1945" s="343" t="s">
        <v>4916</v>
      </c>
      <c r="G1945" s="360" t="s">
        <v>11376</v>
      </c>
      <c r="H1945" s="361">
        <v>42675</v>
      </c>
      <c r="I1945" s="343" t="s">
        <v>709</v>
      </c>
      <c r="J1945" s="343" t="s">
        <v>978</v>
      </c>
      <c r="K1945" s="343" t="s">
        <v>173</v>
      </c>
    </row>
    <row r="1946" spans="1:11" ht="26.25" customHeight="1">
      <c r="A1946" s="343" t="s">
        <v>1813</v>
      </c>
      <c r="B1946" s="344" t="s">
        <v>162</v>
      </c>
      <c r="C1946" s="344">
        <v>11835</v>
      </c>
      <c r="D1946" s="343" t="s">
        <v>4881</v>
      </c>
      <c r="E1946" s="344">
        <v>4968975</v>
      </c>
      <c r="F1946" s="343" t="s">
        <v>4882</v>
      </c>
      <c r="G1946" s="360" t="s">
        <v>11377</v>
      </c>
      <c r="H1946" s="361">
        <v>42675</v>
      </c>
      <c r="I1946" s="343" t="s">
        <v>709</v>
      </c>
      <c r="J1946" s="343" t="s">
        <v>978</v>
      </c>
      <c r="K1946" s="343" t="s">
        <v>173</v>
      </c>
    </row>
    <row r="1947" spans="1:11" ht="26.25" customHeight="1">
      <c r="A1947" s="343" t="s">
        <v>1813</v>
      </c>
      <c r="B1947" s="344" t="s">
        <v>162</v>
      </c>
      <c r="C1947" s="344">
        <v>10043</v>
      </c>
      <c r="D1947" s="343" t="s">
        <v>4802</v>
      </c>
      <c r="E1947" s="344">
        <v>6488198</v>
      </c>
      <c r="F1947" s="343" t="s">
        <v>4805</v>
      </c>
      <c r="G1947" s="360" t="s">
        <v>9464</v>
      </c>
      <c r="H1947" s="361">
        <v>42697</v>
      </c>
      <c r="I1947" s="343" t="s">
        <v>284</v>
      </c>
      <c r="J1947" s="343" t="s">
        <v>9963</v>
      </c>
      <c r="K1947" s="343" t="s">
        <v>168</v>
      </c>
    </row>
    <row r="1948" spans="1:11" ht="26.25" customHeight="1">
      <c r="A1948" s="343" t="s">
        <v>1813</v>
      </c>
      <c r="B1948" s="344" t="s">
        <v>162</v>
      </c>
      <c r="C1948" s="344">
        <v>12097</v>
      </c>
      <c r="D1948" s="343" t="s">
        <v>4950</v>
      </c>
      <c r="E1948" s="344">
        <v>4876312</v>
      </c>
      <c r="F1948" s="343" t="s">
        <v>4952</v>
      </c>
      <c r="G1948" s="360" t="s">
        <v>11378</v>
      </c>
      <c r="H1948" s="361">
        <v>42702</v>
      </c>
      <c r="I1948" s="343" t="s">
        <v>4953</v>
      </c>
      <c r="J1948" s="343" t="s">
        <v>11379</v>
      </c>
      <c r="K1948" s="343" t="s">
        <v>168</v>
      </c>
    </row>
    <row r="1949" spans="1:11" ht="26.25" customHeight="1">
      <c r="A1949" s="343" t="s">
        <v>1813</v>
      </c>
      <c r="B1949" s="344" t="s">
        <v>162</v>
      </c>
      <c r="C1949" s="344">
        <v>9881</v>
      </c>
      <c r="D1949" s="343" t="s">
        <v>4926</v>
      </c>
      <c r="E1949" s="344">
        <v>4665741</v>
      </c>
      <c r="F1949" s="343" t="s">
        <v>4928</v>
      </c>
      <c r="G1949" s="360" t="s">
        <v>11380</v>
      </c>
      <c r="H1949" s="361">
        <v>42703</v>
      </c>
      <c r="I1949" s="343" t="s">
        <v>180</v>
      </c>
      <c r="J1949" s="343" t="s">
        <v>11381</v>
      </c>
      <c r="K1949" s="343" t="s">
        <v>173</v>
      </c>
    </row>
    <row r="1950" spans="1:11" ht="26.25" customHeight="1">
      <c r="A1950" s="343" t="s">
        <v>1813</v>
      </c>
      <c r="B1950" s="344" t="s">
        <v>162</v>
      </c>
      <c r="C1950" s="344">
        <v>6993</v>
      </c>
      <c r="D1950" s="343" t="s">
        <v>4906</v>
      </c>
      <c r="E1950" s="344">
        <v>5209275</v>
      </c>
      <c r="F1950" s="343" t="s">
        <v>4907</v>
      </c>
      <c r="G1950" s="360" t="s">
        <v>11382</v>
      </c>
      <c r="H1950" s="361">
        <v>41662</v>
      </c>
      <c r="I1950" s="343" t="s">
        <v>3596</v>
      </c>
      <c r="J1950" s="343" t="s">
        <v>11383</v>
      </c>
      <c r="K1950" s="343" t="s">
        <v>168</v>
      </c>
    </row>
    <row r="1951" spans="1:11" ht="26.25" customHeight="1">
      <c r="A1951" s="343" t="s">
        <v>1813</v>
      </c>
      <c r="B1951" s="344" t="s">
        <v>162</v>
      </c>
      <c r="C1951" s="344">
        <v>7479</v>
      </c>
      <c r="D1951" s="343" t="s">
        <v>4779</v>
      </c>
      <c r="E1951" s="344">
        <v>6524697</v>
      </c>
      <c r="F1951" s="343" t="s">
        <v>4782</v>
      </c>
      <c r="G1951" s="360" t="s">
        <v>11384</v>
      </c>
      <c r="H1951" s="361">
        <v>42705</v>
      </c>
      <c r="I1951" s="343" t="s">
        <v>166</v>
      </c>
      <c r="J1951" s="343" t="s">
        <v>11385</v>
      </c>
      <c r="K1951" s="343" t="s">
        <v>168</v>
      </c>
    </row>
    <row r="1952" spans="1:11" ht="26.25" customHeight="1">
      <c r="A1952" s="343" t="s">
        <v>1813</v>
      </c>
      <c r="B1952" s="344" t="s">
        <v>162</v>
      </c>
      <c r="C1952" s="344">
        <v>9184</v>
      </c>
      <c r="D1952" s="343" t="s">
        <v>4979</v>
      </c>
      <c r="E1952" s="344">
        <v>4424920</v>
      </c>
      <c r="F1952" s="343" t="s">
        <v>4980</v>
      </c>
      <c r="G1952" s="360" t="s">
        <v>11048</v>
      </c>
      <c r="H1952" s="361">
        <v>41691</v>
      </c>
      <c r="I1952" s="343" t="s">
        <v>4981</v>
      </c>
      <c r="J1952" s="343" t="s">
        <v>11386</v>
      </c>
      <c r="K1952" s="343" t="s">
        <v>168</v>
      </c>
    </row>
    <row r="1953" spans="1:11" ht="26.25" customHeight="1">
      <c r="A1953" s="343" t="s">
        <v>1813</v>
      </c>
      <c r="B1953" s="344" t="s">
        <v>162</v>
      </c>
      <c r="C1953" s="344">
        <v>6982</v>
      </c>
      <c r="D1953" s="343" t="s">
        <v>4974</v>
      </c>
      <c r="E1953" s="344">
        <v>3788671</v>
      </c>
      <c r="F1953" s="343" t="s">
        <v>4977</v>
      </c>
      <c r="G1953" s="360" t="s">
        <v>11387</v>
      </c>
      <c r="H1953" s="361">
        <v>40241</v>
      </c>
      <c r="I1953" s="343" t="s">
        <v>4978</v>
      </c>
      <c r="J1953" s="343" t="s">
        <v>11388</v>
      </c>
      <c r="K1953" s="343" t="s">
        <v>173</v>
      </c>
    </row>
    <row r="1954" spans="1:11" ht="26.25" customHeight="1">
      <c r="A1954" s="343" t="s">
        <v>1813</v>
      </c>
      <c r="B1954" s="344" t="s">
        <v>162</v>
      </c>
      <c r="C1954" s="344">
        <v>9043</v>
      </c>
      <c r="D1954" s="343" t="s">
        <v>4996</v>
      </c>
      <c r="E1954" s="344">
        <v>3132033</v>
      </c>
      <c r="F1954" s="343" t="s">
        <v>4998</v>
      </c>
      <c r="G1954" s="360" t="s">
        <v>11389</v>
      </c>
      <c r="H1954" s="361">
        <v>40595</v>
      </c>
      <c r="I1954" s="343" t="s">
        <v>166</v>
      </c>
      <c r="J1954" s="343" t="s">
        <v>799</v>
      </c>
      <c r="K1954" s="343" t="s">
        <v>168</v>
      </c>
    </row>
    <row r="1955" spans="1:11" ht="26.25" customHeight="1">
      <c r="A1955" s="343" t="s">
        <v>1813</v>
      </c>
      <c r="B1955" s="344" t="s">
        <v>162</v>
      </c>
      <c r="C1955" s="344">
        <v>8751</v>
      </c>
      <c r="D1955" s="343" t="s">
        <v>4987</v>
      </c>
      <c r="E1955" s="344">
        <v>3603781</v>
      </c>
      <c r="F1955" s="343" t="s">
        <v>4995</v>
      </c>
      <c r="G1955" s="360" t="s">
        <v>11390</v>
      </c>
      <c r="H1955" s="361">
        <v>41935</v>
      </c>
      <c r="I1955" s="343" t="s">
        <v>211</v>
      </c>
      <c r="J1955" s="343" t="s">
        <v>212</v>
      </c>
      <c r="K1955" s="343" t="s">
        <v>168</v>
      </c>
    </row>
    <row r="1956" spans="1:11" ht="26.25" customHeight="1">
      <c r="A1956" s="343" t="s">
        <v>1813</v>
      </c>
      <c r="B1956" s="344" t="s">
        <v>162</v>
      </c>
      <c r="C1956" s="344">
        <v>6979</v>
      </c>
      <c r="D1956" s="343" t="s">
        <v>4888</v>
      </c>
      <c r="E1956" s="344">
        <v>4553178</v>
      </c>
      <c r="F1956" s="343" t="s">
        <v>4892</v>
      </c>
      <c r="G1956" s="360" t="s">
        <v>11391</v>
      </c>
      <c r="H1956" s="361">
        <v>41932</v>
      </c>
      <c r="I1956" s="343" t="s">
        <v>198</v>
      </c>
      <c r="J1956" s="343" t="s">
        <v>577</v>
      </c>
      <c r="K1956" s="343" t="s">
        <v>168</v>
      </c>
    </row>
    <row r="1957" spans="1:11" ht="26.25" customHeight="1">
      <c r="A1957" s="343" t="s">
        <v>1813</v>
      </c>
      <c r="B1957" s="344" t="s">
        <v>162</v>
      </c>
      <c r="C1957" s="344">
        <v>6981</v>
      </c>
      <c r="D1957" s="343" t="s">
        <v>4901</v>
      </c>
      <c r="E1957" s="344">
        <v>4977849</v>
      </c>
      <c r="F1957" s="343" t="s">
        <v>4904</v>
      </c>
      <c r="G1957" s="360" t="s">
        <v>10970</v>
      </c>
      <c r="H1957" s="361">
        <v>41918</v>
      </c>
      <c r="I1957" s="343" t="s">
        <v>806</v>
      </c>
      <c r="J1957" s="343" t="s">
        <v>11392</v>
      </c>
      <c r="K1957" s="343" t="s">
        <v>168</v>
      </c>
    </row>
    <row r="1958" spans="1:11" ht="26.25" customHeight="1">
      <c r="A1958" s="343" t="s">
        <v>1813</v>
      </c>
      <c r="B1958" s="344" t="s">
        <v>162</v>
      </c>
      <c r="C1958" s="344">
        <v>10037</v>
      </c>
      <c r="D1958" s="343" t="s">
        <v>4935</v>
      </c>
      <c r="E1958" s="344">
        <v>3857936</v>
      </c>
      <c r="F1958" s="343" t="s">
        <v>4938</v>
      </c>
      <c r="G1958" s="360" t="s">
        <v>11393</v>
      </c>
      <c r="H1958" s="361">
        <v>40648</v>
      </c>
      <c r="I1958" s="343" t="s">
        <v>211</v>
      </c>
      <c r="J1958" s="343" t="s">
        <v>211</v>
      </c>
      <c r="K1958" s="343" t="s">
        <v>168</v>
      </c>
    </row>
    <row r="1959" spans="1:11" ht="26.25" customHeight="1">
      <c r="A1959" s="343" t="s">
        <v>1813</v>
      </c>
      <c r="B1959" s="344" t="s">
        <v>162</v>
      </c>
      <c r="C1959" s="344">
        <v>6996</v>
      </c>
      <c r="D1959" s="343" t="s">
        <v>4942</v>
      </c>
      <c r="E1959" s="344">
        <v>3571151</v>
      </c>
      <c r="F1959" s="343" t="s">
        <v>4948</v>
      </c>
      <c r="G1959" s="360" t="s">
        <v>11394</v>
      </c>
      <c r="H1959" s="361">
        <v>40689</v>
      </c>
      <c r="I1959" s="343" t="s">
        <v>198</v>
      </c>
      <c r="J1959" s="343" t="s">
        <v>198</v>
      </c>
      <c r="K1959" s="343" t="s">
        <v>168</v>
      </c>
    </row>
    <row r="1960" spans="1:11" ht="26.25" customHeight="1">
      <c r="A1960" s="343" t="s">
        <v>1813</v>
      </c>
      <c r="B1960" s="344" t="s">
        <v>162</v>
      </c>
      <c r="C1960" s="344">
        <v>6993</v>
      </c>
      <c r="D1960" s="343" t="s">
        <v>4906</v>
      </c>
      <c r="E1960" s="344">
        <v>4459131</v>
      </c>
      <c r="F1960" s="343" t="s">
        <v>4913</v>
      </c>
      <c r="G1960" s="360" t="s">
        <v>11395</v>
      </c>
      <c r="H1960" s="361">
        <v>40675</v>
      </c>
      <c r="I1960" s="343" t="s">
        <v>4914</v>
      </c>
      <c r="J1960" s="343" t="s">
        <v>11396</v>
      </c>
      <c r="K1960" s="343" t="s">
        <v>248</v>
      </c>
    </row>
    <row r="1961" spans="1:11" ht="26.25" customHeight="1">
      <c r="A1961" s="343" t="s">
        <v>1813</v>
      </c>
      <c r="B1961" s="344" t="s">
        <v>162</v>
      </c>
      <c r="C1961" s="344">
        <v>6996</v>
      </c>
      <c r="D1961" s="343" t="s">
        <v>4942</v>
      </c>
      <c r="E1961" s="344">
        <v>4890174</v>
      </c>
      <c r="F1961" s="343" t="s">
        <v>4949</v>
      </c>
      <c r="G1961" s="360" t="s">
        <v>11397</v>
      </c>
      <c r="H1961" s="361">
        <v>40974</v>
      </c>
      <c r="I1961" s="343" t="s">
        <v>211</v>
      </c>
      <c r="J1961" s="343" t="s">
        <v>909</v>
      </c>
      <c r="K1961" s="343" t="s">
        <v>168</v>
      </c>
    </row>
    <row r="1962" spans="1:11" ht="26.25" customHeight="1">
      <c r="A1962" s="343" t="s">
        <v>1813</v>
      </c>
      <c r="B1962" s="344" t="s">
        <v>162</v>
      </c>
      <c r="C1962" s="344">
        <v>10038</v>
      </c>
      <c r="D1962" s="343" t="s">
        <v>5002</v>
      </c>
      <c r="E1962" s="344">
        <v>4469768</v>
      </c>
      <c r="F1962" s="343" t="s">
        <v>5004</v>
      </c>
      <c r="G1962" s="360" t="s">
        <v>11398</v>
      </c>
      <c r="H1962" s="361">
        <v>40980</v>
      </c>
      <c r="I1962" s="343" t="s">
        <v>988</v>
      </c>
      <c r="J1962" s="343" t="s">
        <v>10404</v>
      </c>
      <c r="K1962" s="343" t="s">
        <v>173</v>
      </c>
    </row>
    <row r="1963" spans="1:11" ht="26.25" customHeight="1">
      <c r="A1963" s="343" t="s">
        <v>1813</v>
      </c>
      <c r="B1963" s="344" t="s">
        <v>162</v>
      </c>
      <c r="C1963" s="344">
        <v>6996</v>
      </c>
      <c r="D1963" s="343" t="s">
        <v>4942</v>
      </c>
      <c r="E1963" s="344">
        <v>4687018</v>
      </c>
      <c r="F1963" s="343" t="s">
        <v>4946</v>
      </c>
      <c r="G1963" s="360" t="s">
        <v>11399</v>
      </c>
      <c r="H1963" s="361">
        <v>40997</v>
      </c>
      <c r="I1963" s="343" t="s">
        <v>211</v>
      </c>
      <c r="J1963" s="343" t="s">
        <v>211</v>
      </c>
      <c r="K1963" s="343" t="s">
        <v>168</v>
      </c>
    </row>
    <row r="1964" spans="1:11" ht="26.25" customHeight="1">
      <c r="A1964" s="343" t="s">
        <v>1813</v>
      </c>
      <c r="B1964" s="344" t="s">
        <v>162</v>
      </c>
      <c r="C1964" s="344">
        <v>10037</v>
      </c>
      <c r="D1964" s="343" t="s">
        <v>4935</v>
      </c>
      <c r="E1964" s="344">
        <v>4060219</v>
      </c>
      <c r="F1964" s="343" t="s">
        <v>4936</v>
      </c>
      <c r="G1964" s="360" t="s">
        <v>11400</v>
      </c>
      <c r="H1964" s="361">
        <v>40997</v>
      </c>
      <c r="I1964" s="343" t="s">
        <v>198</v>
      </c>
      <c r="J1964" s="343" t="s">
        <v>198</v>
      </c>
      <c r="K1964" s="343" t="s">
        <v>168</v>
      </c>
    </row>
    <row r="1965" spans="1:11" ht="26.25" customHeight="1">
      <c r="A1965" s="343" t="s">
        <v>1813</v>
      </c>
      <c r="B1965" s="344" t="s">
        <v>162</v>
      </c>
      <c r="C1965" s="344">
        <v>10038</v>
      </c>
      <c r="D1965" s="343" t="s">
        <v>5002</v>
      </c>
      <c r="E1965" s="344">
        <v>4241632</v>
      </c>
      <c r="F1965" s="343" t="s">
        <v>5003</v>
      </c>
      <c r="G1965" s="360" t="s">
        <v>11401</v>
      </c>
      <c r="H1965" s="361">
        <v>41004</v>
      </c>
      <c r="I1965" s="343" t="s">
        <v>166</v>
      </c>
      <c r="J1965" s="343" t="s">
        <v>799</v>
      </c>
      <c r="K1965" s="343" t="s">
        <v>168</v>
      </c>
    </row>
    <row r="1966" spans="1:11" ht="26.25" customHeight="1">
      <c r="A1966" s="343" t="s">
        <v>1813</v>
      </c>
      <c r="B1966" s="344" t="s">
        <v>162</v>
      </c>
      <c r="C1966" s="344">
        <v>11093</v>
      </c>
      <c r="D1966" s="343" t="s">
        <v>4827</v>
      </c>
      <c r="E1966" s="344">
        <v>5220021</v>
      </c>
      <c r="F1966" s="343" t="s">
        <v>4832</v>
      </c>
      <c r="G1966" s="360" t="s">
        <v>11402</v>
      </c>
      <c r="H1966" s="361">
        <v>41004</v>
      </c>
      <c r="I1966" s="343" t="s">
        <v>887</v>
      </c>
      <c r="J1966" s="343" t="s">
        <v>11403</v>
      </c>
      <c r="K1966" s="343" t="s">
        <v>168</v>
      </c>
    </row>
    <row r="1967" spans="1:11" ht="26.25" customHeight="1">
      <c r="A1967" s="343" t="s">
        <v>1813</v>
      </c>
      <c r="B1967" s="344" t="s">
        <v>162</v>
      </c>
      <c r="C1967" s="344">
        <v>7485</v>
      </c>
      <c r="D1967" s="343" t="s">
        <v>4791</v>
      </c>
      <c r="E1967" s="344">
        <v>5169242</v>
      </c>
      <c r="F1967" s="343" t="s">
        <v>4795</v>
      </c>
      <c r="G1967" s="360" t="s">
        <v>11404</v>
      </c>
      <c r="H1967" s="361">
        <v>42472</v>
      </c>
      <c r="I1967" s="343" t="s">
        <v>380</v>
      </c>
      <c r="J1967" s="343" t="s">
        <v>10079</v>
      </c>
      <c r="K1967" s="343" t="s">
        <v>173</v>
      </c>
    </row>
    <row r="1968" spans="1:11" ht="26.25" customHeight="1">
      <c r="A1968" s="343" t="s">
        <v>1813</v>
      </c>
      <c r="B1968" s="344" t="s">
        <v>162</v>
      </c>
      <c r="C1968" s="344">
        <v>6992</v>
      </c>
      <c r="D1968" s="343" t="s">
        <v>4917</v>
      </c>
      <c r="E1968" s="344">
        <v>4799396</v>
      </c>
      <c r="F1968" s="343" t="s">
        <v>4924</v>
      </c>
      <c r="G1968" s="360" t="s">
        <v>11405</v>
      </c>
      <c r="H1968" s="361">
        <v>41192</v>
      </c>
      <c r="I1968" s="343" t="s">
        <v>984</v>
      </c>
      <c r="J1968" s="343" t="s">
        <v>9373</v>
      </c>
      <c r="K1968" s="343" t="s">
        <v>168</v>
      </c>
    </row>
    <row r="1969" spans="1:11" ht="26.25" customHeight="1">
      <c r="A1969" s="343" t="s">
        <v>1813</v>
      </c>
      <c r="B1969" s="344" t="s">
        <v>162</v>
      </c>
      <c r="C1969" s="344">
        <v>9480</v>
      </c>
      <c r="D1969" s="343" t="s">
        <v>4857</v>
      </c>
      <c r="E1969" s="344">
        <v>4557717</v>
      </c>
      <c r="F1969" s="343" t="s">
        <v>4861</v>
      </c>
      <c r="G1969" s="360" t="s">
        <v>11406</v>
      </c>
      <c r="H1969" s="361">
        <v>41131</v>
      </c>
      <c r="I1969" s="343" t="s">
        <v>211</v>
      </c>
      <c r="J1969" s="343" t="s">
        <v>211</v>
      </c>
      <c r="K1969" s="343" t="s">
        <v>168</v>
      </c>
    </row>
    <row r="1970" spans="1:11" ht="26.25" customHeight="1">
      <c r="A1970" s="343" t="s">
        <v>1813</v>
      </c>
      <c r="B1970" s="344" t="s">
        <v>162</v>
      </c>
      <c r="C1970" s="344">
        <v>7464</v>
      </c>
      <c r="D1970" s="343" t="s">
        <v>4771</v>
      </c>
      <c r="E1970" s="344">
        <v>6224228</v>
      </c>
      <c r="F1970" s="343" t="s">
        <v>4772</v>
      </c>
      <c r="G1970" s="360" t="s">
        <v>10682</v>
      </c>
      <c r="H1970" s="361">
        <v>41109</v>
      </c>
      <c r="I1970" s="343" t="s">
        <v>193</v>
      </c>
      <c r="J1970" s="343" t="s">
        <v>228</v>
      </c>
      <c r="K1970" s="343" t="s">
        <v>168</v>
      </c>
    </row>
    <row r="1971" spans="1:11" ht="26.25" customHeight="1">
      <c r="A1971" s="343" t="s">
        <v>1813</v>
      </c>
      <c r="B1971" s="344" t="s">
        <v>162</v>
      </c>
      <c r="C1971" s="344">
        <v>7164</v>
      </c>
      <c r="D1971" s="343" t="s">
        <v>4894</v>
      </c>
      <c r="E1971" s="344">
        <v>3889196</v>
      </c>
      <c r="F1971" s="343" t="s">
        <v>4897</v>
      </c>
      <c r="G1971" s="360" t="s">
        <v>10459</v>
      </c>
      <c r="H1971" s="361">
        <v>41691</v>
      </c>
      <c r="I1971" s="343" t="s">
        <v>166</v>
      </c>
      <c r="J1971" s="343" t="s">
        <v>167</v>
      </c>
      <c r="K1971" s="343" t="s">
        <v>168</v>
      </c>
    </row>
    <row r="1972" spans="1:11" ht="26.25" customHeight="1">
      <c r="A1972" s="343" t="s">
        <v>1813</v>
      </c>
      <c r="B1972" s="344" t="s">
        <v>162</v>
      </c>
      <c r="C1972" s="344">
        <v>6981</v>
      </c>
      <c r="D1972" s="343" t="s">
        <v>4901</v>
      </c>
      <c r="E1972" s="344">
        <v>4634532</v>
      </c>
      <c r="F1972" s="343" t="s">
        <v>4902</v>
      </c>
      <c r="G1972" s="360" t="s">
        <v>11407</v>
      </c>
      <c r="H1972" s="361">
        <v>41340</v>
      </c>
      <c r="I1972" s="343" t="s">
        <v>4903</v>
      </c>
      <c r="J1972" s="343" t="s">
        <v>11408</v>
      </c>
      <c r="K1972" s="343" t="s">
        <v>168</v>
      </c>
    </row>
    <row r="1973" spans="1:11" ht="26.25" customHeight="1">
      <c r="A1973" s="343" t="s">
        <v>1813</v>
      </c>
      <c r="B1973" s="344" t="s">
        <v>162</v>
      </c>
      <c r="C1973" s="344">
        <v>6992</v>
      </c>
      <c r="D1973" s="343" t="s">
        <v>4917</v>
      </c>
      <c r="E1973" s="344">
        <v>4100733</v>
      </c>
      <c r="F1973" s="343" t="s">
        <v>4925</v>
      </c>
      <c r="G1973" s="360" t="s">
        <v>11409</v>
      </c>
      <c r="H1973" s="361">
        <v>41561</v>
      </c>
      <c r="I1973" s="343" t="s">
        <v>4073</v>
      </c>
      <c r="J1973" s="343" t="s">
        <v>10264</v>
      </c>
      <c r="K1973" s="343" t="s">
        <v>168</v>
      </c>
    </row>
    <row r="1974" spans="1:11" ht="26.25" customHeight="1">
      <c r="A1974" s="343" t="s">
        <v>1813</v>
      </c>
      <c r="B1974" s="344" t="s">
        <v>162</v>
      </c>
      <c r="C1974" s="344">
        <v>11093</v>
      </c>
      <c r="D1974" s="343" t="s">
        <v>4827</v>
      </c>
      <c r="E1974" s="344">
        <v>5589107</v>
      </c>
      <c r="F1974" s="343" t="s">
        <v>4831</v>
      </c>
      <c r="G1974" s="360" t="s">
        <v>1295</v>
      </c>
      <c r="H1974" s="361">
        <v>41555</v>
      </c>
      <c r="I1974" s="343" t="s">
        <v>193</v>
      </c>
      <c r="J1974" s="343" t="s">
        <v>228</v>
      </c>
      <c r="K1974" s="343" t="s">
        <v>168</v>
      </c>
    </row>
    <row r="1975" spans="1:11" ht="26.25" customHeight="1">
      <c r="A1975" s="343" t="s">
        <v>1813</v>
      </c>
      <c r="B1975" s="344" t="s">
        <v>162</v>
      </c>
      <c r="C1975" s="344">
        <v>11093</v>
      </c>
      <c r="D1975" s="343" t="s">
        <v>4827</v>
      </c>
      <c r="E1975" s="344">
        <v>5639463</v>
      </c>
      <c r="F1975" s="343" t="s">
        <v>4829</v>
      </c>
      <c r="G1975" s="360" t="s">
        <v>11355</v>
      </c>
      <c r="H1975" s="361">
        <v>41856</v>
      </c>
      <c r="I1975" s="343" t="s">
        <v>166</v>
      </c>
      <c r="J1975" s="343" t="s">
        <v>11410</v>
      </c>
      <c r="K1975" s="343" t="s">
        <v>168</v>
      </c>
    </row>
    <row r="1976" spans="1:11" ht="26.25" customHeight="1">
      <c r="A1976" s="343" t="s">
        <v>1813</v>
      </c>
      <c r="B1976" s="344" t="s">
        <v>162</v>
      </c>
      <c r="C1976" s="344">
        <v>9881</v>
      </c>
      <c r="D1976" s="343" t="s">
        <v>4926</v>
      </c>
      <c r="E1976" s="344">
        <v>5283108</v>
      </c>
      <c r="F1976" s="343" t="s">
        <v>4930</v>
      </c>
      <c r="G1976" s="360" t="s">
        <v>10268</v>
      </c>
      <c r="H1976" s="361">
        <v>41344</v>
      </c>
      <c r="I1976" s="343" t="s">
        <v>180</v>
      </c>
      <c r="J1976" s="343" t="s">
        <v>11411</v>
      </c>
      <c r="K1976" s="343" t="s">
        <v>173</v>
      </c>
    </row>
    <row r="1977" spans="1:11" ht="26.25" customHeight="1">
      <c r="A1977" s="343" t="s">
        <v>1813</v>
      </c>
      <c r="B1977" s="344" t="s">
        <v>162</v>
      </c>
      <c r="C1977" s="344">
        <v>11093</v>
      </c>
      <c r="D1977" s="343" t="s">
        <v>4827</v>
      </c>
      <c r="E1977" s="344">
        <v>5659033</v>
      </c>
      <c r="F1977" s="343" t="s">
        <v>4836</v>
      </c>
      <c r="G1977" s="360" t="s">
        <v>11412</v>
      </c>
      <c r="H1977" s="361">
        <v>41793</v>
      </c>
      <c r="I1977" s="343" t="s">
        <v>271</v>
      </c>
      <c r="J1977" s="343" t="s">
        <v>11413</v>
      </c>
      <c r="K1977" s="343" t="s">
        <v>168</v>
      </c>
    </row>
    <row r="1978" spans="1:11" ht="26.25" customHeight="1">
      <c r="A1978" s="343" t="s">
        <v>1813</v>
      </c>
      <c r="B1978" s="344" t="s">
        <v>162</v>
      </c>
      <c r="C1978" s="344">
        <v>12097</v>
      </c>
      <c r="D1978" s="343" t="s">
        <v>4950</v>
      </c>
      <c r="E1978" s="344">
        <v>4774181</v>
      </c>
      <c r="F1978" s="343" t="s">
        <v>4955</v>
      </c>
      <c r="G1978" s="360" t="s">
        <v>11414</v>
      </c>
      <c r="H1978" s="361">
        <v>41346</v>
      </c>
      <c r="I1978" s="343" t="s">
        <v>4086</v>
      </c>
      <c r="J1978" s="343" t="s">
        <v>4086</v>
      </c>
      <c r="K1978" s="343" t="s">
        <v>248</v>
      </c>
    </row>
    <row r="1979" spans="1:11" ht="26.25" customHeight="1">
      <c r="A1979" s="343" t="s">
        <v>1813</v>
      </c>
      <c r="B1979" s="344" t="s">
        <v>162</v>
      </c>
      <c r="C1979" s="344">
        <v>8751</v>
      </c>
      <c r="D1979" s="343" t="s">
        <v>4987</v>
      </c>
      <c r="E1979" s="344">
        <v>4456446</v>
      </c>
      <c r="F1979" s="343" t="s">
        <v>4989</v>
      </c>
      <c r="G1979" s="360" t="s">
        <v>11415</v>
      </c>
      <c r="H1979" s="361">
        <v>41806</v>
      </c>
      <c r="I1979" s="343" t="s">
        <v>301</v>
      </c>
      <c r="J1979" s="343" t="s">
        <v>302</v>
      </c>
      <c r="K1979" s="343" t="s">
        <v>168</v>
      </c>
    </row>
    <row r="1980" spans="1:11" ht="26.25" customHeight="1">
      <c r="A1980" s="343" t="s">
        <v>1813</v>
      </c>
      <c r="B1980" s="344" t="s">
        <v>162</v>
      </c>
      <c r="C1980" s="344">
        <v>9626</v>
      </c>
      <c r="D1980" s="343" t="s">
        <v>4743</v>
      </c>
      <c r="E1980" s="344">
        <v>5965406</v>
      </c>
      <c r="F1980" s="343" t="s">
        <v>4744</v>
      </c>
      <c r="G1980" s="360" t="s">
        <v>9553</v>
      </c>
      <c r="H1980" s="361">
        <v>41843</v>
      </c>
      <c r="I1980" s="343" t="s">
        <v>709</v>
      </c>
      <c r="J1980" s="343" t="s">
        <v>11416</v>
      </c>
      <c r="K1980" s="343" t="s">
        <v>168</v>
      </c>
    </row>
    <row r="1981" spans="1:11" ht="26.25" customHeight="1">
      <c r="A1981" s="343" t="s">
        <v>1813</v>
      </c>
      <c r="B1981" s="344" t="s">
        <v>162</v>
      </c>
      <c r="C1981" s="344">
        <v>9480</v>
      </c>
      <c r="D1981" s="343" t="s">
        <v>4857</v>
      </c>
      <c r="E1981" s="344">
        <v>5095519</v>
      </c>
      <c r="F1981" s="343" t="s">
        <v>4859</v>
      </c>
      <c r="G1981" s="360" t="s">
        <v>11417</v>
      </c>
      <c r="H1981" s="361">
        <v>41347</v>
      </c>
      <c r="I1981" s="343" t="s">
        <v>193</v>
      </c>
      <c r="J1981" s="343" t="s">
        <v>228</v>
      </c>
      <c r="K1981" s="343" t="s">
        <v>168</v>
      </c>
    </row>
    <row r="1982" spans="1:11" ht="26.25" customHeight="1">
      <c r="A1982" s="343" t="s">
        <v>1813</v>
      </c>
      <c r="B1982" s="344" t="s">
        <v>162</v>
      </c>
      <c r="C1982" s="344">
        <v>6993</v>
      </c>
      <c r="D1982" s="343" t="s">
        <v>4906</v>
      </c>
      <c r="E1982" s="344">
        <v>6037860</v>
      </c>
      <c r="F1982" s="343" t="s">
        <v>4908</v>
      </c>
      <c r="G1982" s="360" t="s">
        <v>10649</v>
      </c>
      <c r="H1982" s="361">
        <v>42594</v>
      </c>
      <c r="I1982" s="343" t="s">
        <v>580</v>
      </c>
      <c r="J1982" s="343" t="s">
        <v>11418</v>
      </c>
      <c r="K1982" s="343" t="s">
        <v>248</v>
      </c>
    </row>
    <row r="1983" spans="1:11" ht="26.25" customHeight="1">
      <c r="A1983" s="343" t="s">
        <v>1813</v>
      </c>
      <c r="B1983" s="344" t="s">
        <v>162</v>
      </c>
      <c r="C1983" s="344">
        <v>6986</v>
      </c>
      <c r="D1983" s="343" t="s">
        <v>5007</v>
      </c>
      <c r="E1983" s="344">
        <v>6050801</v>
      </c>
      <c r="F1983" s="343" t="s">
        <v>5008</v>
      </c>
      <c r="G1983" s="360" t="s">
        <v>11419</v>
      </c>
      <c r="H1983" s="361">
        <v>41697</v>
      </c>
      <c r="I1983" s="343" t="s">
        <v>198</v>
      </c>
      <c r="J1983" s="343" t="s">
        <v>198</v>
      </c>
      <c r="K1983" s="343" t="s">
        <v>168</v>
      </c>
    </row>
    <row r="1984" spans="1:11" ht="26.25" customHeight="1">
      <c r="A1984" s="343" t="s">
        <v>1813</v>
      </c>
      <c r="B1984" s="344" t="s">
        <v>162</v>
      </c>
      <c r="C1984" s="344">
        <v>6983</v>
      </c>
      <c r="D1984" s="343" t="s">
        <v>4967</v>
      </c>
      <c r="E1984" s="344">
        <v>4491229</v>
      </c>
      <c r="F1984" s="343" t="s">
        <v>4972</v>
      </c>
      <c r="G1984" s="360" t="s">
        <v>11420</v>
      </c>
      <c r="H1984" s="361">
        <v>41365</v>
      </c>
      <c r="I1984" s="343" t="s">
        <v>261</v>
      </c>
      <c r="J1984" s="343" t="s">
        <v>9727</v>
      </c>
      <c r="K1984" s="343" t="s">
        <v>168</v>
      </c>
    </row>
    <row r="1985" spans="1:11" ht="26.25" customHeight="1">
      <c r="A1985" s="343" t="s">
        <v>1813</v>
      </c>
      <c r="B1985" s="344" t="s">
        <v>162</v>
      </c>
      <c r="C1985" s="344">
        <v>7164</v>
      </c>
      <c r="D1985" s="343" t="s">
        <v>4894</v>
      </c>
      <c r="E1985" s="344">
        <v>4485436</v>
      </c>
      <c r="F1985" s="343" t="s">
        <v>4895</v>
      </c>
      <c r="G1985" s="360" t="s">
        <v>11421</v>
      </c>
      <c r="H1985" s="361">
        <v>41499</v>
      </c>
      <c r="I1985" s="343" t="s">
        <v>4896</v>
      </c>
      <c r="J1985" s="343" t="s">
        <v>4896</v>
      </c>
      <c r="K1985" s="343" t="s">
        <v>168</v>
      </c>
    </row>
    <row r="1986" spans="1:11" ht="26.25" customHeight="1">
      <c r="A1986" s="343" t="s">
        <v>1813</v>
      </c>
      <c r="B1986" s="344" t="s">
        <v>162</v>
      </c>
      <c r="C1986" s="344">
        <v>12096</v>
      </c>
      <c r="D1986" s="343" t="s">
        <v>7334</v>
      </c>
      <c r="E1986" s="344">
        <v>5722053</v>
      </c>
      <c r="F1986" s="343" t="s">
        <v>4848</v>
      </c>
      <c r="G1986" s="360" t="s">
        <v>11095</v>
      </c>
      <c r="H1986" s="361">
        <v>41407</v>
      </c>
      <c r="I1986" s="343" t="s">
        <v>305</v>
      </c>
      <c r="J1986" s="343" t="s">
        <v>11422</v>
      </c>
      <c r="K1986" s="343" t="s">
        <v>168</v>
      </c>
    </row>
    <row r="1987" spans="1:11" ht="26.25" customHeight="1">
      <c r="A1987" s="343" t="s">
        <v>1813</v>
      </c>
      <c r="B1987" s="344" t="s">
        <v>162</v>
      </c>
      <c r="C1987" s="344">
        <v>6983</v>
      </c>
      <c r="D1987" s="343" t="s">
        <v>4967</v>
      </c>
      <c r="E1987" s="344">
        <v>5920134</v>
      </c>
      <c r="F1987" s="343" t="s">
        <v>4973</v>
      </c>
      <c r="G1987" s="360" t="s">
        <v>11423</v>
      </c>
      <c r="H1987" s="361">
        <v>41415</v>
      </c>
      <c r="I1987" s="343" t="s">
        <v>4086</v>
      </c>
      <c r="J1987" s="343" t="s">
        <v>11424</v>
      </c>
      <c r="K1987" s="343" t="s">
        <v>248</v>
      </c>
    </row>
    <row r="1988" spans="1:11" ht="26.25" customHeight="1">
      <c r="A1988" s="343" t="s">
        <v>1813</v>
      </c>
      <c r="B1988" s="344" t="s">
        <v>162</v>
      </c>
      <c r="C1988" s="344">
        <v>12097</v>
      </c>
      <c r="D1988" s="343" t="s">
        <v>4950</v>
      </c>
      <c r="E1988" s="344">
        <v>4241287</v>
      </c>
      <c r="F1988" s="343" t="s">
        <v>4959</v>
      </c>
      <c r="G1988" s="360" t="s">
        <v>11425</v>
      </c>
      <c r="H1988" s="361">
        <v>41709</v>
      </c>
      <c r="I1988" s="343" t="s">
        <v>709</v>
      </c>
      <c r="J1988" s="343" t="s">
        <v>9629</v>
      </c>
      <c r="K1988" s="343" t="s">
        <v>168</v>
      </c>
    </row>
    <row r="1989" spans="1:11" ht="26.25" customHeight="1">
      <c r="A1989" s="343" t="s">
        <v>1813</v>
      </c>
      <c r="B1989" s="344" t="s">
        <v>162</v>
      </c>
      <c r="C1989" s="344">
        <v>11093</v>
      </c>
      <c r="D1989" s="343" t="s">
        <v>4827</v>
      </c>
      <c r="E1989" s="344">
        <v>5792528</v>
      </c>
      <c r="F1989" s="343" t="s">
        <v>4835</v>
      </c>
      <c r="G1989" s="360" t="s">
        <v>11010</v>
      </c>
      <c r="H1989" s="361">
        <v>41718</v>
      </c>
      <c r="I1989" s="343" t="s">
        <v>271</v>
      </c>
      <c r="J1989" s="343" t="s">
        <v>11426</v>
      </c>
      <c r="K1989" s="343" t="s">
        <v>168</v>
      </c>
    </row>
    <row r="1990" spans="1:11" ht="26.25" customHeight="1">
      <c r="A1990" s="343" t="s">
        <v>1813</v>
      </c>
      <c r="B1990" s="344" t="s">
        <v>162</v>
      </c>
      <c r="C1990" s="344">
        <v>10037</v>
      </c>
      <c r="D1990" s="343" t="s">
        <v>4935</v>
      </c>
      <c r="E1990" s="344">
        <v>4072762</v>
      </c>
      <c r="F1990" s="343" t="s">
        <v>4937</v>
      </c>
      <c r="G1990" s="360" t="s">
        <v>10813</v>
      </c>
      <c r="H1990" s="361">
        <v>41722</v>
      </c>
      <c r="I1990" s="343" t="s">
        <v>547</v>
      </c>
      <c r="J1990" s="343" t="s">
        <v>11427</v>
      </c>
      <c r="K1990" s="343" t="s">
        <v>248</v>
      </c>
    </row>
    <row r="1991" spans="1:11" ht="26.25" customHeight="1">
      <c r="A1991" s="343" t="s">
        <v>1813</v>
      </c>
      <c r="B1991" s="344" t="s">
        <v>162</v>
      </c>
      <c r="C1991" s="344">
        <v>9626</v>
      </c>
      <c r="D1991" s="343" t="s">
        <v>4743</v>
      </c>
      <c r="E1991" s="344">
        <v>5926829</v>
      </c>
      <c r="F1991" s="343" t="s">
        <v>4745</v>
      </c>
      <c r="G1991" s="360" t="s">
        <v>9582</v>
      </c>
      <c r="H1991" s="361">
        <v>41771</v>
      </c>
      <c r="I1991" s="343" t="s">
        <v>284</v>
      </c>
      <c r="J1991" s="343" t="s">
        <v>11428</v>
      </c>
      <c r="K1991" s="343" t="s">
        <v>168</v>
      </c>
    </row>
    <row r="1992" spans="1:11" ht="26.25" customHeight="1">
      <c r="A1992" s="343" t="s">
        <v>1813</v>
      </c>
      <c r="B1992" s="344" t="s">
        <v>162</v>
      </c>
      <c r="C1992" s="344">
        <v>6982</v>
      </c>
      <c r="D1992" s="343" t="s">
        <v>4974</v>
      </c>
      <c r="E1992" s="344">
        <v>4185338</v>
      </c>
      <c r="F1992" s="343" t="s">
        <v>4975</v>
      </c>
      <c r="G1992" s="360" t="s">
        <v>11429</v>
      </c>
      <c r="H1992" s="361">
        <v>40241</v>
      </c>
      <c r="I1992" s="343" t="s">
        <v>180</v>
      </c>
      <c r="J1992" s="343" t="s">
        <v>180</v>
      </c>
      <c r="K1992" s="343" t="s">
        <v>173</v>
      </c>
    </row>
    <row r="1993" spans="1:11" ht="26.25" customHeight="1">
      <c r="A1993" s="343" t="s">
        <v>1813</v>
      </c>
      <c r="B1993" s="344" t="s">
        <v>162</v>
      </c>
      <c r="C1993" s="344">
        <v>10040</v>
      </c>
      <c r="D1993" s="343" t="s">
        <v>5012</v>
      </c>
      <c r="E1993" s="344">
        <v>4500351</v>
      </c>
      <c r="F1993" s="343" t="s">
        <v>5017</v>
      </c>
      <c r="G1993" s="360" t="s">
        <v>11430</v>
      </c>
      <c r="H1993" s="361">
        <v>41744</v>
      </c>
      <c r="I1993" s="343" t="s">
        <v>709</v>
      </c>
      <c r="J1993" s="343" t="s">
        <v>710</v>
      </c>
      <c r="K1993" s="343" t="s">
        <v>168</v>
      </c>
    </row>
    <row r="1994" spans="1:11" ht="26.25" customHeight="1">
      <c r="A1994" s="343" t="s">
        <v>1813</v>
      </c>
      <c r="B1994" s="344" t="s">
        <v>162</v>
      </c>
      <c r="C1994" s="344">
        <v>7485</v>
      </c>
      <c r="D1994" s="343" t="s">
        <v>4791</v>
      </c>
      <c r="E1994" s="344">
        <v>5992694</v>
      </c>
      <c r="F1994" s="343" t="s">
        <v>4793</v>
      </c>
      <c r="G1994" s="360" t="s">
        <v>11431</v>
      </c>
      <c r="H1994" s="361">
        <v>40977</v>
      </c>
      <c r="I1994" s="343" t="s">
        <v>166</v>
      </c>
      <c r="J1994" s="343" t="s">
        <v>799</v>
      </c>
      <c r="K1994" s="343" t="s">
        <v>168</v>
      </c>
    </row>
    <row r="1995" spans="1:11" ht="26.25" customHeight="1">
      <c r="A1995" s="343" t="s">
        <v>1813</v>
      </c>
      <c r="B1995" s="344" t="s">
        <v>162</v>
      </c>
      <c r="C1995" s="344">
        <v>6992</v>
      </c>
      <c r="D1995" s="343" t="s">
        <v>4917</v>
      </c>
      <c r="E1995" s="344">
        <v>4479884</v>
      </c>
      <c r="F1995" s="343" t="s">
        <v>4918</v>
      </c>
      <c r="G1995" s="360" t="s">
        <v>11432</v>
      </c>
      <c r="H1995" s="361">
        <v>41730</v>
      </c>
      <c r="I1995" s="343" t="s">
        <v>166</v>
      </c>
      <c r="J1995" s="343" t="s">
        <v>167</v>
      </c>
      <c r="K1995" s="343" t="s">
        <v>168</v>
      </c>
    </row>
    <row r="1996" spans="1:11" ht="26.25" customHeight="1">
      <c r="A1996" s="343" t="s">
        <v>1813</v>
      </c>
      <c r="B1996" s="344" t="s">
        <v>162</v>
      </c>
      <c r="C1996" s="344">
        <v>6993</v>
      </c>
      <c r="D1996" s="343" t="s">
        <v>4906</v>
      </c>
      <c r="E1996" s="344">
        <v>3961116</v>
      </c>
      <c r="F1996" s="343" t="s">
        <v>4909</v>
      </c>
      <c r="G1996" s="360" t="s">
        <v>11433</v>
      </c>
      <c r="H1996" s="361">
        <v>41184</v>
      </c>
      <c r="I1996" s="343" t="s">
        <v>180</v>
      </c>
      <c r="J1996" s="343" t="s">
        <v>11434</v>
      </c>
      <c r="K1996" s="343" t="s">
        <v>168</v>
      </c>
    </row>
    <row r="1997" spans="1:11" ht="26.25" customHeight="1">
      <c r="A1997" s="343" t="s">
        <v>1813</v>
      </c>
      <c r="B1997" s="344" t="s">
        <v>162</v>
      </c>
      <c r="C1997" s="344">
        <v>9480</v>
      </c>
      <c r="D1997" s="343" t="s">
        <v>4857</v>
      </c>
      <c r="E1997" s="344">
        <v>4857052</v>
      </c>
      <c r="F1997" s="343" t="s">
        <v>4858</v>
      </c>
      <c r="G1997" s="360" t="s">
        <v>11435</v>
      </c>
      <c r="H1997" s="361">
        <v>41347</v>
      </c>
      <c r="I1997" s="343" t="s">
        <v>211</v>
      </c>
      <c r="J1997" s="343" t="s">
        <v>211</v>
      </c>
      <c r="K1997" s="343" t="s">
        <v>168</v>
      </c>
    </row>
    <row r="1998" spans="1:11" ht="26.25" customHeight="1">
      <c r="A1998" s="343" t="s">
        <v>1813</v>
      </c>
      <c r="B1998" s="344" t="s">
        <v>162</v>
      </c>
      <c r="C1998" s="344">
        <v>8751</v>
      </c>
      <c r="D1998" s="343" t="s">
        <v>4987</v>
      </c>
      <c r="E1998" s="344">
        <v>4183566</v>
      </c>
      <c r="F1998" s="343" t="s">
        <v>4991</v>
      </c>
      <c r="G1998" s="360" t="s">
        <v>10267</v>
      </c>
      <c r="H1998" s="361">
        <v>41739</v>
      </c>
      <c r="I1998" s="343" t="s">
        <v>709</v>
      </c>
      <c r="J1998" s="343" t="s">
        <v>11436</v>
      </c>
      <c r="K1998" s="343" t="s">
        <v>173</v>
      </c>
    </row>
    <row r="1999" spans="1:11" ht="26.25" customHeight="1">
      <c r="A1999" s="343" t="s">
        <v>1813</v>
      </c>
      <c r="B1999" s="344" t="s">
        <v>162</v>
      </c>
      <c r="C1999" s="344">
        <v>6983</v>
      </c>
      <c r="D1999" s="343" t="s">
        <v>4967</v>
      </c>
      <c r="E1999" s="344">
        <v>4775759</v>
      </c>
      <c r="F1999" s="343" t="s">
        <v>4969</v>
      </c>
      <c r="G1999" s="360" t="s">
        <v>11432</v>
      </c>
      <c r="H1999" s="361">
        <v>41765</v>
      </c>
      <c r="I1999" s="343" t="s">
        <v>984</v>
      </c>
      <c r="J1999" s="343" t="s">
        <v>11437</v>
      </c>
      <c r="K1999" s="343" t="s">
        <v>168</v>
      </c>
    </row>
    <row r="2000" spans="1:11" ht="26.25" customHeight="1">
      <c r="A2000" s="343" t="s">
        <v>1813</v>
      </c>
      <c r="B2000" s="344" t="s">
        <v>162</v>
      </c>
      <c r="C2000" s="344">
        <v>10044</v>
      </c>
      <c r="D2000" s="343" t="s">
        <v>4807</v>
      </c>
      <c r="E2000" s="344">
        <v>6594277</v>
      </c>
      <c r="F2000" s="343" t="s">
        <v>4809</v>
      </c>
      <c r="G2000" s="360" t="s">
        <v>11438</v>
      </c>
      <c r="H2000" s="361">
        <v>42737</v>
      </c>
      <c r="I2000" s="343" t="s">
        <v>166</v>
      </c>
      <c r="J2000" s="343" t="s">
        <v>9752</v>
      </c>
      <c r="K2000" s="343" t="s">
        <v>248</v>
      </c>
    </row>
    <row r="2001" spans="1:11" ht="26.25" customHeight="1">
      <c r="A2001" s="343" t="s">
        <v>1813</v>
      </c>
      <c r="B2001" s="344" t="s">
        <v>162</v>
      </c>
      <c r="C2001" s="344">
        <v>7544</v>
      </c>
      <c r="D2001" s="343" t="s">
        <v>4785</v>
      </c>
      <c r="E2001" s="344">
        <v>6092433</v>
      </c>
      <c r="F2001" s="343" t="s">
        <v>4787</v>
      </c>
      <c r="G2001" s="360" t="s">
        <v>9584</v>
      </c>
      <c r="H2001" s="361">
        <v>42745</v>
      </c>
      <c r="I2001" s="343" t="s">
        <v>193</v>
      </c>
      <c r="J2001" s="343" t="s">
        <v>11115</v>
      </c>
      <c r="K2001" s="343" t="s">
        <v>168</v>
      </c>
    </row>
    <row r="2002" spans="1:11" ht="26.25" customHeight="1">
      <c r="A2002" s="343" t="s">
        <v>1813</v>
      </c>
      <c r="B2002" s="344" t="s">
        <v>162</v>
      </c>
      <c r="C2002" s="344">
        <v>11528</v>
      </c>
      <c r="D2002" s="343" t="s">
        <v>5098</v>
      </c>
      <c r="E2002" s="344">
        <v>5597218</v>
      </c>
      <c r="F2002" s="343" t="s">
        <v>5101</v>
      </c>
      <c r="G2002" s="360" t="s">
        <v>11439</v>
      </c>
      <c r="H2002" s="361">
        <v>42746</v>
      </c>
      <c r="I2002" s="343" t="s">
        <v>166</v>
      </c>
      <c r="J2002" s="343" t="s">
        <v>296</v>
      </c>
      <c r="K2002" s="343" t="s">
        <v>168</v>
      </c>
    </row>
    <row r="2003" spans="1:11" ht="26.25" customHeight="1">
      <c r="A2003" s="343" t="s">
        <v>1813</v>
      </c>
      <c r="B2003" s="344" t="s">
        <v>162</v>
      </c>
      <c r="C2003" s="344">
        <v>7488</v>
      </c>
      <c r="D2003" s="343" t="s">
        <v>4751</v>
      </c>
      <c r="E2003" s="344">
        <v>6334144</v>
      </c>
      <c r="F2003" s="343" t="s">
        <v>4752</v>
      </c>
      <c r="G2003" s="360" t="s">
        <v>11440</v>
      </c>
      <c r="H2003" s="361">
        <v>42746</v>
      </c>
      <c r="I2003" s="343" t="s">
        <v>4753</v>
      </c>
      <c r="J2003" s="343" t="s">
        <v>11441</v>
      </c>
      <c r="K2003" s="343" t="s">
        <v>168</v>
      </c>
    </row>
    <row r="2004" spans="1:11" ht="26.25" customHeight="1">
      <c r="A2004" s="343" t="s">
        <v>1813</v>
      </c>
      <c r="B2004" s="344" t="s">
        <v>162</v>
      </c>
      <c r="C2004" s="344">
        <v>9480</v>
      </c>
      <c r="D2004" s="343" t="s">
        <v>4857</v>
      </c>
      <c r="E2004" s="344">
        <v>5043340</v>
      </c>
      <c r="F2004" s="343" t="s">
        <v>4862</v>
      </c>
      <c r="G2004" s="360" t="s">
        <v>11442</v>
      </c>
      <c r="H2004" s="361">
        <v>42746</v>
      </c>
      <c r="I2004" s="343" t="s">
        <v>193</v>
      </c>
      <c r="J2004" s="343" t="s">
        <v>637</v>
      </c>
      <c r="K2004" s="343" t="s">
        <v>168</v>
      </c>
    </row>
    <row r="2005" spans="1:11" ht="26.25" customHeight="1">
      <c r="A2005" s="343" t="s">
        <v>1813</v>
      </c>
      <c r="B2005" s="344" t="s">
        <v>162</v>
      </c>
      <c r="C2005" s="344">
        <v>9480</v>
      </c>
      <c r="D2005" s="343" t="s">
        <v>4857</v>
      </c>
      <c r="E2005" s="344">
        <v>5889686</v>
      </c>
      <c r="F2005" s="343" t="s">
        <v>4863</v>
      </c>
      <c r="G2005" s="360" t="s">
        <v>11443</v>
      </c>
      <c r="H2005" s="361">
        <v>42748</v>
      </c>
      <c r="I2005" s="343" t="s">
        <v>4864</v>
      </c>
      <c r="J2005" s="343" t="s">
        <v>11444</v>
      </c>
      <c r="K2005" s="343" t="s">
        <v>168</v>
      </c>
    </row>
    <row r="2006" spans="1:11" ht="26.25" customHeight="1">
      <c r="A2006" s="343" t="s">
        <v>1813</v>
      </c>
      <c r="B2006" s="344" t="s">
        <v>162</v>
      </c>
      <c r="C2006" s="344">
        <v>9480</v>
      </c>
      <c r="D2006" s="343" t="s">
        <v>4857</v>
      </c>
      <c r="E2006" s="344">
        <v>5225635</v>
      </c>
      <c r="F2006" s="343" t="s">
        <v>4860</v>
      </c>
      <c r="G2006" s="360" t="s">
        <v>11254</v>
      </c>
      <c r="H2006" s="361">
        <v>42748</v>
      </c>
      <c r="I2006" s="343" t="s">
        <v>1339</v>
      </c>
      <c r="J2006" s="343" t="s">
        <v>11445</v>
      </c>
      <c r="K2006" s="343" t="s">
        <v>168</v>
      </c>
    </row>
    <row r="2007" spans="1:11" ht="26.25" customHeight="1">
      <c r="A2007" s="343" t="s">
        <v>1813</v>
      </c>
      <c r="B2007" s="344" t="s">
        <v>162</v>
      </c>
      <c r="C2007" s="344">
        <v>6822</v>
      </c>
      <c r="D2007" s="343" t="s">
        <v>5108</v>
      </c>
      <c r="E2007" s="344">
        <v>6525020</v>
      </c>
      <c r="F2007" s="343" t="s">
        <v>5109</v>
      </c>
      <c r="G2007" s="360" t="s">
        <v>11446</v>
      </c>
      <c r="H2007" s="361">
        <v>42761</v>
      </c>
      <c r="I2007" s="343" t="s">
        <v>284</v>
      </c>
      <c r="J2007" s="343" t="s">
        <v>10432</v>
      </c>
      <c r="K2007" s="343" t="s">
        <v>168</v>
      </c>
    </row>
    <row r="2008" spans="1:11" ht="26.25" customHeight="1">
      <c r="A2008" s="343" t="s">
        <v>1813</v>
      </c>
      <c r="B2008" s="344" t="s">
        <v>162</v>
      </c>
      <c r="C2008" s="344">
        <v>6809</v>
      </c>
      <c r="D2008" s="343" t="s">
        <v>5123</v>
      </c>
      <c r="E2008" s="344">
        <v>5990083</v>
      </c>
      <c r="F2008" s="343" t="s">
        <v>5124</v>
      </c>
      <c r="G2008" s="360" t="s">
        <v>10060</v>
      </c>
      <c r="H2008" s="361">
        <v>42766</v>
      </c>
      <c r="I2008" s="343" t="s">
        <v>514</v>
      </c>
      <c r="J2008" s="343" t="s">
        <v>9587</v>
      </c>
      <c r="K2008" s="343" t="s">
        <v>168</v>
      </c>
    </row>
    <row r="2009" spans="1:11" ht="26.25" customHeight="1">
      <c r="A2009" s="343" t="s">
        <v>1813</v>
      </c>
      <c r="B2009" s="344" t="s">
        <v>162</v>
      </c>
      <c r="C2009" s="344">
        <v>6628</v>
      </c>
      <c r="D2009" s="343" t="s">
        <v>4870</v>
      </c>
      <c r="E2009" s="344">
        <v>6409393</v>
      </c>
      <c r="F2009" s="343" t="s">
        <v>4873</v>
      </c>
      <c r="G2009" s="360" t="s">
        <v>11447</v>
      </c>
      <c r="H2009" s="361">
        <v>42765</v>
      </c>
      <c r="I2009" s="343" t="s">
        <v>193</v>
      </c>
      <c r="J2009" s="343" t="s">
        <v>637</v>
      </c>
      <c r="K2009" s="343" t="s">
        <v>168</v>
      </c>
    </row>
    <row r="2010" spans="1:11" ht="26.25" customHeight="1">
      <c r="A2010" s="343" t="s">
        <v>1813</v>
      </c>
      <c r="B2010" s="344" t="s">
        <v>162</v>
      </c>
      <c r="C2010" s="344">
        <v>6635</v>
      </c>
      <c r="D2010" s="343" t="s">
        <v>5072</v>
      </c>
      <c r="E2010" s="344">
        <v>5890592</v>
      </c>
      <c r="F2010" s="343" t="s">
        <v>5077</v>
      </c>
      <c r="G2010" s="360" t="s">
        <v>11448</v>
      </c>
      <c r="H2010" s="361">
        <v>42767</v>
      </c>
      <c r="I2010" s="343" t="s">
        <v>166</v>
      </c>
      <c r="J2010" s="343" t="s">
        <v>296</v>
      </c>
      <c r="K2010" s="343" t="s">
        <v>168</v>
      </c>
    </row>
    <row r="2011" spans="1:11" ht="26.25" customHeight="1">
      <c r="A2011" s="343" t="s">
        <v>1813</v>
      </c>
      <c r="B2011" s="344" t="s">
        <v>162</v>
      </c>
      <c r="C2011" s="344">
        <v>8935</v>
      </c>
      <c r="D2011" s="343" t="s">
        <v>5151</v>
      </c>
      <c r="E2011" s="344">
        <v>6264427</v>
      </c>
      <c r="F2011" s="343" t="s">
        <v>5152</v>
      </c>
      <c r="G2011" s="360" t="s">
        <v>11016</v>
      </c>
      <c r="H2011" s="361">
        <v>42769</v>
      </c>
      <c r="I2011" s="343" t="s">
        <v>366</v>
      </c>
      <c r="J2011" s="343" t="s">
        <v>366</v>
      </c>
      <c r="K2011" s="343" t="s">
        <v>168</v>
      </c>
    </row>
    <row r="2012" spans="1:11" ht="26.25" customHeight="1">
      <c r="A2012" s="343" t="s">
        <v>1813</v>
      </c>
      <c r="B2012" s="344" t="s">
        <v>162</v>
      </c>
      <c r="C2012" s="344">
        <v>9494</v>
      </c>
      <c r="D2012" s="343" t="s">
        <v>5054</v>
      </c>
      <c r="E2012" s="344">
        <v>6293076</v>
      </c>
      <c r="F2012" s="343" t="s">
        <v>5056</v>
      </c>
      <c r="G2012" s="360" t="s">
        <v>11014</v>
      </c>
      <c r="H2012" s="361">
        <v>42769</v>
      </c>
      <c r="I2012" s="343" t="s">
        <v>193</v>
      </c>
      <c r="J2012" s="343" t="s">
        <v>509</v>
      </c>
      <c r="K2012" s="343" t="s">
        <v>168</v>
      </c>
    </row>
    <row r="2013" spans="1:11" ht="26.25" customHeight="1">
      <c r="A2013" s="343" t="s">
        <v>1813</v>
      </c>
      <c r="B2013" s="344" t="s">
        <v>162</v>
      </c>
      <c r="C2013" s="344">
        <v>9494</v>
      </c>
      <c r="D2013" s="343" t="s">
        <v>5054</v>
      </c>
      <c r="E2013" s="344">
        <v>5857656</v>
      </c>
      <c r="F2013" s="343" t="s">
        <v>5058</v>
      </c>
      <c r="G2013" s="360" t="s">
        <v>11449</v>
      </c>
      <c r="H2013" s="361">
        <v>42772</v>
      </c>
      <c r="I2013" s="343" t="s">
        <v>193</v>
      </c>
      <c r="J2013" s="343" t="s">
        <v>603</v>
      </c>
      <c r="K2013" s="343" t="s">
        <v>168</v>
      </c>
    </row>
    <row r="2014" spans="1:11" ht="26.25" customHeight="1">
      <c r="A2014" s="343" t="s">
        <v>1813</v>
      </c>
      <c r="B2014" s="344" t="s">
        <v>162</v>
      </c>
      <c r="C2014" s="344">
        <v>9494</v>
      </c>
      <c r="D2014" s="343" t="s">
        <v>5054</v>
      </c>
      <c r="E2014" s="344">
        <v>5863670</v>
      </c>
      <c r="F2014" s="343" t="s">
        <v>5055</v>
      </c>
      <c r="G2014" s="360" t="s">
        <v>9519</v>
      </c>
      <c r="H2014" s="361">
        <v>42772</v>
      </c>
      <c r="I2014" s="343" t="s">
        <v>1038</v>
      </c>
      <c r="J2014" s="343" t="s">
        <v>9369</v>
      </c>
      <c r="K2014" s="343" t="s">
        <v>168</v>
      </c>
    </row>
    <row r="2015" spans="1:11" ht="26.25" customHeight="1">
      <c r="A2015" s="343" t="s">
        <v>1813</v>
      </c>
      <c r="B2015" s="344" t="s">
        <v>162</v>
      </c>
      <c r="C2015" s="344">
        <v>9626</v>
      </c>
      <c r="D2015" s="343" t="s">
        <v>4743</v>
      </c>
      <c r="E2015" s="344">
        <v>6432445</v>
      </c>
      <c r="F2015" s="343" t="s">
        <v>4746</v>
      </c>
      <c r="G2015" s="360" t="s">
        <v>11450</v>
      </c>
      <c r="H2015" s="361">
        <v>42774</v>
      </c>
      <c r="I2015" s="343" t="s">
        <v>166</v>
      </c>
      <c r="J2015" s="343" t="s">
        <v>327</v>
      </c>
      <c r="K2015" s="343" t="s">
        <v>168</v>
      </c>
    </row>
    <row r="2016" spans="1:11" ht="26.25" customHeight="1">
      <c r="A2016" s="343" t="s">
        <v>1813</v>
      </c>
      <c r="B2016" s="344" t="s">
        <v>162</v>
      </c>
      <c r="C2016" s="344">
        <v>11188</v>
      </c>
      <c r="D2016" s="343" t="s">
        <v>5024</v>
      </c>
      <c r="E2016" s="344">
        <v>5746722</v>
      </c>
      <c r="F2016" s="343" t="s">
        <v>5033</v>
      </c>
      <c r="G2016" s="360" t="s">
        <v>9606</v>
      </c>
      <c r="H2016" s="361">
        <v>42774</v>
      </c>
      <c r="I2016" s="343" t="s">
        <v>5034</v>
      </c>
      <c r="J2016" s="343" t="s">
        <v>11451</v>
      </c>
      <c r="K2016" s="343" t="s">
        <v>173</v>
      </c>
    </row>
    <row r="2017" spans="1:11" ht="26.25" customHeight="1">
      <c r="A2017" s="343" t="s">
        <v>1813</v>
      </c>
      <c r="B2017" s="344" t="s">
        <v>162</v>
      </c>
      <c r="C2017" s="344">
        <v>6633</v>
      </c>
      <c r="D2017" s="343" t="s">
        <v>5142</v>
      </c>
      <c r="E2017" s="344">
        <v>5896523</v>
      </c>
      <c r="F2017" s="343" t="s">
        <v>5143</v>
      </c>
      <c r="G2017" s="360" t="s">
        <v>9374</v>
      </c>
      <c r="H2017" s="361">
        <v>42774</v>
      </c>
      <c r="I2017" s="343" t="s">
        <v>219</v>
      </c>
      <c r="J2017" s="343" t="s">
        <v>220</v>
      </c>
      <c r="K2017" s="343" t="s">
        <v>173</v>
      </c>
    </row>
    <row r="2018" spans="1:11" ht="26.25" customHeight="1">
      <c r="A2018" s="343" t="s">
        <v>1813</v>
      </c>
      <c r="B2018" s="344" t="s">
        <v>162</v>
      </c>
      <c r="C2018" s="344">
        <v>6823</v>
      </c>
      <c r="D2018" s="343" t="s">
        <v>5136</v>
      </c>
      <c r="E2018" s="344">
        <v>5979404</v>
      </c>
      <c r="F2018" s="343" t="s">
        <v>5139</v>
      </c>
      <c r="G2018" s="360" t="s">
        <v>11151</v>
      </c>
      <c r="H2018" s="361">
        <v>42774</v>
      </c>
      <c r="I2018" s="343" t="s">
        <v>802</v>
      </c>
      <c r="J2018" s="343" t="s">
        <v>1075</v>
      </c>
      <c r="K2018" s="343" t="s">
        <v>168</v>
      </c>
    </row>
    <row r="2019" spans="1:11" ht="26.25" customHeight="1">
      <c r="A2019" s="343" t="s">
        <v>1813</v>
      </c>
      <c r="B2019" s="344" t="s">
        <v>162</v>
      </c>
      <c r="C2019" s="344">
        <v>7485</v>
      </c>
      <c r="D2019" s="343" t="s">
        <v>4791</v>
      </c>
      <c r="E2019" s="344">
        <v>6250795</v>
      </c>
      <c r="F2019" s="343" t="s">
        <v>4792</v>
      </c>
      <c r="G2019" s="360" t="s">
        <v>9616</v>
      </c>
      <c r="H2019" s="361">
        <v>42775</v>
      </c>
      <c r="I2019" s="343" t="s">
        <v>271</v>
      </c>
      <c r="J2019" s="343" t="s">
        <v>11452</v>
      </c>
      <c r="K2019" s="343" t="s">
        <v>168</v>
      </c>
    </row>
    <row r="2020" spans="1:11" ht="26.25" customHeight="1">
      <c r="A2020" s="343" t="s">
        <v>1813</v>
      </c>
      <c r="B2020" s="344" t="s">
        <v>162</v>
      </c>
      <c r="C2020" s="344">
        <v>6981</v>
      </c>
      <c r="D2020" s="343" t="s">
        <v>4901</v>
      </c>
      <c r="E2020" s="344">
        <v>6668905</v>
      </c>
      <c r="F2020" s="343" t="s">
        <v>4905</v>
      </c>
      <c r="G2020" s="360" t="s">
        <v>11453</v>
      </c>
      <c r="H2020" s="361">
        <v>42775</v>
      </c>
      <c r="I2020" s="343" t="s">
        <v>514</v>
      </c>
      <c r="J2020" s="343" t="s">
        <v>9587</v>
      </c>
      <c r="K2020" s="343" t="s">
        <v>168</v>
      </c>
    </row>
    <row r="2021" spans="1:11" ht="26.25" customHeight="1">
      <c r="A2021" s="343" t="s">
        <v>1813</v>
      </c>
      <c r="B2021" s="344" t="s">
        <v>162</v>
      </c>
      <c r="C2021" s="344">
        <v>7521</v>
      </c>
      <c r="D2021" s="343" t="s">
        <v>4820</v>
      </c>
      <c r="E2021" s="344">
        <v>6620664</v>
      </c>
      <c r="F2021" s="343" t="s">
        <v>4822</v>
      </c>
      <c r="G2021" s="360" t="s">
        <v>11454</v>
      </c>
      <c r="H2021" s="361">
        <v>42775</v>
      </c>
      <c r="I2021" s="343" t="s">
        <v>166</v>
      </c>
      <c r="J2021" s="343" t="s">
        <v>327</v>
      </c>
      <c r="K2021" s="343" t="s">
        <v>168</v>
      </c>
    </row>
    <row r="2022" spans="1:11" ht="26.25" customHeight="1">
      <c r="A2022" s="343" t="s">
        <v>1813</v>
      </c>
      <c r="B2022" s="344" t="s">
        <v>162</v>
      </c>
      <c r="C2022" s="344">
        <v>6628</v>
      </c>
      <c r="D2022" s="343" t="s">
        <v>4870</v>
      </c>
      <c r="E2022" s="344">
        <v>6405376</v>
      </c>
      <c r="F2022" s="343" t="s">
        <v>4871</v>
      </c>
      <c r="G2022" s="360" t="s">
        <v>11084</v>
      </c>
      <c r="H2022" s="361">
        <v>42775</v>
      </c>
      <c r="I2022" s="343" t="s">
        <v>166</v>
      </c>
      <c r="J2022" s="343" t="s">
        <v>296</v>
      </c>
      <c r="K2022" s="343" t="s">
        <v>168</v>
      </c>
    </row>
    <row r="2023" spans="1:11" ht="26.25" customHeight="1">
      <c r="A2023" s="343" t="s">
        <v>1813</v>
      </c>
      <c r="B2023" s="344" t="s">
        <v>162</v>
      </c>
      <c r="C2023" s="344">
        <v>6629</v>
      </c>
      <c r="D2023" s="343" t="s">
        <v>5114</v>
      </c>
      <c r="E2023" s="344">
        <v>5900492</v>
      </c>
      <c r="F2023" s="343" t="s">
        <v>5115</v>
      </c>
      <c r="G2023" s="360" t="s">
        <v>1329</v>
      </c>
      <c r="H2023" s="361">
        <v>42775</v>
      </c>
      <c r="I2023" s="343" t="s">
        <v>5116</v>
      </c>
      <c r="J2023" s="343" t="s">
        <v>11455</v>
      </c>
      <c r="K2023" s="343" t="s">
        <v>168</v>
      </c>
    </row>
    <row r="2024" spans="1:11" ht="26.25" customHeight="1">
      <c r="A2024" s="343" t="s">
        <v>1813</v>
      </c>
      <c r="B2024" s="344" t="s">
        <v>162</v>
      </c>
      <c r="C2024" s="344">
        <v>9850</v>
      </c>
      <c r="D2024" s="343" t="s">
        <v>4839</v>
      </c>
      <c r="E2024" s="344">
        <v>6429066</v>
      </c>
      <c r="F2024" s="343" t="s">
        <v>4841</v>
      </c>
      <c r="G2024" s="360" t="s">
        <v>9841</v>
      </c>
      <c r="H2024" s="361">
        <v>42776</v>
      </c>
      <c r="I2024" s="343" t="s">
        <v>193</v>
      </c>
      <c r="J2024" s="343" t="s">
        <v>637</v>
      </c>
      <c r="K2024" s="343" t="s">
        <v>168</v>
      </c>
    </row>
    <row r="2025" spans="1:11" ht="26.25" customHeight="1">
      <c r="A2025" s="343" t="s">
        <v>1813</v>
      </c>
      <c r="B2025" s="344" t="s">
        <v>162</v>
      </c>
      <c r="C2025" s="344">
        <v>9482</v>
      </c>
      <c r="D2025" s="343" t="s">
        <v>5092</v>
      </c>
      <c r="E2025" s="344">
        <v>6127737</v>
      </c>
      <c r="F2025" s="343" t="s">
        <v>5094</v>
      </c>
      <c r="G2025" s="360" t="s">
        <v>11456</v>
      </c>
      <c r="H2025" s="361">
        <v>42776</v>
      </c>
      <c r="I2025" s="343" t="s">
        <v>193</v>
      </c>
      <c r="J2025" s="343" t="s">
        <v>509</v>
      </c>
      <c r="K2025" s="343" t="s">
        <v>168</v>
      </c>
    </row>
    <row r="2026" spans="1:11" ht="26.25" customHeight="1">
      <c r="A2026" s="343" t="s">
        <v>1813</v>
      </c>
      <c r="B2026" s="344" t="s">
        <v>162</v>
      </c>
      <c r="C2026" s="344">
        <v>12095</v>
      </c>
      <c r="D2026" s="343" t="s">
        <v>4854</v>
      </c>
      <c r="E2026" s="344">
        <v>5734945</v>
      </c>
      <c r="F2026" s="343" t="s">
        <v>4855</v>
      </c>
      <c r="G2026" s="360" t="s">
        <v>11457</v>
      </c>
      <c r="H2026" s="361">
        <v>42779</v>
      </c>
      <c r="I2026" s="343" t="s">
        <v>547</v>
      </c>
      <c r="J2026" s="343" t="s">
        <v>936</v>
      </c>
      <c r="K2026" s="343" t="s">
        <v>248</v>
      </c>
    </row>
    <row r="2027" spans="1:11" ht="26.25" customHeight="1">
      <c r="A2027" s="343" t="s">
        <v>1813</v>
      </c>
      <c r="B2027" s="344" t="s">
        <v>162</v>
      </c>
      <c r="C2027" s="344">
        <v>8751</v>
      </c>
      <c r="D2027" s="343" t="s">
        <v>4987</v>
      </c>
      <c r="E2027" s="344">
        <v>5169651</v>
      </c>
      <c r="F2027" s="343" t="s">
        <v>4993</v>
      </c>
      <c r="G2027" s="360" t="s">
        <v>11458</v>
      </c>
      <c r="H2027" s="361">
        <v>42780</v>
      </c>
      <c r="I2027" s="343" t="s">
        <v>366</v>
      </c>
      <c r="J2027" s="343" t="s">
        <v>366</v>
      </c>
      <c r="K2027" s="343" t="s">
        <v>168</v>
      </c>
    </row>
    <row r="2028" spans="1:11" ht="26.25" customHeight="1">
      <c r="A2028" s="343" t="s">
        <v>1813</v>
      </c>
      <c r="B2028" s="344" t="s">
        <v>162</v>
      </c>
      <c r="C2028" s="344">
        <v>10036</v>
      </c>
      <c r="D2028" s="343" t="s">
        <v>5129</v>
      </c>
      <c r="E2028" s="344">
        <v>5732697</v>
      </c>
      <c r="F2028" s="343" t="s">
        <v>5131</v>
      </c>
      <c r="G2028" s="360" t="s">
        <v>639</v>
      </c>
      <c r="H2028" s="361">
        <v>42780</v>
      </c>
      <c r="I2028" s="343" t="s">
        <v>1038</v>
      </c>
      <c r="J2028" s="343" t="s">
        <v>9369</v>
      </c>
      <c r="K2028" s="343" t="s">
        <v>168</v>
      </c>
    </row>
    <row r="2029" spans="1:11" ht="26.25" customHeight="1">
      <c r="A2029" s="343" t="s">
        <v>1813</v>
      </c>
      <c r="B2029" s="344" t="s">
        <v>162</v>
      </c>
      <c r="C2029" s="344">
        <v>6821</v>
      </c>
      <c r="D2029" s="343" t="s">
        <v>5112</v>
      </c>
      <c r="E2029" s="344">
        <v>6696313</v>
      </c>
      <c r="F2029" s="343" t="s">
        <v>5113</v>
      </c>
      <c r="G2029" s="360" t="s">
        <v>669</v>
      </c>
      <c r="H2029" s="361">
        <v>42780</v>
      </c>
      <c r="I2029" s="343" t="s">
        <v>4006</v>
      </c>
      <c r="J2029" s="343" t="s">
        <v>4006</v>
      </c>
      <c r="K2029" s="343" t="s">
        <v>173</v>
      </c>
    </row>
    <row r="2030" spans="1:11" ht="26.25" customHeight="1">
      <c r="A2030" s="343" t="s">
        <v>1813</v>
      </c>
      <c r="B2030" s="344" t="s">
        <v>162</v>
      </c>
      <c r="C2030" s="344">
        <v>6643</v>
      </c>
      <c r="D2030" s="343" t="s">
        <v>5041</v>
      </c>
      <c r="E2030" s="344">
        <v>5898447</v>
      </c>
      <c r="F2030" s="343" t="s">
        <v>5042</v>
      </c>
      <c r="G2030" s="360" t="s">
        <v>11459</v>
      </c>
      <c r="H2030" s="361">
        <v>42780</v>
      </c>
      <c r="I2030" s="343" t="s">
        <v>193</v>
      </c>
      <c r="J2030" s="343" t="s">
        <v>1089</v>
      </c>
      <c r="K2030" s="343" t="s">
        <v>168</v>
      </c>
    </row>
    <row r="2031" spans="1:11" ht="26.25" customHeight="1">
      <c r="A2031" s="343" t="s">
        <v>1813</v>
      </c>
      <c r="B2031" s="344" t="s">
        <v>162</v>
      </c>
      <c r="C2031" s="344">
        <v>12096</v>
      </c>
      <c r="D2031" s="343" t="s">
        <v>7334</v>
      </c>
      <c r="E2031" s="344">
        <v>6718666</v>
      </c>
      <c r="F2031" s="343" t="s">
        <v>4847</v>
      </c>
      <c r="G2031" s="360" t="s">
        <v>11460</v>
      </c>
      <c r="H2031" s="361">
        <v>42782</v>
      </c>
      <c r="I2031" s="343" t="s">
        <v>284</v>
      </c>
      <c r="J2031" s="343" t="s">
        <v>11461</v>
      </c>
      <c r="K2031" s="343" t="s">
        <v>168</v>
      </c>
    </row>
    <row r="2032" spans="1:11" ht="26.25" customHeight="1">
      <c r="A2032" s="343" t="s">
        <v>1813</v>
      </c>
      <c r="B2032" s="344" t="s">
        <v>162</v>
      </c>
      <c r="C2032" s="344">
        <v>12103</v>
      </c>
      <c r="D2032" s="343" t="s">
        <v>4874</v>
      </c>
      <c r="E2032" s="344">
        <v>6037279</v>
      </c>
      <c r="F2032" s="343" t="s">
        <v>4875</v>
      </c>
      <c r="G2032" s="360" t="s">
        <v>11448</v>
      </c>
      <c r="H2032" s="361">
        <v>42782</v>
      </c>
      <c r="I2032" s="343" t="s">
        <v>4876</v>
      </c>
      <c r="J2032" s="343" t="s">
        <v>11462</v>
      </c>
      <c r="K2032" s="343" t="s">
        <v>173</v>
      </c>
    </row>
    <row r="2033" spans="1:11" ht="26.25" customHeight="1">
      <c r="A2033" s="343" t="s">
        <v>1813</v>
      </c>
      <c r="B2033" s="344" t="s">
        <v>162</v>
      </c>
      <c r="C2033" s="344">
        <v>7477</v>
      </c>
      <c r="D2033" s="343" t="s">
        <v>4761</v>
      </c>
      <c r="E2033" s="344">
        <v>6260006</v>
      </c>
      <c r="F2033" s="343" t="s">
        <v>4767</v>
      </c>
      <c r="G2033" s="360" t="s">
        <v>11463</v>
      </c>
      <c r="H2033" s="361">
        <v>42782</v>
      </c>
      <c r="I2033" s="343" t="s">
        <v>166</v>
      </c>
      <c r="J2033" s="343" t="s">
        <v>10590</v>
      </c>
      <c r="K2033" s="343" t="s">
        <v>248</v>
      </c>
    </row>
    <row r="2034" spans="1:11" ht="26.25" customHeight="1">
      <c r="A2034" s="343" t="s">
        <v>1813</v>
      </c>
      <c r="B2034" s="344" t="s">
        <v>162</v>
      </c>
      <c r="C2034" s="344">
        <v>11093</v>
      </c>
      <c r="D2034" s="343" t="s">
        <v>4827</v>
      </c>
      <c r="E2034" s="344">
        <v>6478918</v>
      </c>
      <c r="F2034" s="343" t="s">
        <v>4838</v>
      </c>
      <c r="G2034" s="360" t="s">
        <v>10166</v>
      </c>
      <c r="H2034" s="361">
        <v>42782</v>
      </c>
      <c r="I2034" s="343" t="s">
        <v>465</v>
      </c>
      <c r="J2034" s="343" t="s">
        <v>1118</v>
      </c>
      <c r="K2034" s="343" t="s">
        <v>168</v>
      </c>
    </row>
    <row r="2035" spans="1:11" ht="26.25" customHeight="1">
      <c r="A2035" s="343" t="s">
        <v>1813</v>
      </c>
      <c r="B2035" s="344" t="s">
        <v>162</v>
      </c>
      <c r="C2035" s="344">
        <v>6991</v>
      </c>
      <c r="D2035" s="343" t="s">
        <v>4878</v>
      </c>
      <c r="E2035" s="344">
        <v>5182348</v>
      </c>
      <c r="F2035" s="343" t="s">
        <v>4879</v>
      </c>
      <c r="G2035" s="360" t="s">
        <v>10943</v>
      </c>
      <c r="H2035" s="361">
        <v>42782</v>
      </c>
      <c r="I2035" s="343" t="s">
        <v>4880</v>
      </c>
      <c r="J2035" s="343" t="s">
        <v>4880</v>
      </c>
      <c r="K2035" s="343" t="s">
        <v>168</v>
      </c>
    </row>
    <row r="2036" spans="1:11" ht="26.25" customHeight="1">
      <c r="A2036" s="343" t="s">
        <v>1813</v>
      </c>
      <c r="B2036" s="344" t="s">
        <v>162</v>
      </c>
      <c r="C2036" s="344">
        <v>6993</v>
      </c>
      <c r="D2036" s="343" t="s">
        <v>4906</v>
      </c>
      <c r="E2036" s="344">
        <v>5900497</v>
      </c>
      <c r="F2036" s="343" t="s">
        <v>4910</v>
      </c>
      <c r="G2036" s="360" t="s">
        <v>10488</v>
      </c>
      <c r="H2036" s="361">
        <v>42796</v>
      </c>
      <c r="I2036" s="343" t="s">
        <v>180</v>
      </c>
      <c r="J2036" s="343" t="s">
        <v>11464</v>
      </c>
      <c r="K2036" s="343" t="s">
        <v>168</v>
      </c>
    </row>
    <row r="2037" spans="1:11" ht="26.25" customHeight="1">
      <c r="A2037" s="343" t="s">
        <v>1813</v>
      </c>
      <c r="B2037" s="344" t="s">
        <v>162</v>
      </c>
      <c r="C2037" s="344">
        <v>9946</v>
      </c>
      <c r="D2037" s="343" t="s">
        <v>4867</v>
      </c>
      <c r="E2037" s="344">
        <v>5894683</v>
      </c>
      <c r="F2037" s="343" t="s">
        <v>4868</v>
      </c>
      <c r="G2037" s="360" t="s">
        <v>10917</v>
      </c>
      <c r="H2037" s="361">
        <v>42786</v>
      </c>
      <c r="I2037" s="343" t="s">
        <v>193</v>
      </c>
      <c r="J2037" s="343" t="s">
        <v>11465</v>
      </c>
      <c r="K2037" s="343" t="s">
        <v>168</v>
      </c>
    </row>
    <row r="2038" spans="1:11" ht="26.25" customHeight="1">
      <c r="A2038" s="343" t="s">
        <v>1813</v>
      </c>
      <c r="B2038" s="344" t="s">
        <v>162</v>
      </c>
      <c r="C2038" s="344">
        <v>7463</v>
      </c>
      <c r="D2038" s="343" t="s">
        <v>4732</v>
      </c>
      <c r="E2038" s="344">
        <v>6454369</v>
      </c>
      <c r="F2038" s="343" t="s">
        <v>4734</v>
      </c>
      <c r="G2038" s="360" t="s">
        <v>11466</v>
      </c>
      <c r="H2038" s="361">
        <v>42786</v>
      </c>
      <c r="I2038" s="343" t="s">
        <v>193</v>
      </c>
      <c r="J2038" s="343" t="s">
        <v>966</v>
      </c>
      <c r="K2038" s="343" t="s">
        <v>168</v>
      </c>
    </row>
    <row r="2039" spans="1:11" ht="26.25" customHeight="1">
      <c r="A2039" s="343" t="s">
        <v>1813</v>
      </c>
      <c r="B2039" s="344" t="s">
        <v>162</v>
      </c>
      <c r="C2039" s="344">
        <v>9184</v>
      </c>
      <c r="D2039" s="343" t="s">
        <v>4979</v>
      </c>
      <c r="E2039" s="344">
        <v>4466193</v>
      </c>
      <c r="F2039" s="343" t="s">
        <v>4982</v>
      </c>
      <c r="G2039" s="360" t="s">
        <v>11467</v>
      </c>
      <c r="H2039" s="361">
        <v>42788</v>
      </c>
      <c r="I2039" s="343" t="s">
        <v>198</v>
      </c>
      <c r="J2039" s="343" t="s">
        <v>198</v>
      </c>
      <c r="K2039" s="343" t="s">
        <v>168</v>
      </c>
    </row>
    <row r="2040" spans="1:11" ht="26.25" customHeight="1">
      <c r="A2040" s="343" t="s">
        <v>1813</v>
      </c>
      <c r="B2040" s="344" t="s">
        <v>162</v>
      </c>
      <c r="C2040" s="344">
        <v>11188</v>
      </c>
      <c r="D2040" s="343" t="s">
        <v>5024</v>
      </c>
      <c r="E2040" s="344">
        <v>6055303</v>
      </c>
      <c r="F2040" s="343" t="s">
        <v>5026</v>
      </c>
      <c r="G2040" s="360" t="s">
        <v>1285</v>
      </c>
      <c r="H2040" s="361">
        <v>42788</v>
      </c>
      <c r="I2040" s="343" t="s">
        <v>166</v>
      </c>
      <c r="J2040" s="343" t="s">
        <v>327</v>
      </c>
      <c r="K2040" s="343" t="s">
        <v>168</v>
      </c>
    </row>
    <row r="2041" spans="1:11" ht="26.25" customHeight="1">
      <c r="A2041" s="343" t="s">
        <v>1813</v>
      </c>
      <c r="B2041" s="344" t="s">
        <v>162</v>
      </c>
      <c r="C2041" s="344">
        <v>6823</v>
      </c>
      <c r="D2041" s="343" t="s">
        <v>5136</v>
      </c>
      <c r="E2041" s="344">
        <v>6040720</v>
      </c>
      <c r="F2041" s="343" t="s">
        <v>5141</v>
      </c>
      <c r="G2041" s="360" t="s">
        <v>11468</v>
      </c>
      <c r="H2041" s="361">
        <v>42789</v>
      </c>
      <c r="I2041" s="343" t="s">
        <v>193</v>
      </c>
      <c r="J2041" s="343" t="s">
        <v>1089</v>
      </c>
      <c r="K2041" s="343" t="s">
        <v>168</v>
      </c>
    </row>
    <row r="2042" spans="1:11" ht="26.25" customHeight="1">
      <c r="A2042" s="343" t="s">
        <v>1813</v>
      </c>
      <c r="B2042" s="344" t="s">
        <v>162</v>
      </c>
      <c r="C2042" s="344">
        <v>9481</v>
      </c>
      <c r="D2042" s="343" t="s">
        <v>5059</v>
      </c>
      <c r="E2042" s="344">
        <v>5725516</v>
      </c>
      <c r="F2042" s="343" t="s">
        <v>5062</v>
      </c>
      <c r="G2042" s="360" t="s">
        <v>11058</v>
      </c>
      <c r="H2042" s="361">
        <v>42789</v>
      </c>
      <c r="I2042" s="343" t="s">
        <v>193</v>
      </c>
      <c r="J2042" s="343" t="s">
        <v>1089</v>
      </c>
      <c r="K2042" s="343" t="s">
        <v>168</v>
      </c>
    </row>
    <row r="2043" spans="1:11" ht="26.25" customHeight="1">
      <c r="A2043" s="343" t="s">
        <v>1813</v>
      </c>
      <c r="B2043" s="344" t="s">
        <v>162</v>
      </c>
      <c r="C2043" s="344">
        <v>6992</v>
      </c>
      <c r="D2043" s="343" t="s">
        <v>4917</v>
      </c>
      <c r="E2043" s="344">
        <v>5127174</v>
      </c>
      <c r="F2043" s="343" t="s">
        <v>4920</v>
      </c>
      <c r="G2043" s="360" t="s">
        <v>11469</v>
      </c>
      <c r="H2043" s="361">
        <v>42795</v>
      </c>
      <c r="I2043" s="343" t="s">
        <v>193</v>
      </c>
      <c r="J2043" s="343" t="s">
        <v>194</v>
      </c>
      <c r="K2043" s="343" t="s">
        <v>168</v>
      </c>
    </row>
    <row r="2044" spans="1:11" ht="26.25" customHeight="1">
      <c r="A2044" s="343" t="s">
        <v>1813</v>
      </c>
      <c r="B2044" s="344" t="s">
        <v>162</v>
      </c>
      <c r="C2044" s="344">
        <v>9481</v>
      </c>
      <c r="D2044" s="343" t="s">
        <v>5059</v>
      </c>
      <c r="E2044" s="344">
        <v>5906531</v>
      </c>
      <c r="F2044" s="343" t="s">
        <v>5064</v>
      </c>
      <c r="G2044" s="360" t="s">
        <v>9597</v>
      </c>
      <c r="H2044" s="361">
        <v>42795</v>
      </c>
      <c r="I2044" s="343" t="s">
        <v>349</v>
      </c>
      <c r="J2044" s="343" t="s">
        <v>11470</v>
      </c>
      <c r="K2044" s="343" t="s">
        <v>168</v>
      </c>
    </row>
    <row r="2045" spans="1:11" ht="26.25" customHeight="1">
      <c r="A2045" s="343" t="s">
        <v>1813</v>
      </c>
      <c r="B2045" s="344" t="s">
        <v>162</v>
      </c>
      <c r="C2045" s="344">
        <v>7484</v>
      </c>
      <c r="D2045" s="343" t="s">
        <v>4823</v>
      </c>
      <c r="E2045" s="344">
        <v>6614957</v>
      </c>
      <c r="F2045" s="343" t="s">
        <v>4826</v>
      </c>
      <c r="G2045" s="360" t="s">
        <v>11471</v>
      </c>
      <c r="H2045" s="361">
        <v>42795</v>
      </c>
      <c r="I2045" s="343" t="s">
        <v>284</v>
      </c>
      <c r="J2045" s="343" t="s">
        <v>11472</v>
      </c>
      <c r="K2045" s="343" t="s">
        <v>168</v>
      </c>
    </row>
    <row r="2046" spans="1:11" ht="26.25" customHeight="1">
      <c r="A2046" s="343" t="s">
        <v>1813</v>
      </c>
      <c r="B2046" s="344" t="s">
        <v>162</v>
      </c>
      <c r="C2046" s="344">
        <v>6820</v>
      </c>
      <c r="D2046" s="343" t="s">
        <v>5044</v>
      </c>
      <c r="E2046" s="344">
        <v>5941386</v>
      </c>
      <c r="F2046" s="343" t="s">
        <v>5048</v>
      </c>
      <c r="G2046" s="360" t="s">
        <v>11473</v>
      </c>
      <c r="H2046" s="361">
        <v>42795</v>
      </c>
      <c r="I2046" s="343" t="s">
        <v>802</v>
      </c>
      <c r="J2046" s="343" t="s">
        <v>1172</v>
      </c>
      <c r="K2046" s="343" t="s">
        <v>168</v>
      </c>
    </row>
    <row r="2047" spans="1:11" ht="26.25" customHeight="1">
      <c r="A2047" s="343" t="s">
        <v>1813</v>
      </c>
      <c r="B2047" s="344" t="s">
        <v>162</v>
      </c>
      <c r="C2047" s="344">
        <v>6820</v>
      </c>
      <c r="D2047" s="343" t="s">
        <v>5044</v>
      </c>
      <c r="E2047" s="344">
        <v>5933777</v>
      </c>
      <c r="F2047" s="343" t="s">
        <v>5050</v>
      </c>
      <c r="G2047" s="360" t="s">
        <v>9929</v>
      </c>
      <c r="H2047" s="361">
        <v>42795</v>
      </c>
      <c r="I2047" s="343" t="s">
        <v>3849</v>
      </c>
      <c r="J2047" s="343" t="s">
        <v>11474</v>
      </c>
      <c r="K2047" s="343" t="s">
        <v>173</v>
      </c>
    </row>
    <row r="2048" spans="1:11" ht="26.25" customHeight="1">
      <c r="A2048" s="343" t="s">
        <v>1813</v>
      </c>
      <c r="B2048" s="344" t="s">
        <v>162</v>
      </c>
      <c r="C2048" s="344">
        <v>6646</v>
      </c>
      <c r="D2048" s="343" t="s">
        <v>5087</v>
      </c>
      <c r="E2048" s="344">
        <v>6111886</v>
      </c>
      <c r="F2048" s="343" t="s">
        <v>5090</v>
      </c>
      <c r="G2048" s="360" t="s">
        <v>11475</v>
      </c>
      <c r="H2048" s="361">
        <v>42790</v>
      </c>
      <c r="I2048" s="343" t="s">
        <v>5091</v>
      </c>
      <c r="J2048" s="343" t="s">
        <v>11476</v>
      </c>
      <c r="K2048" s="343" t="s">
        <v>168</v>
      </c>
    </row>
    <row r="2049" spans="1:11" ht="26.25" customHeight="1">
      <c r="A2049" s="343" t="s">
        <v>1813</v>
      </c>
      <c r="B2049" s="344" t="s">
        <v>162</v>
      </c>
      <c r="C2049" s="344">
        <v>10036</v>
      </c>
      <c r="D2049" s="343" t="s">
        <v>5129</v>
      </c>
      <c r="E2049" s="344">
        <v>5762675</v>
      </c>
      <c r="F2049" s="343" t="s">
        <v>5130</v>
      </c>
      <c r="G2049" s="360" t="s">
        <v>11477</v>
      </c>
      <c r="H2049" s="361">
        <v>42790</v>
      </c>
      <c r="I2049" s="343" t="s">
        <v>166</v>
      </c>
      <c r="J2049" s="343" t="s">
        <v>327</v>
      </c>
      <c r="K2049" s="343" t="s">
        <v>168</v>
      </c>
    </row>
    <row r="2050" spans="1:11" ht="26.25" customHeight="1">
      <c r="A2050" s="343" t="s">
        <v>1813</v>
      </c>
      <c r="B2050" s="344" t="s">
        <v>162</v>
      </c>
      <c r="C2050" s="344">
        <v>7164</v>
      </c>
      <c r="D2050" s="343" t="s">
        <v>4894</v>
      </c>
      <c r="E2050" s="344">
        <v>5698988</v>
      </c>
      <c r="F2050" s="343" t="s">
        <v>4899</v>
      </c>
      <c r="G2050" s="360" t="s">
        <v>11478</v>
      </c>
      <c r="H2050" s="361">
        <v>42808</v>
      </c>
      <c r="I2050" s="343" t="s">
        <v>4900</v>
      </c>
      <c r="J2050" s="343" t="s">
        <v>11479</v>
      </c>
      <c r="K2050" s="343" t="s">
        <v>168</v>
      </c>
    </row>
    <row r="2051" spans="1:11" ht="26.25" customHeight="1">
      <c r="A2051" s="343" t="s">
        <v>1813</v>
      </c>
      <c r="B2051" s="344" t="s">
        <v>162</v>
      </c>
      <c r="C2051" s="344">
        <v>6809</v>
      </c>
      <c r="D2051" s="343" t="s">
        <v>5123</v>
      </c>
      <c r="E2051" s="344">
        <v>5845203</v>
      </c>
      <c r="F2051" s="343" t="s">
        <v>5125</v>
      </c>
      <c r="G2051" s="360" t="s">
        <v>209</v>
      </c>
      <c r="H2051" s="361">
        <v>42801</v>
      </c>
      <c r="I2051" s="343" t="s">
        <v>5126</v>
      </c>
      <c r="J2051" s="343" t="s">
        <v>11480</v>
      </c>
      <c r="K2051" s="343" t="s">
        <v>248</v>
      </c>
    </row>
    <row r="2052" spans="1:11" ht="26.25" customHeight="1">
      <c r="A2052" s="343" t="s">
        <v>1813</v>
      </c>
      <c r="B2052" s="344" t="s">
        <v>162</v>
      </c>
      <c r="C2052" s="344">
        <v>11835</v>
      </c>
      <c r="D2052" s="343" t="s">
        <v>4881</v>
      </c>
      <c r="E2052" s="344">
        <v>4681943</v>
      </c>
      <c r="F2052" s="343" t="s">
        <v>4884</v>
      </c>
      <c r="G2052" s="360" t="s">
        <v>11481</v>
      </c>
      <c r="H2052" s="361">
        <v>42802</v>
      </c>
      <c r="I2052" s="343" t="s">
        <v>465</v>
      </c>
      <c r="J2052" s="343" t="s">
        <v>1118</v>
      </c>
      <c r="K2052" s="343" t="s">
        <v>168</v>
      </c>
    </row>
    <row r="2053" spans="1:11" ht="26.25" customHeight="1">
      <c r="A2053" s="343" t="s">
        <v>1813</v>
      </c>
      <c r="B2053" s="344" t="s">
        <v>162</v>
      </c>
      <c r="C2053" s="344">
        <v>7477</v>
      </c>
      <c r="D2053" s="343" t="s">
        <v>4761</v>
      </c>
      <c r="E2053" s="344">
        <v>6655103</v>
      </c>
      <c r="F2053" s="343" t="s">
        <v>4765</v>
      </c>
      <c r="G2053" s="360" t="s">
        <v>11482</v>
      </c>
      <c r="H2053" s="361">
        <v>42802</v>
      </c>
      <c r="I2053" s="343" t="s">
        <v>4190</v>
      </c>
      <c r="J2053" s="343" t="s">
        <v>9420</v>
      </c>
      <c r="K2053" s="343" t="s">
        <v>168</v>
      </c>
    </row>
    <row r="2054" spans="1:11" ht="26.25" customHeight="1">
      <c r="A2054" s="343" t="s">
        <v>1813</v>
      </c>
      <c r="B2054" s="344" t="s">
        <v>162</v>
      </c>
      <c r="C2054" s="344">
        <v>6820</v>
      </c>
      <c r="D2054" s="343" t="s">
        <v>5044</v>
      </c>
      <c r="E2054" s="344">
        <v>6080634</v>
      </c>
      <c r="F2054" s="343" t="s">
        <v>5047</v>
      </c>
      <c r="G2054" s="360" t="s">
        <v>11483</v>
      </c>
      <c r="H2054" s="361">
        <v>42801</v>
      </c>
      <c r="I2054" s="343" t="s">
        <v>366</v>
      </c>
      <c r="J2054" s="343" t="s">
        <v>366</v>
      </c>
      <c r="K2054" s="343" t="s">
        <v>168</v>
      </c>
    </row>
    <row r="2055" spans="1:11" ht="26.25" customHeight="1">
      <c r="A2055" s="343" t="s">
        <v>1813</v>
      </c>
      <c r="B2055" s="344" t="s">
        <v>162</v>
      </c>
      <c r="C2055" s="344">
        <v>7510</v>
      </c>
      <c r="D2055" s="343" t="s">
        <v>4788</v>
      </c>
      <c r="E2055" s="344">
        <v>6499407</v>
      </c>
      <c r="F2055" s="343" t="s">
        <v>4790</v>
      </c>
      <c r="G2055" s="360" t="s">
        <v>10527</v>
      </c>
      <c r="H2055" s="361">
        <v>42801</v>
      </c>
      <c r="I2055" s="343" t="s">
        <v>1038</v>
      </c>
      <c r="J2055" s="343" t="s">
        <v>9369</v>
      </c>
      <c r="K2055" s="343" t="s">
        <v>168</v>
      </c>
    </row>
    <row r="2056" spans="1:11" ht="26.25" customHeight="1">
      <c r="A2056" s="343" t="s">
        <v>1813</v>
      </c>
      <c r="B2056" s="344" t="s">
        <v>162</v>
      </c>
      <c r="C2056" s="344">
        <v>6657</v>
      </c>
      <c r="D2056" s="343" t="s">
        <v>5051</v>
      </c>
      <c r="E2056" s="344">
        <v>6083577</v>
      </c>
      <c r="F2056" s="343" t="s">
        <v>5053</v>
      </c>
      <c r="G2056" s="360" t="s">
        <v>10438</v>
      </c>
      <c r="H2056" s="361">
        <v>42797</v>
      </c>
      <c r="I2056" s="343" t="s">
        <v>166</v>
      </c>
      <c r="J2056" s="343" t="s">
        <v>296</v>
      </c>
      <c r="K2056" s="343" t="s">
        <v>168</v>
      </c>
    </row>
    <row r="2057" spans="1:11" ht="26.25" customHeight="1">
      <c r="A2057" s="343" t="s">
        <v>1813</v>
      </c>
      <c r="B2057" s="344" t="s">
        <v>162</v>
      </c>
      <c r="C2057" s="344">
        <v>12890</v>
      </c>
      <c r="D2057" s="343" t="s">
        <v>5018</v>
      </c>
      <c r="E2057" s="344">
        <v>5796802</v>
      </c>
      <c r="F2057" s="343" t="s">
        <v>5021</v>
      </c>
      <c r="G2057" s="360" t="s">
        <v>10911</v>
      </c>
      <c r="H2057" s="361">
        <v>42796</v>
      </c>
      <c r="I2057" s="343" t="s">
        <v>465</v>
      </c>
      <c r="J2057" s="343" t="s">
        <v>1118</v>
      </c>
      <c r="K2057" s="343" t="s">
        <v>168</v>
      </c>
    </row>
    <row r="2058" spans="1:11" ht="26.25" customHeight="1">
      <c r="A2058" s="343" t="s">
        <v>1813</v>
      </c>
      <c r="B2058" s="344" t="s">
        <v>162</v>
      </c>
      <c r="C2058" s="344">
        <v>7477</v>
      </c>
      <c r="D2058" s="343" t="s">
        <v>4761</v>
      </c>
      <c r="E2058" s="344">
        <v>6669960</v>
      </c>
      <c r="F2058" s="343" t="s">
        <v>4769</v>
      </c>
      <c r="G2058" s="360" t="s">
        <v>9600</v>
      </c>
      <c r="H2058" s="361">
        <v>42796</v>
      </c>
      <c r="I2058" s="343" t="s">
        <v>4770</v>
      </c>
      <c r="J2058" s="343" t="s">
        <v>11484</v>
      </c>
      <c r="K2058" s="343" t="s">
        <v>173</v>
      </c>
    </row>
    <row r="2059" spans="1:11" ht="26.25" customHeight="1">
      <c r="A2059" s="343" t="s">
        <v>1813</v>
      </c>
      <c r="B2059" s="344" t="s">
        <v>162</v>
      </c>
      <c r="C2059" s="344">
        <v>12096</v>
      </c>
      <c r="D2059" s="343" t="s">
        <v>7334</v>
      </c>
      <c r="E2059" s="344">
        <v>6633205</v>
      </c>
      <c r="F2059" s="343" t="s">
        <v>4846</v>
      </c>
      <c r="G2059" s="360" t="s">
        <v>11485</v>
      </c>
      <c r="H2059" s="361">
        <v>42796</v>
      </c>
      <c r="I2059" s="343" t="s">
        <v>3629</v>
      </c>
      <c r="J2059" s="343" t="s">
        <v>11486</v>
      </c>
      <c r="K2059" s="343" t="s">
        <v>173</v>
      </c>
    </row>
    <row r="2060" spans="1:11" ht="26.25" customHeight="1">
      <c r="A2060" s="343" t="s">
        <v>1813</v>
      </c>
      <c r="B2060" s="344" t="s">
        <v>162</v>
      </c>
      <c r="C2060" s="344">
        <v>9482</v>
      </c>
      <c r="D2060" s="343" t="s">
        <v>5092</v>
      </c>
      <c r="E2060" s="344">
        <v>6551136</v>
      </c>
      <c r="F2060" s="343" t="s">
        <v>5095</v>
      </c>
      <c r="G2060" s="360" t="s">
        <v>11208</v>
      </c>
      <c r="H2060" s="361">
        <v>42814</v>
      </c>
      <c r="I2060" s="343" t="s">
        <v>5096</v>
      </c>
      <c r="J2060" s="343" t="s">
        <v>11487</v>
      </c>
      <c r="K2060" s="343" t="s">
        <v>168</v>
      </c>
    </row>
    <row r="2061" spans="1:11" ht="26.25" customHeight="1">
      <c r="A2061" s="343" t="s">
        <v>1813</v>
      </c>
      <c r="B2061" s="344" t="s">
        <v>162</v>
      </c>
      <c r="C2061" s="344">
        <v>12097</v>
      </c>
      <c r="D2061" s="343" t="s">
        <v>4950</v>
      </c>
      <c r="E2061" s="344">
        <v>5665845</v>
      </c>
      <c r="F2061" s="343" t="s">
        <v>4956</v>
      </c>
      <c r="G2061" s="360" t="s">
        <v>11488</v>
      </c>
      <c r="H2061" s="361">
        <v>42807</v>
      </c>
      <c r="I2061" s="343" t="s">
        <v>4957</v>
      </c>
      <c r="J2061" s="343" t="s">
        <v>11489</v>
      </c>
      <c r="K2061" s="343" t="s">
        <v>168</v>
      </c>
    </row>
    <row r="2062" spans="1:11" ht="26.25" customHeight="1">
      <c r="A2062" s="343" t="s">
        <v>1813</v>
      </c>
      <c r="B2062" s="344" t="s">
        <v>162</v>
      </c>
      <c r="C2062" s="344">
        <v>6994</v>
      </c>
      <c r="D2062" s="343" t="s">
        <v>4939</v>
      </c>
      <c r="E2062" s="344">
        <v>5670419</v>
      </c>
      <c r="F2062" s="343" t="s">
        <v>4941</v>
      </c>
      <c r="G2062" s="360" t="s">
        <v>11490</v>
      </c>
      <c r="H2062" s="361">
        <v>42804</v>
      </c>
      <c r="I2062" s="343" t="s">
        <v>301</v>
      </c>
      <c r="J2062" s="343" t="s">
        <v>1113</v>
      </c>
      <c r="K2062" s="343" t="s">
        <v>168</v>
      </c>
    </row>
    <row r="2063" spans="1:11" ht="26.25" customHeight="1">
      <c r="A2063" s="343" t="s">
        <v>1813</v>
      </c>
      <c r="B2063" s="344" t="s">
        <v>162</v>
      </c>
      <c r="C2063" s="344">
        <v>10038</v>
      </c>
      <c r="D2063" s="343" t="s">
        <v>5002</v>
      </c>
      <c r="E2063" s="344">
        <v>4174893</v>
      </c>
      <c r="F2063" s="343" t="s">
        <v>5005</v>
      </c>
      <c r="G2063" s="360" t="s">
        <v>11491</v>
      </c>
      <c r="H2063" s="361">
        <v>42804</v>
      </c>
      <c r="I2063" s="343" t="s">
        <v>5006</v>
      </c>
      <c r="J2063" s="343" t="s">
        <v>11492</v>
      </c>
      <c r="K2063" s="343" t="s">
        <v>173</v>
      </c>
    </row>
    <row r="2064" spans="1:11" ht="26.25" customHeight="1">
      <c r="A2064" s="343" t="s">
        <v>1813</v>
      </c>
      <c r="B2064" s="344" t="s">
        <v>162</v>
      </c>
      <c r="C2064" s="344">
        <v>6644</v>
      </c>
      <c r="D2064" s="343" t="s">
        <v>5084</v>
      </c>
      <c r="E2064" s="344">
        <v>5839238</v>
      </c>
      <c r="F2064" s="343" t="s">
        <v>5085</v>
      </c>
      <c r="G2064" s="360" t="s">
        <v>11493</v>
      </c>
      <c r="H2064" s="361">
        <v>42808</v>
      </c>
      <c r="I2064" s="343" t="s">
        <v>193</v>
      </c>
      <c r="J2064" s="343" t="s">
        <v>194</v>
      </c>
      <c r="K2064" s="343" t="s">
        <v>168</v>
      </c>
    </row>
    <row r="2065" spans="1:11" ht="26.25" customHeight="1">
      <c r="A2065" s="343" t="s">
        <v>1813</v>
      </c>
      <c r="B2065" s="344" t="s">
        <v>162</v>
      </c>
      <c r="C2065" s="344">
        <v>6644</v>
      </c>
      <c r="D2065" s="343" t="s">
        <v>5084</v>
      </c>
      <c r="E2065" s="344">
        <v>5839220</v>
      </c>
      <c r="F2065" s="343" t="s">
        <v>5086</v>
      </c>
      <c r="G2065" s="360" t="s">
        <v>11493</v>
      </c>
      <c r="H2065" s="361">
        <v>42808</v>
      </c>
      <c r="I2065" s="343" t="s">
        <v>193</v>
      </c>
      <c r="J2065" s="343" t="s">
        <v>194</v>
      </c>
      <c r="K2065" s="343" t="s">
        <v>168</v>
      </c>
    </row>
    <row r="2066" spans="1:11" ht="26.25" customHeight="1">
      <c r="A2066" s="343" t="s">
        <v>1813</v>
      </c>
      <c r="B2066" s="344" t="s">
        <v>162</v>
      </c>
      <c r="C2066" s="344">
        <v>6628</v>
      </c>
      <c r="D2066" s="343" t="s">
        <v>4870</v>
      </c>
      <c r="E2066" s="344">
        <v>6189286</v>
      </c>
      <c r="F2066" s="343" t="s">
        <v>4872</v>
      </c>
      <c r="G2066" s="360" t="s">
        <v>399</v>
      </c>
      <c r="H2066" s="361">
        <v>42808</v>
      </c>
      <c r="I2066" s="343" t="s">
        <v>366</v>
      </c>
      <c r="J2066" s="343" t="s">
        <v>366</v>
      </c>
      <c r="K2066" s="343" t="s">
        <v>168</v>
      </c>
    </row>
    <row r="2067" spans="1:11" ht="26.25" customHeight="1">
      <c r="A2067" s="343" t="s">
        <v>1813</v>
      </c>
      <c r="B2067" s="344" t="s">
        <v>162</v>
      </c>
      <c r="C2067" s="344">
        <v>12890</v>
      </c>
      <c r="D2067" s="343" t="s">
        <v>5018</v>
      </c>
      <c r="E2067" s="344">
        <v>6065641</v>
      </c>
      <c r="F2067" s="343" t="s">
        <v>5022</v>
      </c>
      <c r="G2067" s="360" t="s">
        <v>10479</v>
      </c>
      <c r="H2067" s="361">
        <v>42808</v>
      </c>
      <c r="I2067" s="343" t="s">
        <v>271</v>
      </c>
      <c r="J2067" s="343" t="s">
        <v>1442</v>
      </c>
      <c r="K2067" s="343" t="s">
        <v>168</v>
      </c>
    </row>
    <row r="2068" spans="1:11" ht="26.25" customHeight="1">
      <c r="A2068" s="343" t="s">
        <v>1813</v>
      </c>
      <c r="B2068" s="344" t="s">
        <v>162</v>
      </c>
      <c r="C2068" s="344">
        <v>9481</v>
      </c>
      <c r="D2068" s="343" t="s">
        <v>5059</v>
      </c>
      <c r="E2068" s="344">
        <v>6082180</v>
      </c>
      <c r="F2068" s="343" t="s">
        <v>5060</v>
      </c>
      <c r="G2068" s="360" t="s">
        <v>11153</v>
      </c>
      <c r="H2068" s="361">
        <v>42816</v>
      </c>
      <c r="I2068" s="343" t="s">
        <v>5061</v>
      </c>
      <c r="J2068" s="343" t="s">
        <v>11494</v>
      </c>
      <c r="K2068" s="343" t="s">
        <v>168</v>
      </c>
    </row>
    <row r="2069" spans="1:11" ht="26.25" customHeight="1">
      <c r="A2069" s="343" t="s">
        <v>1813</v>
      </c>
      <c r="B2069" s="344" t="s">
        <v>162</v>
      </c>
      <c r="C2069" s="344">
        <v>6635</v>
      </c>
      <c r="D2069" s="343" t="s">
        <v>5072</v>
      </c>
      <c r="E2069" s="344">
        <v>5770446</v>
      </c>
      <c r="F2069" s="343" t="s">
        <v>5074</v>
      </c>
      <c r="G2069" s="360" t="s">
        <v>11495</v>
      </c>
      <c r="H2069" s="361">
        <v>42815</v>
      </c>
      <c r="I2069" s="343" t="s">
        <v>806</v>
      </c>
      <c r="J2069" s="343" t="s">
        <v>10989</v>
      </c>
      <c r="K2069" s="343" t="s">
        <v>168</v>
      </c>
    </row>
    <row r="2070" spans="1:11" ht="26.25" customHeight="1">
      <c r="A2070" s="343" t="s">
        <v>1813</v>
      </c>
      <c r="B2070" s="344" t="s">
        <v>162</v>
      </c>
      <c r="C2070" s="344">
        <v>6635</v>
      </c>
      <c r="D2070" s="343" t="s">
        <v>5072</v>
      </c>
      <c r="E2070" s="344">
        <v>6019462</v>
      </c>
      <c r="F2070" s="343" t="s">
        <v>5075</v>
      </c>
      <c r="G2070" s="360" t="s">
        <v>10511</v>
      </c>
      <c r="H2070" s="361">
        <v>42815</v>
      </c>
      <c r="I2070" s="343" t="s">
        <v>193</v>
      </c>
      <c r="J2070" s="343" t="s">
        <v>194</v>
      </c>
      <c r="K2070" s="343" t="s">
        <v>168</v>
      </c>
    </row>
    <row r="2071" spans="1:11" ht="26.25" customHeight="1">
      <c r="A2071" s="343" t="s">
        <v>1813</v>
      </c>
      <c r="B2071" s="344" t="s">
        <v>162</v>
      </c>
      <c r="C2071" s="344">
        <v>6635</v>
      </c>
      <c r="D2071" s="343" t="s">
        <v>5072</v>
      </c>
      <c r="E2071" s="344">
        <v>5769182</v>
      </c>
      <c r="F2071" s="343" t="s">
        <v>5073</v>
      </c>
      <c r="G2071" s="360" t="s">
        <v>11495</v>
      </c>
      <c r="H2071" s="361">
        <v>42815</v>
      </c>
      <c r="I2071" s="343" t="s">
        <v>198</v>
      </c>
      <c r="J2071" s="343" t="s">
        <v>198</v>
      </c>
      <c r="K2071" s="343" t="s">
        <v>168</v>
      </c>
    </row>
    <row r="2072" spans="1:11" ht="26.25" customHeight="1">
      <c r="A2072" s="343" t="s">
        <v>1813</v>
      </c>
      <c r="B2072" s="344" t="s">
        <v>162</v>
      </c>
      <c r="C2072" s="344">
        <v>8935</v>
      </c>
      <c r="D2072" s="343" t="s">
        <v>5151</v>
      </c>
      <c r="E2072" s="344">
        <v>5848613</v>
      </c>
      <c r="F2072" s="343" t="s">
        <v>5153</v>
      </c>
      <c r="G2072" s="360" t="s">
        <v>9958</v>
      </c>
      <c r="H2072" s="361">
        <v>42816</v>
      </c>
      <c r="I2072" s="343" t="s">
        <v>349</v>
      </c>
      <c r="J2072" s="343" t="s">
        <v>1248</v>
      </c>
      <c r="K2072" s="343" t="s">
        <v>168</v>
      </c>
    </row>
    <row r="2073" spans="1:11" ht="26.25" customHeight="1">
      <c r="A2073" s="343" t="s">
        <v>1813</v>
      </c>
      <c r="B2073" s="344" t="s">
        <v>162</v>
      </c>
      <c r="C2073" s="344">
        <v>7164</v>
      </c>
      <c r="D2073" s="343" t="s">
        <v>4894</v>
      </c>
      <c r="E2073" s="344">
        <v>3022175</v>
      </c>
      <c r="F2073" s="343" t="s">
        <v>4898</v>
      </c>
      <c r="G2073" s="360" t="s">
        <v>11496</v>
      </c>
      <c r="H2073" s="361">
        <v>42816</v>
      </c>
      <c r="I2073" s="343" t="s">
        <v>193</v>
      </c>
      <c r="J2073" s="343" t="s">
        <v>194</v>
      </c>
      <c r="K2073" s="343" t="s">
        <v>168</v>
      </c>
    </row>
    <row r="2074" spans="1:11" ht="26.25" customHeight="1">
      <c r="A2074" s="343" t="s">
        <v>1813</v>
      </c>
      <c r="B2074" s="344" t="s">
        <v>162</v>
      </c>
      <c r="C2074" s="344">
        <v>7477</v>
      </c>
      <c r="D2074" s="343" t="s">
        <v>4761</v>
      </c>
      <c r="E2074" s="344">
        <v>6456484</v>
      </c>
      <c r="F2074" s="343" t="s">
        <v>4762</v>
      </c>
      <c r="G2074" s="360" t="s">
        <v>11497</v>
      </c>
      <c r="H2074" s="361">
        <v>42844</v>
      </c>
      <c r="I2074" s="343" t="s">
        <v>4763</v>
      </c>
      <c r="J2074" s="343" t="s">
        <v>11498</v>
      </c>
      <c r="K2074" s="343" t="s">
        <v>168</v>
      </c>
    </row>
    <row r="2075" spans="1:11" ht="26.25" customHeight="1">
      <c r="A2075" s="343" t="s">
        <v>1813</v>
      </c>
      <c r="B2075" s="344" t="s">
        <v>162</v>
      </c>
      <c r="C2075" s="344">
        <v>6809</v>
      </c>
      <c r="D2075" s="343" t="s">
        <v>5123</v>
      </c>
      <c r="E2075" s="344">
        <v>6725349</v>
      </c>
      <c r="F2075" s="343" t="s">
        <v>5127</v>
      </c>
      <c r="G2075" s="360" t="s">
        <v>1353</v>
      </c>
      <c r="H2075" s="361">
        <v>42829</v>
      </c>
      <c r="I2075" s="343" t="s">
        <v>301</v>
      </c>
      <c r="J2075" s="343" t="s">
        <v>1113</v>
      </c>
      <c r="K2075" s="343" t="s">
        <v>168</v>
      </c>
    </row>
    <row r="2076" spans="1:11" ht="26.25" customHeight="1">
      <c r="A2076" s="343" t="s">
        <v>1813</v>
      </c>
      <c r="B2076" s="344" t="s">
        <v>162</v>
      </c>
      <c r="C2076" s="344">
        <v>10036</v>
      </c>
      <c r="D2076" s="343" t="s">
        <v>5129</v>
      </c>
      <c r="E2076" s="344">
        <v>5972745</v>
      </c>
      <c r="F2076" s="343" t="s">
        <v>5132</v>
      </c>
      <c r="G2076" s="360" t="s">
        <v>1402</v>
      </c>
      <c r="H2076" s="361">
        <v>42829</v>
      </c>
      <c r="I2076" s="343" t="s">
        <v>670</v>
      </c>
      <c r="J2076" s="343" t="s">
        <v>11499</v>
      </c>
      <c r="K2076" s="343" t="s">
        <v>173</v>
      </c>
    </row>
    <row r="2077" spans="1:11" ht="26.25" customHeight="1">
      <c r="A2077" s="343" t="s">
        <v>1813</v>
      </c>
      <c r="B2077" s="344" t="s">
        <v>162</v>
      </c>
      <c r="C2077" s="344">
        <v>9558</v>
      </c>
      <c r="D2077" s="343" t="s">
        <v>5035</v>
      </c>
      <c r="E2077" s="344">
        <v>6562308</v>
      </c>
      <c r="F2077" s="343" t="s">
        <v>5036</v>
      </c>
      <c r="G2077" s="360" t="s">
        <v>11029</v>
      </c>
      <c r="H2077" s="361">
        <v>42835</v>
      </c>
      <c r="I2077" s="343" t="s">
        <v>5037</v>
      </c>
      <c r="J2077" s="343" t="s">
        <v>11500</v>
      </c>
      <c r="K2077" s="343" t="s">
        <v>168</v>
      </c>
    </row>
    <row r="2078" spans="1:11" ht="26.25" customHeight="1">
      <c r="A2078" s="343" t="s">
        <v>1813</v>
      </c>
      <c r="B2078" s="344" t="s">
        <v>162</v>
      </c>
      <c r="C2078" s="344">
        <v>7464</v>
      </c>
      <c r="D2078" s="343" t="s">
        <v>4771</v>
      </c>
      <c r="E2078" s="344">
        <v>5928675</v>
      </c>
      <c r="F2078" s="343" t="s">
        <v>4778</v>
      </c>
      <c r="G2078" s="360" t="s">
        <v>10156</v>
      </c>
      <c r="H2078" s="361">
        <v>42842</v>
      </c>
      <c r="I2078" s="343" t="s">
        <v>166</v>
      </c>
      <c r="J2078" s="343" t="s">
        <v>11501</v>
      </c>
      <c r="K2078" s="343" t="s">
        <v>168</v>
      </c>
    </row>
    <row r="2079" spans="1:11" ht="26.25" customHeight="1">
      <c r="A2079" s="343" t="s">
        <v>1813</v>
      </c>
      <c r="B2079" s="344" t="s">
        <v>162</v>
      </c>
      <c r="C2079" s="344">
        <v>6630</v>
      </c>
      <c r="D2079" s="343" t="s">
        <v>5078</v>
      </c>
      <c r="E2079" s="344">
        <v>6595549</v>
      </c>
      <c r="F2079" s="343" t="s">
        <v>5079</v>
      </c>
      <c r="G2079" s="360" t="s">
        <v>10948</v>
      </c>
      <c r="H2079" s="361">
        <v>42842</v>
      </c>
      <c r="I2079" s="343" t="s">
        <v>3583</v>
      </c>
      <c r="J2079" s="343" t="s">
        <v>9390</v>
      </c>
      <c r="K2079" s="343" t="s">
        <v>173</v>
      </c>
    </row>
    <row r="2080" spans="1:11" ht="26.25" customHeight="1">
      <c r="A2080" s="343" t="s">
        <v>1813</v>
      </c>
      <c r="B2080" s="344" t="s">
        <v>162</v>
      </c>
      <c r="C2080" s="344">
        <v>12095</v>
      </c>
      <c r="D2080" s="343" t="s">
        <v>4854</v>
      </c>
      <c r="E2080" s="344">
        <v>4525677</v>
      </c>
      <c r="F2080" s="343" t="s">
        <v>4856</v>
      </c>
      <c r="G2080" s="360" t="s">
        <v>11502</v>
      </c>
      <c r="H2080" s="361">
        <v>42842</v>
      </c>
      <c r="I2080" s="343" t="s">
        <v>465</v>
      </c>
      <c r="J2080" s="343" t="s">
        <v>466</v>
      </c>
      <c r="K2080" s="343" t="s">
        <v>168</v>
      </c>
    </row>
    <row r="2081" spans="1:11" ht="26.25" customHeight="1">
      <c r="A2081" s="343" t="s">
        <v>1813</v>
      </c>
      <c r="B2081" s="344" t="s">
        <v>162</v>
      </c>
      <c r="C2081" s="344">
        <v>6820</v>
      </c>
      <c r="D2081" s="343" t="s">
        <v>5044</v>
      </c>
      <c r="E2081" s="344">
        <v>6258790</v>
      </c>
      <c r="F2081" s="343" t="s">
        <v>5046</v>
      </c>
      <c r="G2081" s="360" t="s">
        <v>10023</v>
      </c>
      <c r="H2081" s="361">
        <v>42845</v>
      </c>
      <c r="I2081" s="343" t="s">
        <v>349</v>
      </c>
      <c r="J2081" s="343" t="s">
        <v>11503</v>
      </c>
      <c r="K2081" s="343" t="s">
        <v>168</v>
      </c>
    </row>
    <row r="2082" spans="1:11" ht="26.25" customHeight="1">
      <c r="A2082" s="343" t="s">
        <v>1813</v>
      </c>
      <c r="B2082" s="344" t="s">
        <v>162</v>
      </c>
      <c r="C2082" s="344">
        <v>10036</v>
      </c>
      <c r="D2082" s="343" t="s">
        <v>5129</v>
      </c>
      <c r="E2082" s="344">
        <v>6008129</v>
      </c>
      <c r="F2082" s="343" t="s">
        <v>5133</v>
      </c>
      <c r="G2082" s="360" t="s">
        <v>9367</v>
      </c>
      <c r="H2082" s="361">
        <v>42851</v>
      </c>
      <c r="I2082" s="343" t="s">
        <v>193</v>
      </c>
      <c r="J2082" s="343" t="s">
        <v>1089</v>
      </c>
      <c r="K2082" s="343" t="s">
        <v>168</v>
      </c>
    </row>
    <row r="2083" spans="1:11" ht="26.25" customHeight="1">
      <c r="A2083" s="343" t="s">
        <v>1813</v>
      </c>
      <c r="B2083" s="344" t="s">
        <v>162</v>
      </c>
      <c r="C2083" s="344">
        <v>6823</v>
      </c>
      <c r="D2083" s="343" t="s">
        <v>5136</v>
      </c>
      <c r="E2083" s="344">
        <v>5883351</v>
      </c>
      <c r="F2083" s="343" t="s">
        <v>5140</v>
      </c>
      <c r="G2083" s="360" t="s">
        <v>11504</v>
      </c>
      <c r="H2083" s="361">
        <v>42851</v>
      </c>
      <c r="I2083" s="343" t="s">
        <v>193</v>
      </c>
      <c r="J2083" s="343" t="s">
        <v>194</v>
      </c>
      <c r="K2083" s="343" t="s">
        <v>168</v>
      </c>
    </row>
    <row r="2084" spans="1:11" ht="26.25" customHeight="1">
      <c r="A2084" s="343" t="s">
        <v>1813</v>
      </c>
      <c r="B2084" s="344" t="s">
        <v>162</v>
      </c>
      <c r="C2084" s="344">
        <v>12097</v>
      </c>
      <c r="D2084" s="343" t="s">
        <v>4950</v>
      </c>
      <c r="E2084" s="344">
        <v>5163103</v>
      </c>
      <c r="F2084" s="343" t="s">
        <v>4954</v>
      </c>
      <c r="G2084" s="360" t="s">
        <v>11505</v>
      </c>
      <c r="H2084" s="361">
        <v>42851</v>
      </c>
      <c r="I2084" s="343" t="s">
        <v>198</v>
      </c>
      <c r="J2084" s="343" t="s">
        <v>198</v>
      </c>
      <c r="K2084" s="343" t="s">
        <v>168</v>
      </c>
    </row>
    <row r="2085" spans="1:11" ht="26.25" customHeight="1">
      <c r="A2085" s="343" t="s">
        <v>1813</v>
      </c>
      <c r="B2085" s="344" t="s">
        <v>162</v>
      </c>
      <c r="C2085" s="344">
        <v>12097</v>
      </c>
      <c r="D2085" s="343" t="s">
        <v>4950</v>
      </c>
      <c r="E2085" s="344">
        <v>4070280</v>
      </c>
      <c r="F2085" s="343" t="s">
        <v>4951</v>
      </c>
      <c r="G2085" s="360" t="s">
        <v>11506</v>
      </c>
      <c r="H2085" s="361">
        <v>42851</v>
      </c>
      <c r="I2085" s="343" t="s">
        <v>211</v>
      </c>
      <c r="J2085" s="343" t="s">
        <v>909</v>
      </c>
      <c r="K2085" s="343" t="s">
        <v>168</v>
      </c>
    </row>
    <row r="2086" spans="1:11" ht="26.25" customHeight="1">
      <c r="A2086" s="343" t="s">
        <v>1813</v>
      </c>
      <c r="B2086" s="344" t="s">
        <v>162</v>
      </c>
      <c r="C2086" s="344">
        <v>11188</v>
      </c>
      <c r="D2086" s="343" t="s">
        <v>5024</v>
      </c>
      <c r="E2086" s="344">
        <v>5859754</v>
      </c>
      <c r="F2086" s="343" t="s">
        <v>5027</v>
      </c>
      <c r="G2086" s="360" t="s">
        <v>9964</v>
      </c>
      <c r="H2086" s="361">
        <v>42851</v>
      </c>
      <c r="I2086" s="343" t="s">
        <v>198</v>
      </c>
      <c r="J2086" s="343" t="s">
        <v>198</v>
      </c>
      <c r="K2086" s="343" t="s">
        <v>168</v>
      </c>
    </row>
    <row r="2087" spans="1:11" ht="26.25" customHeight="1">
      <c r="A2087" s="343" t="s">
        <v>1813</v>
      </c>
      <c r="B2087" s="344" t="s">
        <v>162</v>
      </c>
      <c r="C2087" s="344">
        <v>9482</v>
      </c>
      <c r="D2087" s="343" t="s">
        <v>5092</v>
      </c>
      <c r="E2087" s="344">
        <v>5937110</v>
      </c>
      <c r="F2087" s="343" t="s">
        <v>5097</v>
      </c>
      <c r="G2087" s="360" t="s">
        <v>9643</v>
      </c>
      <c r="H2087" s="361">
        <v>42850</v>
      </c>
      <c r="I2087" s="343" t="s">
        <v>166</v>
      </c>
      <c r="J2087" s="343" t="s">
        <v>296</v>
      </c>
      <c r="K2087" s="343" t="s">
        <v>168</v>
      </c>
    </row>
    <row r="2088" spans="1:11" ht="26.25" customHeight="1">
      <c r="A2088" s="343" t="s">
        <v>1813</v>
      </c>
      <c r="B2088" s="344" t="s">
        <v>162</v>
      </c>
      <c r="C2088" s="344">
        <v>6979</v>
      </c>
      <c r="D2088" s="343" t="s">
        <v>4888</v>
      </c>
      <c r="E2088" s="344">
        <v>5502489</v>
      </c>
      <c r="F2088" s="343" t="s">
        <v>4891</v>
      </c>
      <c r="G2088" s="360" t="s">
        <v>11442</v>
      </c>
      <c r="H2088" s="361">
        <v>42853</v>
      </c>
      <c r="I2088" s="343" t="s">
        <v>366</v>
      </c>
      <c r="J2088" s="343" t="s">
        <v>366</v>
      </c>
      <c r="K2088" s="343" t="s">
        <v>168</v>
      </c>
    </row>
    <row r="2089" spans="1:11" ht="26.25" customHeight="1">
      <c r="A2089" s="343" t="s">
        <v>1813</v>
      </c>
      <c r="B2089" s="344" t="s">
        <v>162</v>
      </c>
      <c r="C2089" s="344">
        <v>7467</v>
      </c>
      <c r="D2089" s="343" t="s">
        <v>4735</v>
      </c>
      <c r="E2089" s="344">
        <v>6432073</v>
      </c>
      <c r="F2089" s="343" t="s">
        <v>4738</v>
      </c>
      <c r="G2089" s="360" t="s">
        <v>11332</v>
      </c>
      <c r="H2089" s="361">
        <v>42852</v>
      </c>
      <c r="I2089" s="343" t="s">
        <v>271</v>
      </c>
      <c r="J2089" s="343" t="s">
        <v>11507</v>
      </c>
      <c r="K2089" s="343" t="s">
        <v>168</v>
      </c>
    </row>
    <row r="2090" spans="1:11" ht="26.25" customHeight="1">
      <c r="A2090" s="343" t="s">
        <v>1813</v>
      </c>
      <c r="B2090" s="344" t="s">
        <v>162</v>
      </c>
      <c r="C2090" s="344">
        <v>6983</v>
      </c>
      <c r="D2090" s="343" t="s">
        <v>4967</v>
      </c>
      <c r="E2090" s="344">
        <v>5126637</v>
      </c>
      <c r="F2090" s="343" t="s">
        <v>4968</v>
      </c>
      <c r="G2090" s="360" t="s">
        <v>11508</v>
      </c>
      <c r="H2090" s="361">
        <v>42860</v>
      </c>
      <c r="I2090" s="343" t="s">
        <v>193</v>
      </c>
      <c r="J2090" s="343" t="s">
        <v>194</v>
      </c>
      <c r="K2090" s="343" t="s">
        <v>168</v>
      </c>
    </row>
    <row r="2091" spans="1:11" ht="26.25" customHeight="1">
      <c r="A2091" s="343" t="s">
        <v>1813</v>
      </c>
      <c r="B2091" s="344" t="s">
        <v>162</v>
      </c>
      <c r="C2091" s="344">
        <v>9946</v>
      </c>
      <c r="D2091" s="343" t="s">
        <v>4867</v>
      </c>
      <c r="E2091" s="344">
        <v>6403328</v>
      </c>
      <c r="F2091" s="343" t="s">
        <v>4869</v>
      </c>
      <c r="G2091" s="360" t="s">
        <v>10948</v>
      </c>
      <c r="H2091" s="361">
        <v>42863</v>
      </c>
      <c r="I2091" s="343" t="s">
        <v>802</v>
      </c>
      <c r="J2091" s="343" t="s">
        <v>1075</v>
      </c>
      <c r="K2091" s="343" t="s">
        <v>168</v>
      </c>
    </row>
    <row r="2092" spans="1:11" ht="26.25" customHeight="1">
      <c r="A2092" s="343" t="s">
        <v>1813</v>
      </c>
      <c r="B2092" s="344" t="s">
        <v>162</v>
      </c>
      <c r="C2092" s="344">
        <v>9481</v>
      </c>
      <c r="D2092" s="343" t="s">
        <v>5059</v>
      </c>
      <c r="E2092" s="344">
        <v>6180414</v>
      </c>
      <c r="F2092" s="343" t="s">
        <v>5063</v>
      </c>
      <c r="G2092" s="360" t="s">
        <v>218</v>
      </c>
      <c r="H2092" s="361">
        <v>42866</v>
      </c>
      <c r="I2092" s="343" t="s">
        <v>4298</v>
      </c>
      <c r="J2092" s="343" t="s">
        <v>11509</v>
      </c>
      <c r="K2092" s="343" t="s">
        <v>173</v>
      </c>
    </row>
    <row r="2093" spans="1:11" ht="26.25" customHeight="1">
      <c r="A2093" s="343" t="s">
        <v>1813</v>
      </c>
      <c r="B2093" s="344" t="s">
        <v>162</v>
      </c>
      <c r="C2093" s="344">
        <v>7544</v>
      </c>
      <c r="D2093" s="343" t="s">
        <v>4785</v>
      </c>
      <c r="E2093" s="344">
        <v>6653524</v>
      </c>
      <c r="F2093" s="343" t="s">
        <v>4786</v>
      </c>
      <c r="G2093" s="360" t="s">
        <v>11510</v>
      </c>
      <c r="H2093" s="361">
        <v>42865</v>
      </c>
      <c r="I2093" s="343" t="s">
        <v>1016</v>
      </c>
      <c r="J2093" s="343" t="s">
        <v>11511</v>
      </c>
      <c r="K2093" s="343" t="s">
        <v>168</v>
      </c>
    </row>
    <row r="2094" spans="1:11" ht="26.25" customHeight="1">
      <c r="A2094" s="343" t="s">
        <v>1813</v>
      </c>
      <c r="B2094" s="344" t="s">
        <v>162</v>
      </c>
      <c r="C2094" s="344">
        <v>6657</v>
      </c>
      <c r="D2094" s="343" t="s">
        <v>5051</v>
      </c>
      <c r="E2094" s="344">
        <v>5949905</v>
      </c>
      <c r="F2094" s="343" t="s">
        <v>4464</v>
      </c>
      <c r="G2094" s="360" t="s">
        <v>10040</v>
      </c>
      <c r="H2094" s="361">
        <v>42870</v>
      </c>
      <c r="I2094" s="343" t="s">
        <v>193</v>
      </c>
      <c r="J2094" s="343" t="s">
        <v>11512</v>
      </c>
      <c r="K2094" s="343" t="s">
        <v>168</v>
      </c>
    </row>
    <row r="2095" spans="1:11" ht="26.25" customHeight="1">
      <c r="A2095" s="343" t="s">
        <v>1813</v>
      </c>
      <c r="B2095" s="344" t="s">
        <v>162</v>
      </c>
      <c r="C2095" s="344">
        <v>6993</v>
      </c>
      <c r="D2095" s="343" t="s">
        <v>4906</v>
      </c>
      <c r="E2095" s="344">
        <v>4213640</v>
      </c>
      <c r="F2095" s="343" t="s">
        <v>4911</v>
      </c>
      <c r="G2095" s="360" t="s">
        <v>11513</v>
      </c>
      <c r="H2095" s="361">
        <v>42878</v>
      </c>
      <c r="I2095" s="343" t="s">
        <v>180</v>
      </c>
      <c r="J2095" s="343" t="s">
        <v>11514</v>
      </c>
      <c r="K2095" s="343" t="s">
        <v>173</v>
      </c>
    </row>
    <row r="2096" spans="1:11" ht="26.25" customHeight="1">
      <c r="A2096" s="343" t="s">
        <v>1813</v>
      </c>
      <c r="B2096" s="344" t="s">
        <v>162</v>
      </c>
      <c r="C2096" s="344">
        <v>6993</v>
      </c>
      <c r="D2096" s="343" t="s">
        <v>4906</v>
      </c>
      <c r="E2096" s="344">
        <v>5702238</v>
      </c>
      <c r="F2096" s="343" t="s">
        <v>4912</v>
      </c>
      <c r="G2096" s="360" t="s">
        <v>11515</v>
      </c>
      <c r="H2096" s="361">
        <v>42878</v>
      </c>
      <c r="I2096" s="343" t="s">
        <v>180</v>
      </c>
      <c r="J2096" s="343" t="s">
        <v>11516</v>
      </c>
      <c r="K2096" s="343" t="s">
        <v>173</v>
      </c>
    </row>
    <row r="2097" spans="1:11" ht="26.25" customHeight="1">
      <c r="A2097" s="343" t="s">
        <v>1813</v>
      </c>
      <c r="B2097" s="344" t="s">
        <v>162</v>
      </c>
      <c r="C2097" s="344">
        <v>7479</v>
      </c>
      <c r="D2097" s="343" t="s">
        <v>4779</v>
      </c>
      <c r="E2097" s="344">
        <v>6769218</v>
      </c>
      <c r="F2097" s="343" t="s">
        <v>4780</v>
      </c>
      <c r="G2097" s="360" t="s">
        <v>11517</v>
      </c>
      <c r="H2097" s="361">
        <v>42878</v>
      </c>
      <c r="I2097" s="343" t="s">
        <v>3629</v>
      </c>
      <c r="J2097" s="343" t="s">
        <v>11486</v>
      </c>
      <c r="K2097" s="343" t="s">
        <v>173</v>
      </c>
    </row>
    <row r="2098" spans="1:11" ht="26.25" customHeight="1">
      <c r="A2098" s="343" t="s">
        <v>1813</v>
      </c>
      <c r="B2098" s="344" t="s">
        <v>162</v>
      </c>
      <c r="C2098" s="344">
        <v>12096</v>
      </c>
      <c r="D2098" s="343" t="s">
        <v>7334</v>
      </c>
      <c r="E2098" s="344">
        <v>6403314</v>
      </c>
      <c r="F2098" s="343" t="s">
        <v>4845</v>
      </c>
      <c r="G2098" s="360" t="s">
        <v>11518</v>
      </c>
      <c r="H2098" s="361">
        <v>42877</v>
      </c>
      <c r="I2098" s="343" t="s">
        <v>166</v>
      </c>
      <c r="J2098" s="343" t="s">
        <v>327</v>
      </c>
      <c r="K2098" s="343" t="s">
        <v>168</v>
      </c>
    </row>
    <row r="2099" spans="1:11" ht="26.25" customHeight="1">
      <c r="A2099" s="343" t="s">
        <v>1813</v>
      </c>
      <c r="B2099" s="344" t="s">
        <v>162</v>
      </c>
      <c r="C2099" s="344">
        <v>6823</v>
      </c>
      <c r="D2099" s="343" t="s">
        <v>5136</v>
      </c>
      <c r="E2099" s="344">
        <v>5123302</v>
      </c>
      <c r="F2099" s="343" t="s">
        <v>5137</v>
      </c>
      <c r="G2099" s="360" t="s">
        <v>605</v>
      </c>
      <c r="H2099" s="361">
        <v>42877</v>
      </c>
      <c r="I2099" s="343" t="s">
        <v>5138</v>
      </c>
      <c r="J2099" s="343" t="s">
        <v>11519</v>
      </c>
      <c r="K2099" s="343" t="s">
        <v>248</v>
      </c>
    </row>
    <row r="2100" spans="1:11" ht="26.25" customHeight="1">
      <c r="A2100" s="343" t="s">
        <v>1813</v>
      </c>
      <c r="B2100" s="344" t="s">
        <v>162</v>
      </c>
      <c r="C2100" s="344">
        <v>6630</v>
      </c>
      <c r="D2100" s="343" t="s">
        <v>5078</v>
      </c>
      <c r="E2100" s="344">
        <v>6029920</v>
      </c>
      <c r="F2100" s="343" t="s">
        <v>5080</v>
      </c>
      <c r="G2100" s="360" t="s">
        <v>9374</v>
      </c>
      <c r="H2100" s="361">
        <v>42873</v>
      </c>
      <c r="I2100" s="343" t="s">
        <v>275</v>
      </c>
      <c r="J2100" s="343" t="s">
        <v>585</v>
      </c>
      <c r="K2100" s="343" t="s">
        <v>173</v>
      </c>
    </row>
    <row r="2101" spans="1:11" ht="26.25" customHeight="1">
      <c r="A2101" s="343" t="s">
        <v>1813</v>
      </c>
      <c r="B2101" s="344" t="s">
        <v>162</v>
      </c>
      <c r="C2101" s="344">
        <v>6809</v>
      </c>
      <c r="D2101" s="343" t="s">
        <v>5123</v>
      </c>
      <c r="E2101" s="344">
        <v>6820372</v>
      </c>
      <c r="F2101" s="343" t="s">
        <v>5128</v>
      </c>
      <c r="G2101" s="360" t="s">
        <v>10588</v>
      </c>
      <c r="H2101" s="361">
        <v>42872</v>
      </c>
      <c r="I2101" s="343" t="s">
        <v>211</v>
      </c>
      <c r="J2101" s="343" t="s">
        <v>909</v>
      </c>
      <c r="K2101" s="343" t="s">
        <v>168</v>
      </c>
    </row>
    <row r="2102" spans="1:11" ht="26.25" customHeight="1">
      <c r="A2102" s="343" t="s">
        <v>1813</v>
      </c>
      <c r="B2102" s="344" t="s">
        <v>162</v>
      </c>
      <c r="C2102" s="344">
        <v>6992</v>
      </c>
      <c r="D2102" s="343" t="s">
        <v>4917</v>
      </c>
      <c r="E2102" s="344">
        <v>6259196</v>
      </c>
      <c r="F2102" s="343" t="s">
        <v>4922</v>
      </c>
      <c r="G2102" s="360" t="s">
        <v>10429</v>
      </c>
      <c r="H2102" s="361">
        <v>42872</v>
      </c>
      <c r="I2102" s="343" t="s">
        <v>166</v>
      </c>
      <c r="J2102" s="343" t="s">
        <v>11520</v>
      </c>
      <c r="K2102" s="343" t="s">
        <v>168</v>
      </c>
    </row>
    <row r="2103" spans="1:11" ht="26.25" customHeight="1">
      <c r="A2103" s="343" t="s">
        <v>1813</v>
      </c>
      <c r="B2103" s="344" t="s">
        <v>162</v>
      </c>
      <c r="C2103" s="344">
        <v>9480</v>
      </c>
      <c r="D2103" s="343" t="s">
        <v>4857</v>
      </c>
      <c r="E2103" s="344">
        <v>5314228</v>
      </c>
      <c r="F2103" s="343" t="s">
        <v>4866</v>
      </c>
      <c r="G2103" s="360" t="s">
        <v>11521</v>
      </c>
      <c r="H2103" s="361">
        <v>42871</v>
      </c>
      <c r="I2103" s="343" t="s">
        <v>198</v>
      </c>
      <c r="J2103" s="343" t="s">
        <v>198</v>
      </c>
      <c r="K2103" s="343" t="s">
        <v>168</v>
      </c>
    </row>
    <row r="2104" spans="1:11" ht="26.25" customHeight="1">
      <c r="A2104" s="343" t="s">
        <v>1813</v>
      </c>
      <c r="B2104" s="344" t="s">
        <v>162</v>
      </c>
      <c r="C2104" s="344">
        <v>9560</v>
      </c>
      <c r="D2104" s="343" t="s">
        <v>4799</v>
      </c>
      <c r="E2104" s="344">
        <v>6719930</v>
      </c>
      <c r="F2104" s="343" t="s">
        <v>4800</v>
      </c>
      <c r="G2104" s="360" t="s">
        <v>11522</v>
      </c>
      <c r="H2104" s="361">
        <v>42871</v>
      </c>
      <c r="I2104" s="343" t="s">
        <v>166</v>
      </c>
      <c r="J2104" s="343" t="s">
        <v>10590</v>
      </c>
      <c r="K2104" s="343" t="s">
        <v>248</v>
      </c>
    </row>
    <row r="2105" spans="1:11" ht="26.25" customHeight="1">
      <c r="A2105" s="343" t="s">
        <v>1813</v>
      </c>
      <c r="B2105" s="344" t="s">
        <v>162</v>
      </c>
      <c r="C2105" s="344">
        <v>9850</v>
      </c>
      <c r="D2105" s="343" t="s">
        <v>4839</v>
      </c>
      <c r="E2105" s="344">
        <v>6715732</v>
      </c>
      <c r="F2105" s="343" t="s">
        <v>4840</v>
      </c>
      <c r="G2105" s="360" t="s">
        <v>11523</v>
      </c>
      <c r="H2105" s="361">
        <v>42867</v>
      </c>
      <c r="I2105" s="343" t="s">
        <v>3988</v>
      </c>
      <c r="J2105" s="343" t="s">
        <v>11524</v>
      </c>
      <c r="K2105" s="343" t="s">
        <v>168</v>
      </c>
    </row>
    <row r="2106" spans="1:11" ht="26.25" customHeight="1">
      <c r="A2106" s="343" t="s">
        <v>1813</v>
      </c>
      <c r="B2106" s="344" t="s">
        <v>162</v>
      </c>
      <c r="C2106" s="344">
        <v>9850</v>
      </c>
      <c r="D2106" s="343" t="s">
        <v>4839</v>
      </c>
      <c r="E2106" s="344">
        <v>6715750</v>
      </c>
      <c r="F2106" s="343" t="s">
        <v>4842</v>
      </c>
      <c r="G2106" s="360" t="s">
        <v>11523</v>
      </c>
      <c r="H2106" s="361">
        <v>42867</v>
      </c>
      <c r="I2106" s="343" t="s">
        <v>284</v>
      </c>
      <c r="J2106" s="343" t="s">
        <v>11525</v>
      </c>
      <c r="K2106" s="343" t="s">
        <v>168</v>
      </c>
    </row>
    <row r="2107" spans="1:11" ht="26.25" customHeight="1">
      <c r="A2107" s="343" t="s">
        <v>1813</v>
      </c>
      <c r="B2107" s="344" t="s">
        <v>162</v>
      </c>
      <c r="C2107" s="344">
        <v>6635</v>
      </c>
      <c r="D2107" s="343" t="s">
        <v>5072</v>
      </c>
      <c r="E2107" s="344">
        <v>5983056</v>
      </c>
      <c r="F2107" s="343" t="s">
        <v>5076</v>
      </c>
      <c r="G2107" s="360" t="s">
        <v>11526</v>
      </c>
      <c r="H2107" s="361">
        <v>42867</v>
      </c>
      <c r="I2107" s="343" t="s">
        <v>166</v>
      </c>
      <c r="J2107" s="343" t="s">
        <v>327</v>
      </c>
      <c r="K2107" s="343" t="s">
        <v>168</v>
      </c>
    </row>
    <row r="2108" spans="1:11" ht="26.25" customHeight="1">
      <c r="A2108" s="343" t="s">
        <v>1813</v>
      </c>
      <c r="B2108" s="344" t="s">
        <v>162</v>
      </c>
      <c r="C2108" s="344">
        <v>6993</v>
      </c>
      <c r="D2108" s="343" t="s">
        <v>4906</v>
      </c>
      <c r="E2108" s="344">
        <v>5780338</v>
      </c>
      <c r="F2108" s="343" t="s">
        <v>4915</v>
      </c>
      <c r="G2108" s="360" t="s">
        <v>11527</v>
      </c>
      <c r="H2108" s="361">
        <v>42884</v>
      </c>
      <c r="I2108" s="343" t="s">
        <v>366</v>
      </c>
      <c r="J2108" s="343" t="s">
        <v>366</v>
      </c>
      <c r="K2108" s="343" t="s">
        <v>168</v>
      </c>
    </row>
    <row r="2109" spans="1:11" ht="26.25" customHeight="1">
      <c r="A2109" s="343" t="s">
        <v>1813</v>
      </c>
      <c r="B2109" s="344" t="s">
        <v>162</v>
      </c>
      <c r="C2109" s="344">
        <v>9494</v>
      </c>
      <c r="D2109" s="343" t="s">
        <v>5054</v>
      </c>
      <c r="E2109" s="344">
        <v>6135632</v>
      </c>
      <c r="F2109" s="343" t="s">
        <v>5057</v>
      </c>
      <c r="G2109" s="360" t="s">
        <v>10948</v>
      </c>
      <c r="H2109" s="361">
        <v>42880</v>
      </c>
      <c r="I2109" s="343" t="s">
        <v>198</v>
      </c>
      <c r="J2109" s="343" t="s">
        <v>198</v>
      </c>
      <c r="K2109" s="343" t="s">
        <v>168</v>
      </c>
    </row>
    <row r="2110" spans="1:11" ht="26.25" customHeight="1">
      <c r="A2110" s="343" t="s">
        <v>1813</v>
      </c>
      <c r="B2110" s="344" t="s">
        <v>162</v>
      </c>
      <c r="C2110" s="344">
        <v>9184</v>
      </c>
      <c r="D2110" s="343" t="s">
        <v>4979</v>
      </c>
      <c r="E2110" s="344">
        <v>4477744</v>
      </c>
      <c r="F2110" s="343" t="s">
        <v>4986</v>
      </c>
      <c r="G2110" s="360" t="s">
        <v>11528</v>
      </c>
      <c r="H2110" s="361">
        <v>42881</v>
      </c>
      <c r="I2110" s="343" t="s">
        <v>211</v>
      </c>
      <c r="J2110" s="343" t="s">
        <v>909</v>
      </c>
      <c r="K2110" s="343" t="s">
        <v>168</v>
      </c>
    </row>
    <row r="2111" spans="1:11" ht="26.25" customHeight="1">
      <c r="A2111" s="343" t="s">
        <v>1813</v>
      </c>
      <c r="B2111" s="344" t="s">
        <v>162</v>
      </c>
      <c r="C2111" s="344">
        <v>7463</v>
      </c>
      <c r="D2111" s="343" t="s">
        <v>4732</v>
      </c>
      <c r="E2111" s="344">
        <v>6615683</v>
      </c>
      <c r="F2111" s="343" t="s">
        <v>4733</v>
      </c>
      <c r="G2111" s="360" t="s">
        <v>11529</v>
      </c>
      <c r="H2111" s="361">
        <v>42881</v>
      </c>
      <c r="I2111" s="343" t="s">
        <v>4006</v>
      </c>
      <c r="J2111" s="343" t="s">
        <v>4006</v>
      </c>
      <c r="K2111" s="343" t="s">
        <v>173</v>
      </c>
    </row>
    <row r="2112" spans="1:11" ht="26.25" customHeight="1">
      <c r="A2112" s="343" t="s">
        <v>1813</v>
      </c>
      <c r="B2112" s="344" t="s">
        <v>162</v>
      </c>
      <c r="C2112" s="344">
        <v>8751</v>
      </c>
      <c r="D2112" s="343" t="s">
        <v>4987</v>
      </c>
      <c r="E2112" s="344">
        <v>5077717</v>
      </c>
      <c r="F2112" s="343" t="s">
        <v>4988</v>
      </c>
      <c r="G2112" s="360" t="s">
        <v>11530</v>
      </c>
      <c r="H2112" s="361">
        <v>42891</v>
      </c>
      <c r="I2112" s="343" t="s">
        <v>366</v>
      </c>
      <c r="J2112" s="343" t="s">
        <v>366</v>
      </c>
      <c r="K2112" s="343" t="s">
        <v>168</v>
      </c>
    </row>
    <row r="2113" spans="1:11" ht="26.25" customHeight="1">
      <c r="A2113" s="343" t="s">
        <v>1813</v>
      </c>
      <c r="B2113" s="344" t="s">
        <v>162</v>
      </c>
      <c r="C2113" s="344">
        <v>7521</v>
      </c>
      <c r="D2113" s="343" t="s">
        <v>4820</v>
      </c>
      <c r="E2113" s="344">
        <v>6506716</v>
      </c>
      <c r="F2113" s="343" t="s">
        <v>4821</v>
      </c>
      <c r="G2113" s="360" t="s">
        <v>11531</v>
      </c>
      <c r="H2113" s="361">
        <v>42888</v>
      </c>
      <c r="I2113" s="343" t="s">
        <v>193</v>
      </c>
      <c r="J2113" s="343" t="s">
        <v>194</v>
      </c>
      <c r="K2113" s="343" t="s">
        <v>168</v>
      </c>
    </row>
    <row r="2114" spans="1:11" ht="26.25" customHeight="1">
      <c r="A2114" s="343" t="s">
        <v>1813</v>
      </c>
      <c r="B2114" s="344" t="s">
        <v>162</v>
      </c>
      <c r="C2114" s="344">
        <v>7485</v>
      </c>
      <c r="D2114" s="343" t="s">
        <v>4791</v>
      </c>
      <c r="E2114" s="344">
        <v>6343443</v>
      </c>
      <c r="F2114" s="343" t="s">
        <v>4797</v>
      </c>
      <c r="G2114" s="360" t="s">
        <v>11532</v>
      </c>
      <c r="H2114" s="361">
        <v>42894</v>
      </c>
      <c r="I2114" s="343" t="s">
        <v>366</v>
      </c>
      <c r="J2114" s="343" t="s">
        <v>366</v>
      </c>
      <c r="K2114" s="343" t="s">
        <v>168</v>
      </c>
    </row>
    <row r="2115" spans="1:11" ht="26.25" customHeight="1">
      <c r="A2115" s="343" t="s">
        <v>1813</v>
      </c>
      <c r="B2115" s="344" t="s">
        <v>162</v>
      </c>
      <c r="C2115" s="344">
        <v>6648</v>
      </c>
      <c r="D2115" s="343" t="s">
        <v>5118</v>
      </c>
      <c r="E2115" s="344">
        <v>5940335</v>
      </c>
      <c r="F2115" s="343" t="s">
        <v>5119</v>
      </c>
      <c r="G2115" s="360" t="s">
        <v>11456</v>
      </c>
      <c r="H2115" s="361">
        <v>42892</v>
      </c>
      <c r="I2115" s="343" t="s">
        <v>166</v>
      </c>
      <c r="J2115" s="343" t="s">
        <v>327</v>
      </c>
      <c r="K2115" s="343" t="s">
        <v>168</v>
      </c>
    </row>
    <row r="2116" spans="1:11" ht="26.25" customHeight="1">
      <c r="A2116" s="343" t="s">
        <v>1813</v>
      </c>
      <c r="B2116" s="344" t="s">
        <v>162</v>
      </c>
      <c r="C2116" s="344">
        <v>8935</v>
      </c>
      <c r="D2116" s="343" t="s">
        <v>5151</v>
      </c>
      <c r="E2116" s="344">
        <v>6671835</v>
      </c>
      <c r="F2116" s="343" t="s">
        <v>5156</v>
      </c>
      <c r="G2116" s="360" t="s">
        <v>1345</v>
      </c>
      <c r="H2116" s="361">
        <v>42908</v>
      </c>
      <c r="I2116" s="343" t="s">
        <v>193</v>
      </c>
      <c r="J2116" s="343" t="s">
        <v>194</v>
      </c>
      <c r="K2116" s="343" t="s">
        <v>168</v>
      </c>
    </row>
    <row r="2117" spans="1:11" ht="26.25" customHeight="1">
      <c r="A2117" s="343" t="s">
        <v>1813</v>
      </c>
      <c r="B2117" s="344" t="s">
        <v>162</v>
      </c>
      <c r="C2117" s="344">
        <v>7494</v>
      </c>
      <c r="D2117" s="343" t="s">
        <v>4818</v>
      </c>
      <c r="E2117" s="344">
        <v>6517050</v>
      </c>
      <c r="F2117" s="343" t="s">
        <v>4819</v>
      </c>
      <c r="G2117" s="360" t="s">
        <v>9681</v>
      </c>
      <c r="H2117" s="361">
        <v>42908</v>
      </c>
      <c r="I2117" s="343" t="s">
        <v>423</v>
      </c>
      <c r="J2117" s="343" t="s">
        <v>11533</v>
      </c>
      <c r="K2117" s="343" t="s">
        <v>168</v>
      </c>
    </row>
    <row r="2118" spans="1:11" ht="26.25" customHeight="1">
      <c r="A2118" s="343" t="s">
        <v>1813</v>
      </c>
      <c r="B2118" s="344" t="s">
        <v>162</v>
      </c>
      <c r="C2118" s="344">
        <v>7488</v>
      </c>
      <c r="D2118" s="343" t="s">
        <v>4751</v>
      </c>
      <c r="E2118" s="344">
        <v>6479594</v>
      </c>
      <c r="F2118" s="343" t="s">
        <v>4754</v>
      </c>
      <c r="G2118" s="360" t="s">
        <v>11534</v>
      </c>
      <c r="H2118" s="361">
        <v>42915</v>
      </c>
      <c r="I2118" s="343" t="s">
        <v>180</v>
      </c>
      <c r="J2118" s="343" t="s">
        <v>11535</v>
      </c>
      <c r="K2118" s="343" t="s">
        <v>168</v>
      </c>
    </row>
    <row r="2119" spans="1:11" ht="26.25" customHeight="1">
      <c r="A2119" s="343" t="s">
        <v>1813</v>
      </c>
      <c r="B2119" s="344" t="s">
        <v>162</v>
      </c>
      <c r="C2119" s="344">
        <v>8751</v>
      </c>
      <c r="D2119" s="343" t="s">
        <v>4987</v>
      </c>
      <c r="E2119" s="344">
        <v>4719889</v>
      </c>
      <c r="F2119" s="343" t="s">
        <v>4990</v>
      </c>
      <c r="G2119" s="360" t="s">
        <v>11536</v>
      </c>
      <c r="H2119" s="361">
        <v>42920</v>
      </c>
      <c r="I2119" s="343" t="s">
        <v>366</v>
      </c>
      <c r="J2119" s="343" t="s">
        <v>366</v>
      </c>
      <c r="K2119" s="343" t="s">
        <v>168</v>
      </c>
    </row>
    <row r="2120" spans="1:11" ht="26.25" customHeight="1">
      <c r="A2120" s="343" t="s">
        <v>1813</v>
      </c>
      <c r="B2120" s="344" t="s">
        <v>162</v>
      </c>
      <c r="C2120" s="344">
        <v>6657</v>
      </c>
      <c r="D2120" s="343" t="s">
        <v>5051</v>
      </c>
      <c r="E2120" s="344">
        <v>6737550</v>
      </c>
      <c r="F2120" s="343" t="s">
        <v>5052</v>
      </c>
      <c r="G2120" s="360" t="s">
        <v>1198</v>
      </c>
      <c r="H2120" s="361">
        <v>42920</v>
      </c>
      <c r="I2120" s="343" t="s">
        <v>662</v>
      </c>
      <c r="J2120" s="343" t="s">
        <v>11537</v>
      </c>
      <c r="K2120" s="343" t="s">
        <v>248</v>
      </c>
    </row>
    <row r="2121" spans="1:11" ht="26.25" customHeight="1">
      <c r="A2121" s="343" t="s">
        <v>1813</v>
      </c>
      <c r="B2121" s="344" t="s">
        <v>162</v>
      </c>
      <c r="C2121" s="344">
        <v>10042</v>
      </c>
      <c r="D2121" s="343" t="s">
        <v>4747</v>
      </c>
      <c r="E2121" s="344">
        <v>6413234</v>
      </c>
      <c r="F2121" s="343" t="s">
        <v>4749</v>
      </c>
      <c r="G2121" s="360" t="s">
        <v>9810</v>
      </c>
      <c r="H2121" s="361">
        <v>42920</v>
      </c>
      <c r="I2121" s="343" t="s">
        <v>193</v>
      </c>
      <c r="J2121" s="343" t="s">
        <v>9943</v>
      </c>
      <c r="K2121" s="343" t="s">
        <v>168</v>
      </c>
    </row>
    <row r="2122" spans="1:11" ht="26.25" customHeight="1">
      <c r="A2122" s="343" t="s">
        <v>1813</v>
      </c>
      <c r="B2122" s="344" t="s">
        <v>162</v>
      </c>
      <c r="C2122" s="344">
        <v>12890</v>
      </c>
      <c r="D2122" s="343" t="s">
        <v>5018</v>
      </c>
      <c r="E2122" s="344">
        <v>5993752</v>
      </c>
      <c r="F2122" s="343" t="s">
        <v>5020</v>
      </c>
      <c r="G2122" s="360" t="s">
        <v>9385</v>
      </c>
      <c r="H2122" s="361">
        <v>42920</v>
      </c>
      <c r="I2122" s="343" t="s">
        <v>776</v>
      </c>
      <c r="J2122" s="343" t="s">
        <v>11538</v>
      </c>
      <c r="K2122" s="343" t="s">
        <v>168</v>
      </c>
    </row>
    <row r="2123" spans="1:11" ht="26.25" customHeight="1">
      <c r="A2123" s="343" t="s">
        <v>1813</v>
      </c>
      <c r="B2123" s="344" t="s">
        <v>162</v>
      </c>
      <c r="C2123" s="344">
        <v>7467</v>
      </c>
      <c r="D2123" s="343" t="s">
        <v>4735</v>
      </c>
      <c r="E2123" s="344">
        <v>6624220</v>
      </c>
      <c r="F2123" s="343" t="s">
        <v>4740</v>
      </c>
      <c r="G2123" s="360" t="s">
        <v>11529</v>
      </c>
      <c r="H2123" s="361">
        <v>42920</v>
      </c>
      <c r="I2123" s="343" t="s">
        <v>193</v>
      </c>
      <c r="J2123" s="343" t="s">
        <v>194</v>
      </c>
      <c r="K2123" s="343" t="s">
        <v>168</v>
      </c>
    </row>
    <row r="2124" spans="1:11" ht="26.25" customHeight="1">
      <c r="A2124" s="343" t="s">
        <v>1813</v>
      </c>
      <c r="B2124" s="344" t="s">
        <v>162</v>
      </c>
      <c r="C2124" s="344">
        <v>6630</v>
      </c>
      <c r="D2124" s="343" t="s">
        <v>5078</v>
      </c>
      <c r="E2124" s="344">
        <v>6706084</v>
      </c>
      <c r="F2124" s="343" t="s">
        <v>5081</v>
      </c>
      <c r="G2124" s="360" t="s">
        <v>11448</v>
      </c>
      <c r="H2124" s="361">
        <v>42923</v>
      </c>
      <c r="I2124" s="343" t="s">
        <v>193</v>
      </c>
      <c r="J2124" s="343" t="s">
        <v>194</v>
      </c>
      <c r="K2124" s="343" t="s">
        <v>168</v>
      </c>
    </row>
    <row r="2125" spans="1:11" ht="26.25" customHeight="1">
      <c r="A2125" s="343" t="s">
        <v>1813</v>
      </c>
      <c r="B2125" s="344" t="s">
        <v>162</v>
      </c>
      <c r="C2125" s="344">
        <v>7485</v>
      </c>
      <c r="D2125" s="343" t="s">
        <v>4791</v>
      </c>
      <c r="E2125" s="344">
        <v>6678150</v>
      </c>
      <c r="F2125" s="343" t="s">
        <v>4794</v>
      </c>
      <c r="G2125" s="360" t="s">
        <v>11055</v>
      </c>
      <c r="H2125" s="361">
        <v>42926</v>
      </c>
      <c r="I2125" s="343" t="s">
        <v>193</v>
      </c>
      <c r="J2125" s="343" t="s">
        <v>637</v>
      </c>
      <c r="K2125" s="343" t="s">
        <v>168</v>
      </c>
    </row>
    <row r="2126" spans="1:11" ht="26.25" customHeight="1">
      <c r="A2126" s="343" t="s">
        <v>1813</v>
      </c>
      <c r="B2126" s="344" t="s">
        <v>162</v>
      </c>
      <c r="C2126" s="344">
        <v>7468</v>
      </c>
      <c r="D2126" s="343" t="s">
        <v>4811</v>
      </c>
      <c r="E2126" s="344">
        <v>6506149</v>
      </c>
      <c r="F2126" s="343" t="s">
        <v>4812</v>
      </c>
      <c r="G2126" s="360" t="s">
        <v>11539</v>
      </c>
      <c r="H2126" s="361">
        <v>42926</v>
      </c>
      <c r="I2126" s="343" t="s">
        <v>193</v>
      </c>
      <c r="J2126" s="343" t="s">
        <v>637</v>
      </c>
      <c r="K2126" s="343" t="s">
        <v>168</v>
      </c>
    </row>
    <row r="2127" spans="1:11" ht="26.25" customHeight="1">
      <c r="A2127" s="343" t="s">
        <v>1813</v>
      </c>
      <c r="B2127" s="344" t="s">
        <v>162</v>
      </c>
      <c r="C2127" s="344">
        <v>6822</v>
      </c>
      <c r="D2127" s="343" t="s">
        <v>5108</v>
      </c>
      <c r="E2127" s="344">
        <v>6010916</v>
      </c>
      <c r="F2127" s="343" t="s">
        <v>5110</v>
      </c>
      <c r="G2127" s="360" t="s">
        <v>11151</v>
      </c>
      <c r="H2127" s="361">
        <v>42929</v>
      </c>
      <c r="I2127" s="343" t="s">
        <v>465</v>
      </c>
      <c r="J2127" s="343" t="s">
        <v>1118</v>
      </c>
      <c r="K2127" s="343" t="s">
        <v>168</v>
      </c>
    </row>
    <row r="2128" spans="1:11" ht="26.25" customHeight="1">
      <c r="A2128" s="343" t="s">
        <v>1813</v>
      </c>
      <c r="B2128" s="344" t="s">
        <v>162</v>
      </c>
      <c r="C2128" s="344">
        <v>11093</v>
      </c>
      <c r="D2128" s="343" t="s">
        <v>4827</v>
      </c>
      <c r="E2128" s="344">
        <v>6336734</v>
      </c>
      <c r="F2128" s="343" t="s">
        <v>4830</v>
      </c>
      <c r="G2128" s="360" t="s">
        <v>11540</v>
      </c>
      <c r="H2128" s="361">
        <v>42934</v>
      </c>
      <c r="I2128" s="343" t="s">
        <v>211</v>
      </c>
      <c r="J2128" s="343" t="s">
        <v>211</v>
      </c>
      <c r="K2128" s="343" t="s">
        <v>168</v>
      </c>
    </row>
    <row r="2129" spans="1:11" ht="26.25" customHeight="1">
      <c r="A2129" s="343" t="s">
        <v>1813</v>
      </c>
      <c r="B2129" s="344" t="s">
        <v>162</v>
      </c>
      <c r="C2129" s="344">
        <v>11835</v>
      </c>
      <c r="D2129" s="343" t="s">
        <v>4881</v>
      </c>
      <c r="E2129" s="344">
        <v>5813791</v>
      </c>
      <c r="F2129" s="343" t="s">
        <v>4883</v>
      </c>
      <c r="G2129" s="360" t="s">
        <v>11541</v>
      </c>
      <c r="H2129" s="361">
        <v>42941</v>
      </c>
      <c r="I2129" s="343" t="s">
        <v>180</v>
      </c>
      <c r="J2129" s="343" t="s">
        <v>11542</v>
      </c>
      <c r="K2129" s="343" t="s">
        <v>173</v>
      </c>
    </row>
    <row r="2130" spans="1:11" ht="26.25" customHeight="1">
      <c r="A2130" s="343" t="s">
        <v>1813</v>
      </c>
      <c r="B2130" s="344" t="s">
        <v>162</v>
      </c>
      <c r="C2130" s="344">
        <v>6632</v>
      </c>
      <c r="D2130" s="343" t="s">
        <v>7034</v>
      </c>
      <c r="E2130" s="344">
        <v>6491261</v>
      </c>
      <c r="F2130" s="343" t="s">
        <v>5039</v>
      </c>
      <c r="G2130" s="360" t="s">
        <v>10917</v>
      </c>
      <c r="H2130" s="361">
        <v>42943</v>
      </c>
      <c r="I2130" s="343" t="s">
        <v>166</v>
      </c>
      <c r="J2130" s="343" t="s">
        <v>327</v>
      </c>
      <c r="K2130" s="343" t="s">
        <v>168</v>
      </c>
    </row>
    <row r="2131" spans="1:11" ht="26.25" customHeight="1">
      <c r="A2131" s="343" t="s">
        <v>1813</v>
      </c>
      <c r="B2131" s="344" t="s">
        <v>162</v>
      </c>
      <c r="C2131" s="344">
        <v>6632</v>
      </c>
      <c r="D2131" s="343" t="s">
        <v>7034</v>
      </c>
      <c r="E2131" s="344">
        <v>5730087</v>
      </c>
      <c r="F2131" s="343" t="s">
        <v>5038</v>
      </c>
      <c r="G2131" s="360" t="s">
        <v>11543</v>
      </c>
      <c r="H2131" s="361">
        <v>42943</v>
      </c>
      <c r="I2131" s="343" t="s">
        <v>301</v>
      </c>
      <c r="J2131" s="343" t="s">
        <v>1113</v>
      </c>
      <c r="K2131" s="343" t="s">
        <v>168</v>
      </c>
    </row>
    <row r="2132" spans="1:11" ht="26.25" customHeight="1">
      <c r="A2132" s="343" t="s">
        <v>1813</v>
      </c>
      <c r="B2132" s="344" t="s">
        <v>162</v>
      </c>
      <c r="C2132" s="344">
        <v>6647</v>
      </c>
      <c r="D2132" s="343" t="s">
        <v>7038</v>
      </c>
      <c r="E2132" s="344">
        <v>6488518</v>
      </c>
      <c r="F2132" s="343" t="s">
        <v>5150</v>
      </c>
      <c r="G2132" s="360" t="s">
        <v>1342</v>
      </c>
      <c r="H2132" s="361">
        <v>42944</v>
      </c>
      <c r="I2132" s="343" t="s">
        <v>211</v>
      </c>
      <c r="J2132" s="343" t="s">
        <v>909</v>
      </c>
      <c r="K2132" s="343" t="s">
        <v>168</v>
      </c>
    </row>
    <row r="2133" spans="1:11" ht="26.25" customHeight="1">
      <c r="A2133" s="343" t="s">
        <v>1813</v>
      </c>
      <c r="B2133" s="344" t="s">
        <v>162</v>
      </c>
      <c r="C2133" s="344">
        <v>6647</v>
      </c>
      <c r="D2133" s="343" t="s">
        <v>7038</v>
      </c>
      <c r="E2133" s="344">
        <v>6529732</v>
      </c>
      <c r="F2133" s="343" t="s">
        <v>5149</v>
      </c>
      <c r="G2133" s="360" t="s">
        <v>9984</v>
      </c>
      <c r="H2133" s="361">
        <v>42944</v>
      </c>
      <c r="I2133" s="343" t="s">
        <v>193</v>
      </c>
      <c r="J2133" s="343" t="s">
        <v>11544</v>
      </c>
      <c r="K2133" s="343" t="s">
        <v>168</v>
      </c>
    </row>
    <row r="2134" spans="1:11" ht="26.25" customHeight="1">
      <c r="A2134" s="343" t="s">
        <v>1813</v>
      </c>
      <c r="B2134" s="344" t="s">
        <v>162</v>
      </c>
      <c r="C2134" s="344">
        <v>6639</v>
      </c>
      <c r="D2134" s="343" t="s">
        <v>7037</v>
      </c>
      <c r="E2134" s="344">
        <v>5664338</v>
      </c>
      <c r="F2134" s="343" t="s">
        <v>5146</v>
      </c>
      <c r="G2134" s="360" t="s">
        <v>1121</v>
      </c>
      <c r="H2134" s="361">
        <v>42944</v>
      </c>
      <c r="I2134" s="343" t="s">
        <v>166</v>
      </c>
      <c r="J2134" s="343" t="s">
        <v>296</v>
      </c>
      <c r="K2134" s="343" t="s">
        <v>168</v>
      </c>
    </row>
    <row r="2135" spans="1:11" ht="26.25" customHeight="1">
      <c r="A2135" s="343" t="s">
        <v>1813</v>
      </c>
      <c r="B2135" s="344" t="s">
        <v>162</v>
      </c>
      <c r="C2135" s="344">
        <v>9177</v>
      </c>
      <c r="D2135" s="343" t="s">
        <v>7039</v>
      </c>
      <c r="E2135" s="344">
        <v>6352803</v>
      </c>
      <c r="F2135" s="343" t="s">
        <v>5144</v>
      </c>
      <c r="G2135" s="360" t="s">
        <v>10534</v>
      </c>
      <c r="H2135" s="361">
        <v>42944</v>
      </c>
      <c r="I2135" s="343" t="s">
        <v>5145</v>
      </c>
      <c r="J2135" s="343" t="s">
        <v>11545</v>
      </c>
      <c r="K2135" s="343" t="s">
        <v>168</v>
      </c>
    </row>
    <row r="2136" spans="1:11" ht="26.25" customHeight="1">
      <c r="A2136" s="343" t="s">
        <v>1813</v>
      </c>
      <c r="B2136" s="344" t="s">
        <v>162</v>
      </c>
      <c r="C2136" s="344">
        <v>9188</v>
      </c>
      <c r="D2136" s="343" t="s">
        <v>7040</v>
      </c>
      <c r="E2136" s="344">
        <v>5999038</v>
      </c>
      <c r="F2136" s="343" t="s">
        <v>5067</v>
      </c>
      <c r="G2136" s="360" t="s">
        <v>9363</v>
      </c>
      <c r="H2136" s="361">
        <v>42947</v>
      </c>
      <c r="I2136" s="343" t="s">
        <v>166</v>
      </c>
      <c r="J2136" s="343" t="s">
        <v>327</v>
      </c>
      <c r="K2136" s="343" t="s">
        <v>168</v>
      </c>
    </row>
    <row r="2137" spans="1:11" ht="26.25" customHeight="1">
      <c r="A2137" s="343" t="s">
        <v>1813</v>
      </c>
      <c r="B2137" s="344" t="s">
        <v>162</v>
      </c>
      <c r="C2137" s="344">
        <v>9188</v>
      </c>
      <c r="D2137" s="343" t="s">
        <v>7040</v>
      </c>
      <c r="E2137" s="344">
        <v>6281887</v>
      </c>
      <c r="F2137" s="343" t="s">
        <v>5068</v>
      </c>
      <c r="G2137" s="360" t="s">
        <v>11214</v>
      </c>
      <c r="H2137" s="361">
        <v>42947</v>
      </c>
      <c r="I2137" s="343" t="s">
        <v>166</v>
      </c>
      <c r="J2137" s="343" t="s">
        <v>10590</v>
      </c>
      <c r="K2137" s="343" t="s">
        <v>248</v>
      </c>
    </row>
    <row r="2138" spans="1:11" ht="26.25" customHeight="1">
      <c r="A2138" s="343" t="s">
        <v>1813</v>
      </c>
      <c r="B2138" s="344" t="s">
        <v>162</v>
      </c>
      <c r="C2138" s="344">
        <v>9188</v>
      </c>
      <c r="D2138" s="343" t="s">
        <v>7040</v>
      </c>
      <c r="E2138" s="344">
        <v>4960154</v>
      </c>
      <c r="F2138" s="343" t="s">
        <v>5069</v>
      </c>
      <c r="G2138" s="360" t="s">
        <v>11546</v>
      </c>
      <c r="H2138" s="361">
        <v>42947</v>
      </c>
      <c r="I2138" s="343" t="s">
        <v>4428</v>
      </c>
      <c r="J2138" s="343" t="s">
        <v>11547</v>
      </c>
      <c r="K2138" s="343" t="s">
        <v>168</v>
      </c>
    </row>
    <row r="2139" spans="1:11" ht="26.25" customHeight="1">
      <c r="A2139" s="343" t="s">
        <v>1813</v>
      </c>
      <c r="B2139" s="344" t="s">
        <v>162</v>
      </c>
      <c r="C2139" s="344">
        <v>9188</v>
      </c>
      <c r="D2139" s="343" t="s">
        <v>7040</v>
      </c>
      <c r="E2139" s="344">
        <v>5680511</v>
      </c>
      <c r="F2139" s="343" t="s">
        <v>5070</v>
      </c>
      <c r="G2139" s="360" t="s">
        <v>11548</v>
      </c>
      <c r="H2139" s="361">
        <v>42947</v>
      </c>
      <c r="I2139" s="343" t="s">
        <v>198</v>
      </c>
      <c r="J2139" s="343" t="s">
        <v>198</v>
      </c>
      <c r="K2139" s="343" t="s">
        <v>168</v>
      </c>
    </row>
    <row r="2140" spans="1:11" ht="26.25" customHeight="1">
      <c r="A2140" s="343" t="s">
        <v>1813</v>
      </c>
      <c r="B2140" s="344" t="s">
        <v>162</v>
      </c>
      <c r="C2140" s="344">
        <v>6631</v>
      </c>
      <c r="D2140" s="343" t="s">
        <v>7033</v>
      </c>
      <c r="E2140" s="344">
        <v>6213334</v>
      </c>
      <c r="F2140" s="343" t="s">
        <v>5121</v>
      </c>
      <c r="G2140" s="360" t="s">
        <v>9925</v>
      </c>
      <c r="H2140" s="361">
        <v>42947</v>
      </c>
      <c r="I2140" s="343" t="s">
        <v>301</v>
      </c>
      <c r="J2140" s="343" t="s">
        <v>1113</v>
      </c>
      <c r="K2140" s="343" t="s">
        <v>168</v>
      </c>
    </row>
    <row r="2141" spans="1:11" ht="26.25" customHeight="1">
      <c r="A2141" s="343" t="s">
        <v>1813</v>
      </c>
      <c r="B2141" s="344" t="s">
        <v>162</v>
      </c>
      <c r="C2141" s="344">
        <v>6638</v>
      </c>
      <c r="D2141" s="343" t="s">
        <v>7036</v>
      </c>
      <c r="E2141" s="344">
        <v>5655929</v>
      </c>
      <c r="F2141" s="343" t="s">
        <v>5122</v>
      </c>
      <c r="G2141" s="360" t="s">
        <v>11549</v>
      </c>
      <c r="H2141" s="361">
        <v>42947</v>
      </c>
      <c r="I2141" s="343" t="s">
        <v>366</v>
      </c>
      <c r="J2141" s="343" t="s">
        <v>366</v>
      </c>
      <c r="K2141" s="343" t="s">
        <v>168</v>
      </c>
    </row>
    <row r="2142" spans="1:11" ht="26.25" customHeight="1">
      <c r="A2142" s="343" t="s">
        <v>1813</v>
      </c>
      <c r="B2142" s="344" t="s">
        <v>162</v>
      </c>
      <c r="C2142" s="344">
        <v>7483</v>
      </c>
      <c r="D2142" s="343" t="s">
        <v>4758</v>
      </c>
      <c r="E2142" s="344">
        <v>6323654</v>
      </c>
      <c r="F2142" s="343" t="s">
        <v>4760</v>
      </c>
      <c r="G2142" s="360" t="s">
        <v>426</v>
      </c>
      <c r="H2142" s="361">
        <v>42947</v>
      </c>
      <c r="I2142" s="343" t="s">
        <v>7321</v>
      </c>
      <c r="J2142" s="343" t="s">
        <v>11550</v>
      </c>
      <c r="K2142" s="343" t="s">
        <v>173</v>
      </c>
    </row>
    <row r="2143" spans="1:11" ht="26.25" customHeight="1">
      <c r="A2143" s="343" t="s">
        <v>1813</v>
      </c>
      <c r="B2143" s="344" t="s">
        <v>162</v>
      </c>
      <c r="C2143" s="344">
        <v>11093</v>
      </c>
      <c r="D2143" s="343" t="s">
        <v>4827</v>
      </c>
      <c r="E2143" s="344">
        <v>6623189</v>
      </c>
      <c r="F2143" s="343" t="s">
        <v>4837</v>
      </c>
      <c r="G2143" s="360" t="s">
        <v>11100</v>
      </c>
      <c r="H2143" s="361">
        <v>42948</v>
      </c>
      <c r="I2143" s="343" t="s">
        <v>193</v>
      </c>
      <c r="J2143" s="343" t="s">
        <v>509</v>
      </c>
      <c r="K2143" s="343" t="s">
        <v>168</v>
      </c>
    </row>
    <row r="2144" spans="1:11" ht="26.25" customHeight="1">
      <c r="A2144" s="343" t="s">
        <v>1813</v>
      </c>
      <c r="B2144" s="344" t="s">
        <v>162</v>
      </c>
      <c r="C2144" s="344">
        <v>10043</v>
      </c>
      <c r="D2144" s="343" t="s">
        <v>4802</v>
      </c>
      <c r="E2144" s="344">
        <v>6416585</v>
      </c>
      <c r="F2144" s="343" t="s">
        <v>4804</v>
      </c>
      <c r="G2144" s="360" t="s">
        <v>11551</v>
      </c>
      <c r="H2144" s="361">
        <v>42949</v>
      </c>
      <c r="I2144" s="343" t="s">
        <v>7330</v>
      </c>
      <c r="J2144" s="343" t="s">
        <v>11552</v>
      </c>
      <c r="K2144" s="343" t="s">
        <v>173</v>
      </c>
    </row>
    <row r="2145" spans="1:11" ht="26.25" customHeight="1">
      <c r="A2145" s="343" t="s">
        <v>1813</v>
      </c>
      <c r="B2145" s="344" t="s">
        <v>162</v>
      </c>
      <c r="C2145" s="344">
        <v>6637</v>
      </c>
      <c r="D2145" s="343" t="s">
        <v>7035</v>
      </c>
      <c r="E2145" s="344">
        <v>6112330</v>
      </c>
      <c r="F2145" s="343" t="s">
        <v>5106</v>
      </c>
      <c r="G2145" s="360" t="s">
        <v>1400</v>
      </c>
      <c r="H2145" s="361">
        <v>42950</v>
      </c>
      <c r="I2145" s="343" t="s">
        <v>166</v>
      </c>
      <c r="J2145" s="343" t="s">
        <v>327</v>
      </c>
      <c r="K2145" s="343" t="s">
        <v>168</v>
      </c>
    </row>
    <row r="2146" spans="1:11" ht="26.25" customHeight="1">
      <c r="A2146" s="343" t="s">
        <v>1813</v>
      </c>
      <c r="B2146" s="344" t="s">
        <v>162</v>
      </c>
      <c r="C2146" s="344">
        <v>6637</v>
      </c>
      <c r="D2146" s="343" t="s">
        <v>7035</v>
      </c>
      <c r="E2146" s="344">
        <v>5976321</v>
      </c>
      <c r="F2146" s="343" t="s">
        <v>5105</v>
      </c>
      <c r="G2146" s="360" t="s">
        <v>11553</v>
      </c>
      <c r="H2146" s="361">
        <v>42950</v>
      </c>
      <c r="I2146" s="343" t="s">
        <v>166</v>
      </c>
      <c r="J2146" s="343" t="s">
        <v>296</v>
      </c>
      <c r="K2146" s="343" t="s">
        <v>168</v>
      </c>
    </row>
    <row r="2147" spans="1:11" ht="26.25" customHeight="1">
      <c r="A2147" s="343" t="s">
        <v>1813</v>
      </c>
      <c r="B2147" s="344" t="s">
        <v>162</v>
      </c>
      <c r="C2147" s="344">
        <v>6630</v>
      </c>
      <c r="D2147" s="343" t="s">
        <v>5078</v>
      </c>
      <c r="E2147" s="344">
        <v>6842531</v>
      </c>
      <c r="F2147" s="343" t="s">
        <v>5083</v>
      </c>
      <c r="G2147" s="360" t="s">
        <v>11198</v>
      </c>
      <c r="H2147" s="361">
        <v>42954</v>
      </c>
      <c r="I2147" s="343" t="s">
        <v>271</v>
      </c>
      <c r="J2147" s="343" t="s">
        <v>10150</v>
      </c>
      <c r="K2147" s="343" t="s">
        <v>168</v>
      </c>
    </row>
    <row r="2148" spans="1:11" ht="26.25" customHeight="1">
      <c r="A2148" s="343" t="s">
        <v>1813</v>
      </c>
      <c r="B2148" s="344" t="s">
        <v>162</v>
      </c>
      <c r="C2148" s="344">
        <v>9188</v>
      </c>
      <c r="D2148" s="343" t="s">
        <v>7040</v>
      </c>
      <c r="E2148" s="344">
        <v>5719488</v>
      </c>
      <c r="F2148" s="343" t="s">
        <v>5071</v>
      </c>
      <c r="G2148" s="360" t="s">
        <v>1310</v>
      </c>
      <c r="H2148" s="361">
        <v>42956</v>
      </c>
      <c r="I2148" s="343" t="s">
        <v>166</v>
      </c>
      <c r="J2148" s="343" t="s">
        <v>11554</v>
      </c>
      <c r="K2148" s="343" t="s">
        <v>168</v>
      </c>
    </row>
    <row r="2149" spans="1:11" ht="26.25" customHeight="1">
      <c r="A2149" s="343" t="s">
        <v>1813</v>
      </c>
      <c r="B2149" s="344" t="s">
        <v>162</v>
      </c>
      <c r="C2149" s="344">
        <v>10039</v>
      </c>
      <c r="D2149" s="343" t="s">
        <v>5009</v>
      </c>
      <c r="E2149" s="344">
        <v>6431547</v>
      </c>
      <c r="F2149" s="343" t="s">
        <v>5010</v>
      </c>
      <c r="G2149" s="360" t="s">
        <v>11555</v>
      </c>
      <c r="H2149" s="361">
        <v>42956</v>
      </c>
      <c r="I2149" s="343" t="s">
        <v>1463</v>
      </c>
      <c r="J2149" s="343" t="s">
        <v>11556</v>
      </c>
      <c r="K2149" s="343" t="s">
        <v>248</v>
      </c>
    </row>
    <row r="2150" spans="1:11" ht="26.25" customHeight="1">
      <c r="A2150" s="343" t="s">
        <v>1813</v>
      </c>
      <c r="B2150" s="344" t="s">
        <v>162</v>
      </c>
      <c r="C2150" s="344">
        <v>7510</v>
      </c>
      <c r="D2150" s="343" t="s">
        <v>4788</v>
      </c>
      <c r="E2150" s="344">
        <v>6583677</v>
      </c>
      <c r="F2150" s="343" t="s">
        <v>4789</v>
      </c>
      <c r="G2150" s="360" t="s">
        <v>9453</v>
      </c>
      <c r="H2150" s="361">
        <v>42956</v>
      </c>
      <c r="I2150" s="343" t="s">
        <v>166</v>
      </c>
      <c r="J2150" s="343" t="s">
        <v>327</v>
      </c>
      <c r="K2150" s="343" t="s">
        <v>168</v>
      </c>
    </row>
    <row r="2151" spans="1:11" ht="26.25" customHeight="1">
      <c r="A2151" s="343" t="s">
        <v>1813</v>
      </c>
      <c r="B2151" s="344" t="s">
        <v>162</v>
      </c>
      <c r="C2151" s="344">
        <v>6967</v>
      </c>
      <c r="D2151" s="343" t="s">
        <v>4885</v>
      </c>
      <c r="E2151" s="344">
        <v>4065484</v>
      </c>
      <c r="F2151" s="343" t="s">
        <v>4886</v>
      </c>
      <c r="G2151" s="360" t="s">
        <v>11557</v>
      </c>
      <c r="H2151" s="361">
        <v>42956</v>
      </c>
      <c r="I2151" s="343" t="s">
        <v>366</v>
      </c>
      <c r="J2151" s="343" t="s">
        <v>366</v>
      </c>
      <c r="K2151" s="343" t="s">
        <v>168</v>
      </c>
    </row>
    <row r="2152" spans="1:11" ht="26.25" customHeight="1">
      <c r="A2152" s="343" t="s">
        <v>1813</v>
      </c>
      <c r="B2152" s="344" t="s">
        <v>162</v>
      </c>
      <c r="C2152" s="344">
        <v>6979</v>
      </c>
      <c r="D2152" s="343" t="s">
        <v>4888</v>
      </c>
      <c r="E2152" s="344">
        <v>4186064</v>
      </c>
      <c r="F2152" s="343" t="s">
        <v>4889</v>
      </c>
      <c r="G2152" s="360" t="s">
        <v>10400</v>
      </c>
      <c r="H2152" s="361">
        <v>42958</v>
      </c>
      <c r="I2152" s="343" t="s">
        <v>4890</v>
      </c>
      <c r="J2152" s="343" t="s">
        <v>11558</v>
      </c>
      <c r="K2152" s="343" t="s">
        <v>168</v>
      </c>
    </row>
    <row r="2153" spans="1:11" ht="26.25" customHeight="1">
      <c r="A2153" s="343" t="s">
        <v>1813</v>
      </c>
      <c r="B2153" s="344" t="s">
        <v>162</v>
      </c>
      <c r="C2153" s="344">
        <v>7467</v>
      </c>
      <c r="D2153" s="343" t="s">
        <v>4735</v>
      </c>
      <c r="E2153" s="344">
        <v>6358718</v>
      </c>
      <c r="F2153" s="343" t="s">
        <v>4654</v>
      </c>
      <c r="G2153" s="360" t="s">
        <v>11559</v>
      </c>
      <c r="H2153" s="361">
        <v>42958</v>
      </c>
      <c r="I2153" s="343" t="s">
        <v>271</v>
      </c>
      <c r="J2153" s="343" t="s">
        <v>333</v>
      </c>
      <c r="K2153" s="343" t="s">
        <v>168</v>
      </c>
    </row>
    <row r="2154" spans="1:11" ht="26.25" customHeight="1">
      <c r="A2154" s="343" t="s">
        <v>1813</v>
      </c>
      <c r="B2154" s="344" t="s">
        <v>162</v>
      </c>
      <c r="C2154" s="344">
        <v>6978</v>
      </c>
      <c r="D2154" s="343" t="s">
        <v>4932</v>
      </c>
      <c r="E2154" s="344">
        <v>5154998</v>
      </c>
      <c r="F2154" s="343" t="s">
        <v>4933</v>
      </c>
      <c r="G2154" s="360" t="s">
        <v>11257</v>
      </c>
      <c r="H2154" s="361">
        <v>42962</v>
      </c>
      <c r="I2154" s="343" t="s">
        <v>180</v>
      </c>
      <c r="J2154" s="343" t="s">
        <v>11560</v>
      </c>
      <c r="K2154" s="343" t="s">
        <v>173</v>
      </c>
    </row>
    <row r="2155" spans="1:11" ht="26.25" customHeight="1">
      <c r="A2155" s="343" t="s">
        <v>1813</v>
      </c>
      <c r="B2155" s="344" t="s">
        <v>162</v>
      </c>
      <c r="C2155" s="344">
        <v>7166</v>
      </c>
      <c r="D2155" s="343" t="s">
        <v>4960</v>
      </c>
      <c r="E2155" s="344">
        <v>4460661</v>
      </c>
      <c r="F2155" s="343" t="s">
        <v>4961</v>
      </c>
      <c r="G2155" s="360" t="s">
        <v>11561</v>
      </c>
      <c r="H2155" s="361">
        <v>41712</v>
      </c>
      <c r="I2155" s="343" t="s">
        <v>193</v>
      </c>
      <c r="J2155" s="343" t="s">
        <v>11562</v>
      </c>
      <c r="K2155" s="343" t="s">
        <v>168</v>
      </c>
    </row>
    <row r="2156" spans="1:11" ht="26.25" customHeight="1">
      <c r="A2156" s="343" t="s">
        <v>1813</v>
      </c>
      <c r="B2156" s="344" t="s">
        <v>162</v>
      </c>
      <c r="C2156" s="344">
        <v>9850</v>
      </c>
      <c r="D2156" s="343" t="s">
        <v>4839</v>
      </c>
      <c r="E2156" s="344">
        <v>6863805</v>
      </c>
      <c r="F2156" s="343" t="s">
        <v>7107</v>
      </c>
      <c r="G2156" s="360" t="s">
        <v>11563</v>
      </c>
      <c r="H2156" s="361">
        <v>42971</v>
      </c>
      <c r="I2156" s="343" t="s">
        <v>3629</v>
      </c>
      <c r="J2156" s="343" t="s">
        <v>11564</v>
      </c>
      <c r="K2156" s="343" t="s">
        <v>168</v>
      </c>
    </row>
    <row r="2157" spans="1:11" ht="26.25" customHeight="1">
      <c r="A2157" s="343" t="s">
        <v>1813</v>
      </c>
      <c r="B2157" s="344" t="s">
        <v>162</v>
      </c>
      <c r="C2157" s="344">
        <v>10044</v>
      </c>
      <c r="D2157" s="343" t="s">
        <v>4807</v>
      </c>
      <c r="E2157" s="344">
        <v>5954699</v>
      </c>
      <c r="F2157" s="343" t="s">
        <v>4808</v>
      </c>
      <c r="G2157" s="360" t="s">
        <v>11565</v>
      </c>
      <c r="H2157" s="361">
        <v>42976</v>
      </c>
      <c r="I2157" s="343" t="s">
        <v>7331</v>
      </c>
      <c r="J2157" s="343" t="s">
        <v>11566</v>
      </c>
      <c r="K2157" s="343" t="s">
        <v>173</v>
      </c>
    </row>
    <row r="2158" spans="1:11" ht="26.25" customHeight="1">
      <c r="A2158" s="343" t="s">
        <v>1813</v>
      </c>
      <c r="B2158" s="344" t="s">
        <v>162</v>
      </c>
      <c r="C2158" s="344">
        <v>12890</v>
      </c>
      <c r="D2158" s="343" t="s">
        <v>5018</v>
      </c>
      <c r="E2158" s="344">
        <v>5916714</v>
      </c>
      <c r="F2158" s="343" t="s">
        <v>7108</v>
      </c>
      <c r="G2158" s="360" t="s">
        <v>11008</v>
      </c>
      <c r="H2158" s="361">
        <v>42977</v>
      </c>
      <c r="I2158" s="343" t="s">
        <v>3583</v>
      </c>
      <c r="J2158" s="343" t="s">
        <v>11567</v>
      </c>
      <c r="K2158" s="343" t="s">
        <v>173</v>
      </c>
    </row>
    <row r="2159" spans="1:11" ht="26.25" customHeight="1">
      <c r="A2159" s="343" t="s">
        <v>1813</v>
      </c>
      <c r="B2159" s="344" t="s">
        <v>162</v>
      </c>
      <c r="C2159" s="344">
        <v>6637</v>
      </c>
      <c r="D2159" s="343" t="s">
        <v>7035</v>
      </c>
      <c r="E2159" s="344">
        <v>5994964</v>
      </c>
      <c r="F2159" s="343" t="s">
        <v>7094</v>
      </c>
      <c r="G2159" s="360" t="s">
        <v>1198</v>
      </c>
      <c r="H2159" s="361">
        <v>42978</v>
      </c>
      <c r="I2159" s="343" t="s">
        <v>802</v>
      </c>
      <c r="J2159" s="343" t="s">
        <v>1075</v>
      </c>
      <c r="K2159" s="343" t="s">
        <v>168</v>
      </c>
    </row>
    <row r="2160" spans="1:11" ht="26.25" customHeight="1">
      <c r="A2160" s="343" t="s">
        <v>1813</v>
      </c>
      <c r="B2160" s="344" t="s">
        <v>162</v>
      </c>
      <c r="C2160" s="344">
        <v>6994</v>
      </c>
      <c r="D2160" s="343" t="s">
        <v>4939</v>
      </c>
      <c r="E2160" s="344">
        <v>6752159</v>
      </c>
      <c r="F2160" s="343" t="s">
        <v>7096</v>
      </c>
      <c r="G2160" s="360" t="s">
        <v>11568</v>
      </c>
      <c r="H2160" s="361">
        <v>42982</v>
      </c>
      <c r="I2160" s="343" t="s">
        <v>211</v>
      </c>
      <c r="J2160" s="343" t="s">
        <v>11569</v>
      </c>
      <c r="K2160" s="343" t="s">
        <v>168</v>
      </c>
    </row>
    <row r="2161" spans="1:11" ht="26.25" customHeight="1">
      <c r="A2161" s="343" t="s">
        <v>1813</v>
      </c>
      <c r="B2161" s="344" t="s">
        <v>162</v>
      </c>
      <c r="C2161" s="344">
        <v>7484</v>
      </c>
      <c r="D2161" s="343" t="s">
        <v>4823</v>
      </c>
      <c r="E2161" s="344">
        <v>6475175</v>
      </c>
      <c r="F2161" s="343" t="s">
        <v>7101</v>
      </c>
      <c r="G2161" s="360" t="s">
        <v>11570</v>
      </c>
      <c r="H2161" s="361">
        <v>42982</v>
      </c>
      <c r="I2161" s="343" t="s">
        <v>366</v>
      </c>
      <c r="J2161" s="343" t="s">
        <v>366</v>
      </c>
      <c r="K2161" s="343" t="s">
        <v>168</v>
      </c>
    </row>
    <row r="2162" spans="1:11" ht="26.25" customHeight="1">
      <c r="A2162" s="343" t="s">
        <v>1813</v>
      </c>
      <c r="B2162" s="344" t="s">
        <v>162</v>
      </c>
      <c r="C2162" s="344">
        <v>6821</v>
      </c>
      <c r="D2162" s="343" t="s">
        <v>5112</v>
      </c>
      <c r="E2162" s="344">
        <v>5855675</v>
      </c>
      <c r="F2162" s="343" t="s">
        <v>5045</v>
      </c>
      <c r="G2162" s="360" t="s">
        <v>9925</v>
      </c>
      <c r="H2162" s="361">
        <v>42983</v>
      </c>
      <c r="I2162" s="343" t="s">
        <v>465</v>
      </c>
      <c r="J2162" s="343" t="s">
        <v>1118</v>
      </c>
      <c r="K2162" s="343" t="s">
        <v>168</v>
      </c>
    </row>
    <row r="2163" spans="1:11" ht="26.25" customHeight="1">
      <c r="A2163" s="343" t="s">
        <v>1813</v>
      </c>
      <c r="B2163" s="344" t="s">
        <v>162</v>
      </c>
      <c r="C2163" s="344">
        <v>7469</v>
      </c>
      <c r="D2163" s="343" t="s">
        <v>4750</v>
      </c>
      <c r="E2163" s="344">
        <v>6588925</v>
      </c>
      <c r="F2163" s="343" t="s">
        <v>7100</v>
      </c>
      <c r="G2163" s="360" t="s">
        <v>11571</v>
      </c>
      <c r="H2163" s="361">
        <v>42983</v>
      </c>
      <c r="I2163" s="343" t="s">
        <v>193</v>
      </c>
      <c r="J2163" s="343" t="s">
        <v>1089</v>
      </c>
      <c r="K2163" s="343" t="s">
        <v>168</v>
      </c>
    </row>
    <row r="2164" spans="1:11" ht="26.25" customHeight="1">
      <c r="A2164" s="343" t="s">
        <v>1813</v>
      </c>
      <c r="B2164" s="344" t="s">
        <v>162</v>
      </c>
      <c r="C2164" s="344">
        <v>7510</v>
      </c>
      <c r="D2164" s="343" t="s">
        <v>4788</v>
      </c>
      <c r="E2164" s="344">
        <v>6718312</v>
      </c>
      <c r="F2164" s="343" t="s">
        <v>7103</v>
      </c>
      <c r="G2164" s="360" t="s">
        <v>11572</v>
      </c>
      <c r="H2164" s="361">
        <v>42989</v>
      </c>
      <c r="I2164" s="343" t="s">
        <v>7244</v>
      </c>
      <c r="J2164" s="343" t="s">
        <v>11573</v>
      </c>
      <c r="K2164" s="343" t="s">
        <v>173</v>
      </c>
    </row>
    <row r="2165" spans="1:11" ht="26.25" customHeight="1">
      <c r="A2165" s="343" t="s">
        <v>1813</v>
      </c>
      <c r="B2165" s="344" t="s">
        <v>162</v>
      </c>
      <c r="C2165" s="344">
        <v>7468</v>
      </c>
      <c r="D2165" s="343" t="s">
        <v>4811</v>
      </c>
      <c r="E2165" s="344">
        <v>6264169</v>
      </c>
      <c r="F2165" s="343" t="s">
        <v>7098</v>
      </c>
      <c r="G2165" s="360" t="s">
        <v>10808</v>
      </c>
      <c r="H2165" s="361">
        <v>42989</v>
      </c>
      <c r="I2165" s="343" t="s">
        <v>284</v>
      </c>
      <c r="J2165" s="343" t="s">
        <v>11574</v>
      </c>
      <c r="K2165" s="343" t="s">
        <v>168</v>
      </c>
    </row>
    <row r="2166" spans="1:11" ht="26.25" customHeight="1">
      <c r="A2166" s="343" t="s">
        <v>1813</v>
      </c>
      <c r="B2166" s="344" t="s">
        <v>162</v>
      </c>
      <c r="C2166" s="344">
        <v>7467</v>
      </c>
      <c r="D2166" s="343" t="s">
        <v>4735</v>
      </c>
      <c r="E2166" s="344">
        <v>6218428</v>
      </c>
      <c r="F2166" s="343" t="s">
        <v>7097</v>
      </c>
      <c r="G2166" s="360" t="s">
        <v>10501</v>
      </c>
      <c r="H2166" s="361">
        <v>42998</v>
      </c>
      <c r="I2166" s="343" t="s">
        <v>271</v>
      </c>
      <c r="J2166" s="343" t="s">
        <v>533</v>
      </c>
      <c r="K2166" s="343" t="s">
        <v>168</v>
      </c>
    </row>
    <row r="2167" spans="1:11" ht="26.25" customHeight="1">
      <c r="A2167" s="343" t="s">
        <v>1813</v>
      </c>
      <c r="B2167" s="344" t="s">
        <v>162</v>
      </c>
      <c r="C2167" s="344">
        <v>7488</v>
      </c>
      <c r="D2167" s="343" t="s">
        <v>4751</v>
      </c>
      <c r="E2167" s="344">
        <v>6793449</v>
      </c>
      <c r="F2167" s="343" t="s">
        <v>7102</v>
      </c>
      <c r="G2167" s="360" t="s">
        <v>10776</v>
      </c>
      <c r="H2167" s="361">
        <v>43003</v>
      </c>
      <c r="I2167" s="343" t="s">
        <v>3910</v>
      </c>
      <c r="J2167" s="343" t="s">
        <v>9985</v>
      </c>
      <c r="K2167" s="343" t="s">
        <v>173</v>
      </c>
    </row>
    <row r="2168" spans="1:11" ht="26.25" customHeight="1">
      <c r="A2168" s="343" t="s">
        <v>1813</v>
      </c>
      <c r="B2168" s="344" t="s">
        <v>162</v>
      </c>
      <c r="C2168" s="344">
        <v>9043</v>
      </c>
      <c r="D2168" s="343" t="s">
        <v>4996</v>
      </c>
      <c r="E2168" s="344">
        <v>6098239</v>
      </c>
      <c r="F2168" s="343" t="s">
        <v>7105</v>
      </c>
      <c r="G2168" s="360" t="s">
        <v>11575</v>
      </c>
      <c r="H2168" s="361">
        <v>43004</v>
      </c>
      <c r="I2168" s="343" t="s">
        <v>275</v>
      </c>
      <c r="J2168" s="343" t="s">
        <v>9392</v>
      </c>
      <c r="K2168" s="343" t="s">
        <v>173</v>
      </c>
    </row>
    <row r="2169" spans="1:11" ht="26.25" customHeight="1">
      <c r="A2169" s="343" t="s">
        <v>1813</v>
      </c>
      <c r="B2169" s="344" t="s">
        <v>162</v>
      </c>
      <c r="C2169" s="344">
        <v>7468</v>
      </c>
      <c r="D2169" s="343" t="s">
        <v>4811</v>
      </c>
      <c r="E2169" s="344">
        <v>6567297</v>
      </c>
      <c r="F2169" s="343" t="s">
        <v>7099</v>
      </c>
      <c r="G2169" s="360" t="s">
        <v>11576</v>
      </c>
      <c r="H2169" s="361">
        <v>43004</v>
      </c>
      <c r="I2169" s="343" t="s">
        <v>284</v>
      </c>
      <c r="J2169" s="343" t="s">
        <v>11574</v>
      </c>
      <c r="K2169" s="343" t="s">
        <v>168</v>
      </c>
    </row>
    <row r="2170" spans="1:11" ht="26.25" customHeight="1">
      <c r="A2170" s="343" t="s">
        <v>1813</v>
      </c>
      <c r="B2170" s="344" t="s">
        <v>162</v>
      </c>
      <c r="C2170" s="344">
        <v>8751</v>
      </c>
      <c r="D2170" s="343" t="s">
        <v>4987</v>
      </c>
      <c r="E2170" s="344">
        <v>4678542</v>
      </c>
      <c r="F2170" s="343" t="s">
        <v>7104</v>
      </c>
      <c r="G2170" s="360" t="s">
        <v>11577</v>
      </c>
      <c r="H2170" s="361">
        <v>43006</v>
      </c>
      <c r="I2170" s="343" t="s">
        <v>7245</v>
      </c>
      <c r="J2170" s="343" t="s">
        <v>11578</v>
      </c>
      <c r="K2170" s="343" t="s">
        <v>168</v>
      </c>
    </row>
    <row r="2171" spans="1:11" ht="26.25" customHeight="1">
      <c r="A2171" s="343" t="s">
        <v>1813</v>
      </c>
      <c r="B2171" s="344" t="s">
        <v>162</v>
      </c>
      <c r="C2171" s="344">
        <v>6632</v>
      </c>
      <c r="D2171" s="343" t="s">
        <v>7034</v>
      </c>
      <c r="E2171" s="344">
        <v>5725191</v>
      </c>
      <c r="F2171" s="343" t="s">
        <v>5040</v>
      </c>
      <c r="G2171" s="360" t="s">
        <v>10017</v>
      </c>
      <c r="H2171" s="361">
        <v>43006</v>
      </c>
      <c r="I2171" s="343" t="s">
        <v>514</v>
      </c>
      <c r="J2171" s="343" t="s">
        <v>11579</v>
      </c>
      <c r="K2171" s="343" t="s">
        <v>168</v>
      </c>
    </row>
    <row r="2172" spans="1:11" ht="26.25" customHeight="1">
      <c r="A2172" s="343" t="s">
        <v>1813</v>
      </c>
      <c r="B2172" s="344" t="s">
        <v>162</v>
      </c>
      <c r="C2172" s="344">
        <v>6820</v>
      </c>
      <c r="D2172" s="343" t="s">
        <v>5044</v>
      </c>
      <c r="E2172" s="344">
        <v>5653917</v>
      </c>
      <c r="F2172" s="343" t="s">
        <v>7095</v>
      </c>
      <c r="G2172" s="360" t="s">
        <v>9447</v>
      </c>
      <c r="H2172" s="361">
        <v>43006</v>
      </c>
      <c r="I2172" s="343" t="s">
        <v>261</v>
      </c>
      <c r="J2172" s="343" t="s">
        <v>11580</v>
      </c>
      <c r="K2172" s="343" t="s">
        <v>168</v>
      </c>
    </row>
    <row r="2173" spans="1:11" ht="26.25" customHeight="1">
      <c r="A2173" s="343" t="s">
        <v>1813</v>
      </c>
      <c r="B2173" s="344" t="s">
        <v>162</v>
      </c>
      <c r="C2173" s="344">
        <v>9043</v>
      </c>
      <c r="D2173" s="343" t="s">
        <v>4996</v>
      </c>
      <c r="E2173" s="344">
        <v>5574641</v>
      </c>
      <c r="F2173" s="343" t="s">
        <v>7106</v>
      </c>
      <c r="G2173" s="360" t="s">
        <v>11581</v>
      </c>
      <c r="H2173" s="361">
        <v>43010</v>
      </c>
      <c r="I2173" s="343" t="s">
        <v>198</v>
      </c>
      <c r="J2173" s="343" t="s">
        <v>198</v>
      </c>
      <c r="K2173" s="343" t="s">
        <v>168</v>
      </c>
    </row>
    <row r="2174" spans="1:11" ht="26.25" customHeight="1">
      <c r="A2174" s="343" t="s">
        <v>1813</v>
      </c>
      <c r="B2174" s="344" t="s">
        <v>162</v>
      </c>
      <c r="C2174" s="344">
        <v>6635</v>
      </c>
      <c r="D2174" s="343" t="s">
        <v>5072</v>
      </c>
      <c r="E2174" s="344">
        <v>5939144</v>
      </c>
      <c r="F2174" s="343" t="s">
        <v>7093</v>
      </c>
      <c r="G2174" s="360" t="s">
        <v>9901</v>
      </c>
      <c r="H2174" s="361">
        <v>43012</v>
      </c>
      <c r="I2174" s="343" t="s">
        <v>742</v>
      </c>
      <c r="J2174" s="343" t="s">
        <v>11582</v>
      </c>
      <c r="K2174" s="343" t="s">
        <v>168</v>
      </c>
    </row>
    <row r="2175" spans="1:11" ht="26.25" customHeight="1">
      <c r="A2175" s="343" t="s">
        <v>1813</v>
      </c>
      <c r="B2175" s="344" t="s">
        <v>162</v>
      </c>
      <c r="C2175" s="344">
        <v>7166</v>
      </c>
      <c r="D2175" s="343" t="s">
        <v>4960</v>
      </c>
      <c r="E2175" s="344">
        <v>4501035</v>
      </c>
      <c r="F2175" s="343" t="s">
        <v>4962</v>
      </c>
      <c r="G2175" s="360" t="s">
        <v>11583</v>
      </c>
      <c r="H2175" s="361">
        <v>43017</v>
      </c>
      <c r="I2175" s="343" t="s">
        <v>301</v>
      </c>
      <c r="J2175" s="343" t="s">
        <v>11584</v>
      </c>
      <c r="K2175" s="343" t="s">
        <v>168</v>
      </c>
    </row>
    <row r="2176" spans="1:11" ht="26.25" customHeight="1">
      <c r="A2176" s="343" t="s">
        <v>1813</v>
      </c>
      <c r="B2176" s="344" t="s">
        <v>162</v>
      </c>
      <c r="C2176" s="344">
        <v>12890</v>
      </c>
      <c r="D2176" s="343" t="s">
        <v>5018</v>
      </c>
      <c r="E2176" s="344">
        <v>5968801</v>
      </c>
      <c r="F2176" s="343" t="s">
        <v>7336</v>
      </c>
      <c r="G2176" s="360" t="s">
        <v>9408</v>
      </c>
      <c r="H2176" s="361">
        <v>43017</v>
      </c>
      <c r="I2176" s="343" t="s">
        <v>3567</v>
      </c>
      <c r="J2176" s="343" t="s">
        <v>11585</v>
      </c>
      <c r="K2176" s="343" t="s">
        <v>173</v>
      </c>
    </row>
    <row r="2177" spans="1:11" ht="26.25" customHeight="1">
      <c r="A2177" s="343" t="s">
        <v>1813</v>
      </c>
      <c r="B2177" s="344" t="s">
        <v>162</v>
      </c>
      <c r="C2177" s="344">
        <v>6809</v>
      </c>
      <c r="D2177" s="343" t="s">
        <v>5123</v>
      </c>
      <c r="E2177" s="344">
        <v>5805520</v>
      </c>
      <c r="F2177" s="343" t="s">
        <v>7314</v>
      </c>
      <c r="G2177" s="360" t="s">
        <v>11586</v>
      </c>
      <c r="H2177" s="361">
        <v>43019</v>
      </c>
      <c r="I2177" s="343" t="s">
        <v>193</v>
      </c>
      <c r="J2177" s="343" t="s">
        <v>637</v>
      </c>
      <c r="K2177" s="343" t="s">
        <v>168</v>
      </c>
    </row>
    <row r="2178" spans="1:11" ht="26.25" customHeight="1">
      <c r="A2178" s="343" t="s">
        <v>1813</v>
      </c>
      <c r="B2178" s="344" t="s">
        <v>162</v>
      </c>
      <c r="C2178" s="344">
        <v>8751</v>
      </c>
      <c r="D2178" s="343" t="s">
        <v>4987</v>
      </c>
      <c r="E2178" s="344">
        <v>5759066</v>
      </c>
      <c r="F2178" s="343" t="s">
        <v>7323</v>
      </c>
      <c r="G2178" s="360" t="s">
        <v>11587</v>
      </c>
      <c r="H2178" s="361">
        <v>43026</v>
      </c>
      <c r="I2178" s="343" t="s">
        <v>7324</v>
      </c>
      <c r="J2178" s="343" t="s">
        <v>11588</v>
      </c>
      <c r="K2178" s="343" t="s">
        <v>168</v>
      </c>
    </row>
    <row r="2179" spans="1:11" ht="26.25" customHeight="1">
      <c r="A2179" s="343" t="s">
        <v>1813</v>
      </c>
      <c r="B2179" s="344" t="s">
        <v>162</v>
      </c>
      <c r="C2179" s="344">
        <v>9480</v>
      </c>
      <c r="D2179" s="343" t="s">
        <v>4857</v>
      </c>
      <c r="E2179" s="344">
        <v>5149963</v>
      </c>
      <c r="F2179" s="343" t="s">
        <v>7325</v>
      </c>
      <c r="G2179" s="360" t="s">
        <v>9808</v>
      </c>
      <c r="H2179" s="361">
        <v>43034</v>
      </c>
      <c r="I2179" s="343" t="s">
        <v>5790</v>
      </c>
      <c r="J2179" s="343" t="s">
        <v>10591</v>
      </c>
      <c r="K2179" s="343" t="s">
        <v>248</v>
      </c>
    </row>
    <row r="2180" spans="1:11" ht="26.25" customHeight="1">
      <c r="A2180" s="343" t="s">
        <v>1813</v>
      </c>
      <c r="B2180" s="344" t="s">
        <v>162</v>
      </c>
      <c r="C2180" s="344">
        <v>9482</v>
      </c>
      <c r="D2180" s="343" t="s">
        <v>5092</v>
      </c>
      <c r="E2180" s="344">
        <v>6581840</v>
      </c>
      <c r="F2180" s="343" t="s">
        <v>5093</v>
      </c>
      <c r="G2180" s="360" t="s">
        <v>10660</v>
      </c>
      <c r="H2180" s="361">
        <v>43034</v>
      </c>
      <c r="I2180" s="343" t="s">
        <v>166</v>
      </c>
      <c r="J2180" s="343" t="s">
        <v>327</v>
      </c>
      <c r="K2180" s="343" t="s">
        <v>168</v>
      </c>
    </row>
    <row r="2181" spans="1:11" ht="26.25" customHeight="1">
      <c r="A2181" s="343" t="s">
        <v>1813</v>
      </c>
      <c r="B2181" s="344" t="s">
        <v>162</v>
      </c>
      <c r="C2181" s="344">
        <v>9480</v>
      </c>
      <c r="D2181" s="343" t="s">
        <v>4857</v>
      </c>
      <c r="E2181" s="344">
        <v>4659539</v>
      </c>
      <c r="F2181" s="343" t="s">
        <v>7326</v>
      </c>
      <c r="G2181" s="360" t="s">
        <v>11589</v>
      </c>
      <c r="H2181" s="361">
        <v>43034</v>
      </c>
      <c r="I2181" s="343" t="s">
        <v>198</v>
      </c>
      <c r="J2181" s="343" t="s">
        <v>198</v>
      </c>
      <c r="K2181" s="343" t="s">
        <v>168</v>
      </c>
    </row>
    <row r="2182" spans="1:11" ht="26.25" customHeight="1">
      <c r="A2182" s="343" t="s">
        <v>1813</v>
      </c>
      <c r="B2182" s="344" t="s">
        <v>162</v>
      </c>
      <c r="C2182" s="344">
        <v>9480</v>
      </c>
      <c r="D2182" s="343" t="s">
        <v>4857</v>
      </c>
      <c r="E2182" s="344">
        <v>4720004</v>
      </c>
      <c r="F2182" s="343" t="s">
        <v>7327</v>
      </c>
      <c r="G2182" s="360" t="s">
        <v>11036</v>
      </c>
      <c r="H2182" s="361">
        <v>43040</v>
      </c>
      <c r="I2182" s="343" t="s">
        <v>366</v>
      </c>
      <c r="J2182" s="343" t="s">
        <v>366</v>
      </c>
      <c r="K2182" s="343" t="s">
        <v>168</v>
      </c>
    </row>
    <row r="2183" spans="1:11" ht="26.25" customHeight="1">
      <c r="A2183" s="343" t="s">
        <v>1813</v>
      </c>
      <c r="B2183" s="344" t="s">
        <v>162</v>
      </c>
      <c r="C2183" s="344">
        <v>7477</v>
      </c>
      <c r="D2183" s="343" t="s">
        <v>4761</v>
      </c>
      <c r="E2183" s="344">
        <v>6702285</v>
      </c>
      <c r="F2183" s="343" t="s">
        <v>7316</v>
      </c>
      <c r="G2183" s="360" t="s">
        <v>11590</v>
      </c>
      <c r="H2183" s="361">
        <v>43040</v>
      </c>
      <c r="I2183" s="343" t="s">
        <v>7317</v>
      </c>
      <c r="J2183" s="343" t="s">
        <v>11591</v>
      </c>
      <c r="K2183" s="343" t="s">
        <v>248</v>
      </c>
    </row>
    <row r="2184" spans="1:11" ht="26.25" customHeight="1">
      <c r="A2184" s="343" t="s">
        <v>1813</v>
      </c>
      <c r="B2184" s="344" t="s">
        <v>162</v>
      </c>
      <c r="C2184" s="344">
        <v>7477</v>
      </c>
      <c r="D2184" s="343" t="s">
        <v>4761</v>
      </c>
      <c r="E2184" s="344">
        <v>6702301</v>
      </c>
      <c r="F2184" s="343" t="s">
        <v>7318</v>
      </c>
      <c r="G2184" s="360" t="s">
        <v>11590</v>
      </c>
      <c r="H2184" s="361">
        <v>43040</v>
      </c>
      <c r="I2184" s="343" t="s">
        <v>7319</v>
      </c>
      <c r="J2184" s="343" t="s">
        <v>11592</v>
      </c>
      <c r="K2184" s="343" t="s">
        <v>248</v>
      </c>
    </row>
    <row r="2185" spans="1:11" ht="26.25" customHeight="1">
      <c r="A2185" s="343" t="s">
        <v>1813</v>
      </c>
      <c r="B2185" s="344" t="s">
        <v>162</v>
      </c>
      <c r="C2185" s="344">
        <v>6638</v>
      </c>
      <c r="D2185" s="343" t="s">
        <v>7036</v>
      </c>
      <c r="E2185" s="344">
        <v>6628632</v>
      </c>
      <c r="F2185" s="343" t="s">
        <v>7313</v>
      </c>
      <c r="G2185" s="360" t="s">
        <v>11473</v>
      </c>
      <c r="H2185" s="361">
        <v>43040</v>
      </c>
      <c r="I2185" s="343" t="s">
        <v>6056</v>
      </c>
      <c r="J2185" s="343" t="s">
        <v>11593</v>
      </c>
      <c r="K2185" s="343" t="s">
        <v>168</v>
      </c>
    </row>
    <row r="2186" spans="1:11" ht="26.25" customHeight="1">
      <c r="A2186" s="343" t="s">
        <v>1813</v>
      </c>
      <c r="B2186" s="344" t="s">
        <v>162</v>
      </c>
      <c r="C2186" s="344">
        <v>9480</v>
      </c>
      <c r="D2186" s="343" t="s">
        <v>4857</v>
      </c>
      <c r="E2186" s="344">
        <v>5301219</v>
      </c>
      <c r="F2186" s="343" t="s">
        <v>7328</v>
      </c>
      <c r="G2186" s="360" t="s">
        <v>11372</v>
      </c>
      <c r="H2186" s="361">
        <v>43040</v>
      </c>
      <c r="I2186" s="343" t="s">
        <v>198</v>
      </c>
      <c r="J2186" s="343" t="s">
        <v>198</v>
      </c>
      <c r="K2186" s="343" t="s">
        <v>168</v>
      </c>
    </row>
    <row r="2187" spans="1:11" ht="26.25" customHeight="1">
      <c r="A2187" s="343" t="s">
        <v>1813</v>
      </c>
      <c r="B2187" s="344" t="s">
        <v>162</v>
      </c>
      <c r="C2187" s="344">
        <v>9480</v>
      </c>
      <c r="D2187" s="343" t="s">
        <v>4857</v>
      </c>
      <c r="E2187" s="344">
        <v>4774436</v>
      </c>
      <c r="F2187" s="343" t="s">
        <v>7329</v>
      </c>
      <c r="G2187" s="360" t="s">
        <v>11594</v>
      </c>
      <c r="H2187" s="361">
        <v>43040</v>
      </c>
      <c r="I2187" s="343" t="s">
        <v>198</v>
      </c>
      <c r="J2187" s="343" t="s">
        <v>198</v>
      </c>
      <c r="K2187" s="343" t="s">
        <v>168</v>
      </c>
    </row>
    <row r="2188" spans="1:11" ht="26.25" customHeight="1">
      <c r="A2188" s="343" t="s">
        <v>1813</v>
      </c>
      <c r="B2188" s="344" t="s">
        <v>162</v>
      </c>
      <c r="C2188" s="344">
        <v>10045</v>
      </c>
      <c r="D2188" s="343" t="s">
        <v>5134</v>
      </c>
      <c r="E2188" s="344">
        <v>5765123</v>
      </c>
      <c r="F2188" s="343" t="s">
        <v>7332</v>
      </c>
      <c r="G2188" s="360" t="s">
        <v>11595</v>
      </c>
      <c r="H2188" s="361">
        <v>43048</v>
      </c>
      <c r="I2188" s="343" t="s">
        <v>366</v>
      </c>
      <c r="J2188" s="343" t="s">
        <v>366</v>
      </c>
      <c r="K2188" s="343" t="s">
        <v>168</v>
      </c>
    </row>
    <row r="2189" spans="1:11" ht="26.25" customHeight="1">
      <c r="A2189" s="343" t="s">
        <v>1813</v>
      </c>
      <c r="B2189" s="344" t="s">
        <v>162</v>
      </c>
      <c r="C2189" s="344">
        <v>6993</v>
      </c>
      <c r="D2189" s="343" t="s">
        <v>4906</v>
      </c>
      <c r="E2189" s="344">
        <v>5236727</v>
      </c>
      <c r="F2189" s="343" t="s">
        <v>834</v>
      </c>
      <c r="G2189" s="360" t="s">
        <v>11596</v>
      </c>
      <c r="H2189" s="361">
        <v>43055</v>
      </c>
      <c r="I2189" s="343" t="s">
        <v>349</v>
      </c>
      <c r="J2189" s="343" t="s">
        <v>9927</v>
      </c>
      <c r="K2189" s="343" t="s">
        <v>168</v>
      </c>
    </row>
    <row r="2190" spans="1:11" ht="26.25" customHeight="1">
      <c r="A2190" s="343" t="s">
        <v>1813</v>
      </c>
      <c r="B2190" s="344" t="s">
        <v>162</v>
      </c>
      <c r="C2190" s="344">
        <v>11093</v>
      </c>
      <c r="D2190" s="343" t="s">
        <v>4827</v>
      </c>
      <c r="E2190" s="344">
        <v>6427911</v>
      </c>
      <c r="F2190" s="343" t="s">
        <v>7333</v>
      </c>
      <c r="G2190" s="360" t="s">
        <v>11597</v>
      </c>
      <c r="H2190" s="361">
        <v>43055</v>
      </c>
      <c r="I2190" s="343" t="s">
        <v>423</v>
      </c>
      <c r="J2190" s="343" t="s">
        <v>11598</v>
      </c>
      <c r="K2190" s="343" t="s">
        <v>168</v>
      </c>
    </row>
    <row r="2191" spans="1:11" ht="26.25" customHeight="1">
      <c r="A2191" s="343" t="s">
        <v>1813</v>
      </c>
      <c r="B2191" s="344" t="s">
        <v>162</v>
      </c>
      <c r="C2191" s="344">
        <v>12097</v>
      </c>
      <c r="D2191" s="343" t="s">
        <v>4950</v>
      </c>
      <c r="E2191" s="344">
        <v>5931453</v>
      </c>
      <c r="F2191" s="343" t="s">
        <v>7335</v>
      </c>
      <c r="G2191" s="360" t="s">
        <v>11599</v>
      </c>
      <c r="H2191" s="361">
        <v>43055</v>
      </c>
      <c r="I2191" s="343" t="s">
        <v>4646</v>
      </c>
      <c r="J2191" s="343" t="s">
        <v>11600</v>
      </c>
      <c r="K2191" s="343" t="s">
        <v>248</v>
      </c>
    </row>
    <row r="2192" spans="1:11" ht="26.25" customHeight="1">
      <c r="A2192" s="343" t="s">
        <v>1813</v>
      </c>
      <c r="B2192" s="344" t="s">
        <v>162</v>
      </c>
      <c r="C2192" s="344">
        <v>12097</v>
      </c>
      <c r="D2192" s="343" t="s">
        <v>4950</v>
      </c>
      <c r="E2192" s="344">
        <v>4617082</v>
      </c>
      <c r="F2192" s="343" t="s">
        <v>7421</v>
      </c>
      <c r="G2192" s="360" t="s">
        <v>11601</v>
      </c>
      <c r="H2192" s="361">
        <v>43061</v>
      </c>
      <c r="I2192" s="343" t="s">
        <v>211</v>
      </c>
      <c r="J2192" s="343" t="s">
        <v>211</v>
      </c>
      <c r="K2192" s="343" t="s">
        <v>168</v>
      </c>
    </row>
    <row r="2193" spans="1:11" ht="26.25" customHeight="1">
      <c r="A2193" s="343" t="s">
        <v>1813</v>
      </c>
      <c r="B2193" s="344" t="s">
        <v>162</v>
      </c>
      <c r="C2193" s="344">
        <v>12103</v>
      </c>
      <c r="D2193" s="343" t="s">
        <v>4874</v>
      </c>
      <c r="E2193" s="344">
        <v>5867670</v>
      </c>
      <c r="F2193" s="343" t="s">
        <v>7422</v>
      </c>
      <c r="G2193" s="360" t="s">
        <v>9909</v>
      </c>
      <c r="H2193" s="361">
        <v>43061</v>
      </c>
      <c r="I2193" s="343" t="s">
        <v>193</v>
      </c>
      <c r="J2193" s="343" t="s">
        <v>9511</v>
      </c>
      <c r="K2193" s="343" t="s">
        <v>168</v>
      </c>
    </row>
    <row r="2194" spans="1:11" ht="26.25" customHeight="1">
      <c r="A2194" s="343" t="s">
        <v>1813</v>
      </c>
      <c r="B2194" s="344" t="s">
        <v>162</v>
      </c>
      <c r="C2194" s="344">
        <v>9184</v>
      </c>
      <c r="D2194" s="343" t="s">
        <v>4979</v>
      </c>
      <c r="E2194" s="344">
        <v>5235637</v>
      </c>
      <c r="F2194" s="343" t="s">
        <v>4985</v>
      </c>
      <c r="G2194" s="360" t="s">
        <v>11602</v>
      </c>
      <c r="H2194" s="361">
        <v>43061</v>
      </c>
      <c r="I2194" s="343" t="s">
        <v>7419</v>
      </c>
      <c r="J2194" s="343" t="s">
        <v>11603</v>
      </c>
      <c r="K2194" s="343" t="s">
        <v>248</v>
      </c>
    </row>
    <row r="2195" spans="1:11" ht="26.25" customHeight="1">
      <c r="A2195" s="343" t="s">
        <v>1813</v>
      </c>
      <c r="B2195" s="344" t="s">
        <v>162</v>
      </c>
      <c r="C2195" s="344">
        <v>6631</v>
      </c>
      <c r="D2195" s="343" t="s">
        <v>7033</v>
      </c>
      <c r="E2195" s="344">
        <v>6222969</v>
      </c>
      <c r="F2195" s="343" t="s">
        <v>7417</v>
      </c>
      <c r="G2195" s="360" t="s">
        <v>10979</v>
      </c>
      <c r="H2195" s="361">
        <v>43074</v>
      </c>
      <c r="I2195" s="343" t="s">
        <v>366</v>
      </c>
      <c r="J2195" s="343" t="s">
        <v>11604</v>
      </c>
      <c r="K2195" s="343" t="s">
        <v>168</v>
      </c>
    </row>
    <row r="2196" spans="1:11" ht="26.25" customHeight="1">
      <c r="A2196" s="343" t="s">
        <v>1813</v>
      </c>
      <c r="B2196" s="344" t="s">
        <v>162</v>
      </c>
      <c r="C2196" s="344">
        <v>7483</v>
      </c>
      <c r="D2196" s="343" t="s">
        <v>4758</v>
      </c>
      <c r="E2196" s="344">
        <v>6522122</v>
      </c>
      <c r="F2196" s="343" t="s">
        <v>7479</v>
      </c>
      <c r="G2196" s="360" t="s">
        <v>11605</v>
      </c>
      <c r="H2196" s="361">
        <v>43080</v>
      </c>
      <c r="I2196" s="343" t="s">
        <v>313</v>
      </c>
      <c r="J2196" s="343" t="s">
        <v>397</v>
      </c>
      <c r="K2196" s="343" t="s">
        <v>173</v>
      </c>
    </row>
    <row r="2197" spans="1:11" ht="26.25" customHeight="1">
      <c r="A2197" s="343" t="s">
        <v>1813</v>
      </c>
      <c r="B2197" s="344" t="s">
        <v>162</v>
      </c>
      <c r="C2197" s="344">
        <v>7468</v>
      </c>
      <c r="D2197" s="343" t="s">
        <v>4811</v>
      </c>
      <c r="E2197" s="344">
        <v>6553966</v>
      </c>
      <c r="F2197" s="343" t="s">
        <v>7476</v>
      </c>
      <c r="G2197" s="360" t="s">
        <v>11606</v>
      </c>
      <c r="H2197" s="361">
        <v>43080</v>
      </c>
      <c r="I2197" s="343" t="s">
        <v>166</v>
      </c>
      <c r="J2197" s="343" t="s">
        <v>327</v>
      </c>
      <c r="K2197" s="343" t="s">
        <v>168</v>
      </c>
    </row>
    <row r="2198" spans="1:11" ht="26.25" customHeight="1">
      <c r="A2198" s="343" t="s">
        <v>1813</v>
      </c>
      <c r="B2198" s="344" t="s">
        <v>162</v>
      </c>
      <c r="C2198" s="344">
        <v>9850</v>
      </c>
      <c r="D2198" s="343" t="s">
        <v>4839</v>
      </c>
      <c r="E2198" s="344">
        <v>6448009</v>
      </c>
      <c r="F2198" s="343" t="s">
        <v>7483</v>
      </c>
      <c r="G2198" s="360" t="s">
        <v>9528</v>
      </c>
      <c r="H2198" s="361">
        <v>43102</v>
      </c>
      <c r="I2198" s="343" t="s">
        <v>193</v>
      </c>
      <c r="J2198" s="343" t="s">
        <v>612</v>
      </c>
      <c r="K2198" s="343" t="s">
        <v>168</v>
      </c>
    </row>
    <row r="2199" spans="1:11" ht="26.25" customHeight="1">
      <c r="A2199" s="343" t="s">
        <v>1813</v>
      </c>
      <c r="B2199" s="344" t="s">
        <v>162</v>
      </c>
      <c r="C2199" s="344">
        <v>6639</v>
      </c>
      <c r="D2199" s="343" t="s">
        <v>7037</v>
      </c>
      <c r="E2199" s="344">
        <v>6105778</v>
      </c>
      <c r="F2199" s="343" t="s">
        <v>7474</v>
      </c>
      <c r="G2199" s="360" t="s">
        <v>11139</v>
      </c>
      <c r="H2199" s="361">
        <v>43102</v>
      </c>
      <c r="I2199" s="343" t="s">
        <v>166</v>
      </c>
      <c r="J2199" s="343" t="s">
        <v>296</v>
      </c>
      <c r="K2199" s="343" t="s">
        <v>168</v>
      </c>
    </row>
    <row r="2200" spans="1:11" ht="26.25" customHeight="1">
      <c r="A2200" s="343" t="s">
        <v>1813</v>
      </c>
      <c r="B2200" s="344" t="s">
        <v>162</v>
      </c>
      <c r="C2200" s="344">
        <v>9560</v>
      </c>
      <c r="D2200" s="343" t="s">
        <v>4799</v>
      </c>
      <c r="E2200" s="344">
        <v>6693272</v>
      </c>
      <c r="F2200" s="343" t="s">
        <v>7481</v>
      </c>
      <c r="G2200" s="360" t="s">
        <v>11607</v>
      </c>
      <c r="H2200" s="361">
        <v>43105</v>
      </c>
      <c r="I2200" s="343" t="s">
        <v>802</v>
      </c>
      <c r="J2200" s="343" t="s">
        <v>11608</v>
      </c>
      <c r="K2200" s="343" t="s">
        <v>248</v>
      </c>
    </row>
    <row r="2201" spans="1:11" ht="26.25" customHeight="1">
      <c r="A2201" s="343" t="s">
        <v>1813</v>
      </c>
      <c r="B2201" s="344" t="s">
        <v>162</v>
      </c>
      <c r="C2201" s="344">
        <v>9850</v>
      </c>
      <c r="D2201" s="343" t="s">
        <v>4839</v>
      </c>
      <c r="E2201" s="344">
        <v>6913158</v>
      </c>
      <c r="F2201" s="343" t="s">
        <v>7484</v>
      </c>
      <c r="G2201" s="360" t="s">
        <v>11609</v>
      </c>
      <c r="H2201" s="361">
        <v>43119</v>
      </c>
      <c r="I2201" s="343" t="s">
        <v>166</v>
      </c>
      <c r="J2201" s="343" t="s">
        <v>11610</v>
      </c>
      <c r="K2201" s="343" t="s">
        <v>248</v>
      </c>
    </row>
    <row r="2202" spans="1:11" ht="26.25" customHeight="1">
      <c r="A2202" s="343" t="s">
        <v>1813</v>
      </c>
      <c r="B2202" s="344" t="s">
        <v>162</v>
      </c>
      <c r="C2202" s="344">
        <v>9560</v>
      </c>
      <c r="D2202" s="343" t="s">
        <v>4799</v>
      </c>
      <c r="E2202" s="344">
        <v>6575924</v>
      </c>
      <c r="F2202" s="343" t="s">
        <v>7482</v>
      </c>
      <c r="G2202" s="360" t="s">
        <v>9728</v>
      </c>
      <c r="H2202" s="361">
        <v>43119</v>
      </c>
      <c r="I2202" s="343" t="s">
        <v>802</v>
      </c>
      <c r="J2202" s="343" t="s">
        <v>11611</v>
      </c>
      <c r="K2202" s="343" t="s">
        <v>168</v>
      </c>
    </row>
    <row r="2203" spans="1:11" ht="26.25" customHeight="1">
      <c r="A2203" s="343" t="s">
        <v>1813</v>
      </c>
      <c r="B2203" s="344" t="s">
        <v>162</v>
      </c>
      <c r="C2203" s="344">
        <v>10044</v>
      </c>
      <c r="D2203" s="343" t="s">
        <v>4807</v>
      </c>
      <c r="E2203" s="344">
        <v>6822436</v>
      </c>
      <c r="F2203" s="343" t="s">
        <v>7486</v>
      </c>
      <c r="G2203" s="360" t="s">
        <v>10662</v>
      </c>
      <c r="H2203" s="361">
        <v>43122</v>
      </c>
      <c r="I2203" s="343" t="s">
        <v>166</v>
      </c>
      <c r="J2203" s="343" t="s">
        <v>417</v>
      </c>
      <c r="K2203" s="343" t="s">
        <v>248</v>
      </c>
    </row>
    <row r="2204" spans="1:11" ht="26.25" customHeight="1">
      <c r="A2204" s="343" t="s">
        <v>1813</v>
      </c>
      <c r="B2204" s="344" t="s">
        <v>162</v>
      </c>
      <c r="C2204" s="344">
        <v>9494</v>
      </c>
      <c r="D2204" s="343" t="s">
        <v>5054</v>
      </c>
      <c r="E2204" s="344">
        <v>6227531</v>
      </c>
      <c r="F2204" s="343" t="s">
        <v>7480</v>
      </c>
      <c r="G2204" s="360" t="s">
        <v>11612</v>
      </c>
      <c r="H2204" s="361">
        <v>43122</v>
      </c>
      <c r="I2204" s="343" t="s">
        <v>193</v>
      </c>
      <c r="J2204" s="343" t="s">
        <v>637</v>
      </c>
      <c r="K2204" s="343" t="s">
        <v>168</v>
      </c>
    </row>
    <row r="2205" spans="1:11" ht="26.25" customHeight="1">
      <c r="A2205" s="343" t="s">
        <v>1813</v>
      </c>
      <c r="B2205" s="344" t="s">
        <v>162</v>
      </c>
      <c r="C2205" s="344">
        <v>12103</v>
      </c>
      <c r="D2205" s="343" t="s">
        <v>4874</v>
      </c>
      <c r="E2205" s="344">
        <v>6156933</v>
      </c>
      <c r="F2205" s="343" t="s">
        <v>7488</v>
      </c>
      <c r="G2205" s="360" t="s">
        <v>11613</v>
      </c>
      <c r="H2205" s="361">
        <v>43122</v>
      </c>
      <c r="I2205" s="343" t="s">
        <v>366</v>
      </c>
      <c r="J2205" s="343" t="s">
        <v>366</v>
      </c>
      <c r="K2205" s="343" t="s">
        <v>168</v>
      </c>
    </row>
    <row r="2206" spans="1:11" ht="26.25" customHeight="1">
      <c r="A2206" s="343" t="s">
        <v>1813</v>
      </c>
      <c r="B2206" s="344" t="s">
        <v>162</v>
      </c>
      <c r="C2206" s="344">
        <v>6644</v>
      </c>
      <c r="D2206" s="343" t="s">
        <v>5084</v>
      </c>
      <c r="E2206" s="344">
        <v>6464609</v>
      </c>
      <c r="F2206" s="343" t="s">
        <v>7475</v>
      </c>
      <c r="G2206" s="360" t="s">
        <v>11553</v>
      </c>
      <c r="H2206" s="361">
        <v>43122</v>
      </c>
      <c r="I2206" s="343" t="s">
        <v>193</v>
      </c>
      <c r="J2206" s="343" t="s">
        <v>637</v>
      </c>
      <c r="K2206" s="343" t="s">
        <v>168</v>
      </c>
    </row>
    <row r="2207" spans="1:11" ht="26.25" customHeight="1">
      <c r="A2207" s="343" t="s">
        <v>1813</v>
      </c>
      <c r="B2207" s="344" t="s">
        <v>162</v>
      </c>
      <c r="C2207" s="344">
        <v>10045</v>
      </c>
      <c r="D2207" s="343" t="s">
        <v>5134</v>
      </c>
      <c r="E2207" s="344">
        <v>6353112</v>
      </c>
      <c r="F2207" s="343" t="s">
        <v>7487</v>
      </c>
      <c r="G2207" s="360" t="s">
        <v>11123</v>
      </c>
      <c r="H2207" s="361">
        <v>43122</v>
      </c>
      <c r="I2207" s="343" t="s">
        <v>193</v>
      </c>
      <c r="J2207" s="343" t="s">
        <v>509</v>
      </c>
      <c r="K2207" s="343" t="s">
        <v>168</v>
      </c>
    </row>
    <row r="2208" spans="1:11" ht="26.25" customHeight="1">
      <c r="A2208" s="343" t="s">
        <v>1813</v>
      </c>
      <c r="B2208" s="344" t="s">
        <v>162</v>
      </c>
      <c r="C2208" s="344">
        <v>8935</v>
      </c>
      <c r="D2208" s="343" t="s">
        <v>5151</v>
      </c>
      <c r="E2208" s="344">
        <v>6071958</v>
      </c>
      <c r="F2208" s="343" t="s">
        <v>4768</v>
      </c>
      <c r="G2208" s="360" t="s">
        <v>11614</v>
      </c>
      <c r="H2208" s="361">
        <v>43122</v>
      </c>
      <c r="I2208" s="343" t="s">
        <v>166</v>
      </c>
      <c r="J2208" s="343" t="s">
        <v>327</v>
      </c>
      <c r="K2208" s="343" t="s">
        <v>168</v>
      </c>
    </row>
    <row r="2209" spans="1:11" ht="26.25" customHeight="1">
      <c r="A2209" s="343" t="s">
        <v>1813</v>
      </c>
      <c r="B2209" s="344" t="s">
        <v>162</v>
      </c>
      <c r="C2209" s="344">
        <v>7477</v>
      </c>
      <c r="D2209" s="343" t="s">
        <v>4761</v>
      </c>
      <c r="E2209" s="344">
        <v>6786694</v>
      </c>
      <c r="F2209" s="343" t="s">
        <v>7477</v>
      </c>
      <c r="G2209" s="360" t="s">
        <v>11615</v>
      </c>
      <c r="H2209" s="361">
        <v>43122</v>
      </c>
      <c r="I2209" s="343" t="s">
        <v>7478</v>
      </c>
      <c r="J2209" s="343" t="s">
        <v>11616</v>
      </c>
      <c r="K2209" s="343" t="s">
        <v>168</v>
      </c>
    </row>
    <row r="2210" spans="1:11" ht="26.25" customHeight="1">
      <c r="A2210" s="343" t="s">
        <v>1813</v>
      </c>
      <c r="B2210" s="344" t="s">
        <v>162</v>
      </c>
      <c r="C2210" s="344">
        <v>9481</v>
      </c>
      <c r="D2210" s="343" t="s">
        <v>5059</v>
      </c>
      <c r="E2210" s="344">
        <v>6610353</v>
      </c>
      <c r="F2210" s="343" t="s">
        <v>7538</v>
      </c>
      <c r="G2210" s="360" t="s">
        <v>11617</v>
      </c>
      <c r="H2210" s="361">
        <v>43132</v>
      </c>
      <c r="I2210" s="343" t="s">
        <v>366</v>
      </c>
      <c r="J2210" s="343" t="s">
        <v>366</v>
      </c>
      <c r="K2210" s="343" t="s">
        <v>168</v>
      </c>
    </row>
    <row r="2211" spans="1:11" ht="26.25" customHeight="1">
      <c r="A2211" s="343" t="s">
        <v>1813</v>
      </c>
      <c r="B2211" s="344" t="s">
        <v>162</v>
      </c>
      <c r="C2211" s="344">
        <v>9481</v>
      </c>
      <c r="D2211" s="343" t="s">
        <v>5059</v>
      </c>
      <c r="E2211" s="344">
        <v>5965495</v>
      </c>
      <c r="F2211" s="343" t="s">
        <v>7539</v>
      </c>
      <c r="G2211" s="360" t="s">
        <v>274</v>
      </c>
      <c r="H2211" s="361">
        <v>43132</v>
      </c>
      <c r="I2211" s="343" t="s">
        <v>166</v>
      </c>
      <c r="J2211" s="343" t="s">
        <v>11618</v>
      </c>
      <c r="K2211" s="343" t="s">
        <v>168</v>
      </c>
    </row>
    <row r="2212" spans="1:11" ht="26.25" customHeight="1">
      <c r="A2212" s="343" t="s">
        <v>1813</v>
      </c>
      <c r="B2212" s="344" t="s">
        <v>162</v>
      </c>
      <c r="C2212" s="344">
        <v>7469</v>
      </c>
      <c r="D2212" s="343" t="s">
        <v>4750</v>
      </c>
      <c r="E2212" s="344">
        <v>6898772</v>
      </c>
      <c r="F2212" s="343" t="s">
        <v>7540</v>
      </c>
      <c r="G2212" s="360" t="s">
        <v>11619</v>
      </c>
      <c r="H2212" s="361">
        <v>43133</v>
      </c>
      <c r="I2212" s="343" t="s">
        <v>284</v>
      </c>
      <c r="J2212" s="343" t="s">
        <v>10521</v>
      </c>
      <c r="K2212" s="343" t="s">
        <v>168</v>
      </c>
    </row>
    <row r="2213" spans="1:11" ht="26.25" customHeight="1">
      <c r="A2213" s="343" t="s">
        <v>1813</v>
      </c>
      <c r="B2213" s="344" t="s">
        <v>162</v>
      </c>
      <c r="C2213" s="344">
        <v>7463</v>
      </c>
      <c r="D2213" s="343" t="s">
        <v>4732</v>
      </c>
      <c r="E2213" s="344">
        <v>6843507</v>
      </c>
      <c r="F2213" s="343" t="s">
        <v>7541</v>
      </c>
      <c r="G2213" s="360" t="s">
        <v>10714</v>
      </c>
      <c r="H2213" s="361">
        <v>43133</v>
      </c>
      <c r="I2213" s="343" t="s">
        <v>166</v>
      </c>
      <c r="J2213" s="343" t="s">
        <v>9413</v>
      </c>
      <c r="K2213" s="343" t="s">
        <v>168</v>
      </c>
    </row>
    <row r="2214" spans="1:11" ht="26.25" customHeight="1">
      <c r="A2214" s="343" t="s">
        <v>1813</v>
      </c>
      <c r="B2214" s="344" t="s">
        <v>162</v>
      </c>
      <c r="C2214" s="344">
        <v>7463</v>
      </c>
      <c r="D2214" s="343" t="s">
        <v>4732</v>
      </c>
      <c r="E2214" s="344">
        <v>6827565</v>
      </c>
      <c r="F2214" s="343" t="s">
        <v>7542</v>
      </c>
      <c r="G2214" s="360" t="s">
        <v>11270</v>
      </c>
      <c r="H2214" s="361">
        <v>43133</v>
      </c>
      <c r="I2214" s="343" t="s">
        <v>301</v>
      </c>
      <c r="J2214" s="343" t="s">
        <v>1113</v>
      </c>
      <c r="K2214" s="343" t="s">
        <v>168</v>
      </c>
    </row>
    <row r="2215" spans="1:11" ht="26.25" customHeight="1">
      <c r="A2215" s="343" t="s">
        <v>1813</v>
      </c>
      <c r="B2215" s="344" t="s">
        <v>162</v>
      </c>
      <c r="C2215" s="344">
        <v>10045</v>
      </c>
      <c r="D2215" s="343" t="s">
        <v>5134</v>
      </c>
      <c r="E2215" s="344">
        <v>6662116</v>
      </c>
      <c r="F2215" s="343" t="s">
        <v>7543</v>
      </c>
      <c r="G2215" s="360" t="s">
        <v>9668</v>
      </c>
      <c r="H2215" s="361">
        <v>43136</v>
      </c>
      <c r="I2215" s="343" t="s">
        <v>193</v>
      </c>
      <c r="J2215" s="343" t="s">
        <v>637</v>
      </c>
      <c r="K2215" s="343" t="s">
        <v>168</v>
      </c>
    </row>
    <row r="2216" spans="1:11" ht="26.25" customHeight="1">
      <c r="A2216" s="343" t="s">
        <v>1813</v>
      </c>
      <c r="B2216" s="344" t="s">
        <v>162</v>
      </c>
      <c r="C2216" s="344">
        <v>7467</v>
      </c>
      <c r="D2216" s="343" t="s">
        <v>4735</v>
      </c>
      <c r="E2216" s="344">
        <v>6629434</v>
      </c>
      <c r="F2216" s="343" t="s">
        <v>7315</v>
      </c>
      <c r="G2216" s="360" t="s">
        <v>11620</v>
      </c>
      <c r="H2216" s="361">
        <v>43136</v>
      </c>
      <c r="I2216" s="343" t="s">
        <v>4742</v>
      </c>
      <c r="J2216" s="343" t="s">
        <v>11621</v>
      </c>
      <c r="K2216" s="343" t="s">
        <v>168</v>
      </c>
    </row>
    <row r="2217" spans="1:11" ht="26.25" customHeight="1">
      <c r="A2217" s="343" t="s">
        <v>1813</v>
      </c>
      <c r="B2217" s="344" t="s">
        <v>162</v>
      </c>
      <c r="C2217" s="344">
        <v>7477</v>
      </c>
      <c r="D2217" s="343" t="s">
        <v>4761</v>
      </c>
      <c r="E2217" s="344">
        <v>6707349</v>
      </c>
      <c r="F2217" s="343" t="s">
        <v>7544</v>
      </c>
      <c r="G2217" s="360" t="s">
        <v>11622</v>
      </c>
      <c r="H2217" s="361">
        <v>43136</v>
      </c>
      <c r="I2217" s="343" t="s">
        <v>193</v>
      </c>
      <c r="J2217" s="343" t="s">
        <v>11623</v>
      </c>
      <c r="K2217" s="343" t="s">
        <v>168</v>
      </c>
    </row>
    <row r="2218" spans="1:11" ht="26.25" customHeight="1">
      <c r="A2218" s="343" t="s">
        <v>1813</v>
      </c>
      <c r="B2218" s="344" t="s">
        <v>162</v>
      </c>
      <c r="C2218" s="344">
        <v>6647</v>
      </c>
      <c r="D2218" s="343" t="s">
        <v>7038</v>
      </c>
      <c r="E2218" s="344">
        <v>6004126</v>
      </c>
      <c r="F2218" s="343" t="s">
        <v>7545</v>
      </c>
      <c r="G2218" s="360" t="s">
        <v>11624</v>
      </c>
      <c r="H2218" s="361">
        <v>43136</v>
      </c>
      <c r="I2218" s="343" t="s">
        <v>166</v>
      </c>
      <c r="J2218" s="343" t="s">
        <v>327</v>
      </c>
      <c r="K2218" s="343" t="s">
        <v>168</v>
      </c>
    </row>
    <row r="2219" spans="1:11" ht="26.25" customHeight="1">
      <c r="A2219" s="343" t="s">
        <v>1813</v>
      </c>
      <c r="B2219" s="344" t="s">
        <v>162</v>
      </c>
      <c r="C2219" s="344">
        <v>6647</v>
      </c>
      <c r="D2219" s="343" t="s">
        <v>7038</v>
      </c>
      <c r="E2219" s="344">
        <v>6876077</v>
      </c>
      <c r="F2219" s="343" t="s">
        <v>7546</v>
      </c>
      <c r="G2219" s="360" t="s">
        <v>10554</v>
      </c>
      <c r="H2219" s="361">
        <v>43136</v>
      </c>
      <c r="I2219" s="343" t="s">
        <v>211</v>
      </c>
      <c r="J2219" s="343" t="s">
        <v>211</v>
      </c>
      <c r="K2219" s="343" t="s">
        <v>168</v>
      </c>
    </row>
    <row r="2220" spans="1:11" ht="26.25" customHeight="1">
      <c r="A2220" s="343" t="s">
        <v>1813</v>
      </c>
      <c r="B2220" s="344" t="s">
        <v>162</v>
      </c>
      <c r="C2220" s="344">
        <v>6647</v>
      </c>
      <c r="D2220" s="343" t="s">
        <v>7038</v>
      </c>
      <c r="E2220" s="344">
        <v>6981422</v>
      </c>
      <c r="F2220" s="343" t="s">
        <v>7547</v>
      </c>
      <c r="G2220" s="360" t="s">
        <v>11625</v>
      </c>
      <c r="H2220" s="361">
        <v>43136</v>
      </c>
      <c r="I2220" s="343" t="s">
        <v>211</v>
      </c>
      <c r="J2220" s="343" t="s">
        <v>211</v>
      </c>
      <c r="K2220" s="343" t="s">
        <v>168</v>
      </c>
    </row>
    <row r="2221" spans="1:11" ht="26.25" customHeight="1">
      <c r="A2221" s="343" t="s">
        <v>1813</v>
      </c>
      <c r="B2221" s="344" t="s">
        <v>162</v>
      </c>
      <c r="C2221" s="344">
        <v>7477</v>
      </c>
      <c r="D2221" s="343" t="s">
        <v>4761</v>
      </c>
      <c r="E2221" s="344">
        <v>6801110</v>
      </c>
      <c r="F2221" s="343" t="s">
        <v>7548</v>
      </c>
      <c r="G2221" s="360" t="s">
        <v>11626</v>
      </c>
      <c r="H2221" s="361">
        <v>43137</v>
      </c>
      <c r="I2221" s="343" t="s">
        <v>193</v>
      </c>
      <c r="J2221" s="343" t="s">
        <v>637</v>
      </c>
      <c r="K2221" s="343" t="s">
        <v>168</v>
      </c>
    </row>
    <row r="2222" spans="1:11" ht="26.25" customHeight="1">
      <c r="A2222" s="343" t="s">
        <v>1813</v>
      </c>
      <c r="B2222" s="344" t="s">
        <v>162</v>
      </c>
      <c r="C2222" s="344">
        <v>9388</v>
      </c>
      <c r="D2222" s="343" t="s">
        <v>7041</v>
      </c>
      <c r="E2222" s="344">
        <v>6025567</v>
      </c>
      <c r="F2222" s="343" t="s">
        <v>7549</v>
      </c>
      <c r="G2222" s="360" t="s">
        <v>10592</v>
      </c>
      <c r="H2222" s="361">
        <v>43137</v>
      </c>
      <c r="I2222" s="343" t="s">
        <v>514</v>
      </c>
      <c r="J2222" s="343" t="s">
        <v>9587</v>
      </c>
      <c r="K2222" s="343" t="s">
        <v>168</v>
      </c>
    </row>
    <row r="2223" spans="1:11" ht="26.25" customHeight="1">
      <c r="A2223" s="343" t="s">
        <v>1813</v>
      </c>
      <c r="B2223" s="344" t="s">
        <v>162</v>
      </c>
      <c r="C2223" s="344">
        <v>10044</v>
      </c>
      <c r="D2223" s="343" t="s">
        <v>4807</v>
      </c>
      <c r="E2223" s="344">
        <v>6699681</v>
      </c>
      <c r="F2223" s="343" t="s">
        <v>7420</v>
      </c>
      <c r="G2223" s="360" t="s">
        <v>11627</v>
      </c>
      <c r="H2223" s="361">
        <v>43137</v>
      </c>
      <c r="I2223" s="343" t="s">
        <v>166</v>
      </c>
      <c r="J2223" s="343" t="s">
        <v>11628</v>
      </c>
      <c r="K2223" s="343" t="s">
        <v>168</v>
      </c>
    </row>
    <row r="2224" spans="1:11" ht="26.25" customHeight="1">
      <c r="A2224" s="343" t="s">
        <v>1813</v>
      </c>
      <c r="B2224" s="344" t="s">
        <v>162</v>
      </c>
      <c r="C2224" s="344">
        <v>7469</v>
      </c>
      <c r="D2224" s="343" t="s">
        <v>4750</v>
      </c>
      <c r="E2224" s="344">
        <v>6856775</v>
      </c>
      <c r="F2224" s="343" t="s">
        <v>7550</v>
      </c>
      <c r="G2224" s="360" t="s">
        <v>11629</v>
      </c>
      <c r="H2224" s="361">
        <v>43137</v>
      </c>
      <c r="I2224" s="343" t="s">
        <v>284</v>
      </c>
      <c r="J2224" s="343" t="s">
        <v>10521</v>
      </c>
      <c r="K2224" s="343" t="s">
        <v>168</v>
      </c>
    </row>
    <row r="2225" spans="1:11" ht="26.25" customHeight="1">
      <c r="A2225" s="343" t="s">
        <v>1813</v>
      </c>
      <c r="B2225" s="344" t="s">
        <v>162</v>
      </c>
      <c r="C2225" s="344">
        <v>6823</v>
      </c>
      <c r="D2225" s="343" t="s">
        <v>5136</v>
      </c>
      <c r="E2225" s="344">
        <v>6247915</v>
      </c>
      <c r="F2225" s="343" t="s">
        <v>7551</v>
      </c>
      <c r="G2225" s="360" t="s">
        <v>10074</v>
      </c>
      <c r="H2225" s="361">
        <v>43137</v>
      </c>
      <c r="I2225" s="343" t="s">
        <v>465</v>
      </c>
      <c r="J2225" s="343" t="s">
        <v>1118</v>
      </c>
      <c r="K2225" s="343" t="s">
        <v>168</v>
      </c>
    </row>
    <row r="2226" spans="1:11" ht="26.25" customHeight="1">
      <c r="A2226" s="343" t="s">
        <v>1813</v>
      </c>
      <c r="B2226" s="344" t="s">
        <v>162</v>
      </c>
      <c r="C2226" s="344">
        <v>9388</v>
      </c>
      <c r="D2226" s="343" t="s">
        <v>7041</v>
      </c>
      <c r="E2226" s="344">
        <v>6592318</v>
      </c>
      <c r="F2226" s="343" t="s">
        <v>4816</v>
      </c>
      <c r="G2226" s="360" t="s">
        <v>11630</v>
      </c>
      <c r="H2226" s="361">
        <v>43137</v>
      </c>
      <c r="I2226" s="343" t="s">
        <v>3662</v>
      </c>
      <c r="J2226" s="343" t="s">
        <v>10052</v>
      </c>
      <c r="K2226" s="343" t="s">
        <v>168</v>
      </c>
    </row>
    <row r="2227" spans="1:11" ht="26.25" customHeight="1">
      <c r="A2227" s="343" t="s">
        <v>1813</v>
      </c>
      <c r="B2227" s="344" t="s">
        <v>162</v>
      </c>
      <c r="C2227" s="344">
        <v>7464</v>
      </c>
      <c r="D2227" s="343" t="s">
        <v>4771</v>
      </c>
      <c r="E2227" s="344">
        <v>6771584</v>
      </c>
      <c r="F2227" s="343" t="s">
        <v>7552</v>
      </c>
      <c r="G2227" s="360" t="s">
        <v>11631</v>
      </c>
      <c r="H2227" s="361">
        <v>43137</v>
      </c>
      <c r="I2227" s="343" t="s">
        <v>301</v>
      </c>
      <c r="J2227" s="343" t="s">
        <v>1113</v>
      </c>
      <c r="K2227" s="343" t="s">
        <v>168</v>
      </c>
    </row>
    <row r="2228" spans="1:11" ht="26.25" customHeight="1">
      <c r="A2228" s="343" t="s">
        <v>1813</v>
      </c>
      <c r="B2228" s="344" t="s">
        <v>162</v>
      </c>
      <c r="C2228" s="344">
        <v>7464</v>
      </c>
      <c r="D2228" s="343" t="s">
        <v>4771</v>
      </c>
      <c r="E2228" s="344">
        <v>6673170</v>
      </c>
      <c r="F2228" s="343" t="s">
        <v>4776</v>
      </c>
      <c r="G2228" s="360" t="s">
        <v>10000</v>
      </c>
      <c r="H2228" s="361">
        <v>43137</v>
      </c>
      <c r="I2228" s="343" t="s">
        <v>802</v>
      </c>
      <c r="J2228" s="343" t="s">
        <v>11632</v>
      </c>
      <c r="K2228" s="343" t="s">
        <v>168</v>
      </c>
    </row>
    <row r="2229" spans="1:11" ht="26.25" customHeight="1">
      <c r="A2229" s="343" t="s">
        <v>1813</v>
      </c>
      <c r="B2229" s="344" t="s">
        <v>162</v>
      </c>
      <c r="C2229" s="344">
        <v>7544</v>
      </c>
      <c r="D2229" s="343" t="s">
        <v>4785</v>
      </c>
      <c r="E2229" s="344">
        <v>6670643</v>
      </c>
      <c r="F2229" s="343" t="s">
        <v>7553</v>
      </c>
      <c r="G2229" s="360" t="s">
        <v>11633</v>
      </c>
      <c r="H2229" s="361">
        <v>43138</v>
      </c>
      <c r="I2229" s="343" t="s">
        <v>514</v>
      </c>
      <c r="J2229" s="343" t="s">
        <v>11634</v>
      </c>
      <c r="K2229" s="343" t="s">
        <v>168</v>
      </c>
    </row>
    <row r="2230" spans="1:11" ht="26.25" customHeight="1">
      <c r="A2230" s="343" t="s">
        <v>1813</v>
      </c>
      <c r="B2230" s="344" t="s">
        <v>162</v>
      </c>
      <c r="C2230" s="344">
        <v>10045</v>
      </c>
      <c r="D2230" s="343" t="s">
        <v>5134</v>
      </c>
      <c r="E2230" s="344">
        <v>6469143</v>
      </c>
      <c r="F2230" s="343" t="s">
        <v>4759</v>
      </c>
      <c r="G2230" s="360" t="s">
        <v>10435</v>
      </c>
      <c r="H2230" s="361">
        <v>43139</v>
      </c>
      <c r="I2230" s="343" t="s">
        <v>166</v>
      </c>
      <c r="J2230" s="343" t="s">
        <v>296</v>
      </c>
      <c r="K2230" s="343" t="s">
        <v>168</v>
      </c>
    </row>
    <row r="2231" spans="1:11" ht="26.25" customHeight="1">
      <c r="A2231" s="343" t="s">
        <v>1813</v>
      </c>
      <c r="B2231" s="344" t="s">
        <v>162</v>
      </c>
      <c r="C2231" s="344">
        <v>7488</v>
      </c>
      <c r="D2231" s="343" t="s">
        <v>4751</v>
      </c>
      <c r="E2231" s="344">
        <v>6456316</v>
      </c>
      <c r="F2231" s="343" t="s">
        <v>7322</v>
      </c>
      <c r="G2231" s="360" t="s">
        <v>11635</v>
      </c>
      <c r="H2231" s="361">
        <v>43147</v>
      </c>
      <c r="I2231" s="343" t="s">
        <v>166</v>
      </c>
      <c r="J2231" s="343" t="s">
        <v>11636</v>
      </c>
      <c r="K2231" s="343" t="s">
        <v>168</v>
      </c>
    </row>
    <row r="2232" spans="1:11" ht="26.25" customHeight="1">
      <c r="A2232" s="343" t="s">
        <v>1813</v>
      </c>
      <c r="B2232" s="344" t="s">
        <v>162</v>
      </c>
      <c r="C2232" s="344">
        <v>7488</v>
      </c>
      <c r="D2232" s="343" t="s">
        <v>4751</v>
      </c>
      <c r="E2232" s="344">
        <v>6771536</v>
      </c>
      <c r="F2232" s="343" t="s">
        <v>7856</v>
      </c>
      <c r="G2232" s="360" t="s">
        <v>237</v>
      </c>
      <c r="H2232" s="361">
        <v>43328</v>
      </c>
      <c r="I2232" s="343" t="s">
        <v>7857</v>
      </c>
      <c r="J2232" s="343" t="s">
        <v>11637</v>
      </c>
      <c r="K2232" s="343" t="s">
        <v>168</v>
      </c>
    </row>
    <row r="2233" spans="1:11" ht="26.25" customHeight="1">
      <c r="A2233" s="343" t="s">
        <v>1813</v>
      </c>
      <c r="B2233" s="344" t="s">
        <v>162</v>
      </c>
      <c r="C2233" s="344">
        <v>9558</v>
      </c>
      <c r="D2233" s="343" t="s">
        <v>5035</v>
      </c>
      <c r="E2233" s="344">
        <v>5939615</v>
      </c>
      <c r="F2233" s="343" t="s">
        <v>7858</v>
      </c>
      <c r="G2233" s="360" t="s">
        <v>274</v>
      </c>
      <c r="H2233" s="361">
        <v>43147</v>
      </c>
      <c r="I2233" s="343" t="s">
        <v>3596</v>
      </c>
      <c r="J2233" s="343" t="s">
        <v>11638</v>
      </c>
      <c r="K2233" s="343" t="s">
        <v>168</v>
      </c>
    </row>
    <row r="2234" spans="1:11" ht="26.25" customHeight="1">
      <c r="A2234" s="343" t="s">
        <v>1813</v>
      </c>
      <c r="B2234" s="344" t="s">
        <v>162</v>
      </c>
      <c r="C2234" s="344">
        <v>6822</v>
      </c>
      <c r="D2234" s="343" t="s">
        <v>5108</v>
      </c>
      <c r="E2234" s="344">
        <v>6970601</v>
      </c>
      <c r="F2234" s="343" t="s">
        <v>7859</v>
      </c>
      <c r="G2234" s="360" t="s">
        <v>10136</v>
      </c>
      <c r="H2234" s="361">
        <v>43147</v>
      </c>
      <c r="I2234" s="343" t="s">
        <v>514</v>
      </c>
      <c r="J2234" s="343" t="s">
        <v>11639</v>
      </c>
      <c r="K2234" s="343" t="s">
        <v>168</v>
      </c>
    </row>
    <row r="2235" spans="1:11" ht="26.25" customHeight="1">
      <c r="A2235" s="343" t="s">
        <v>1813</v>
      </c>
      <c r="B2235" s="344" t="s">
        <v>162</v>
      </c>
      <c r="C2235" s="344">
        <v>9494</v>
      </c>
      <c r="D2235" s="343" t="s">
        <v>5054</v>
      </c>
      <c r="E2235" s="344">
        <v>5944710</v>
      </c>
      <c r="F2235" s="343" t="s">
        <v>7860</v>
      </c>
      <c r="G2235" s="360" t="s">
        <v>11640</v>
      </c>
      <c r="H2235" s="361">
        <v>43147</v>
      </c>
      <c r="I2235" s="343" t="s">
        <v>193</v>
      </c>
      <c r="J2235" s="343" t="s">
        <v>637</v>
      </c>
      <c r="K2235" s="343" t="s">
        <v>168</v>
      </c>
    </row>
    <row r="2236" spans="1:11" ht="26.25" customHeight="1">
      <c r="A2236" s="343" t="s">
        <v>1813</v>
      </c>
      <c r="B2236" s="344" t="s">
        <v>162</v>
      </c>
      <c r="C2236" s="344">
        <v>12103</v>
      </c>
      <c r="D2236" s="343" t="s">
        <v>4874</v>
      </c>
      <c r="E2236" s="344">
        <v>6263061</v>
      </c>
      <c r="F2236" s="343" t="s">
        <v>7861</v>
      </c>
      <c r="G2236" s="360" t="s">
        <v>11249</v>
      </c>
      <c r="H2236" s="361">
        <v>43147</v>
      </c>
      <c r="I2236" s="343" t="s">
        <v>719</v>
      </c>
      <c r="J2236" s="343" t="s">
        <v>11641</v>
      </c>
      <c r="K2236" s="343" t="s">
        <v>168</v>
      </c>
    </row>
    <row r="2237" spans="1:11" ht="26.25" customHeight="1">
      <c r="A2237" s="343" t="s">
        <v>1813</v>
      </c>
      <c r="B2237" s="344" t="s">
        <v>162</v>
      </c>
      <c r="C2237" s="344">
        <v>6633</v>
      </c>
      <c r="D2237" s="343" t="s">
        <v>5142</v>
      </c>
      <c r="E2237" s="344">
        <v>5917673</v>
      </c>
      <c r="F2237" s="343" t="s">
        <v>4736</v>
      </c>
      <c r="G2237" s="360" t="s">
        <v>9619</v>
      </c>
      <c r="H2237" s="361">
        <v>43153</v>
      </c>
      <c r="I2237" s="343" t="s">
        <v>742</v>
      </c>
      <c r="J2237" s="343" t="s">
        <v>742</v>
      </c>
      <c r="K2237" s="343" t="s">
        <v>168</v>
      </c>
    </row>
    <row r="2238" spans="1:11" ht="26.25" customHeight="1">
      <c r="A2238" s="343" t="s">
        <v>1813</v>
      </c>
      <c r="B2238" s="344" t="s">
        <v>162</v>
      </c>
      <c r="C2238" s="344">
        <v>6633</v>
      </c>
      <c r="D2238" s="343" t="s">
        <v>5142</v>
      </c>
      <c r="E2238" s="344">
        <v>5995848</v>
      </c>
      <c r="F2238" s="343" t="s">
        <v>7862</v>
      </c>
      <c r="G2238" s="360" t="s">
        <v>11191</v>
      </c>
      <c r="H2238" s="361">
        <v>43153</v>
      </c>
      <c r="I2238" s="343" t="s">
        <v>802</v>
      </c>
      <c r="J2238" s="343" t="s">
        <v>1172</v>
      </c>
      <c r="K2238" s="343" t="s">
        <v>168</v>
      </c>
    </row>
    <row r="2239" spans="1:11" ht="26.25" customHeight="1">
      <c r="A2239" s="343" t="s">
        <v>1813</v>
      </c>
      <c r="B2239" s="344" t="s">
        <v>162</v>
      </c>
      <c r="C2239" s="344">
        <v>9850</v>
      </c>
      <c r="D2239" s="343" t="s">
        <v>4839</v>
      </c>
      <c r="E2239" s="344">
        <v>6862547</v>
      </c>
      <c r="F2239" s="343" t="s">
        <v>7863</v>
      </c>
      <c r="G2239" s="360" t="s">
        <v>9540</v>
      </c>
      <c r="H2239" s="361">
        <v>43153</v>
      </c>
      <c r="I2239" s="343" t="s">
        <v>3629</v>
      </c>
      <c r="J2239" s="343" t="s">
        <v>11642</v>
      </c>
      <c r="K2239" s="343" t="s">
        <v>168</v>
      </c>
    </row>
    <row r="2240" spans="1:11" ht="26.25" customHeight="1">
      <c r="A2240" s="343" t="s">
        <v>1813</v>
      </c>
      <c r="B2240" s="344" t="s">
        <v>162</v>
      </c>
      <c r="C2240" s="344">
        <v>9429</v>
      </c>
      <c r="D2240" s="343" t="s">
        <v>7864</v>
      </c>
      <c r="E2240" s="344">
        <v>5778990</v>
      </c>
      <c r="F2240" s="343" t="s">
        <v>7865</v>
      </c>
      <c r="G2240" s="360" t="s">
        <v>11643</v>
      </c>
      <c r="H2240" s="361">
        <v>43153</v>
      </c>
      <c r="I2240" s="343" t="s">
        <v>7866</v>
      </c>
      <c r="J2240" s="343" t="s">
        <v>11644</v>
      </c>
      <c r="K2240" s="343" t="s">
        <v>168</v>
      </c>
    </row>
    <row r="2241" spans="1:11" ht="26.25" customHeight="1">
      <c r="A2241" s="343" t="s">
        <v>1813</v>
      </c>
      <c r="B2241" s="344" t="s">
        <v>162</v>
      </c>
      <c r="C2241" s="344">
        <v>9481</v>
      </c>
      <c r="D2241" s="343" t="s">
        <v>5059</v>
      </c>
      <c r="E2241" s="344">
        <v>6047896</v>
      </c>
      <c r="F2241" s="343" t="s">
        <v>7867</v>
      </c>
      <c r="G2241" s="360" t="s">
        <v>456</v>
      </c>
      <c r="H2241" s="361">
        <v>43154</v>
      </c>
      <c r="I2241" s="343" t="s">
        <v>514</v>
      </c>
      <c r="J2241" s="343" t="s">
        <v>9587</v>
      </c>
      <c r="K2241" s="343" t="s">
        <v>168</v>
      </c>
    </row>
    <row r="2242" spans="1:11" ht="26.25" customHeight="1">
      <c r="A2242" s="343" t="s">
        <v>1813</v>
      </c>
      <c r="B2242" s="344" t="s">
        <v>162</v>
      </c>
      <c r="C2242" s="344">
        <v>7544</v>
      </c>
      <c r="D2242" s="343" t="s">
        <v>4785</v>
      </c>
      <c r="E2242" s="344">
        <v>6538437</v>
      </c>
      <c r="F2242" s="343" t="s">
        <v>7868</v>
      </c>
      <c r="G2242" s="360" t="s">
        <v>11645</v>
      </c>
      <c r="H2242" s="361">
        <v>43154</v>
      </c>
      <c r="I2242" s="343" t="s">
        <v>166</v>
      </c>
      <c r="J2242" s="343" t="s">
        <v>327</v>
      </c>
      <c r="K2242" s="343" t="s">
        <v>168</v>
      </c>
    </row>
    <row r="2243" spans="1:11" ht="26.25" customHeight="1">
      <c r="A2243" s="343" t="s">
        <v>1813</v>
      </c>
      <c r="B2243" s="344" t="s">
        <v>162</v>
      </c>
      <c r="C2243" s="344">
        <v>6994</v>
      </c>
      <c r="D2243" s="343" t="s">
        <v>4939</v>
      </c>
      <c r="E2243" s="344">
        <v>5134925</v>
      </c>
      <c r="F2243" s="343" t="s">
        <v>5066</v>
      </c>
      <c r="G2243" s="360" t="s">
        <v>11371</v>
      </c>
      <c r="H2243" s="361">
        <v>43154</v>
      </c>
      <c r="I2243" s="343" t="s">
        <v>802</v>
      </c>
      <c r="J2243" s="343" t="s">
        <v>1075</v>
      </c>
      <c r="K2243" s="343" t="s">
        <v>168</v>
      </c>
    </row>
    <row r="2244" spans="1:11" ht="26.25" customHeight="1">
      <c r="A2244" s="343" t="s">
        <v>1813</v>
      </c>
      <c r="B2244" s="344" t="s">
        <v>162</v>
      </c>
      <c r="C2244" s="344">
        <v>9429</v>
      </c>
      <c r="D2244" s="343" t="s">
        <v>7864</v>
      </c>
      <c r="E2244" s="344">
        <v>5778832</v>
      </c>
      <c r="F2244" s="343" t="s">
        <v>5104</v>
      </c>
      <c r="G2244" s="360" t="s">
        <v>9817</v>
      </c>
      <c r="H2244" s="361">
        <v>43154</v>
      </c>
      <c r="I2244" s="343" t="s">
        <v>166</v>
      </c>
      <c r="J2244" s="343" t="s">
        <v>327</v>
      </c>
      <c r="K2244" s="343" t="s">
        <v>168</v>
      </c>
    </row>
    <row r="2245" spans="1:11" ht="26.25" customHeight="1">
      <c r="A2245" s="343" t="s">
        <v>1813</v>
      </c>
      <c r="B2245" s="344" t="s">
        <v>162</v>
      </c>
      <c r="C2245" s="344">
        <v>6663</v>
      </c>
      <c r="D2245" s="343" t="s">
        <v>5107</v>
      </c>
      <c r="E2245" s="344">
        <v>6527325</v>
      </c>
      <c r="F2245" s="343" t="s">
        <v>7869</v>
      </c>
      <c r="G2245" s="360" t="s">
        <v>11646</v>
      </c>
      <c r="H2245" s="361">
        <v>43154</v>
      </c>
      <c r="I2245" s="343" t="s">
        <v>465</v>
      </c>
      <c r="J2245" s="343" t="s">
        <v>9614</v>
      </c>
      <c r="K2245" s="343" t="s">
        <v>168</v>
      </c>
    </row>
    <row r="2246" spans="1:11" ht="26.25" customHeight="1">
      <c r="A2246" s="343" t="s">
        <v>1813</v>
      </c>
      <c r="B2246" s="344" t="s">
        <v>162</v>
      </c>
      <c r="C2246" s="344">
        <v>7484</v>
      </c>
      <c r="D2246" s="343" t="s">
        <v>4823</v>
      </c>
      <c r="E2246" s="344">
        <v>6718406</v>
      </c>
      <c r="F2246" s="343" t="s">
        <v>7870</v>
      </c>
      <c r="G2246" s="360" t="s">
        <v>11647</v>
      </c>
      <c r="H2246" s="361">
        <v>43154</v>
      </c>
      <c r="I2246" s="343" t="s">
        <v>166</v>
      </c>
      <c r="J2246" s="343" t="s">
        <v>9775</v>
      </c>
      <c r="K2246" s="343" t="s">
        <v>248</v>
      </c>
    </row>
    <row r="2247" spans="1:11" ht="26.25" customHeight="1">
      <c r="A2247" s="343" t="s">
        <v>1813</v>
      </c>
      <c r="B2247" s="344" t="s">
        <v>162</v>
      </c>
      <c r="C2247" s="344">
        <v>6820</v>
      </c>
      <c r="D2247" s="343" t="s">
        <v>5044</v>
      </c>
      <c r="E2247" s="344">
        <v>6205473</v>
      </c>
      <c r="F2247" s="343" t="s">
        <v>7871</v>
      </c>
      <c r="G2247" s="360" t="s">
        <v>10442</v>
      </c>
      <c r="H2247" s="361">
        <v>43154</v>
      </c>
      <c r="I2247" s="343" t="s">
        <v>3583</v>
      </c>
      <c r="J2247" s="343" t="s">
        <v>11648</v>
      </c>
      <c r="K2247" s="343" t="s">
        <v>173</v>
      </c>
    </row>
    <row r="2248" spans="1:11" ht="26.25" customHeight="1">
      <c r="A2248" s="343" t="s">
        <v>1813</v>
      </c>
      <c r="B2248" s="344" t="s">
        <v>162</v>
      </c>
      <c r="C2248" s="344">
        <v>6627</v>
      </c>
      <c r="D2248" s="343" t="s">
        <v>5065</v>
      </c>
      <c r="E2248" s="344">
        <v>6457125</v>
      </c>
      <c r="F2248" s="343" t="s">
        <v>7872</v>
      </c>
      <c r="G2248" s="360" t="s">
        <v>529</v>
      </c>
      <c r="H2248" s="361">
        <v>43154</v>
      </c>
      <c r="I2248" s="343" t="s">
        <v>3583</v>
      </c>
      <c r="J2248" s="343" t="s">
        <v>11648</v>
      </c>
      <c r="K2248" s="343" t="s">
        <v>173</v>
      </c>
    </row>
    <row r="2249" spans="1:11" ht="26.25" customHeight="1">
      <c r="A2249" s="343" t="s">
        <v>1813</v>
      </c>
      <c r="B2249" s="344" t="s">
        <v>162</v>
      </c>
      <c r="C2249" s="344">
        <v>6627</v>
      </c>
      <c r="D2249" s="343" t="s">
        <v>5065</v>
      </c>
      <c r="E2249" s="344">
        <v>6095052</v>
      </c>
      <c r="F2249" s="343" t="s">
        <v>7873</v>
      </c>
      <c r="G2249" s="360" t="s">
        <v>10054</v>
      </c>
      <c r="H2249" s="361">
        <v>43154</v>
      </c>
      <c r="I2249" s="343" t="s">
        <v>193</v>
      </c>
      <c r="J2249" s="343" t="s">
        <v>637</v>
      </c>
      <c r="K2249" s="343" t="s">
        <v>168</v>
      </c>
    </row>
    <row r="2250" spans="1:11" ht="26.25" customHeight="1">
      <c r="A2250" s="343" t="s">
        <v>1813</v>
      </c>
      <c r="B2250" s="344" t="s">
        <v>162</v>
      </c>
      <c r="C2250" s="344">
        <v>6823</v>
      </c>
      <c r="D2250" s="343" t="s">
        <v>5136</v>
      </c>
      <c r="E2250" s="344">
        <v>6068479</v>
      </c>
      <c r="F2250" s="343" t="s">
        <v>7874</v>
      </c>
      <c r="G2250" s="360" t="s">
        <v>9559</v>
      </c>
      <c r="H2250" s="361">
        <v>43154</v>
      </c>
      <c r="I2250" s="343" t="s">
        <v>193</v>
      </c>
      <c r="J2250" s="343" t="s">
        <v>637</v>
      </c>
      <c r="K2250" s="343" t="s">
        <v>168</v>
      </c>
    </row>
    <row r="2251" spans="1:11" ht="26.25" customHeight="1">
      <c r="A2251" s="343" t="s">
        <v>1813</v>
      </c>
      <c r="B2251" s="344" t="s">
        <v>162</v>
      </c>
      <c r="C2251" s="344">
        <v>9850</v>
      </c>
      <c r="D2251" s="343" t="s">
        <v>4839</v>
      </c>
      <c r="E2251" s="344">
        <v>6716235</v>
      </c>
      <c r="F2251" s="343" t="s">
        <v>7875</v>
      </c>
      <c r="G2251" s="360" t="s">
        <v>11649</v>
      </c>
      <c r="H2251" s="361">
        <v>43154</v>
      </c>
      <c r="I2251" s="343" t="s">
        <v>380</v>
      </c>
      <c r="J2251" s="343" t="s">
        <v>10079</v>
      </c>
      <c r="K2251" s="343" t="s">
        <v>173</v>
      </c>
    </row>
    <row r="2252" spans="1:11" ht="26.25" customHeight="1">
      <c r="A2252" s="343" t="s">
        <v>1813</v>
      </c>
      <c r="B2252" s="344" t="s">
        <v>162</v>
      </c>
      <c r="C2252" s="344">
        <v>9177</v>
      </c>
      <c r="D2252" s="343" t="s">
        <v>7039</v>
      </c>
      <c r="E2252" s="344">
        <v>6628513</v>
      </c>
      <c r="F2252" s="343" t="s">
        <v>7876</v>
      </c>
      <c r="G2252" s="360" t="s">
        <v>357</v>
      </c>
      <c r="H2252" s="361">
        <v>43160</v>
      </c>
      <c r="I2252" s="343" t="s">
        <v>261</v>
      </c>
      <c r="J2252" s="343" t="s">
        <v>9400</v>
      </c>
      <c r="K2252" s="343" t="s">
        <v>168</v>
      </c>
    </row>
    <row r="2253" spans="1:11" ht="26.25" customHeight="1">
      <c r="A2253" s="343" t="s">
        <v>1813</v>
      </c>
      <c r="B2253" s="344" t="s">
        <v>162</v>
      </c>
      <c r="C2253" s="344">
        <v>12890</v>
      </c>
      <c r="D2253" s="343" t="s">
        <v>5018</v>
      </c>
      <c r="E2253" s="344">
        <v>6817826</v>
      </c>
      <c r="F2253" s="343" t="s">
        <v>7877</v>
      </c>
      <c r="G2253" s="360" t="s">
        <v>11179</v>
      </c>
      <c r="H2253" s="361">
        <v>43160</v>
      </c>
      <c r="I2253" s="343" t="s">
        <v>7878</v>
      </c>
      <c r="J2253" s="343" t="s">
        <v>11243</v>
      </c>
      <c r="K2253" s="343" t="s">
        <v>168</v>
      </c>
    </row>
    <row r="2254" spans="1:11" ht="26.25" customHeight="1">
      <c r="A2254" s="343" t="s">
        <v>1813</v>
      </c>
      <c r="B2254" s="344" t="s">
        <v>162</v>
      </c>
      <c r="C2254" s="344">
        <v>7477</v>
      </c>
      <c r="D2254" s="343" t="s">
        <v>4761</v>
      </c>
      <c r="E2254" s="344">
        <v>6704717</v>
      </c>
      <c r="F2254" s="343" t="s">
        <v>7880</v>
      </c>
      <c r="G2254" s="360" t="s">
        <v>10662</v>
      </c>
      <c r="H2254" s="361">
        <v>43160</v>
      </c>
      <c r="I2254" s="343" t="s">
        <v>7881</v>
      </c>
      <c r="J2254" s="343" t="s">
        <v>11650</v>
      </c>
      <c r="K2254" s="343" t="s">
        <v>248</v>
      </c>
    </row>
    <row r="2255" spans="1:11" ht="26.25" customHeight="1">
      <c r="A2255" s="343" t="s">
        <v>1813</v>
      </c>
      <c r="B2255" s="344" t="s">
        <v>162</v>
      </c>
      <c r="C2255" s="344">
        <v>9482</v>
      </c>
      <c r="D2255" s="343" t="s">
        <v>5092</v>
      </c>
      <c r="E2255" s="344">
        <v>6087824</v>
      </c>
      <c r="F2255" s="343" t="s">
        <v>7882</v>
      </c>
      <c r="G2255" s="360" t="s">
        <v>11208</v>
      </c>
      <c r="H2255" s="361">
        <v>43161</v>
      </c>
      <c r="I2255" s="343" t="s">
        <v>180</v>
      </c>
      <c r="J2255" s="343" t="s">
        <v>11651</v>
      </c>
      <c r="K2255" s="343" t="s">
        <v>168</v>
      </c>
    </row>
    <row r="2256" spans="1:11" ht="26.25" customHeight="1">
      <c r="A2256" s="343" t="s">
        <v>1813</v>
      </c>
      <c r="B2256" s="344" t="s">
        <v>162</v>
      </c>
      <c r="C2256" s="344">
        <v>9043</v>
      </c>
      <c r="D2256" s="343" t="s">
        <v>4996</v>
      </c>
      <c r="E2256" s="344">
        <v>5647428</v>
      </c>
      <c r="F2256" s="343" t="s">
        <v>5019</v>
      </c>
      <c r="G2256" s="360" t="s">
        <v>11652</v>
      </c>
      <c r="H2256" s="361">
        <v>43161</v>
      </c>
      <c r="I2256" s="343" t="s">
        <v>193</v>
      </c>
      <c r="J2256" s="343" t="s">
        <v>637</v>
      </c>
      <c r="K2256" s="343" t="s">
        <v>168</v>
      </c>
    </row>
    <row r="2257" spans="1:11" ht="26.25" customHeight="1">
      <c r="A2257" s="343" t="s">
        <v>1813</v>
      </c>
      <c r="B2257" s="344" t="s">
        <v>162</v>
      </c>
      <c r="C2257" s="344">
        <v>9481</v>
      </c>
      <c r="D2257" s="343" t="s">
        <v>5059</v>
      </c>
      <c r="E2257" s="344">
        <v>6040790</v>
      </c>
      <c r="F2257" s="343" t="s">
        <v>7883</v>
      </c>
      <c r="G2257" s="360" t="s">
        <v>11653</v>
      </c>
      <c r="H2257" s="361">
        <v>43161</v>
      </c>
      <c r="I2257" s="343" t="s">
        <v>802</v>
      </c>
      <c r="J2257" s="343" t="s">
        <v>1172</v>
      </c>
      <c r="K2257" s="343" t="s">
        <v>168</v>
      </c>
    </row>
    <row r="2258" spans="1:11" ht="26.25" customHeight="1">
      <c r="A2258" s="343" t="s">
        <v>1813</v>
      </c>
      <c r="B2258" s="344" t="s">
        <v>162</v>
      </c>
      <c r="C2258" s="344">
        <v>6820</v>
      </c>
      <c r="D2258" s="343" t="s">
        <v>5044</v>
      </c>
      <c r="E2258" s="344">
        <v>6978073</v>
      </c>
      <c r="F2258" s="343" t="s">
        <v>7884</v>
      </c>
      <c r="G2258" s="360" t="s">
        <v>9734</v>
      </c>
      <c r="H2258" s="361">
        <v>43161</v>
      </c>
      <c r="I2258" s="343" t="s">
        <v>284</v>
      </c>
      <c r="J2258" s="343" t="s">
        <v>284</v>
      </c>
      <c r="K2258" s="343" t="s">
        <v>168</v>
      </c>
    </row>
    <row r="2259" spans="1:11" ht="26.25" customHeight="1">
      <c r="A2259" s="343" t="s">
        <v>1813</v>
      </c>
      <c r="B2259" s="344" t="s">
        <v>162</v>
      </c>
      <c r="C2259" s="344">
        <v>9482</v>
      </c>
      <c r="D2259" s="343" t="s">
        <v>5092</v>
      </c>
      <c r="E2259" s="344">
        <v>6218031</v>
      </c>
      <c r="F2259" s="343" t="s">
        <v>7885</v>
      </c>
      <c r="G2259" s="360" t="s">
        <v>11654</v>
      </c>
      <c r="H2259" s="361">
        <v>43161</v>
      </c>
      <c r="I2259" s="343" t="s">
        <v>784</v>
      </c>
      <c r="J2259" s="343" t="s">
        <v>11655</v>
      </c>
      <c r="K2259" s="343" t="s">
        <v>168</v>
      </c>
    </row>
    <row r="2260" spans="1:11" ht="26.25" customHeight="1">
      <c r="A2260" s="343" t="s">
        <v>1813</v>
      </c>
      <c r="B2260" s="344" t="s">
        <v>162</v>
      </c>
      <c r="C2260" s="344">
        <v>7469</v>
      </c>
      <c r="D2260" s="343" t="s">
        <v>4750</v>
      </c>
      <c r="E2260" s="344">
        <v>6252476</v>
      </c>
      <c r="F2260" s="343" t="s">
        <v>7886</v>
      </c>
      <c r="G2260" s="360" t="s">
        <v>10419</v>
      </c>
      <c r="H2260" s="361">
        <v>43161</v>
      </c>
      <c r="I2260" s="343" t="s">
        <v>271</v>
      </c>
      <c r="J2260" s="343" t="s">
        <v>333</v>
      </c>
      <c r="K2260" s="343" t="s">
        <v>168</v>
      </c>
    </row>
    <row r="2261" spans="1:11" ht="26.25" customHeight="1">
      <c r="A2261" s="343" t="s">
        <v>1813</v>
      </c>
      <c r="B2261" s="344" t="s">
        <v>162</v>
      </c>
      <c r="C2261" s="344">
        <v>6633</v>
      </c>
      <c r="D2261" s="343" t="s">
        <v>5142</v>
      </c>
      <c r="E2261" s="344">
        <v>6277248</v>
      </c>
      <c r="F2261" s="343" t="s">
        <v>7887</v>
      </c>
      <c r="G2261" s="360" t="s">
        <v>9569</v>
      </c>
      <c r="H2261" s="361">
        <v>43164</v>
      </c>
      <c r="I2261" s="343" t="s">
        <v>4742</v>
      </c>
      <c r="J2261" s="343" t="s">
        <v>11621</v>
      </c>
      <c r="K2261" s="343" t="s">
        <v>168</v>
      </c>
    </row>
    <row r="2262" spans="1:11" ht="26.25" customHeight="1">
      <c r="A2262" s="343" t="s">
        <v>1813</v>
      </c>
      <c r="B2262" s="344" t="s">
        <v>162</v>
      </c>
      <c r="C2262" s="344">
        <v>7163</v>
      </c>
      <c r="D2262" s="343" t="s">
        <v>4965</v>
      </c>
      <c r="E2262" s="344">
        <v>5708586</v>
      </c>
      <c r="F2262" s="343" t="s">
        <v>5049</v>
      </c>
      <c r="G2262" s="360" t="s">
        <v>11656</v>
      </c>
      <c r="H2262" s="361">
        <v>43166</v>
      </c>
      <c r="I2262" s="343" t="s">
        <v>180</v>
      </c>
      <c r="J2262" s="343" t="s">
        <v>11657</v>
      </c>
      <c r="K2262" s="343" t="s">
        <v>173</v>
      </c>
    </row>
    <row r="2263" spans="1:11" ht="26.25" customHeight="1">
      <c r="A2263" s="343" t="s">
        <v>1813</v>
      </c>
      <c r="B2263" s="344" t="s">
        <v>162</v>
      </c>
      <c r="C2263" s="344">
        <v>6645</v>
      </c>
      <c r="D2263" s="343" t="s">
        <v>7888</v>
      </c>
      <c r="E2263" s="344">
        <v>6730002</v>
      </c>
      <c r="F2263" s="343" t="s">
        <v>7889</v>
      </c>
      <c r="G2263" s="360" t="s">
        <v>1171</v>
      </c>
      <c r="H2263" s="361">
        <v>43167</v>
      </c>
      <c r="I2263" s="343" t="s">
        <v>193</v>
      </c>
      <c r="J2263" s="343" t="s">
        <v>11658</v>
      </c>
      <c r="K2263" s="343" t="s">
        <v>168</v>
      </c>
    </row>
    <row r="2264" spans="1:11" ht="26.25" customHeight="1">
      <c r="A2264" s="343" t="s">
        <v>1813</v>
      </c>
      <c r="B2264" s="344" t="s">
        <v>162</v>
      </c>
      <c r="C2264" s="344">
        <v>6629</v>
      </c>
      <c r="D2264" s="343" t="s">
        <v>5114</v>
      </c>
      <c r="E2264" s="344">
        <v>5778156</v>
      </c>
      <c r="F2264" s="343" t="s">
        <v>7891</v>
      </c>
      <c r="G2264" s="360" t="s">
        <v>11659</v>
      </c>
      <c r="H2264" s="361">
        <v>43168</v>
      </c>
      <c r="I2264" s="343" t="s">
        <v>465</v>
      </c>
      <c r="J2264" s="343" t="s">
        <v>9697</v>
      </c>
      <c r="K2264" s="343" t="s">
        <v>168</v>
      </c>
    </row>
    <row r="2265" spans="1:11" ht="26.25" customHeight="1">
      <c r="A2265" s="343" t="s">
        <v>1813</v>
      </c>
      <c r="B2265" s="344" t="s">
        <v>162</v>
      </c>
      <c r="C2265" s="344">
        <v>7163</v>
      </c>
      <c r="D2265" s="343" t="s">
        <v>4965</v>
      </c>
      <c r="E2265" s="344">
        <v>5957741</v>
      </c>
      <c r="F2265" s="343" t="s">
        <v>4966</v>
      </c>
      <c r="G2265" s="360" t="s">
        <v>11660</v>
      </c>
      <c r="H2265" s="361">
        <v>43168</v>
      </c>
      <c r="I2265" s="343" t="s">
        <v>166</v>
      </c>
      <c r="J2265" s="343" t="s">
        <v>11661</v>
      </c>
      <c r="K2265" s="343" t="s">
        <v>168</v>
      </c>
    </row>
    <row r="2266" spans="1:11" ht="26.25" customHeight="1">
      <c r="A2266" s="343" t="s">
        <v>1813</v>
      </c>
      <c r="B2266" s="344" t="s">
        <v>162</v>
      </c>
      <c r="C2266" s="344">
        <v>6644</v>
      </c>
      <c r="D2266" s="343" t="s">
        <v>5084</v>
      </c>
      <c r="E2266" s="344">
        <v>6097784</v>
      </c>
      <c r="F2266" s="343" t="s">
        <v>7892</v>
      </c>
      <c r="G2266" s="360" t="s">
        <v>197</v>
      </c>
      <c r="H2266" s="361">
        <v>43168</v>
      </c>
      <c r="I2266" s="343" t="s">
        <v>193</v>
      </c>
      <c r="J2266" s="343" t="s">
        <v>603</v>
      </c>
      <c r="K2266" s="343" t="s">
        <v>168</v>
      </c>
    </row>
    <row r="2267" spans="1:11" ht="26.25" customHeight="1">
      <c r="A2267" s="343" t="s">
        <v>1813</v>
      </c>
      <c r="B2267" s="344" t="s">
        <v>162</v>
      </c>
      <c r="C2267" s="344">
        <v>7163</v>
      </c>
      <c r="D2267" s="343" t="s">
        <v>4965</v>
      </c>
      <c r="E2267" s="344">
        <v>5955799</v>
      </c>
      <c r="F2267" s="343" t="s">
        <v>7893</v>
      </c>
      <c r="G2267" s="360" t="s">
        <v>11662</v>
      </c>
      <c r="H2267" s="361">
        <v>43173</v>
      </c>
      <c r="I2267" s="343" t="s">
        <v>193</v>
      </c>
      <c r="J2267" s="343" t="s">
        <v>509</v>
      </c>
      <c r="K2267" s="343" t="s">
        <v>168</v>
      </c>
    </row>
    <row r="2268" spans="1:11" ht="26.25" customHeight="1">
      <c r="A2268" s="343" t="s">
        <v>1813</v>
      </c>
      <c r="B2268" s="344" t="s">
        <v>162</v>
      </c>
      <c r="C2268" s="344">
        <v>11093</v>
      </c>
      <c r="D2268" s="343" t="s">
        <v>4827</v>
      </c>
      <c r="E2268" s="344">
        <v>6406746</v>
      </c>
      <c r="F2268" s="343" t="s">
        <v>4834</v>
      </c>
      <c r="G2268" s="360" t="s">
        <v>11663</v>
      </c>
      <c r="H2268" s="361">
        <v>43173</v>
      </c>
      <c r="I2268" s="343" t="s">
        <v>166</v>
      </c>
      <c r="J2268" s="343" t="s">
        <v>327</v>
      </c>
      <c r="K2268" s="343" t="s">
        <v>168</v>
      </c>
    </row>
    <row r="2269" spans="1:11" ht="26.25" customHeight="1">
      <c r="A2269" s="343" t="s">
        <v>1813</v>
      </c>
      <c r="B2269" s="344" t="s">
        <v>162</v>
      </c>
      <c r="C2269" s="344">
        <v>7494</v>
      </c>
      <c r="D2269" s="343" t="s">
        <v>4818</v>
      </c>
      <c r="E2269" s="344">
        <v>6992396</v>
      </c>
      <c r="F2269" s="343" t="s">
        <v>7894</v>
      </c>
      <c r="G2269" s="360" t="s">
        <v>11664</v>
      </c>
      <c r="H2269" s="361">
        <v>43173</v>
      </c>
      <c r="I2269" s="343" t="s">
        <v>271</v>
      </c>
      <c r="J2269" s="343" t="s">
        <v>11665</v>
      </c>
      <c r="K2269" s="343" t="s">
        <v>168</v>
      </c>
    </row>
    <row r="2270" spans="1:11" ht="26.25" customHeight="1">
      <c r="A2270" s="343" t="s">
        <v>1813</v>
      </c>
      <c r="B2270" s="344" t="s">
        <v>162</v>
      </c>
      <c r="C2270" s="344">
        <v>9481</v>
      </c>
      <c r="D2270" s="343" t="s">
        <v>5059</v>
      </c>
      <c r="E2270" s="344">
        <v>6596550</v>
      </c>
      <c r="F2270" s="343" t="s">
        <v>7895</v>
      </c>
      <c r="G2270" s="360" t="s">
        <v>10017</v>
      </c>
      <c r="H2270" s="361">
        <v>43174</v>
      </c>
      <c r="I2270" s="343" t="s">
        <v>198</v>
      </c>
      <c r="J2270" s="343" t="s">
        <v>198</v>
      </c>
      <c r="K2270" s="343" t="s">
        <v>168</v>
      </c>
    </row>
    <row r="2271" spans="1:11" ht="26.25" customHeight="1">
      <c r="A2271" s="343" t="s">
        <v>1813</v>
      </c>
      <c r="B2271" s="344" t="s">
        <v>162</v>
      </c>
      <c r="C2271" s="344">
        <v>6996</v>
      </c>
      <c r="D2271" s="343" t="s">
        <v>4942</v>
      </c>
      <c r="E2271" s="344">
        <v>5251954</v>
      </c>
      <c r="F2271" s="343" t="s">
        <v>7092</v>
      </c>
      <c r="G2271" s="360" t="s">
        <v>11666</v>
      </c>
      <c r="H2271" s="361">
        <v>43179</v>
      </c>
      <c r="I2271" s="343" t="s">
        <v>7240</v>
      </c>
      <c r="J2271" s="343" t="s">
        <v>11667</v>
      </c>
      <c r="K2271" s="343" t="s">
        <v>168</v>
      </c>
    </row>
    <row r="2272" spans="1:11" ht="26.25" customHeight="1">
      <c r="A2272" s="343" t="s">
        <v>1813</v>
      </c>
      <c r="B2272" s="344" t="s">
        <v>162</v>
      </c>
      <c r="C2272" s="344">
        <v>10044</v>
      </c>
      <c r="D2272" s="343" t="s">
        <v>4807</v>
      </c>
      <c r="E2272" s="344">
        <v>6538266</v>
      </c>
      <c r="F2272" s="343" t="s">
        <v>7896</v>
      </c>
      <c r="G2272" s="360" t="s">
        <v>11668</v>
      </c>
      <c r="H2272" s="361">
        <v>43179</v>
      </c>
      <c r="I2272" s="343" t="s">
        <v>301</v>
      </c>
      <c r="J2272" s="343" t="s">
        <v>530</v>
      </c>
      <c r="K2272" s="343" t="s">
        <v>168</v>
      </c>
    </row>
    <row r="2273" spans="1:11" ht="26.25" customHeight="1">
      <c r="A2273" s="343" t="s">
        <v>1813</v>
      </c>
      <c r="B2273" s="344" t="s">
        <v>162</v>
      </c>
      <c r="C2273" s="344">
        <v>9481</v>
      </c>
      <c r="D2273" s="343" t="s">
        <v>5059</v>
      </c>
      <c r="E2273" s="344">
        <v>6486274</v>
      </c>
      <c r="F2273" s="343" t="s">
        <v>7897</v>
      </c>
      <c r="G2273" s="360" t="s">
        <v>11125</v>
      </c>
      <c r="H2273" s="361">
        <v>43179</v>
      </c>
      <c r="I2273" s="343" t="s">
        <v>4742</v>
      </c>
      <c r="J2273" s="343" t="s">
        <v>11621</v>
      </c>
      <c r="K2273" s="343" t="s">
        <v>168</v>
      </c>
    </row>
    <row r="2274" spans="1:11" ht="26.25" customHeight="1">
      <c r="A2274" s="343" t="s">
        <v>1813</v>
      </c>
      <c r="B2274" s="344" t="s">
        <v>162</v>
      </c>
      <c r="C2274" s="344">
        <v>10036</v>
      </c>
      <c r="D2274" s="343" t="s">
        <v>5129</v>
      </c>
      <c r="E2274" s="344">
        <v>6120490</v>
      </c>
      <c r="F2274" s="343" t="s">
        <v>7898</v>
      </c>
      <c r="G2274" s="360" t="s">
        <v>11669</v>
      </c>
      <c r="H2274" s="361">
        <v>43179</v>
      </c>
      <c r="I2274" s="343" t="s">
        <v>193</v>
      </c>
      <c r="J2274" s="343" t="s">
        <v>637</v>
      </c>
      <c r="K2274" s="343" t="s">
        <v>168</v>
      </c>
    </row>
    <row r="2275" spans="1:11" ht="26.25" customHeight="1">
      <c r="A2275" s="343" t="s">
        <v>1813</v>
      </c>
      <c r="B2275" s="344" t="s">
        <v>162</v>
      </c>
      <c r="C2275" s="344">
        <v>12097</v>
      </c>
      <c r="D2275" s="343" t="s">
        <v>4950</v>
      </c>
      <c r="E2275" s="344">
        <v>5708458</v>
      </c>
      <c r="F2275" s="343" t="s">
        <v>7899</v>
      </c>
      <c r="G2275" s="360" t="s">
        <v>1386</v>
      </c>
      <c r="H2275" s="361">
        <v>43179</v>
      </c>
      <c r="I2275" s="343" t="s">
        <v>166</v>
      </c>
      <c r="J2275" s="343" t="s">
        <v>296</v>
      </c>
      <c r="K2275" s="343" t="s">
        <v>168</v>
      </c>
    </row>
    <row r="2276" spans="1:11" ht="26.25" customHeight="1">
      <c r="A2276" s="343" t="s">
        <v>1813</v>
      </c>
      <c r="B2276" s="344" t="s">
        <v>162</v>
      </c>
      <c r="C2276" s="344">
        <v>12103</v>
      </c>
      <c r="D2276" s="343" t="s">
        <v>4874</v>
      </c>
      <c r="E2276" s="344">
        <v>6317601</v>
      </c>
      <c r="F2276" s="343" t="s">
        <v>7900</v>
      </c>
      <c r="G2276" s="360" t="s">
        <v>9569</v>
      </c>
      <c r="H2276" s="361">
        <v>43179</v>
      </c>
      <c r="I2276" s="343" t="s">
        <v>193</v>
      </c>
      <c r="J2276" s="343" t="s">
        <v>637</v>
      </c>
      <c r="K2276" s="343" t="s">
        <v>168</v>
      </c>
    </row>
    <row r="2277" spans="1:11" ht="26.25" customHeight="1">
      <c r="A2277" s="343" t="s">
        <v>1813</v>
      </c>
      <c r="B2277" s="344" t="s">
        <v>162</v>
      </c>
      <c r="C2277" s="344">
        <v>12103</v>
      </c>
      <c r="D2277" s="343" t="s">
        <v>4874</v>
      </c>
      <c r="E2277" s="344">
        <v>6040112</v>
      </c>
      <c r="F2277" s="343" t="s">
        <v>7901</v>
      </c>
      <c r="G2277" s="360" t="s">
        <v>11670</v>
      </c>
      <c r="H2277" s="361">
        <v>43179</v>
      </c>
      <c r="I2277" s="343" t="s">
        <v>166</v>
      </c>
      <c r="J2277" s="343" t="s">
        <v>296</v>
      </c>
      <c r="K2277" s="343" t="s">
        <v>168</v>
      </c>
    </row>
    <row r="2278" spans="1:11" ht="26.25" customHeight="1">
      <c r="A2278" s="343" t="s">
        <v>1813</v>
      </c>
      <c r="B2278" s="344" t="s">
        <v>162</v>
      </c>
      <c r="C2278" s="344">
        <v>6822</v>
      </c>
      <c r="D2278" s="343" t="s">
        <v>5108</v>
      </c>
      <c r="E2278" s="344">
        <v>6183002</v>
      </c>
      <c r="F2278" s="343" t="s">
        <v>7902</v>
      </c>
      <c r="G2278" s="360" t="s">
        <v>10074</v>
      </c>
      <c r="H2278" s="361">
        <v>43179</v>
      </c>
      <c r="I2278" s="343" t="s">
        <v>193</v>
      </c>
      <c r="J2278" s="343" t="s">
        <v>9515</v>
      </c>
      <c r="K2278" s="343" t="s">
        <v>168</v>
      </c>
    </row>
    <row r="2279" spans="1:11" ht="26.25" customHeight="1">
      <c r="A2279" s="343" t="s">
        <v>1813</v>
      </c>
      <c r="B2279" s="344" t="s">
        <v>162</v>
      </c>
      <c r="C2279" s="344">
        <v>9388</v>
      </c>
      <c r="D2279" s="343" t="s">
        <v>7041</v>
      </c>
      <c r="E2279" s="344">
        <v>6263250</v>
      </c>
      <c r="F2279" s="343" t="s">
        <v>5120</v>
      </c>
      <c r="G2279" s="360" t="s">
        <v>9671</v>
      </c>
      <c r="H2279" s="361">
        <v>43179</v>
      </c>
      <c r="I2279" s="343" t="s">
        <v>198</v>
      </c>
      <c r="J2279" s="343" t="s">
        <v>198</v>
      </c>
      <c r="K2279" s="343" t="s">
        <v>168</v>
      </c>
    </row>
    <row r="2280" spans="1:11" ht="26.25" customHeight="1">
      <c r="A2280" s="343" t="s">
        <v>1813</v>
      </c>
      <c r="B2280" s="344" t="s">
        <v>162</v>
      </c>
      <c r="C2280" s="344">
        <v>9850</v>
      </c>
      <c r="D2280" s="343" t="s">
        <v>4839</v>
      </c>
      <c r="E2280" s="344">
        <v>6866300</v>
      </c>
      <c r="F2280" s="343" t="s">
        <v>7903</v>
      </c>
      <c r="G2280" s="360" t="s">
        <v>11671</v>
      </c>
      <c r="H2280" s="361">
        <v>43180</v>
      </c>
      <c r="I2280" s="343" t="s">
        <v>166</v>
      </c>
      <c r="J2280" s="343" t="s">
        <v>9752</v>
      </c>
      <c r="K2280" s="343" t="s">
        <v>248</v>
      </c>
    </row>
    <row r="2281" spans="1:11" ht="26.25" customHeight="1">
      <c r="A2281" s="343" t="s">
        <v>1813</v>
      </c>
      <c r="B2281" s="344" t="s">
        <v>162</v>
      </c>
      <c r="C2281" s="344">
        <v>11093</v>
      </c>
      <c r="D2281" s="343" t="s">
        <v>4827</v>
      </c>
      <c r="E2281" s="344">
        <v>6499329</v>
      </c>
      <c r="F2281" s="343" t="s">
        <v>7904</v>
      </c>
      <c r="G2281" s="360" t="s">
        <v>11672</v>
      </c>
      <c r="H2281" s="361">
        <v>43180</v>
      </c>
      <c r="I2281" s="343" t="s">
        <v>366</v>
      </c>
      <c r="J2281" s="343" t="s">
        <v>366</v>
      </c>
      <c r="K2281" s="343" t="s">
        <v>168</v>
      </c>
    </row>
    <row r="2282" spans="1:11" ht="26.25" customHeight="1">
      <c r="A2282" s="343" t="s">
        <v>1813</v>
      </c>
      <c r="B2282" s="344" t="s">
        <v>162</v>
      </c>
      <c r="C2282" s="344">
        <v>8935</v>
      </c>
      <c r="D2282" s="343" t="s">
        <v>5151</v>
      </c>
      <c r="E2282" s="344">
        <v>5880924</v>
      </c>
      <c r="F2282" s="343" t="s">
        <v>7905</v>
      </c>
      <c r="G2282" s="360" t="s">
        <v>9372</v>
      </c>
      <c r="H2282" s="361">
        <v>43180</v>
      </c>
      <c r="I2282" s="343" t="s">
        <v>193</v>
      </c>
      <c r="J2282" s="343" t="s">
        <v>637</v>
      </c>
      <c r="K2282" s="343" t="s">
        <v>168</v>
      </c>
    </row>
    <row r="2283" spans="1:11" ht="26.25" customHeight="1">
      <c r="A2283" s="343" t="s">
        <v>1813</v>
      </c>
      <c r="B2283" s="344" t="s">
        <v>162</v>
      </c>
      <c r="C2283" s="344">
        <v>7477</v>
      </c>
      <c r="D2283" s="343" t="s">
        <v>4761</v>
      </c>
      <c r="E2283" s="344">
        <v>6987566</v>
      </c>
      <c r="F2283" s="343" t="s">
        <v>7906</v>
      </c>
      <c r="G2283" s="360" t="s">
        <v>11673</v>
      </c>
      <c r="H2283" s="361">
        <v>43180</v>
      </c>
      <c r="I2283" s="343" t="s">
        <v>380</v>
      </c>
      <c r="J2283" s="343" t="s">
        <v>10079</v>
      </c>
      <c r="K2283" s="343" t="s">
        <v>173</v>
      </c>
    </row>
    <row r="2284" spans="1:11" ht="26.25" customHeight="1">
      <c r="A2284" s="343" t="s">
        <v>1813</v>
      </c>
      <c r="B2284" s="344" t="s">
        <v>162</v>
      </c>
      <c r="C2284" s="344">
        <v>9850</v>
      </c>
      <c r="D2284" s="343" t="s">
        <v>4839</v>
      </c>
      <c r="E2284" s="344">
        <v>6684095</v>
      </c>
      <c r="F2284" s="343" t="s">
        <v>7908</v>
      </c>
      <c r="G2284" s="360" t="s">
        <v>11674</v>
      </c>
      <c r="H2284" s="361">
        <v>43180</v>
      </c>
      <c r="I2284" s="343" t="s">
        <v>7909</v>
      </c>
      <c r="J2284" s="343" t="s">
        <v>11675</v>
      </c>
      <c r="K2284" s="343" t="s">
        <v>168</v>
      </c>
    </row>
    <row r="2285" spans="1:11" ht="26.25" customHeight="1">
      <c r="A2285" s="343" t="s">
        <v>1813</v>
      </c>
      <c r="B2285" s="344" t="s">
        <v>162</v>
      </c>
      <c r="C2285" s="344">
        <v>7468</v>
      </c>
      <c r="D2285" s="343" t="s">
        <v>4811</v>
      </c>
      <c r="E2285" s="344">
        <v>6879230</v>
      </c>
      <c r="F2285" s="343" t="s">
        <v>7910</v>
      </c>
      <c r="G2285" s="360" t="s">
        <v>9561</v>
      </c>
      <c r="H2285" s="361">
        <v>43180</v>
      </c>
      <c r="I2285" s="343" t="s">
        <v>166</v>
      </c>
      <c r="J2285" s="343" t="s">
        <v>9413</v>
      </c>
      <c r="K2285" s="343" t="s">
        <v>168</v>
      </c>
    </row>
    <row r="2286" spans="1:11" ht="26.25" customHeight="1">
      <c r="A2286" s="343" t="s">
        <v>1813</v>
      </c>
      <c r="B2286" s="344" t="s">
        <v>162</v>
      </c>
      <c r="C2286" s="344">
        <v>7468</v>
      </c>
      <c r="D2286" s="343" t="s">
        <v>4811</v>
      </c>
      <c r="E2286" s="344">
        <v>6549816</v>
      </c>
      <c r="F2286" s="343" t="s">
        <v>7911</v>
      </c>
      <c r="G2286" s="360" t="s">
        <v>9477</v>
      </c>
      <c r="H2286" s="361">
        <v>43180</v>
      </c>
      <c r="I2286" s="343" t="s">
        <v>802</v>
      </c>
      <c r="J2286" s="343" t="s">
        <v>1075</v>
      </c>
      <c r="K2286" s="343" t="s">
        <v>168</v>
      </c>
    </row>
    <row r="2287" spans="1:11" ht="26.25" customHeight="1">
      <c r="A2287" s="343" t="s">
        <v>1813</v>
      </c>
      <c r="B2287" s="344" t="s">
        <v>162</v>
      </c>
      <c r="C2287" s="344">
        <v>7468</v>
      </c>
      <c r="D2287" s="343" t="s">
        <v>4811</v>
      </c>
      <c r="E2287" s="344">
        <v>6767409</v>
      </c>
      <c r="F2287" s="343" t="s">
        <v>7913</v>
      </c>
      <c r="G2287" s="360" t="s">
        <v>11676</v>
      </c>
      <c r="H2287" s="361">
        <v>43180</v>
      </c>
      <c r="I2287" s="343" t="s">
        <v>349</v>
      </c>
      <c r="J2287" s="343" t="s">
        <v>11677</v>
      </c>
      <c r="K2287" s="343" t="s">
        <v>168</v>
      </c>
    </row>
    <row r="2288" spans="1:11" ht="26.25" customHeight="1">
      <c r="A2288" s="343" t="s">
        <v>1813</v>
      </c>
      <c r="B2288" s="344" t="s">
        <v>162</v>
      </c>
      <c r="C2288" s="344">
        <v>12097</v>
      </c>
      <c r="D2288" s="343" t="s">
        <v>4950</v>
      </c>
      <c r="E2288" s="344">
        <v>5646299</v>
      </c>
      <c r="F2288" s="343" t="s">
        <v>8534</v>
      </c>
      <c r="G2288" s="360" t="s">
        <v>11678</v>
      </c>
      <c r="H2288" s="361">
        <v>43193</v>
      </c>
      <c r="I2288" s="343" t="s">
        <v>8216</v>
      </c>
      <c r="J2288" s="343" t="s">
        <v>11679</v>
      </c>
      <c r="K2288" s="343" t="s">
        <v>168</v>
      </c>
    </row>
    <row r="2289" spans="1:11" ht="26.25" customHeight="1">
      <c r="A2289" s="343" t="s">
        <v>1813</v>
      </c>
      <c r="B2289" s="344" t="s">
        <v>162</v>
      </c>
      <c r="C2289" s="344">
        <v>8935</v>
      </c>
      <c r="D2289" s="343" t="s">
        <v>5151</v>
      </c>
      <c r="E2289" s="344">
        <v>6571983</v>
      </c>
      <c r="F2289" s="343" t="s">
        <v>8535</v>
      </c>
      <c r="G2289" s="360" t="s">
        <v>9658</v>
      </c>
      <c r="H2289" s="361">
        <v>43193</v>
      </c>
      <c r="I2289" s="343" t="s">
        <v>301</v>
      </c>
      <c r="J2289" s="343" t="s">
        <v>1113</v>
      </c>
      <c r="K2289" s="343" t="s">
        <v>168</v>
      </c>
    </row>
    <row r="2290" spans="1:11" ht="26.25" customHeight="1">
      <c r="A2290" s="343" t="s">
        <v>1813</v>
      </c>
      <c r="B2290" s="344" t="s">
        <v>162</v>
      </c>
      <c r="C2290" s="344">
        <v>9388</v>
      </c>
      <c r="D2290" s="343" t="s">
        <v>7041</v>
      </c>
      <c r="E2290" s="344">
        <v>6981368</v>
      </c>
      <c r="F2290" s="343" t="s">
        <v>8536</v>
      </c>
      <c r="G2290" s="360" t="s">
        <v>10053</v>
      </c>
      <c r="H2290" s="361">
        <v>43193</v>
      </c>
      <c r="I2290" s="343" t="s">
        <v>4616</v>
      </c>
      <c r="J2290" s="343" t="s">
        <v>10983</v>
      </c>
      <c r="K2290" s="343" t="s">
        <v>168</v>
      </c>
    </row>
    <row r="2291" spans="1:11" ht="26.25" customHeight="1">
      <c r="A2291" s="343" t="s">
        <v>1813</v>
      </c>
      <c r="B2291" s="344" t="s">
        <v>162</v>
      </c>
      <c r="C2291" s="344">
        <v>9177</v>
      </c>
      <c r="D2291" s="343" t="s">
        <v>7039</v>
      </c>
      <c r="E2291" s="344">
        <v>5989068</v>
      </c>
      <c r="F2291" s="343" t="s">
        <v>7907</v>
      </c>
      <c r="G2291" s="360" t="s">
        <v>9497</v>
      </c>
      <c r="H2291" s="361">
        <v>43194</v>
      </c>
      <c r="I2291" s="343" t="s">
        <v>301</v>
      </c>
      <c r="J2291" s="343" t="s">
        <v>11680</v>
      </c>
      <c r="K2291" s="343" t="s">
        <v>168</v>
      </c>
    </row>
    <row r="2292" spans="1:11" ht="26.25" customHeight="1">
      <c r="A2292" s="343" t="s">
        <v>1813</v>
      </c>
      <c r="B2292" s="344" t="s">
        <v>162</v>
      </c>
      <c r="C2292" s="344">
        <v>6639</v>
      </c>
      <c r="D2292" s="343" t="s">
        <v>7037</v>
      </c>
      <c r="E2292" s="344">
        <v>6479594</v>
      </c>
      <c r="F2292" s="343" t="s">
        <v>4754</v>
      </c>
      <c r="G2292" s="360" t="s">
        <v>11534</v>
      </c>
      <c r="H2292" s="361">
        <v>43194</v>
      </c>
      <c r="I2292" s="343" t="s">
        <v>180</v>
      </c>
      <c r="J2292" s="343" t="s">
        <v>11681</v>
      </c>
      <c r="K2292" s="343" t="s">
        <v>168</v>
      </c>
    </row>
    <row r="2293" spans="1:11" ht="26.25" customHeight="1">
      <c r="A2293" s="343" t="s">
        <v>1813</v>
      </c>
      <c r="B2293" s="344" t="s">
        <v>162</v>
      </c>
      <c r="C2293" s="344">
        <v>7477</v>
      </c>
      <c r="D2293" s="343" t="s">
        <v>4761</v>
      </c>
      <c r="E2293" s="344">
        <v>6316292</v>
      </c>
      <c r="F2293" s="343" t="s">
        <v>8537</v>
      </c>
      <c r="G2293" s="360" t="s">
        <v>11682</v>
      </c>
      <c r="H2293" s="361">
        <v>43195</v>
      </c>
      <c r="I2293" s="343" t="s">
        <v>193</v>
      </c>
      <c r="J2293" s="343" t="s">
        <v>637</v>
      </c>
      <c r="K2293" s="343" t="s">
        <v>168</v>
      </c>
    </row>
    <row r="2294" spans="1:11" ht="26.25" customHeight="1">
      <c r="A2294" s="343" t="s">
        <v>1813</v>
      </c>
      <c r="B2294" s="344" t="s">
        <v>162</v>
      </c>
      <c r="C2294" s="344">
        <v>9482</v>
      </c>
      <c r="D2294" s="343" t="s">
        <v>5092</v>
      </c>
      <c r="E2294" s="344">
        <v>6103674</v>
      </c>
      <c r="F2294" s="343" t="s">
        <v>8538</v>
      </c>
      <c r="G2294" s="360" t="s">
        <v>255</v>
      </c>
      <c r="H2294" s="361">
        <v>43201</v>
      </c>
      <c r="I2294" s="343" t="s">
        <v>8539</v>
      </c>
      <c r="J2294" s="343" t="s">
        <v>11683</v>
      </c>
      <c r="K2294" s="343" t="s">
        <v>168</v>
      </c>
    </row>
    <row r="2295" spans="1:11" ht="26.25" customHeight="1">
      <c r="A2295" s="343" t="s">
        <v>1813</v>
      </c>
      <c r="B2295" s="344" t="s">
        <v>162</v>
      </c>
      <c r="C2295" s="344">
        <v>10044</v>
      </c>
      <c r="D2295" s="343" t="s">
        <v>4807</v>
      </c>
      <c r="E2295" s="344">
        <v>6629010</v>
      </c>
      <c r="F2295" s="343" t="s">
        <v>8540</v>
      </c>
      <c r="G2295" s="360" t="s">
        <v>9993</v>
      </c>
      <c r="H2295" s="361">
        <v>43203</v>
      </c>
      <c r="I2295" s="343" t="s">
        <v>301</v>
      </c>
      <c r="J2295" s="343" t="s">
        <v>530</v>
      </c>
      <c r="K2295" s="343" t="s">
        <v>168</v>
      </c>
    </row>
    <row r="2296" spans="1:11" ht="26.25" customHeight="1">
      <c r="A2296" s="343" t="s">
        <v>1813</v>
      </c>
      <c r="B2296" s="344" t="s">
        <v>162</v>
      </c>
      <c r="C2296" s="344">
        <v>7477</v>
      </c>
      <c r="D2296" s="343" t="s">
        <v>4761</v>
      </c>
      <c r="E2296" s="344">
        <v>6804393</v>
      </c>
      <c r="F2296" s="343" t="s">
        <v>8541</v>
      </c>
      <c r="G2296" s="360" t="s">
        <v>11684</v>
      </c>
      <c r="H2296" s="361">
        <v>43203</v>
      </c>
      <c r="I2296" s="343" t="s">
        <v>423</v>
      </c>
      <c r="J2296" s="343" t="s">
        <v>11685</v>
      </c>
      <c r="K2296" s="343" t="s">
        <v>168</v>
      </c>
    </row>
    <row r="2297" spans="1:11" ht="26.25" customHeight="1">
      <c r="A2297" s="343" t="s">
        <v>1813</v>
      </c>
      <c r="B2297" s="344" t="s">
        <v>162</v>
      </c>
      <c r="C2297" s="344">
        <v>6645</v>
      </c>
      <c r="D2297" s="343" t="s">
        <v>7888</v>
      </c>
      <c r="E2297" s="344">
        <v>6101229</v>
      </c>
      <c r="F2297" s="343" t="s">
        <v>8542</v>
      </c>
      <c r="G2297" s="360" t="s">
        <v>11141</v>
      </c>
      <c r="H2297" s="361">
        <v>43203</v>
      </c>
      <c r="I2297" s="343" t="s">
        <v>301</v>
      </c>
      <c r="J2297" s="343" t="s">
        <v>530</v>
      </c>
      <c r="K2297" s="343" t="s">
        <v>168</v>
      </c>
    </row>
    <row r="2298" spans="1:11" ht="26.25" customHeight="1">
      <c r="A2298" s="343" t="s">
        <v>1813</v>
      </c>
      <c r="B2298" s="344" t="s">
        <v>162</v>
      </c>
      <c r="C2298" s="344">
        <v>9388</v>
      </c>
      <c r="D2298" s="343" t="s">
        <v>7041</v>
      </c>
      <c r="E2298" s="344">
        <v>6909193</v>
      </c>
      <c r="F2298" s="343" t="s">
        <v>4814</v>
      </c>
      <c r="G2298" s="360" t="s">
        <v>9582</v>
      </c>
      <c r="H2298" s="361">
        <v>43207</v>
      </c>
      <c r="I2298" s="343" t="s">
        <v>166</v>
      </c>
      <c r="J2298" s="343" t="s">
        <v>11686</v>
      </c>
      <c r="K2298" s="343" t="s">
        <v>168</v>
      </c>
    </row>
    <row r="2299" spans="1:11" ht="26.25" customHeight="1">
      <c r="A2299" s="343" t="s">
        <v>1813</v>
      </c>
      <c r="B2299" s="344" t="s">
        <v>162</v>
      </c>
      <c r="C2299" s="344">
        <v>6637</v>
      </c>
      <c r="D2299" s="343" t="s">
        <v>7035</v>
      </c>
      <c r="E2299" s="344">
        <v>6264289</v>
      </c>
      <c r="F2299" s="343" t="s">
        <v>8543</v>
      </c>
      <c r="G2299" s="360" t="s">
        <v>1088</v>
      </c>
      <c r="H2299" s="361">
        <v>43210</v>
      </c>
      <c r="I2299" s="343" t="s">
        <v>166</v>
      </c>
      <c r="J2299" s="343" t="s">
        <v>11687</v>
      </c>
      <c r="K2299" s="343" t="s">
        <v>168</v>
      </c>
    </row>
    <row r="2300" spans="1:11" ht="26.25" customHeight="1">
      <c r="A2300" s="343" t="s">
        <v>1813</v>
      </c>
      <c r="B2300" s="344" t="s">
        <v>162</v>
      </c>
      <c r="C2300" s="344">
        <v>9482</v>
      </c>
      <c r="D2300" s="343" t="s">
        <v>5092</v>
      </c>
      <c r="E2300" s="344">
        <v>6288282</v>
      </c>
      <c r="F2300" s="343" t="s">
        <v>8544</v>
      </c>
      <c r="G2300" s="360" t="s">
        <v>10567</v>
      </c>
      <c r="H2300" s="361">
        <v>43210</v>
      </c>
      <c r="I2300" s="343" t="s">
        <v>8545</v>
      </c>
      <c r="J2300" s="343" t="s">
        <v>11688</v>
      </c>
      <c r="K2300" s="343" t="s">
        <v>248</v>
      </c>
    </row>
    <row r="2301" spans="1:11" ht="26.25" customHeight="1">
      <c r="A2301" s="343" t="s">
        <v>1813</v>
      </c>
      <c r="B2301" s="344" t="s">
        <v>162</v>
      </c>
      <c r="C2301" s="344">
        <v>6628</v>
      </c>
      <c r="D2301" s="343" t="s">
        <v>4870</v>
      </c>
      <c r="E2301" s="344">
        <v>6343845</v>
      </c>
      <c r="F2301" s="343" t="s">
        <v>8547</v>
      </c>
      <c r="G2301" s="360" t="s">
        <v>11689</v>
      </c>
      <c r="H2301" s="361">
        <v>43215</v>
      </c>
      <c r="I2301" s="343" t="s">
        <v>180</v>
      </c>
      <c r="J2301" s="343" t="s">
        <v>11690</v>
      </c>
      <c r="K2301" s="343" t="s">
        <v>173</v>
      </c>
    </row>
    <row r="2302" spans="1:11" ht="26.25" customHeight="1">
      <c r="A2302" s="343" t="s">
        <v>1813</v>
      </c>
      <c r="B2302" s="344" t="s">
        <v>162</v>
      </c>
      <c r="C2302" s="344">
        <v>10045</v>
      </c>
      <c r="D2302" s="343" t="s">
        <v>5134</v>
      </c>
      <c r="E2302" s="344">
        <v>6745210</v>
      </c>
      <c r="F2302" s="343" t="s">
        <v>7554</v>
      </c>
      <c r="G2302" s="360" t="s">
        <v>9459</v>
      </c>
      <c r="H2302" s="361">
        <v>43216</v>
      </c>
      <c r="I2302" s="343" t="s">
        <v>802</v>
      </c>
      <c r="J2302" s="343" t="s">
        <v>11691</v>
      </c>
      <c r="K2302" s="343" t="s">
        <v>168</v>
      </c>
    </row>
    <row r="2303" spans="1:11" ht="26.25" customHeight="1">
      <c r="A2303" s="343" t="s">
        <v>1813</v>
      </c>
      <c r="B2303" s="344" t="s">
        <v>162</v>
      </c>
      <c r="C2303" s="344">
        <v>6823</v>
      </c>
      <c r="D2303" s="343" t="s">
        <v>5136</v>
      </c>
      <c r="E2303" s="344">
        <v>6740079</v>
      </c>
      <c r="F2303" s="343" t="s">
        <v>8548</v>
      </c>
      <c r="G2303" s="360" t="s">
        <v>9507</v>
      </c>
      <c r="H2303" s="361">
        <v>43220</v>
      </c>
      <c r="I2303" s="343" t="s">
        <v>193</v>
      </c>
      <c r="J2303" s="343" t="s">
        <v>637</v>
      </c>
      <c r="K2303" s="343" t="s">
        <v>168</v>
      </c>
    </row>
    <row r="2304" spans="1:11" ht="26.25" customHeight="1">
      <c r="A2304" s="343" t="s">
        <v>1813</v>
      </c>
      <c r="B2304" s="344" t="s">
        <v>162</v>
      </c>
      <c r="C2304" s="344">
        <v>7166</v>
      </c>
      <c r="D2304" s="343" t="s">
        <v>4960</v>
      </c>
      <c r="E2304" s="344">
        <v>6487137</v>
      </c>
      <c r="F2304" s="343" t="s">
        <v>8549</v>
      </c>
      <c r="G2304" s="360" t="s">
        <v>11692</v>
      </c>
      <c r="H2304" s="361">
        <v>43220</v>
      </c>
      <c r="I2304" s="343" t="s">
        <v>193</v>
      </c>
      <c r="J2304" s="343" t="s">
        <v>637</v>
      </c>
      <c r="K2304" s="343" t="s">
        <v>168</v>
      </c>
    </row>
    <row r="2305" spans="1:11" ht="26.25" customHeight="1">
      <c r="A2305" s="343" t="s">
        <v>1813</v>
      </c>
      <c r="B2305" s="344" t="s">
        <v>162</v>
      </c>
      <c r="C2305" s="344">
        <v>6638</v>
      </c>
      <c r="D2305" s="343" t="s">
        <v>7036</v>
      </c>
      <c r="E2305" s="344">
        <v>5971506</v>
      </c>
      <c r="F2305" s="343" t="s">
        <v>7784</v>
      </c>
      <c r="G2305" s="360" t="s">
        <v>11693</v>
      </c>
      <c r="H2305" s="361">
        <v>43220</v>
      </c>
      <c r="I2305" s="343" t="s">
        <v>193</v>
      </c>
      <c r="J2305" s="343" t="s">
        <v>9500</v>
      </c>
      <c r="K2305" s="343" t="s">
        <v>168</v>
      </c>
    </row>
    <row r="2306" spans="1:11" ht="26.25" customHeight="1">
      <c r="A2306" s="343" t="s">
        <v>1813</v>
      </c>
      <c r="B2306" s="344" t="s">
        <v>162</v>
      </c>
      <c r="C2306" s="344">
        <v>6633</v>
      </c>
      <c r="D2306" s="343" t="s">
        <v>5142</v>
      </c>
      <c r="E2306" s="344">
        <v>5948713</v>
      </c>
      <c r="F2306" s="343" t="s">
        <v>8550</v>
      </c>
      <c r="G2306" s="360" t="s">
        <v>11694</v>
      </c>
      <c r="H2306" s="361">
        <v>43220</v>
      </c>
      <c r="I2306" s="343" t="s">
        <v>198</v>
      </c>
      <c r="J2306" s="343" t="s">
        <v>198</v>
      </c>
      <c r="K2306" s="343" t="s">
        <v>168</v>
      </c>
    </row>
    <row r="2307" spans="1:11" ht="26.25" customHeight="1">
      <c r="A2307" s="343" t="s">
        <v>1813</v>
      </c>
      <c r="B2307" s="344" t="s">
        <v>162</v>
      </c>
      <c r="C2307" s="344">
        <v>6638</v>
      </c>
      <c r="D2307" s="343" t="s">
        <v>7036</v>
      </c>
      <c r="E2307" s="344">
        <v>6508707</v>
      </c>
      <c r="F2307" s="343" t="s">
        <v>8551</v>
      </c>
      <c r="G2307" s="360" t="s">
        <v>183</v>
      </c>
      <c r="H2307" s="361">
        <v>43220</v>
      </c>
      <c r="I2307" s="343" t="s">
        <v>166</v>
      </c>
      <c r="J2307" s="343" t="s">
        <v>296</v>
      </c>
      <c r="K2307" s="343" t="s">
        <v>168</v>
      </c>
    </row>
    <row r="2308" spans="1:11" ht="26.25" customHeight="1">
      <c r="A2308" s="343" t="s">
        <v>1813</v>
      </c>
      <c r="B2308" s="344" t="s">
        <v>162</v>
      </c>
      <c r="C2308" s="344">
        <v>9188</v>
      </c>
      <c r="D2308" s="343" t="s">
        <v>7040</v>
      </c>
      <c r="E2308" s="344">
        <v>5963167</v>
      </c>
      <c r="F2308" s="343" t="s">
        <v>4810</v>
      </c>
      <c r="G2308" s="360" t="s">
        <v>9520</v>
      </c>
      <c r="H2308" s="361">
        <v>43223</v>
      </c>
      <c r="I2308" s="343" t="s">
        <v>193</v>
      </c>
      <c r="J2308" s="343" t="s">
        <v>637</v>
      </c>
      <c r="K2308" s="343" t="s">
        <v>168</v>
      </c>
    </row>
    <row r="2309" spans="1:11" ht="26.25" customHeight="1">
      <c r="A2309" s="343" t="s">
        <v>1813</v>
      </c>
      <c r="B2309" s="344" t="s">
        <v>162</v>
      </c>
      <c r="C2309" s="344">
        <v>10044</v>
      </c>
      <c r="D2309" s="343" t="s">
        <v>4807</v>
      </c>
      <c r="E2309" s="344">
        <v>6213091</v>
      </c>
      <c r="F2309" s="343" t="s">
        <v>8552</v>
      </c>
      <c r="G2309" s="360" t="s">
        <v>10500</v>
      </c>
      <c r="H2309" s="361">
        <v>43224</v>
      </c>
      <c r="I2309" s="343" t="s">
        <v>3795</v>
      </c>
      <c r="J2309" s="343" t="s">
        <v>11695</v>
      </c>
      <c r="K2309" s="343" t="s">
        <v>168</v>
      </c>
    </row>
    <row r="2310" spans="1:11" ht="26.25" customHeight="1">
      <c r="A2310" s="343" t="s">
        <v>1813</v>
      </c>
      <c r="B2310" s="344" t="s">
        <v>162</v>
      </c>
      <c r="C2310" s="344">
        <v>7474</v>
      </c>
      <c r="D2310" s="343" t="s">
        <v>8553</v>
      </c>
      <c r="E2310" s="344">
        <v>6843341</v>
      </c>
      <c r="F2310" s="343" t="s">
        <v>8554</v>
      </c>
      <c r="G2310" s="360" t="s">
        <v>11696</v>
      </c>
      <c r="H2310" s="361">
        <v>43224</v>
      </c>
      <c r="I2310" s="343" t="s">
        <v>305</v>
      </c>
      <c r="J2310" s="343" t="s">
        <v>11697</v>
      </c>
      <c r="K2310" s="343" t="s">
        <v>168</v>
      </c>
    </row>
    <row r="2311" spans="1:11" ht="26.25" customHeight="1">
      <c r="A2311" s="343" t="s">
        <v>1813</v>
      </c>
      <c r="B2311" s="344" t="s">
        <v>162</v>
      </c>
      <c r="C2311" s="344">
        <v>6644</v>
      </c>
      <c r="D2311" s="343" t="s">
        <v>5084</v>
      </c>
      <c r="E2311" s="344">
        <v>6462640</v>
      </c>
      <c r="F2311" s="343" t="s">
        <v>8555</v>
      </c>
      <c r="G2311" s="360" t="s">
        <v>320</v>
      </c>
      <c r="H2311" s="361">
        <v>43224</v>
      </c>
      <c r="I2311" s="343" t="s">
        <v>193</v>
      </c>
      <c r="J2311" s="343" t="s">
        <v>637</v>
      </c>
      <c r="K2311" s="343" t="s">
        <v>168</v>
      </c>
    </row>
    <row r="2312" spans="1:11" ht="26.25" customHeight="1">
      <c r="A2312" s="343" t="s">
        <v>1813</v>
      </c>
      <c r="B2312" s="344" t="s">
        <v>162</v>
      </c>
      <c r="C2312" s="344">
        <v>10036</v>
      </c>
      <c r="D2312" s="343" t="s">
        <v>5129</v>
      </c>
      <c r="E2312" s="344">
        <v>6455155</v>
      </c>
      <c r="F2312" s="343" t="s">
        <v>8556</v>
      </c>
      <c r="G2312" s="360" t="s">
        <v>11698</v>
      </c>
      <c r="H2312" s="361">
        <v>43224</v>
      </c>
      <c r="I2312" s="343" t="s">
        <v>193</v>
      </c>
      <c r="J2312" s="343" t="s">
        <v>11699</v>
      </c>
      <c r="K2312" s="343" t="s">
        <v>168</v>
      </c>
    </row>
    <row r="2313" spans="1:11" ht="26.25" customHeight="1">
      <c r="A2313" s="343" t="s">
        <v>1813</v>
      </c>
      <c r="B2313" s="344" t="s">
        <v>162</v>
      </c>
      <c r="C2313" s="344">
        <v>7488</v>
      </c>
      <c r="D2313" s="343" t="s">
        <v>4751</v>
      </c>
      <c r="E2313" s="344">
        <v>6761909</v>
      </c>
      <c r="F2313" s="343" t="s">
        <v>8557</v>
      </c>
      <c r="G2313" s="360" t="s">
        <v>11700</v>
      </c>
      <c r="H2313" s="361">
        <v>43224</v>
      </c>
      <c r="I2313" s="343" t="s">
        <v>7356</v>
      </c>
      <c r="J2313" s="343" t="s">
        <v>10583</v>
      </c>
      <c r="K2313" s="343" t="s">
        <v>168</v>
      </c>
    </row>
    <row r="2314" spans="1:11" ht="26.25" customHeight="1">
      <c r="A2314" s="343" t="s">
        <v>1813</v>
      </c>
      <c r="B2314" s="344" t="s">
        <v>162</v>
      </c>
      <c r="C2314" s="344">
        <v>7485</v>
      </c>
      <c r="D2314" s="343" t="s">
        <v>4791</v>
      </c>
      <c r="E2314" s="344">
        <v>6742883</v>
      </c>
      <c r="F2314" s="343" t="s">
        <v>8558</v>
      </c>
      <c r="G2314" s="360" t="s">
        <v>11701</v>
      </c>
      <c r="H2314" s="361">
        <v>43224</v>
      </c>
      <c r="I2314" s="343" t="s">
        <v>193</v>
      </c>
      <c r="J2314" s="343" t="s">
        <v>637</v>
      </c>
      <c r="K2314" s="343" t="s">
        <v>168</v>
      </c>
    </row>
    <row r="2315" spans="1:11" ht="26.25" customHeight="1">
      <c r="A2315" s="343" t="s">
        <v>1813</v>
      </c>
      <c r="B2315" s="344" t="s">
        <v>162</v>
      </c>
      <c r="C2315" s="344">
        <v>6663</v>
      </c>
      <c r="D2315" s="343" t="s">
        <v>5107</v>
      </c>
      <c r="E2315" s="344">
        <v>5950410</v>
      </c>
      <c r="F2315" s="343" t="s">
        <v>8559</v>
      </c>
      <c r="G2315" s="360" t="s">
        <v>10103</v>
      </c>
      <c r="H2315" s="361">
        <v>43224</v>
      </c>
      <c r="I2315" s="343" t="s">
        <v>180</v>
      </c>
      <c r="J2315" s="343" t="s">
        <v>11702</v>
      </c>
      <c r="K2315" s="343" t="s">
        <v>173</v>
      </c>
    </row>
    <row r="2316" spans="1:11" ht="26.25" customHeight="1">
      <c r="A2316" s="343" t="s">
        <v>1813</v>
      </c>
      <c r="B2316" s="344" t="s">
        <v>162</v>
      </c>
      <c r="C2316" s="344">
        <v>7469</v>
      </c>
      <c r="D2316" s="343" t="s">
        <v>4750</v>
      </c>
      <c r="E2316" s="344">
        <v>6985140</v>
      </c>
      <c r="F2316" s="343" t="s">
        <v>8560</v>
      </c>
      <c r="G2316" s="360" t="s">
        <v>11703</v>
      </c>
      <c r="H2316" s="361">
        <v>43227</v>
      </c>
      <c r="I2316" s="343" t="s">
        <v>166</v>
      </c>
      <c r="J2316" s="343" t="s">
        <v>327</v>
      </c>
      <c r="K2316" s="343" t="s">
        <v>168</v>
      </c>
    </row>
    <row r="2317" spans="1:11" ht="26.25" customHeight="1">
      <c r="A2317" s="343" t="s">
        <v>1813</v>
      </c>
      <c r="B2317" s="344" t="s">
        <v>162</v>
      </c>
      <c r="C2317" s="344">
        <v>9480</v>
      </c>
      <c r="D2317" s="343" t="s">
        <v>4857</v>
      </c>
      <c r="E2317" s="344">
        <v>6098195</v>
      </c>
      <c r="F2317" s="343" t="s">
        <v>8561</v>
      </c>
      <c r="G2317" s="360" t="s">
        <v>10030</v>
      </c>
      <c r="H2317" s="361">
        <v>43227</v>
      </c>
      <c r="I2317" s="343" t="s">
        <v>275</v>
      </c>
      <c r="J2317" s="343" t="s">
        <v>9392</v>
      </c>
      <c r="K2317" s="343" t="s">
        <v>173</v>
      </c>
    </row>
    <row r="2318" spans="1:11" ht="26.25" customHeight="1">
      <c r="A2318" s="343" t="s">
        <v>1813</v>
      </c>
      <c r="B2318" s="344" t="s">
        <v>162</v>
      </c>
      <c r="C2318" s="344">
        <v>9177</v>
      </c>
      <c r="D2318" s="343" t="s">
        <v>7039</v>
      </c>
      <c r="E2318" s="344">
        <v>6504674</v>
      </c>
      <c r="F2318" s="343" t="s">
        <v>8562</v>
      </c>
      <c r="G2318" s="360" t="s">
        <v>11704</v>
      </c>
      <c r="H2318" s="361">
        <v>43227</v>
      </c>
      <c r="I2318" s="343" t="s">
        <v>198</v>
      </c>
      <c r="J2318" s="343" t="s">
        <v>198</v>
      </c>
      <c r="K2318" s="343" t="s">
        <v>168</v>
      </c>
    </row>
    <row r="2319" spans="1:11" ht="26.25" customHeight="1">
      <c r="A2319" s="343" t="s">
        <v>1813</v>
      </c>
      <c r="B2319" s="344" t="s">
        <v>162</v>
      </c>
      <c r="C2319" s="344">
        <v>9946</v>
      </c>
      <c r="D2319" s="343" t="s">
        <v>4867</v>
      </c>
      <c r="E2319" s="344">
        <v>6251066</v>
      </c>
      <c r="F2319" s="343" t="s">
        <v>4803</v>
      </c>
      <c r="G2319" s="360" t="s">
        <v>11139</v>
      </c>
      <c r="H2319" s="361">
        <v>43228</v>
      </c>
      <c r="I2319" s="343" t="s">
        <v>166</v>
      </c>
      <c r="J2319" s="343" t="s">
        <v>296</v>
      </c>
      <c r="K2319" s="343" t="s">
        <v>168</v>
      </c>
    </row>
    <row r="2320" spans="1:11" ht="26.25" customHeight="1">
      <c r="A2320" s="343" t="s">
        <v>1813</v>
      </c>
      <c r="B2320" s="344" t="s">
        <v>162</v>
      </c>
      <c r="C2320" s="344">
        <v>8935</v>
      </c>
      <c r="D2320" s="343" t="s">
        <v>5151</v>
      </c>
      <c r="E2320" s="344">
        <v>5709017</v>
      </c>
      <c r="F2320" s="343" t="s">
        <v>8563</v>
      </c>
      <c r="G2320" s="360" t="s">
        <v>11038</v>
      </c>
      <c r="H2320" s="361">
        <v>43228</v>
      </c>
      <c r="I2320" s="343" t="s">
        <v>193</v>
      </c>
      <c r="J2320" s="343" t="s">
        <v>637</v>
      </c>
      <c r="K2320" s="343" t="s">
        <v>168</v>
      </c>
    </row>
    <row r="2321" spans="1:11" ht="26.25" customHeight="1">
      <c r="A2321" s="343" t="s">
        <v>1813</v>
      </c>
      <c r="B2321" s="344" t="s">
        <v>162</v>
      </c>
      <c r="C2321" s="344">
        <v>6634</v>
      </c>
      <c r="D2321" s="343" t="s">
        <v>8564</v>
      </c>
      <c r="E2321" s="344">
        <v>5973974</v>
      </c>
      <c r="F2321" s="343" t="s">
        <v>8565</v>
      </c>
      <c r="G2321" s="360" t="s">
        <v>11029</v>
      </c>
      <c r="H2321" s="361">
        <v>43229</v>
      </c>
      <c r="I2321" s="343" t="s">
        <v>709</v>
      </c>
      <c r="J2321" s="343" t="s">
        <v>11705</v>
      </c>
      <c r="K2321" s="343" t="s">
        <v>168</v>
      </c>
    </row>
    <row r="2322" spans="1:11" ht="26.25" customHeight="1">
      <c r="A2322" s="343" t="s">
        <v>1813</v>
      </c>
      <c r="B2322" s="344" t="s">
        <v>162</v>
      </c>
      <c r="C2322" s="344">
        <v>9429</v>
      </c>
      <c r="D2322" s="343" t="s">
        <v>7864</v>
      </c>
      <c r="E2322" s="344">
        <v>6063772</v>
      </c>
      <c r="F2322" s="343" t="s">
        <v>5089</v>
      </c>
      <c r="G2322" s="360" t="s">
        <v>11706</v>
      </c>
      <c r="H2322" s="361">
        <v>43229</v>
      </c>
      <c r="I2322" s="343" t="s">
        <v>198</v>
      </c>
      <c r="J2322" s="343" t="s">
        <v>198</v>
      </c>
      <c r="K2322" s="343" t="s">
        <v>168</v>
      </c>
    </row>
    <row r="2323" spans="1:11" ht="26.25" customHeight="1">
      <c r="A2323" s="343" t="s">
        <v>1813</v>
      </c>
      <c r="B2323" s="344" t="s">
        <v>162</v>
      </c>
      <c r="C2323" s="344">
        <v>12103</v>
      </c>
      <c r="D2323" s="343" t="s">
        <v>4874</v>
      </c>
      <c r="E2323" s="344">
        <v>6218805</v>
      </c>
      <c r="F2323" s="343" t="s">
        <v>8566</v>
      </c>
      <c r="G2323" s="360" t="s">
        <v>11493</v>
      </c>
      <c r="H2323" s="361">
        <v>43230</v>
      </c>
      <c r="I2323" s="343" t="s">
        <v>6489</v>
      </c>
      <c r="J2323" s="343" t="s">
        <v>11707</v>
      </c>
      <c r="K2323" s="343" t="s">
        <v>173</v>
      </c>
    </row>
    <row r="2324" spans="1:11" ht="26.25" customHeight="1">
      <c r="A2324" s="343" t="s">
        <v>1813</v>
      </c>
      <c r="B2324" s="344" t="s">
        <v>162</v>
      </c>
      <c r="C2324" s="344">
        <v>10042</v>
      </c>
      <c r="D2324" s="343" t="s">
        <v>4747</v>
      </c>
      <c r="E2324" s="344">
        <v>6952266</v>
      </c>
      <c r="F2324" s="343" t="s">
        <v>8567</v>
      </c>
      <c r="G2324" s="360" t="s">
        <v>11517</v>
      </c>
      <c r="H2324" s="361">
        <v>43230</v>
      </c>
      <c r="I2324" s="343" t="s">
        <v>4017</v>
      </c>
      <c r="J2324" s="343" t="s">
        <v>11708</v>
      </c>
      <c r="K2324" s="343" t="s">
        <v>168</v>
      </c>
    </row>
    <row r="2325" spans="1:11" ht="26.25" customHeight="1">
      <c r="A2325" s="343" t="s">
        <v>1813</v>
      </c>
      <c r="B2325" s="344" t="s">
        <v>162</v>
      </c>
      <c r="C2325" s="344">
        <v>6820</v>
      </c>
      <c r="D2325" s="343" t="s">
        <v>5044</v>
      </c>
      <c r="E2325" s="344">
        <v>6929697</v>
      </c>
      <c r="F2325" s="343" t="s">
        <v>8568</v>
      </c>
      <c r="G2325" s="360" t="s">
        <v>11709</v>
      </c>
      <c r="H2325" s="361">
        <v>43230</v>
      </c>
      <c r="I2325" s="343" t="s">
        <v>8569</v>
      </c>
      <c r="J2325" s="343" t="s">
        <v>11710</v>
      </c>
      <c r="K2325" s="343" t="s">
        <v>173</v>
      </c>
    </row>
    <row r="2326" spans="1:11" ht="26.25" customHeight="1">
      <c r="A2326" s="343" t="s">
        <v>1813</v>
      </c>
      <c r="B2326" s="344" t="s">
        <v>162</v>
      </c>
      <c r="C2326" s="344">
        <v>10038</v>
      </c>
      <c r="D2326" s="343" t="s">
        <v>5002</v>
      </c>
      <c r="E2326" s="344">
        <v>5527988</v>
      </c>
      <c r="F2326" s="343" t="s">
        <v>8570</v>
      </c>
      <c r="G2326" s="360" t="s">
        <v>11711</v>
      </c>
      <c r="H2326" s="361">
        <v>43230</v>
      </c>
      <c r="I2326" s="343" t="s">
        <v>211</v>
      </c>
      <c r="J2326" s="343" t="s">
        <v>909</v>
      </c>
      <c r="K2326" s="343" t="s">
        <v>168</v>
      </c>
    </row>
    <row r="2327" spans="1:11" ht="26.25" customHeight="1">
      <c r="A2327" s="343" t="s">
        <v>1813</v>
      </c>
      <c r="B2327" s="344" t="s">
        <v>162</v>
      </c>
      <c r="C2327" s="344">
        <v>6648</v>
      </c>
      <c r="D2327" s="343" t="s">
        <v>5118</v>
      </c>
      <c r="E2327" s="344">
        <v>6517761</v>
      </c>
      <c r="F2327" s="343" t="s">
        <v>4737</v>
      </c>
      <c r="G2327" s="360" t="s">
        <v>11712</v>
      </c>
      <c r="H2327" s="361">
        <v>43230</v>
      </c>
      <c r="I2327" s="343" t="s">
        <v>166</v>
      </c>
      <c r="J2327" s="343" t="s">
        <v>296</v>
      </c>
      <c r="K2327" s="343" t="s">
        <v>168</v>
      </c>
    </row>
    <row r="2328" spans="1:11" ht="26.25" customHeight="1">
      <c r="A2328" s="343" t="s">
        <v>1813</v>
      </c>
      <c r="B2328" s="344" t="s">
        <v>162</v>
      </c>
      <c r="C2328" s="344">
        <v>7484</v>
      </c>
      <c r="D2328" s="343" t="s">
        <v>4823</v>
      </c>
      <c r="E2328" s="344">
        <v>6950822</v>
      </c>
      <c r="F2328" s="343" t="s">
        <v>8571</v>
      </c>
      <c r="G2328" s="360" t="s">
        <v>11713</v>
      </c>
      <c r="H2328" s="361">
        <v>43234</v>
      </c>
      <c r="I2328" s="343" t="s">
        <v>284</v>
      </c>
      <c r="J2328" s="343" t="s">
        <v>11714</v>
      </c>
      <c r="K2328" s="343" t="s">
        <v>168</v>
      </c>
    </row>
    <row r="2329" spans="1:11" ht="26.25" customHeight="1">
      <c r="A2329" s="343" t="s">
        <v>1813</v>
      </c>
      <c r="B2329" s="344" t="s">
        <v>162</v>
      </c>
      <c r="C2329" s="344">
        <v>6821</v>
      </c>
      <c r="D2329" s="343" t="s">
        <v>5112</v>
      </c>
      <c r="E2329" s="344">
        <v>5969956</v>
      </c>
      <c r="F2329" s="343" t="s">
        <v>8572</v>
      </c>
      <c r="G2329" s="360" t="s">
        <v>9786</v>
      </c>
      <c r="H2329" s="361">
        <v>43234</v>
      </c>
      <c r="I2329" s="343" t="s">
        <v>4391</v>
      </c>
      <c r="J2329" s="343" t="s">
        <v>11715</v>
      </c>
      <c r="K2329" s="343" t="s">
        <v>173</v>
      </c>
    </row>
    <row r="2330" spans="1:11" ht="26.25" customHeight="1">
      <c r="A2330" s="343" t="s">
        <v>1813</v>
      </c>
      <c r="B2330" s="344" t="s">
        <v>162</v>
      </c>
      <c r="C2330" s="344">
        <v>7479</v>
      </c>
      <c r="D2330" s="343" t="s">
        <v>4779</v>
      </c>
      <c r="E2330" s="344">
        <v>6694487</v>
      </c>
      <c r="F2330" s="343" t="s">
        <v>8573</v>
      </c>
      <c r="G2330" s="360" t="s">
        <v>11716</v>
      </c>
      <c r="H2330" s="361">
        <v>43235</v>
      </c>
      <c r="I2330" s="343" t="s">
        <v>271</v>
      </c>
      <c r="J2330" s="343" t="s">
        <v>333</v>
      </c>
      <c r="K2330" s="343" t="s">
        <v>168</v>
      </c>
    </row>
    <row r="2331" spans="1:11" ht="26.25" customHeight="1">
      <c r="A2331" s="343" t="s">
        <v>1813</v>
      </c>
      <c r="B2331" s="344" t="s">
        <v>162</v>
      </c>
      <c r="C2331" s="344">
        <v>7479</v>
      </c>
      <c r="D2331" s="343" t="s">
        <v>4779</v>
      </c>
      <c r="E2331" s="344">
        <v>6821331</v>
      </c>
      <c r="F2331" s="343" t="s">
        <v>8574</v>
      </c>
      <c r="G2331" s="360" t="s">
        <v>11717</v>
      </c>
      <c r="H2331" s="361">
        <v>43235</v>
      </c>
      <c r="I2331" s="343" t="s">
        <v>271</v>
      </c>
      <c r="J2331" s="343" t="s">
        <v>333</v>
      </c>
      <c r="K2331" s="343" t="s">
        <v>168</v>
      </c>
    </row>
    <row r="2332" spans="1:11" ht="26.25" customHeight="1">
      <c r="A2332" s="343" t="s">
        <v>1813</v>
      </c>
      <c r="B2332" s="344" t="s">
        <v>162</v>
      </c>
      <c r="C2332" s="344">
        <v>7469</v>
      </c>
      <c r="D2332" s="343" t="s">
        <v>4750</v>
      </c>
      <c r="E2332" s="344">
        <v>6775759</v>
      </c>
      <c r="F2332" s="343" t="s">
        <v>8575</v>
      </c>
      <c r="G2332" s="360" t="s">
        <v>11718</v>
      </c>
      <c r="H2332" s="361">
        <v>43235</v>
      </c>
      <c r="I2332" s="343" t="s">
        <v>193</v>
      </c>
      <c r="J2332" s="343" t="s">
        <v>637</v>
      </c>
      <c r="K2332" s="343" t="s">
        <v>168</v>
      </c>
    </row>
    <row r="2333" spans="1:11" ht="26.25" customHeight="1">
      <c r="A2333" s="343" t="s">
        <v>1813</v>
      </c>
      <c r="B2333" s="344" t="s">
        <v>162</v>
      </c>
      <c r="C2333" s="344">
        <v>6627</v>
      </c>
      <c r="D2333" s="343" t="s">
        <v>5065</v>
      </c>
      <c r="E2333" s="344">
        <v>6123500</v>
      </c>
      <c r="F2333" s="343" t="s">
        <v>8576</v>
      </c>
      <c r="G2333" s="360" t="s">
        <v>379</v>
      </c>
      <c r="H2333" s="361">
        <v>43236</v>
      </c>
      <c r="I2333" s="343" t="s">
        <v>366</v>
      </c>
      <c r="J2333" s="343" t="s">
        <v>366</v>
      </c>
      <c r="K2333" s="343" t="s">
        <v>168</v>
      </c>
    </row>
    <row r="2334" spans="1:11" ht="26.25" customHeight="1">
      <c r="A2334" s="343" t="s">
        <v>1813</v>
      </c>
      <c r="B2334" s="344" t="s">
        <v>162</v>
      </c>
      <c r="C2334" s="344">
        <v>6663</v>
      </c>
      <c r="D2334" s="343" t="s">
        <v>5107</v>
      </c>
      <c r="E2334" s="344">
        <v>6265599</v>
      </c>
      <c r="F2334" s="343" t="s">
        <v>8577</v>
      </c>
      <c r="G2334" s="360" t="s">
        <v>9512</v>
      </c>
      <c r="H2334" s="361">
        <v>43236</v>
      </c>
      <c r="I2334" s="343" t="s">
        <v>211</v>
      </c>
      <c r="J2334" s="343" t="s">
        <v>909</v>
      </c>
      <c r="K2334" s="343" t="s">
        <v>168</v>
      </c>
    </row>
    <row r="2335" spans="1:11" ht="26.25" customHeight="1">
      <c r="A2335" s="343" t="s">
        <v>1813</v>
      </c>
      <c r="B2335" s="344" t="s">
        <v>162</v>
      </c>
      <c r="C2335" s="344">
        <v>12890</v>
      </c>
      <c r="D2335" s="343" t="s">
        <v>5018</v>
      </c>
      <c r="E2335" s="344">
        <v>5777324</v>
      </c>
      <c r="F2335" s="343" t="s">
        <v>7109</v>
      </c>
      <c r="G2335" s="360" t="s">
        <v>10949</v>
      </c>
      <c r="H2335" s="361">
        <v>43236</v>
      </c>
      <c r="I2335" s="343" t="s">
        <v>802</v>
      </c>
      <c r="J2335" s="343" t="s">
        <v>1172</v>
      </c>
      <c r="K2335" s="343" t="s">
        <v>168</v>
      </c>
    </row>
    <row r="2336" spans="1:11" ht="26.25" customHeight="1">
      <c r="A2336" s="343" t="s">
        <v>1813</v>
      </c>
      <c r="B2336" s="344" t="s">
        <v>162</v>
      </c>
      <c r="C2336" s="344">
        <v>9388</v>
      </c>
      <c r="D2336" s="343" t="s">
        <v>7041</v>
      </c>
      <c r="E2336" s="344">
        <v>5722257</v>
      </c>
      <c r="F2336" s="343" t="s">
        <v>8578</v>
      </c>
      <c r="G2336" s="360" t="s">
        <v>11719</v>
      </c>
      <c r="H2336" s="361">
        <v>43236</v>
      </c>
      <c r="I2336" s="343" t="s">
        <v>709</v>
      </c>
      <c r="J2336" s="343" t="s">
        <v>9388</v>
      </c>
      <c r="K2336" s="343" t="s">
        <v>168</v>
      </c>
    </row>
    <row r="2337" spans="1:11" ht="26.25" customHeight="1">
      <c r="A2337" s="343" t="s">
        <v>1813</v>
      </c>
      <c r="B2337" s="344" t="s">
        <v>162</v>
      </c>
      <c r="C2337" s="344">
        <v>6638</v>
      </c>
      <c r="D2337" s="343" t="s">
        <v>7036</v>
      </c>
      <c r="E2337" s="344">
        <v>6525261</v>
      </c>
      <c r="F2337" s="343" t="s">
        <v>8579</v>
      </c>
      <c r="G2337" s="360" t="s">
        <v>9501</v>
      </c>
      <c r="H2337" s="361">
        <v>43237</v>
      </c>
      <c r="I2337" s="343" t="s">
        <v>198</v>
      </c>
      <c r="J2337" s="343" t="s">
        <v>198</v>
      </c>
      <c r="K2337" s="343" t="s">
        <v>168</v>
      </c>
    </row>
    <row r="2338" spans="1:11" ht="26.25" customHeight="1">
      <c r="A2338" s="343" t="s">
        <v>1813</v>
      </c>
      <c r="B2338" s="344" t="s">
        <v>162</v>
      </c>
      <c r="C2338" s="344">
        <v>10039</v>
      </c>
      <c r="D2338" s="343" t="s">
        <v>5009</v>
      </c>
      <c r="E2338" s="344">
        <v>5778967</v>
      </c>
      <c r="F2338" s="343" t="s">
        <v>5011</v>
      </c>
      <c r="G2338" s="360" t="s">
        <v>11720</v>
      </c>
      <c r="H2338" s="361">
        <v>43237</v>
      </c>
      <c r="I2338" s="343" t="s">
        <v>193</v>
      </c>
      <c r="J2338" s="343" t="s">
        <v>637</v>
      </c>
      <c r="K2338" s="343" t="s">
        <v>168</v>
      </c>
    </row>
    <row r="2339" spans="1:11" ht="26.25" customHeight="1">
      <c r="A2339" s="343" t="s">
        <v>1813</v>
      </c>
      <c r="B2339" s="344" t="s">
        <v>162</v>
      </c>
      <c r="C2339" s="344">
        <v>12094</v>
      </c>
      <c r="D2339" s="343" t="s">
        <v>5157</v>
      </c>
      <c r="E2339" s="344">
        <v>6039330</v>
      </c>
      <c r="F2339" s="343" t="s">
        <v>8580</v>
      </c>
      <c r="G2339" s="360" t="s">
        <v>11721</v>
      </c>
      <c r="H2339" s="361">
        <v>43237</v>
      </c>
      <c r="I2339" s="343" t="s">
        <v>166</v>
      </c>
      <c r="J2339" s="343" t="s">
        <v>296</v>
      </c>
      <c r="K2339" s="343" t="s">
        <v>168</v>
      </c>
    </row>
    <row r="2340" spans="1:11" ht="26.25" customHeight="1">
      <c r="A2340" s="343" t="s">
        <v>1813</v>
      </c>
      <c r="B2340" s="344" t="s">
        <v>162</v>
      </c>
      <c r="C2340" s="344">
        <v>7479</v>
      </c>
      <c r="D2340" s="343" t="s">
        <v>4779</v>
      </c>
      <c r="E2340" s="344">
        <v>6546751</v>
      </c>
      <c r="F2340" s="343" t="s">
        <v>8581</v>
      </c>
      <c r="G2340" s="360" t="s">
        <v>11722</v>
      </c>
      <c r="H2340" s="361">
        <v>43241</v>
      </c>
      <c r="I2340" s="343" t="s">
        <v>271</v>
      </c>
      <c r="J2340" s="343" t="s">
        <v>533</v>
      </c>
      <c r="K2340" s="343" t="s">
        <v>168</v>
      </c>
    </row>
    <row r="2341" spans="1:11" ht="26.25" customHeight="1">
      <c r="A2341" s="343" t="s">
        <v>1813</v>
      </c>
      <c r="B2341" s="344" t="s">
        <v>162</v>
      </c>
      <c r="C2341" s="344">
        <v>7483</v>
      </c>
      <c r="D2341" s="343" t="s">
        <v>4758</v>
      </c>
      <c r="E2341" s="344">
        <v>6477347</v>
      </c>
      <c r="F2341" s="343" t="s">
        <v>8582</v>
      </c>
      <c r="G2341" s="360" t="s">
        <v>9464</v>
      </c>
      <c r="H2341" s="361">
        <v>43241</v>
      </c>
      <c r="I2341" s="343" t="s">
        <v>193</v>
      </c>
      <c r="J2341" s="343" t="s">
        <v>637</v>
      </c>
      <c r="K2341" s="343" t="s">
        <v>168</v>
      </c>
    </row>
    <row r="2342" spans="1:11" ht="26.25" customHeight="1">
      <c r="A2342" s="343" t="s">
        <v>1813</v>
      </c>
      <c r="B2342" s="344" t="s">
        <v>162</v>
      </c>
      <c r="C2342" s="344">
        <v>9850</v>
      </c>
      <c r="D2342" s="343" t="s">
        <v>4839</v>
      </c>
      <c r="E2342" s="344">
        <v>6944161</v>
      </c>
      <c r="F2342" s="343" t="s">
        <v>8583</v>
      </c>
      <c r="G2342" s="360" t="s">
        <v>11723</v>
      </c>
      <c r="H2342" s="361">
        <v>43241</v>
      </c>
      <c r="I2342" s="343" t="s">
        <v>166</v>
      </c>
      <c r="J2342" s="343" t="s">
        <v>9413</v>
      </c>
      <c r="K2342" s="343" t="s">
        <v>168</v>
      </c>
    </row>
    <row r="2343" spans="1:11" ht="26.25" customHeight="1">
      <c r="A2343" s="343" t="s">
        <v>1813</v>
      </c>
      <c r="B2343" s="344" t="s">
        <v>162</v>
      </c>
      <c r="C2343" s="344">
        <v>10045</v>
      </c>
      <c r="D2343" s="343" t="s">
        <v>5134</v>
      </c>
      <c r="E2343" s="344">
        <v>6224656</v>
      </c>
      <c r="F2343" s="343" t="s">
        <v>8584</v>
      </c>
      <c r="G2343" s="360" t="s">
        <v>11613</v>
      </c>
      <c r="H2343" s="361">
        <v>43241</v>
      </c>
      <c r="I2343" s="343" t="s">
        <v>5043</v>
      </c>
      <c r="J2343" s="343" t="s">
        <v>11724</v>
      </c>
      <c r="K2343" s="343" t="s">
        <v>168</v>
      </c>
    </row>
    <row r="2344" spans="1:11" ht="26.25" customHeight="1">
      <c r="A2344" s="343" t="s">
        <v>1813</v>
      </c>
      <c r="B2344" s="344" t="s">
        <v>162</v>
      </c>
      <c r="C2344" s="344">
        <v>9946</v>
      </c>
      <c r="D2344" s="343" t="s">
        <v>4867</v>
      </c>
      <c r="E2344" s="344">
        <v>6034648</v>
      </c>
      <c r="F2344" s="343" t="s">
        <v>7537</v>
      </c>
      <c r="G2344" s="360" t="s">
        <v>10628</v>
      </c>
      <c r="H2344" s="361">
        <v>43215</v>
      </c>
      <c r="I2344" s="343" t="s">
        <v>301</v>
      </c>
      <c r="J2344" s="343" t="s">
        <v>11725</v>
      </c>
      <c r="K2344" s="343" t="s">
        <v>168</v>
      </c>
    </row>
    <row r="2345" spans="1:11" ht="26.25" customHeight="1">
      <c r="A2345" s="343" t="s">
        <v>1813</v>
      </c>
      <c r="B2345" s="344" t="s">
        <v>162</v>
      </c>
      <c r="C2345" s="344">
        <v>9177</v>
      </c>
      <c r="D2345" s="343" t="s">
        <v>7039</v>
      </c>
      <c r="E2345" s="344">
        <v>6074847</v>
      </c>
      <c r="F2345" s="343" t="s">
        <v>8585</v>
      </c>
      <c r="G2345" s="360" t="s">
        <v>11726</v>
      </c>
      <c r="H2345" s="361">
        <v>43241</v>
      </c>
      <c r="I2345" s="343" t="s">
        <v>4770</v>
      </c>
      <c r="J2345" s="343" t="s">
        <v>11484</v>
      </c>
      <c r="K2345" s="343" t="s">
        <v>173</v>
      </c>
    </row>
    <row r="2346" spans="1:11" ht="26.25" customHeight="1">
      <c r="A2346" s="343" t="s">
        <v>1813</v>
      </c>
      <c r="B2346" s="344" t="s">
        <v>162</v>
      </c>
      <c r="C2346" s="344">
        <v>10038</v>
      </c>
      <c r="D2346" s="343" t="s">
        <v>5002</v>
      </c>
      <c r="E2346" s="344">
        <v>6465391</v>
      </c>
      <c r="F2346" s="343" t="s">
        <v>8586</v>
      </c>
      <c r="G2346" s="360" t="s">
        <v>1398</v>
      </c>
      <c r="H2346" s="361">
        <v>43241</v>
      </c>
      <c r="I2346" s="343" t="s">
        <v>709</v>
      </c>
      <c r="J2346" s="343" t="s">
        <v>9388</v>
      </c>
      <c r="K2346" s="343" t="s">
        <v>168</v>
      </c>
    </row>
    <row r="2347" spans="1:11" ht="26.25" customHeight="1">
      <c r="A2347" s="343" t="s">
        <v>1813</v>
      </c>
      <c r="B2347" s="344" t="s">
        <v>162</v>
      </c>
      <c r="C2347" s="344">
        <v>10044</v>
      </c>
      <c r="D2347" s="343" t="s">
        <v>4807</v>
      </c>
      <c r="E2347" s="344">
        <v>6814105</v>
      </c>
      <c r="F2347" s="343" t="s">
        <v>7912</v>
      </c>
      <c r="G2347" s="360" t="s">
        <v>11627</v>
      </c>
      <c r="H2347" s="361">
        <v>43243</v>
      </c>
      <c r="I2347" s="343" t="s">
        <v>1016</v>
      </c>
      <c r="J2347" s="343" t="s">
        <v>11727</v>
      </c>
      <c r="K2347" s="343" t="s">
        <v>168</v>
      </c>
    </row>
    <row r="2348" spans="1:11" ht="26.25" customHeight="1">
      <c r="A2348" s="343" t="s">
        <v>1813</v>
      </c>
      <c r="B2348" s="344" t="s">
        <v>162</v>
      </c>
      <c r="C2348" s="344">
        <v>7485</v>
      </c>
      <c r="D2348" s="343" t="s">
        <v>4791</v>
      </c>
      <c r="E2348" s="344">
        <v>7021893</v>
      </c>
      <c r="F2348" s="343" t="s">
        <v>8587</v>
      </c>
      <c r="G2348" s="360" t="s">
        <v>11728</v>
      </c>
      <c r="H2348" s="361">
        <v>43243</v>
      </c>
      <c r="I2348" s="343" t="s">
        <v>193</v>
      </c>
      <c r="J2348" s="343" t="s">
        <v>637</v>
      </c>
      <c r="K2348" s="343" t="s">
        <v>168</v>
      </c>
    </row>
    <row r="2349" spans="1:11" ht="26.25" customHeight="1">
      <c r="A2349" s="343" t="s">
        <v>1813</v>
      </c>
      <c r="B2349" s="344" t="s">
        <v>162</v>
      </c>
      <c r="C2349" s="344">
        <v>6983</v>
      </c>
      <c r="D2349" s="343" t="s">
        <v>4967</v>
      </c>
      <c r="E2349" s="344">
        <v>4833144</v>
      </c>
      <c r="F2349" s="343" t="s">
        <v>4971</v>
      </c>
      <c r="G2349" s="360" t="s">
        <v>11729</v>
      </c>
      <c r="H2349" s="361">
        <v>43243</v>
      </c>
      <c r="I2349" s="343" t="s">
        <v>4086</v>
      </c>
      <c r="J2349" s="343" t="s">
        <v>11730</v>
      </c>
      <c r="K2349" s="343" t="s">
        <v>248</v>
      </c>
    </row>
    <row r="2350" spans="1:11" ht="26.25" customHeight="1">
      <c r="A2350" s="343" t="s">
        <v>1813</v>
      </c>
      <c r="B2350" s="344" t="s">
        <v>162</v>
      </c>
      <c r="C2350" s="344">
        <v>7479</v>
      </c>
      <c r="D2350" s="343" t="s">
        <v>4779</v>
      </c>
      <c r="E2350" s="344">
        <v>6952309</v>
      </c>
      <c r="F2350" s="343" t="s">
        <v>8589</v>
      </c>
      <c r="G2350" s="360" t="s">
        <v>11731</v>
      </c>
      <c r="H2350" s="361">
        <v>43245</v>
      </c>
      <c r="I2350" s="343" t="s">
        <v>271</v>
      </c>
      <c r="J2350" s="343" t="s">
        <v>11732</v>
      </c>
      <c r="K2350" s="343" t="s">
        <v>168</v>
      </c>
    </row>
    <row r="2351" spans="1:11" ht="26.25" customHeight="1">
      <c r="A2351" s="343" t="s">
        <v>1813</v>
      </c>
      <c r="B2351" s="344" t="s">
        <v>162</v>
      </c>
      <c r="C2351" s="344">
        <v>7468</v>
      </c>
      <c r="D2351" s="343" t="s">
        <v>4811</v>
      </c>
      <c r="E2351" s="344">
        <v>6575423</v>
      </c>
      <c r="F2351" s="343" t="s">
        <v>8592</v>
      </c>
      <c r="G2351" s="360" t="s">
        <v>11733</v>
      </c>
      <c r="H2351" s="361">
        <v>43245</v>
      </c>
      <c r="I2351" s="343" t="s">
        <v>193</v>
      </c>
      <c r="J2351" s="343" t="s">
        <v>637</v>
      </c>
      <c r="K2351" s="343" t="s">
        <v>168</v>
      </c>
    </row>
    <row r="2352" spans="1:11" ht="26.25" customHeight="1">
      <c r="A2352" s="343" t="s">
        <v>1813</v>
      </c>
      <c r="B2352" s="344" t="s">
        <v>162</v>
      </c>
      <c r="C2352" s="344">
        <v>6983</v>
      </c>
      <c r="D2352" s="343" t="s">
        <v>4967</v>
      </c>
      <c r="E2352" s="344">
        <v>5278477</v>
      </c>
      <c r="F2352" s="343" t="s">
        <v>8593</v>
      </c>
      <c r="G2352" s="360" t="s">
        <v>11734</v>
      </c>
      <c r="H2352" s="361">
        <v>43249</v>
      </c>
      <c r="I2352" s="343" t="s">
        <v>366</v>
      </c>
      <c r="J2352" s="343" t="s">
        <v>366</v>
      </c>
      <c r="K2352" s="343" t="s">
        <v>168</v>
      </c>
    </row>
    <row r="2353" spans="1:11" ht="26.25" customHeight="1">
      <c r="A2353" s="343" t="s">
        <v>1813</v>
      </c>
      <c r="B2353" s="344" t="s">
        <v>162</v>
      </c>
      <c r="C2353" s="344">
        <v>7166</v>
      </c>
      <c r="D2353" s="343" t="s">
        <v>4960</v>
      </c>
      <c r="E2353" s="344">
        <v>4912088</v>
      </c>
      <c r="F2353" s="343" t="s">
        <v>8594</v>
      </c>
      <c r="G2353" s="360" t="s">
        <v>11735</v>
      </c>
      <c r="H2353" s="361">
        <v>43249</v>
      </c>
      <c r="I2353" s="343" t="s">
        <v>193</v>
      </c>
      <c r="J2353" s="343" t="s">
        <v>637</v>
      </c>
      <c r="K2353" s="343" t="s">
        <v>168</v>
      </c>
    </row>
    <row r="2354" spans="1:11" ht="26.25" customHeight="1">
      <c r="A2354" s="343" t="s">
        <v>1813</v>
      </c>
      <c r="B2354" s="344" t="s">
        <v>162</v>
      </c>
      <c r="C2354" s="344">
        <v>9494</v>
      </c>
      <c r="D2354" s="343" t="s">
        <v>5054</v>
      </c>
      <c r="E2354" s="344">
        <v>6179558</v>
      </c>
      <c r="F2354" s="343" t="s">
        <v>8595</v>
      </c>
      <c r="G2354" s="360" t="s">
        <v>483</v>
      </c>
      <c r="H2354" s="361">
        <v>43249</v>
      </c>
      <c r="I2354" s="343" t="s">
        <v>380</v>
      </c>
      <c r="J2354" s="343" t="s">
        <v>10079</v>
      </c>
      <c r="K2354" s="343" t="s">
        <v>173</v>
      </c>
    </row>
    <row r="2355" spans="1:11" ht="26.25" customHeight="1">
      <c r="A2355" s="343" t="s">
        <v>1813</v>
      </c>
      <c r="B2355" s="344" t="s">
        <v>162</v>
      </c>
      <c r="C2355" s="344">
        <v>7477</v>
      </c>
      <c r="D2355" s="343" t="s">
        <v>4761</v>
      </c>
      <c r="E2355" s="344">
        <v>6450650</v>
      </c>
      <c r="F2355" s="343" t="s">
        <v>8596</v>
      </c>
      <c r="G2355" s="360" t="s">
        <v>11736</v>
      </c>
      <c r="H2355" s="361">
        <v>43249</v>
      </c>
      <c r="I2355" s="343" t="s">
        <v>336</v>
      </c>
      <c r="J2355" s="343" t="s">
        <v>11737</v>
      </c>
      <c r="K2355" s="343" t="s">
        <v>168</v>
      </c>
    </row>
    <row r="2356" spans="1:11" ht="26.25" customHeight="1">
      <c r="A2356" s="343" t="s">
        <v>1813</v>
      </c>
      <c r="B2356" s="344" t="s">
        <v>162</v>
      </c>
      <c r="C2356" s="344">
        <v>6630</v>
      </c>
      <c r="D2356" s="343" t="s">
        <v>5078</v>
      </c>
      <c r="E2356" s="344">
        <v>6147554</v>
      </c>
      <c r="F2356" s="343" t="s">
        <v>8597</v>
      </c>
      <c r="G2356" s="360" t="s">
        <v>10636</v>
      </c>
      <c r="H2356" s="361">
        <v>43250</v>
      </c>
      <c r="I2356" s="343" t="s">
        <v>166</v>
      </c>
      <c r="J2356" s="343" t="s">
        <v>327</v>
      </c>
      <c r="K2356" s="343" t="s">
        <v>168</v>
      </c>
    </row>
    <row r="2357" spans="1:11" ht="26.25" customHeight="1">
      <c r="A2357" s="343" t="s">
        <v>1813</v>
      </c>
      <c r="B2357" s="344" t="s">
        <v>162</v>
      </c>
      <c r="C2357" s="344">
        <v>6634</v>
      </c>
      <c r="D2357" s="343" t="s">
        <v>8564</v>
      </c>
      <c r="E2357" s="344">
        <v>5920894</v>
      </c>
      <c r="F2357" s="343" t="s">
        <v>8598</v>
      </c>
      <c r="G2357" s="360" t="s">
        <v>10060</v>
      </c>
      <c r="H2357" s="361">
        <v>43250</v>
      </c>
      <c r="I2357" s="343" t="s">
        <v>3698</v>
      </c>
      <c r="J2357" s="343" t="s">
        <v>11738</v>
      </c>
      <c r="K2357" s="343" t="s">
        <v>168</v>
      </c>
    </row>
    <row r="2358" spans="1:11" ht="26.25" customHeight="1">
      <c r="A2358" s="343" t="s">
        <v>1813</v>
      </c>
      <c r="B2358" s="344" t="s">
        <v>162</v>
      </c>
      <c r="C2358" s="344">
        <v>7166</v>
      </c>
      <c r="D2358" s="343" t="s">
        <v>4960</v>
      </c>
      <c r="E2358" s="344">
        <v>6621413</v>
      </c>
      <c r="F2358" s="343" t="s">
        <v>8600</v>
      </c>
      <c r="G2358" s="360" t="s">
        <v>11739</v>
      </c>
      <c r="H2358" s="361">
        <v>43250</v>
      </c>
      <c r="I2358" s="343" t="s">
        <v>8601</v>
      </c>
      <c r="J2358" s="343" t="s">
        <v>11740</v>
      </c>
      <c r="K2358" s="343" t="s">
        <v>168</v>
      </c>
    </row>
    <row r="2359" spans="1:11" ht="26.25" customHeight="1">
      <c r="A2359" s="343" t="s">
        <v>1813</v>
      </c>
      <c r="B2359" s="344" t="s">
        <v>162</v>
      </c>
      <c r="C2359" s="344">
        <v>9850</v>
      </c>
      <c r="D2359" s="343" t="s">
        <v>4839</v>
      </c>
      <c r="E2359" s="344">
        <v>6449457</v>
      </c>
      <c r="F2359" s="343" t="s">
        <v>8602</v>
      </c>
      <c r="G2359" s="360" t="s">
        <v>10166</v>
      </c>
      <c r="H2359" s="361">
        <v>43250</v>
      </c>
      <c r="I2359" s="343" t="s">
        <v>423</v>
      </c>
      <c r="J2359" s="343" t="s">
        <v>10679</v>
      </c>
      <c r="K2359" s="343" t="s">
        <v>168</v>
      </c>
    </row>
    <row r="2360" spans="1:11" ht="26.25" customHeight="1">
      <c r="A2360" s="343" t="s">
        <v>1813</v>
      </c>
      <c r="B2360" s="344" t="s">
        <v>162</v>
      </c>
      <c r="C2360" s="344">
        <v>6663</v>
      </c>
      <c r="D2360" s="343" t="s">
        <v>5107</v>
      </c>
      <c r="E2360" s="344">
        <v>6266378</v>
      </c>
      <c r="F2360" s="343" t="s">
        <v>8603</v>
      </c>
      <c r="G2360" s="360" t="s">
        <v>11741</v>
      </c>
      <c r="H2360" s="361">
        <v>43250</v>
      </c>
      <c r="I2360" s="343" t="s">
        <v>620</v>
      </c>
      <c r="J2360" s="343" t="s">
        <v>11742</v>
      </c>
      <c r="K2360" s="343" t="s">
        <v>168</v>
      </c>
    </row>
    <row r="2361" spans="1:11" ht="26.25" customHeight="1">
      <c r="A2361" s="343" t="s">
        <v>1813</v>
      </c>
      <c r="B2361" s="344" t="s">
        <v>162</v>
      </c>
      <c r="C2361" s="344">
        <v>7468</v>
      </c>
      <c r="D2361" s="343" t="s">
        <v>4811</v>
      </c>
      <c r="E2361" s="344">
        <v>6503391</v>
      </c>
      <c r="F2361" s="343" t="s">
        <v>8604</v>
      </c>
      <c r="G2361" s="360" t="s">
        <v>361</v>
      </c>
      <c r="H2361" s="361">
        <v>43255</v>
      </c>
      <c r="I2361" s="343" t="s">
        <v>193</v>
      </c>
      <c r="J2361" s="343" t="s">
        <v>637</v>
      </c>
      <c r="K2361" s="343" t="s">
        <v>168</v>
      </c>
    </row>
    <row r="2362" spans="1:11" ht="26.25" customHeight="1">
      <c r="A2362" s="343" t="s">
        <v>1813</v>
      </c>
      <c r="B2362" s="344" t="s">
        <v>162</v>
      </c>
      <c r="C2362" s="344">
        <v>7474</v>
      </c>
      <c r="D2362" s="343" t="s">
        <v>8553</v>
      </c>
      <c r="E2362" s="344">
        <v>6877744</v>
      </c>
      <c r="F2362" s="343" t="s">
        <v>8605</v>
      </c>
      <c r="G2362" s="360" t="s">
        <v>11743</v>
      </c>
      <c r="H2362" s="361">
        <v>43255</v>
      </c>
      <c r="I2362" s="343" t="s">
        <v>802</v>
      </c>
      <c r="J2362" s="343" t="s">
        <v>11744</v>
      </c>
      <c r="K2362" s="343" t="s">
        <v>168</v>
      </c>
    </row>
    <row r="2363" spans="1:11" ht="26.25" customHeight="1">
      <c r="A2363" s="343" t="s">
        <v>1813</v>
      </c>
      <c r="B2363" s="344" t="s">
        <v>162</v>
      </c>
      <c r="C2363" s="344">
        <v>7467</v>
      </c>
      <c r="D2363" s="343" t="s">
        <v>4735</v>
      </c>
      <c r="E2363" s="344">
        <v>6205009</v>
      </c>
      <c r="F2363" s="343" t="s">
        <v>8606</v>
      </c>
      <c r="G2363" s="360" t="s">
        <v>10721</v>
      </c>
      <c r="H2363" s="361">
        <v>43257</v>
      </c>
      <c r="I2363" s="343" t="s">
        <v>193</v>
      </c>
      <c r="J2363" s="343" t="s">
        <v>637</v>
      </c>
      <c r="K2363" s="343" t="s">
        <v>168</v>
      </c>
    </row>
    <row r="2364" spans="1:11" ht="26.25" customHeight="1">
      <c r="A2364" s="343" t="s">
        <v>1813</v>
      </c>
      <c r="B2364" s="344" t="s">
        <v>162</v>
      </c>
      <c r="C2364" s="344">
        <v>7479</v>
      </c>
      <c r="D2364" s="343" t="s">
        <v>4779</v>
      </c>
      <c r="E2364" s="344">
        <v>6652080</v>
      </c>
      <c r="F2364" s="343" t="s">
        <v>4781</v>
      </c>
      <c r="G2364" s="360" t="s">
        <v>10837</v>
      </c>
      <c r="H2364" s="361">
        <v>43257</v>
      </c>
      <c r="I2364" s="343" t="s">
        <v>166</v>
      </c>
      <c r="J2364" s="343" t="s">
        <v>11745</v>
      </c>
      <c r="K2364" s="343" t="s">
        <v>168</v>
      </c>
    </row>
    <row r="2365" spans="1:11" ht="26.25" customHeight="1">
      <c r="A2365" s="343" t="s">
        <v>1813</v>
      </c>
      <c r="B2365" s="344" t="s">
        <v>162</v>
      </c>
      <c r="C2365" s="344">
        <v>6978</v>
      </c>
      <c r="D2365" s="343" t="s">
        <v>4932</v>
      </c>
      <c r="E2365" s="344">
        <v>6610266</v>
      </c>
      <c r="F2365" s="343" t="s">
        <v>8607</v>
      </c>
      <c r="G2365" s="360" t="s">
        <v>11746</v>
      </c>
      <c r="H2365" s="361">
        <v>43257</v>
      </c>
      <c r="I2365" s="343" t="s">
        <v>198</v>
      </c>
      <c r="J2365" s="343" t="s">
        <v>198</v>
      </c>
      <c r="K2365" s="343" t="s">
        <v>168</v>
      </c>
    </row>
    <row r="2366" spans="1:11" ht="26.25" customHeight="1">
      <c r="A2366" s="343" t="s">
        <v>1813</v>
      </c>
      <c r="B2366" s="344" t="s">
        <v>162</v>
      </c>
      <c r="C2366" s="344">
        <v>9184</v>
      </c>
      <c r="D2366" s="343" t="s">
        <v>4979</v>
      </c>
      <c r="E2366" s="344">
        <v>3545457</v>
      </c>
      <c r="F2366" s="343" t="s">
        <v>4984</v>
      </c>
      <c r="G2366" s="360" t="s">
        <v>11747</v>
      </c>
      <c r="H2366" s="361">
        <v>43258</v>
      </c>
      <c r="I2366" s="343" t="s">
        <v>8608</v>
      </c>
      <c r="J2366" s="343" t="s">
        <v>11748</v>
      </c>
      <c r="K2366" s="343" t="s">
        <v>168</v>
      </c>
    </row>
    <row r="2367" spans="1:11" ht="26.25" customHeight="1">
      <c r="A2367" s="343" t="s">
        <v>1813</v>
      </c>
      <c r="B2367" s="344" t="s">
        <v>162</v>
      </c>
      <c r="C2367" s="344">
        <v>10044</v>
      </c>
      <c r="D2367" s="343" t="s">
        <v>4807</v>
      </c>
      <c r="E2367" s="344">
        <v>6804323</v>
      </c>
      <c r="F2367" s="343" t="s">
        <v>8609</v>
      </c>
      <c r="G2367" s="360" t="s">
        <v>11749</v>
      </c>
      <c r="H2367" s="361">
        <v>43258</v>
      </c>
      <c r="I2367" s="343" t="s">
        <v>193</v>
      </c>
      <c r="J2367" s="343" t="s">
        <v>637</v>
      </c>
      <c r="K2367" s="343" t="s">
        <v>168</v>
      </c>
    </row>
    <row r="2368" spans="1:11" ht="26.25" customHeight="1">
      <c r="A2368" s="343" t="s">
        <v>1813</v>
      </c>
      <c r="B2368" s="344" t="s">
        <v>162</v>
      </c>
      <c r="C2368" s="344">
        <v>9388</v>
      </c>
      <c r="D2368" s="343" t="s">
        <v>7041</v>
      </c>
      <c r="E2368" s="344">
        <v>6556325</v>
      </c>
      <c r="F2368" s="343" t="s">
        <v>8610</v>
      </c>
      <c r="G2368" s="360" t="s">
        <v>183</v>
      </c>
      <c r="H2368" s="361">
        <v>43258</v>
      </c>
      <c r="I2368" s="343" t="s">
        <v>271</v>
      </c>
      <c r="J2368" s="343" t="s">
        <v>333</v>
      </c>
      <c r="K2368" s="343" t="s">
        <v>168</v>
      </c>
    </row>
    <row r="2369" spans="1:11" ht="26.25" customHeight="1">
      <c r="A2369" s="343" t="s">
        <v>1813</v>
      </c>
      <c r="B2369" s="344" t="s">
        <v>162</v>
      </c>
      <c r="C2369" s="344">
        <v>7510</v>
      </c>
      <c r="D2369" s="343" t="s">
        <v>4788</v>
      </c>
      <c r="E2369" s="344">
        <v>6479537</v>
      </c>
      <c r="F2369" s="343" t="s">
        <v>8611</v>
      </c>
      <c r="G2369" s="360" t="s">
        <v>11750</v>
      </c>
      <c r="H2369" s="361">
        <v>43258</v>
      </c>
      <c r="I2369" s="343" t="s">
        <v>193</v>
      </c>
      <c r="J2369" s="343" t="s">
        <v>603</v>
      </c>
      <c r="K2369" s="343" t="s">
        <v>168</v>
      </c>
    </row>
    <row r="2370" spans="1:11" ht="26.25" customHeight="1">
      <c r="A2370" s="343" t="s">
        <v>1813</v>
      </c>
      <c r="B2370" s="344" t="s">
        <v>162</v>
      </c>
      <c r="C2370" s="344">
        <v>11188</v>
      </c>
      <c r="D2370" s="343" t="s">
        <v>5024</v>
      </c>
      <c r="E2370" s="344">
        <v>7079459</v>
      </c>
      <c r="F2370" s="343" t="s">
        <v>8612</v>
      </c>
      <c r="G2370" s="360" t="s">
        <v>11751</v>
      </c>
      <c r="H2370" s="361">
        <v>43258</v>
      </c>
      <c r="I2370" s="343" t="s">
        <v>580</v>
      </c>
      <c r="J2370" s="343" t="s">
        <v>11752</v>
      </c>
      <c r="K2370" s="343" t="s">
        <v>248</v>
      </c>
    </row>
    <row r="2371" spans="1:11" ht="26.25" customHeight="1">
      <c r="A2371" s="343" t="s">
        <v>1813</v>
      </c>
      <c r="B2371" s="344" t="s">
        <v>162</v>
      </c>
      <c r="C2371" s="344">
        <v>8935</v>
      </c>
      <c r="D2371" s="343" t="s">
        <v>5151</v>
      </c>
      <c r="E2371" s="344">
        <v>5978528</v>
      </c>
      <c r="F2371" s="343" t="s">
        <v>7175</v>
      </c>
      <c r="G2371" s="360" t="s">
        <v>9940</v>
      </c>
      <c r="H2371" s="361">
        <v>43262</v>
      </c>
      <c r="I2371" s="343" t="s">
        <v>193</v>
      </c>
      <c r="J2371" s="343" t="s">
        <v>637</v>
      </c>
      <c r="K2371" s="343" t="s">
        <v>168</v>
      </c>
    </row>
    <row r="2372" spans="1:11" ht="26.25" customHeight="1">
      <c r="A2372" s="343" t="s">
        <v>1813</v>
      </c>
      <c r="B2372" s="344" t="s">
        <v>162</v>
      </c>
      <c r="C2372" s="344">
        <v>9429</v>
      </c>
      <c r="D2372" s="343" t="s">
        <v>7864</v>
      </c>
      <c r="E2372" s="344">
        <v>6070340</v>
      </c>
      <c r="F2372" s="343" t="s">
        <v>8613</v>
      </c>
      <c r="G2372" s="360" t="s">
        <v>11595</v>
      </c>
      <c r="H2372" s="361">
        <v>43262</v>
      </c>
      <c r="I2372" s="343" t="s">
        <v>198</v>
      </c>
      <c r="J2372" s="343" t="s">
        <v>198</v>
      </c>
      <c r="K2372" s="343" t="s">
        <v>168</v>
      </c>
    </row>
    <row r="2373" spans="1:11" ht="26.25" customHeight="1">
      <c r="A2373" s="343" t="s">
        <v>1813</v>
      </c>
      <c r="B2373" s="344" t="s">
        <v>162</v>
      </c>
      <c r="C2373" s="344">
        <v>7463</v>
      </c>
      <c r="D2373" s="343" t="s">
        <v>4732</v>
      </c>
      <c r="E2373" s="344">
        <v>6653361</v>
      </c>
      <c r="F2373" s="343" t="s">
        <v>7879</v>
      </c>
      <c r="G2373" s="360" t="s">
        <v>11753</v>
      </c>
      <c r="H2373" s="361">
        <v>43262</v>
      </c>
      <c r="I2373" s="343" t="s">
        <v>166</v>
      </c>
      <c r="J2373" s="343" t="s">
        <v>327</v>
      </c>
      <c r="K2373" s="343" t="s">
        <v>168</v>
      </c>
    </row>
    <row r="2374" spans="1:11" ht="26.25" customHeight="1">
      <c r="A2374" s="343" t="s">
        <v>1813</v>
      </c>
      <c r="B2374" s="344" t="s">
        <v>162</v>
      </c>
      <c r="C2374" s="344">
        <v>10043</v>
      </c>
      <c r="D2374" s="343" t="s">
        <v>4802</v>
      </c>
      <c r="E2374" s="344">
        <v>6428729</v>
      </c>
      <c r="F2374" s="343" t="s">
        <v>8614</v>
      </c>
      <c r="G2374" s="360" t="s">
        <v>11754</v>
      </c>
      <c r="H2374" s="361">
        <v>43262</v>
      </c>
      <c r="I2374" s="343" t="s">
        <v>4391</v>
      </c>
      <c r="J2374" s="343" t="s">
        <v>11715</v>
      </c>
      <c r="K2374" s="343" t="s">
        <v>173</v>
      </c>
    </row>
    <row r="2375" spans="1:11" ht="26.25" customHeight="1">
      <c r="A2375" s="343" t="s">
        <v>1813</v>
      </c>
      <c r="B2375" s="344" t="s">
        <v>162</v>
      </c>
      <c r="C2375" s="344">
        <v>6657</v>
      </c>
      <c r="D2375" s="343" t="s">
        <v>5051</v>
      </c>
      <c r="E2375" s="344">
        <v>5712874</v>
      </c>
      <c r="F2375" s="343" t="s">
        <v>8615</v>
      </c>
      <c r="G2375" s="360" t="s">
        <v>1448</v>
      </c>
      <c r="H2375" s="361">
        <v>43262</v>
      </c>
      <c r="I2375" s="343" t="s">
        <v>1016</v>
      </c>
      <c r="J2375" s="343" t="s">
        <v>11755</v>
      </c>
      <c r="K2375" s="343" t="s">
        <v>168</v>
      </c>
    </row>
    <row r="2376" spans="1:11" ht="26.25" customHeight="1">
      <c r="A2376" s="343" t="s">
        <v>1813</v>
      </c>
      <c r="B2376" s="344" t="s">
        <v>162</v>
      </c>
      <c r="C2376" s="344">
        <v>6634</v>
      </c>
      <c r="D2376" s="343" t="s">
        <v>8564</v>
      </c>
      <c r="E2376" s="344">
        <v>5952760</v>
      </c>
      <c r="F2376" s="343" t="s">
        <v>8616</v>
      </c>
      <c r="G2376" s="360" t="s">
        <v>312</v>
      </c>
      <c r="H2376" s="361">
        <v>43262</v>
      </c>
      <c r="I2376" s="343" t="s">
        <v>366</v>
      </c>
      <c r="J2376" s="343" t="s">
        <v>366</v>
      </c>
      <c r="K2376" s="343" t="s">
        <v>168</v>
      </c>
    </row>
    <row r="2377" spans="1:11" ht="26.25" customHeight="1">
      <c r="A2377" s="343" t="s">
        <v>1813</v>
      </c>
      <c r="B2377" s="344" t="s">
        <v>162</v>
      </c>
      <c r="C2377" s="344">
        <v>7485</v>
      </c>
      <c r="D2377" s="343" t="s">
        <v>4791</v>
      </c>
      <c r="E2377" s="344">
        <v>7002447</v>
      </c>
      <c r="F2377" s="343" t="s">
        <v>8617</v>
      </c>
      <c r="G2377" s="360" t="s">
        <v>10249</v>
      </c>
      <c r="H2377" s="361">
        <v>43264</v>
      </c>
      <c r="I2377" s="343" t="s">
        <v>193</v>
      </c>
      <c r="J2377" s="343" t="s">
        <v>11756</v>
      </c>
      <c r="K2377" s="343" t="s">
        <v>168</v>
      </c>
    </row>
    <row r="2378" spans="1:11" ht="26.25" customHeight="1">
      <c r="A2378" s="343" t="s">
        <v>1813</v>
      </c>
      <c r="B2378" s="344" t="s">
        <v>162</v>
      </c>
      <c r="C2378" s="344">
        <v>9177</v>
      </c>
      <c r="D2378" s="343" t="s">
        <v>7039</v>
      </c>
      <c r="E2378" s="344">
        <v>5903052</v>
      </c>
      <c r="F2378" s="343" t="s">
        <v>8618</v>
      </c>
      <c r="G2378" s="360" t="s">
        <v>11757</v>
      </c>
      <c r="H2378" s="361">
        <v>43264</v>
      </c>
      <c r="I2378" s="343" t="s">
        <v>709</v>
      </c>
      <c r="J2378" s="343" t="s">
        <v>9388</v>
      </c>
      <c r="K2378" s="343" t="s">
        <v>168</v>
      </c>
    </row>
    <row r="2379" spans="1:11" ht="26.25" customHeight="1">
      <c r="A2379" s="343" t="s">
        <v>1813</v>
      </c>
      <c r="B2379" s="344" t="s">
        <v>162</v>
      </c>
      <c r="C2379" s="344">
        <v>6820</v>
      </c>
      <c r="D2379" s="343" t="s">
        <v>5044</v>
      </c>
      <c r="E2379" s="344">
        <v>5980953</v>
      </c>
      <c r="F2379" s="343" t="s">
        <v>8619</v>
      </c>
      <c r="G2379" s="360" t="s">
        <v>11694</v>
      </c>
      <c r="H2379" s="361">
        <v>43264</v>
      </c>
      <c r="I2379" s="343" t="s">
        <v>166</v>
      </c>
      <c r="J2379" s="343" t="s">
        <v>296</v>
      </c>
      <c r="K2379" s="343" t="s">
        <v>168</v>
      </c>
    </row>
    <row r="2380" spans="1:11" ht="26.25" customHeight="1">
      <c r="A2380" s="343" t="s">
        <v>1813</v>
      </c>
      <c r="B2380" s="344" t="s">
        <v>162</v>
      </c>
      <c r="C2380" s="344">
        <v>7544</v>
      </c>
      <c r="D2380" s="343" t="s">
        <v>4785</v>
      </c>
      <c r="E2380" s="344">
        <v>6897571</v>
      </c>
      <c r="F2380" s="343" t="s">
        <v>8620</v>
      </c>
      <c r="G2380" s="360" t="s">
        <v>11758</v>
      </c>
      <c r="H2380" s="361">
        <v>43264</v>
      </c>
      <c r="I2380" s="343" t="s">
        <v>4719</v>
      </c>
      <c r="J2380" s="343" t="s">
        <v>11759</v>
      </c>
      <c r="K2380" s="343" t="s">
        <v>248</v>
      </c>
    </row>
    <row r="2381" spans="1:11" ht="26.25" customHeight="1">
      <c r="A2381" s="343" t="s">
        <v>1813</v>
      </c>
      <c r="B2381" s="344" t="s">
        <v>162</v>
      </c>
      <c r="C2381" s="344">
        <v>7494</v>
      </c>
      <c r="D2381" s="343" t="s">
        <v>4818</v>
      </c>
      <c r="E2381" s="344">
        <v>6983550</v>
      </c>
      <c r="F2381" s="343" t="s">
        <v>8621</v>
      </c>
      <c r="G2381" s="360" t="s">
        <v>9724</v>
      </c>
      <c r="H2381" s="361">
        <v>43264</v>
      </c>
      <c r="I2381" s="343" t="s">
        <v>193</v>
      </c>
      <c r="J2381" s="343" t="s">
        <v>637</v>
      </c>
      <c r="K2381" s="343" t="s">
        <v>168</v>
      </c>
    </row>
    <row r="2382" spans="1:11" ht="26.25" customHeight="1">
      <c r="A2382" s="343" t="s">
        <v>1813</v>
      </c>
      <c r="B2382" s="344" t="s">
        <v>162</v>
      </c>
      <c r="C2382" s="344">
        <v>6646</v>
      </c>
      <c r="D2382" s="343" t="s">
        <v>5087</v>
      </c>
      <c r="E2382" s="344">
        <v>6433149</v>
      </c>
      <c r="F2382" s="343" t="s">
        <v>8622</v>
      </c>
      <c r="G2382" s="360" t="s">
        <v>9654</v>
      </c>
      <c r="H2382" s="361">
        <v>43265</v>
      </c>
      <c r="I2382" s="343" t="s">
        <v>166</v>
      </c>
      <c r="J2382" s="343" t="s">
        <v>327</v>
      </c>
      <c r="K2382" s="343" t="s">
        <v>168</v>
      </c>
    </row>
    <row r="2383" spans="1:11" ht="26.25" customHeight="1">
      <c r="A2383" s="343" t="s">
        <v>1813</v>
      </c>
      <c r="B2383" s="344" t="s">
        <v>162</v>
      </c>
      <c r="C2383" s="344">
        <v>6643</v>
      </c>
      <c r="D2383" s="343" t="s">
        <v>5041</v>
      </c>
      <c r="E2383" s="344">
        <v>6326681</v>
      </c>
      <c r="F2383" s="343" t="s">
        <v>8623</v>
      </c>
      <c r="G2383" s="360" t="s">
        <v>11709</v>
      </c>
      <c r="H2383" s="361">
        <v>43265</v>
      </c>
      <c r="I2383" s="343" t="s">
        <v>193</v>
      </c>
      <c r="J2383" s="343" t="s">
        <v>637</v>
      </c>
      <c r="K2383" s="343" t="s">
        <v>168</v>
      </c>
    </row>
    <row r="2384" spans="1:11" ht="26.25" customHeight="1">
      <c r="A2384" s="343" t="s">
        <v>1813</v>
      </c>
      <c r="B2384" s="344" t="s">
        <v>162</v>
      </c>
      <c r="C2384" s="344">
        <v>7479</v>
      </c>
      <c r="D2384" s="343" t="s">
        <v>4779</v>
      </c>
      <c r="E2384" s="344">
        <v>7009189</v>
      </c>
      <c r="F2384" s="343" t="s">
        <v>8624</v>
      </c>
      <c r="G2384" s="360" t="s">
        <v>11760</v>
      </c>
      <c r="H2384" s="361">
        <v>43265</v>
      </c>
      <c r="I2384" s="343" t="s">
        <v>271</v>
      </c>
      <c r="J2384" s="343" t="s">
        <v>11761</v>
      </c>
      <c r="K2384" s="343" t="s">
        <v>168</v>
      </c>
    </row>
    <row r="2385" spans="1:11" ht="26.25" customHeight="1">
      <c r="A2385" s="343" t="s">
        <v>1813</v>
      </c>
      <c r="B2385" s="344" t="s">
        <v>162</v>
      </c>
      <c r="C2385" s="344">
        <v>7467</v>
      </c>
      <c r="D2385" s="343" t="s">
        <v>4735</v>
      </c>
      <c r="E2385" s="344">
        <v>6847563</v>
      </c>
      <c r="F2385" s="343" t="s">
        <v>8625</v>
      </c>
      <c r="G2385" s="360" t="s">
        <v>11762</v>
      </c>
      <c r="H2385" s="361">
        <v>43265</v>
      </c>
      <c r="I2385" s="343" t="s">
        <v>271</v>
      </c>
      <c r="J2385" s="343" t="s">
        <v>11763</v>
      </c>
      <c r="K2385" s="343" t="s">
        <v>168</v>
      </c>
    </row>
    <row r="2386" spans="1:11" ht="26.25" customHeight="1">
      <c r="A2386" s="343" t="s">
        <v>1813</v>
      </c>
      <c r="B2386" s="344" t="s">
        <v>162</v>
      </c>
      <c r="C2386" s="344">
        <v>7464</v>
      </c>
      <c r="D2386" s="343" t="s">
        <v>4771</v>
      </c>
      <c r="E2386" s="344">
        <v>6826302</v>
      </c>
      <c r="F2386" s="343" t="s">
        <v>8626</v>
      </c>
      <c r="G2386" s="360" t="s">
        <v>11764</v>
      </c>
      <c r="H2386" s="361">
        <v>43266</v>
      </c>
      <c r="I2386" s="343" t="s">
        <v>166</v>
      </c>
      <c r="J2386" s="343" t="s">
        <v>327</v>
      </c>
      <c r="K2386" s="343" t="s">
        <v>168</v>
      </c>
    </row>
    <row r="2387" spans="1:11" ht="26.25" customHeight="1">
      <c r="A2387" s="343" t="s">
        <v>1813</v>
      </c>
      <c r="B2387" s="344" t="s">
        <v>162</v>
      </c>
      <c r="C2387" s="344">
        <v>9481</v>
      </c>
      <c r="D2387" s="343" t="s">
        <v>5059</v>
      </c>
      <c r="E2387" s="344">
        <v>5750755</v>
      </c>
      <c r="F2387" s="343" t="s">
        <v>8627</v>
      </c>
      <c r="G2387" s="360" t="s">
        <v>661</v>
      </c>
      <c r="H2387" s="361">
        <v>43266</v>
      </c>
      <c r="I2387" s="343" t="s">
        <v>211</v>
      </c>
      <c r="J2387" s="343" t="s">
        <v>211</v>
      </c>
      <c r="K2387" s="343" t="s">
        <v>168</v>
      </c>
    </row>
    <row r="2388" spans="1:11" ht="26.25" customHeight="1">
      <c r="A2388" s="343" t="s">
        <v>1813</v>
      </c>
      <c r="B2388" s="344" t="s">
        <v>162</v>
      </c>
      <c r="C2388" s="344">
        <v>7488</v>
      </c>
      <c r="D2388" s="343" t="s">
        <v>4751</v>
      </c>
      <c r="E2388" s="344">
        <v>6604380</v>
      </c>
      <c r="F2388" s="343" t="s">
        <v>8628</v>
      </c>
      <c r="G2388" s="360" t="s">
        <v>11765</v>
      </c>
      <c r="H2388" s="361">
        <v>43269</v>
      </c>
      <c r="I2388" s="343" t="s">
        <v>5659</v>
      </c>
      <c r="J2388" s="343" t="s">
        <v>11766</v>
      </c>
      <c r="K2388" s="343" t="s">
        <v>168</v>
      </c>
    </row>
    <row r="2389" spans="1:11" ht="26.25" customHeight="1">
      <c r="A2389" s="343" t="s">
        <v>1813</v>
      </c>
      <c r="B2389" s="344" t="s">
        <v>162</v>
      </c>
      <c r="C2389" s="344">
        <v>9850</v>
      </c>
      <c r="D2389" s="343" t="s">
        <v>4839</v>
      </c>
      <c r="E2389" s="344">
        <v>6781557</v>
      </c>
      <c r="F2389" s="343" t="s">
        <v>7485</v>
      </c>
      <c r="G2389" s="360" t="s">
        <v>11767</v>
      </c>
      <c r="H2389" s="361">
        <v>43269</v>
      </c>
      <c r="I2389" s="343" t="s">
        <v>8629</v>
      </c>
      <c r="J2389" s="343" t="s">
        <v>11768</v>
      </c>
      <c r="K2389" s="343" t="s">
        <v>168</v>
      </c>
    </row>
    <row r="2390" spans="1:11" ht="26.25" customHeight="1">
      <c r="A2390" s="343" t="s">
        <v>1813</v>
      </c>
      <c r="B2390" s="344" t="s">
        <v>162</v>
      </c>
      <c r="C2390" s="344">
        <v>9481</v>
      </c>
      <c r="D2390" s="343" t="s">
        <v>5059</v>
      </c>
      <c r="E2390" s="344">
        <v>6608081</v>
      </c>
      <c r="F2390" s="343" t="s">
        <v>8630</v>
      </c>
      <c r="G2390" s="360" t="s">
        <v>10550</v>
      </c>
      <c r="H2390" s="361">
        <v>43269</v>
      </c>
      <c r="I2390" s="343" t="s">
        <v>166</v>
      </c>
      <c r="J2390" s="343" t="s">
        <v>296</v>
      </c>
      <c r="K2390" s="343" t="s">
        <v>168</v>
      </c>
    </row>
    <row r="2391" spans="1:11" ht="26.25" customHeight="1">
      <c r="A2391" s="343" t="s">
        <v>1813</v>
      </c>
      <c r="B2391" s="344" t="s">
        <v>162</v>
      </c>
      <c r="C2391" s="344">
        <v>11835</v>
      </c>
      <c r="D2391" s="343" t="s">
        <v>4881</v>
      </c>
      <c r="E2391" s="344">
        <v>5564958</v>
      </c>
      <c r="F2391" s="343" t="s">
        <v>8588</v>
      </c>
      <c r="G2391" s="360" t="s">
        <v>11769</v>
      </c>
      <c r="H2391" s="361">
        <v>43276</v>
      </c>
      <c r="I2391" s="343" t="s">
        <v>7684</v>
      </c>
      <c r="J2391" s="343" t="s">
        <v>11770</v>
      </c>
      <c r="K2391" s="343" t="s">
        <v>168</v>
      </c>
    </row>
    <row r="2392" spans="1:11" ht="26.25" customHeight="1">
      <c r="A2392" s="343" t="s">
        <v>1813</v>
      </c>
      <c r="B2392" s="344" t="s">
        <v>162</v>
      </c>
      <c r="C2392" s="344">
        <v>6632</v>
      </c>
      <c r="D2392" s="343" t="s">
        <v>7034</v>
      </c>
      <c r="E2392" s="344">
        <v>7098643</v>
      </c>
      <c r="F2392" s="343" t="s">
        <v>9137</v>
      </c>
      <c r="G2392" s="360" t="s">
        <v>9706</v>
      </c>
      <c r="H2392" s="361">
        <v>43277</v>
      </c>
      <c r="I2392" s="343" t="s">
        <v>180</v>
      </c>
      <c r="J2392" s="343" t="s">
        <v>11771</v>
      </c>
      <c r="K2392" s="343" t="s">
        <v>173</v>
      </c>
    </row>
    <row r="2393" spans="1:11" ht="26.25" customHeight="1">
      <c r="A2393" s="343" t="s">
        <v>1813</v>
      </c>
      <c r="B2393" s="344" t="s">
        <v>162</v>
      </c>
      <c r="C2393" s="344">
        <v>7485</v>
      </c>
      <c r="D2393" s="343" t="s">
        <v>4791</v>
      </c>
      <c r="E2393" s="344">
        <v>6159704</v>
      </c>
      <c r="F2393" s="343" t="s">
        <v>9139</v>
      </c>
      <c r="G2393" s="360" t="s">
        <v>11772</v>
      </c>
      <c r="H2393" s="361">
        <v>43277</v>
      </c>
      <c r="I2393" s="343" t="s">
        <v>193</v>
      </c>
      <c r="J2393" s="343" t="s">
        <v>637</v>
      </c>
      <c r="K2393" s="343" t="s">
        <v>168</v>
      </c>
    </row>
    <row r="2394" spans="1:11" ht="26.25" customHeight="1">
      <c r="A2394" s="343" t="s">
        <v>1813</v>
      </c>
      <c r="B2394" s="344" t="s">
        <v>162</v>
      </c>
      <c r="C2394" s="344">
        <v>12103</v>
      </c>
      <c r="D2394" s="343" t="s">
        <v>4874</v>
      </c>
      <c r="E2394" s="344">
        <v>6288878</v>
      </c>
      <c r="F2394" s="343" t="s">
        <v>8104</v>
      </c>
      <c r="G2394" s="360" t="s">
        <v>255</v>
      </c>
      <c r="H2394" s="361">
        <v>43277</v>
      </c>
      <c r="I2394" s="343" t="s">
        <v>193</v>
      </c>
      <c r="J2394" s="343" t="s">
        <v>637</v>
      </c>
      <c r="K2394" s="343" t="s">
        <v>168</v>
      </c>
    </row>
    <row r="2395" spans="1:11" ht="26.25" customHeight="1">
      <c r="A2395" s="343" t="s">
        <v>1813</v>
      </c>
      <c r="B2395" s="344" t="s">
        <v>162</v>
      </c>
      <c r="C2395" s="344">
        <v>7521</v>
      </c>
      <c r="D2395" s="343" t="s">
        <v>4820</v>
      </c>
      <c r="E2395" s="344">
        <v>6870664</v>
      </c>
      <c r="F2395" s="343" t="s">
        <v>9140</v>
      </c>
      <c r="G2395" s="360" t="s">
        <v>11485</v>
      </c>
      <c r="H2395" s="361">
        <v>43277</v>
      </c>
      <c r="I2395" s="343" t="s">
        <v>709</v>
      </c>
      <c r="J2395" s="343" t="s">
        <v>9629</v>
      </c>
      <c r="K2395" s="343" t="s">
        <v>168</v>
      </c>
    </row>
    <row r="2396" spans="1:11" ht="26.25" customHeight="1">
      <c r="A2396" s="343" t="s">
        <v>1813</v>
      </c>
      <c r="B2396" s="344" t="s">
        <v>162</v>
      </c>
      <c r="C2396" s="344">
        <v>7488</v>
      </c>
      <c r="D2396" s="343" t="s">
        <v>4751</v>
      </c>
      <c r="E2396" s="344">
        <v>7036242</v>
      </c>
      <c r="F2396" s="343" t="s">
        <v>9141</v>
      </c>
      <c r="G2396" s="360" t="s">
        <v>11773</v>
      </c>
      <c r="H2396" s="361">
        <v>43277</v>
      </c>
      <c r="I2396" s="343" t="s">
        <v>271</v>
      </c>
      <c r="J2396" s="343" t="s">
        <v>533</v>
      </c>
      <c r="K2396" s="343" t="s">
        <v>168</v>
      </c>
    </row>
    <row r="2397" spans="1:11" ht="26.25" customHeight="1">
      <c r="A2397" s="343" t="s">
        <v>1813</v>
      </c>
      <c r="B2397" s="344" t="s">
        <v>162</v>
      </c>
      <c r="C2397" s="344">
        <v>9850</v>
      </c>
      <c r="D2397" s="343" t="s">
        <v>4839</v>
      </c>
      <c r="E2397" s="344">
        <v>6840972</v>
      </c>
      <c r="F2397" s="343" t="s">
        <v>9142</v>
      </c>
      <c r="G2397" s="360" t="s">
        <v>11696</v>
      </c>
      <c r="H2397" s="361">
        <v>43278</v>
      </c>
      <c r="I2397" s="343" t="s">
        <v>366</v>
      </c>
      <c r="J2397" s="343" t="s">
        <v>366</v>
      </c>
      <c r="K2397" s="343" t="s">
        <v>168</v>
      </c>
    </row>
    <row r="2398" spans="1:11" ht="26.25" customHeight="1">
      <c r="A2398" s="343" t="s">
        <v>1813</v>
      </c>
      <c r="B2398" s="344" t="s">
        <v>162</v>
      </c>
      <c r="C2398" s="344">
        <v>7479</v>
      </c>
      <c r="D2398" s="343" t="s">
        <v>4779</v>
      </c>
      <c r="E2398" s="344">
        <v>6869261</v>
      </c>
      <c r="F2398" s="343" t="s">
        <v>9255</v>
      </c>
      <c r="G2398" s="360" t="s">
        <v>11774</v>
      </c>
      <c r="H2398" s="361">
        <v>43291</v>
      </c>
      <c r="I2398" s="343" t="s">
        <v>166</v>
      </c>
      <c r="J2398" s="343" t="s">
        <v>327</v>
      </c>
      <c r="K2398" s="343" t="s">
        <v>168</v>
      </c>
    </row>
    <row r="2399" spans="1:11" ht="26.25" customHeight="1">
      <c r="A2399" s="343" t="s">
        <v>1813</v>
      </c>
      <c r="B2399" s="344" t="s">
        <v>162</v>
      </c>
      <c r="C2399" s="344">
        <v>11093</v>
      </c>
      <c r="D2399" s="343" t="s">
        <v>4827</v>
      </c>
      <c r="E2399" s="344">
        <v>6686467</v>
      </c>
      <c r="F2399" s="343" t="s">
        <v>4828</v>
      </c>
      <c r="G2399" s="360" t="s">
        <v>11775</v>
      </c>
      <c r="H2399" s="361">
        <v>43291</v>
      </c>
      <c r="I2399" s="343" t="s">
        <v>193</v>
      </c>
      <c r="J2399" s="343" t="s">
        <v>637</v>
      </c>
      <c r="K2399" s="343" t="s">
        <v>168</v>
      </c>
    </row>
    <row r="2400" spans="1:11" ht="26.25" customHeight="1">
      <c r="A2400" s="343" t="s">
        <v>1813</v>
      </c>
      <c r="B2400" s="344" t="s">
        <v>162</v>
      </c>
      <c r="C2400" s="344">
        <v>7494</v>
      </c>
      <c r="D2400" s="343" t="s">
        <v>4818</v>
      </c>
      <c r="E2400" s="344">
        <v>6363963</v>
      </c>
      <c r="F2400" s="343" t="s">
        <v>9262</v>
      </c>
      <c r="G2400" s="360" t="s">
        <v>11776</v>
      </c>
      <c r="H2400" s="361">
        <v>43291</v>
      </c>
      <c r="I2400" s="343" t="s">
        <v>198</v>
      </c>
      <c r="J2400" s="343" t="s">
        <v>198</v>
      </c>
      <c r="K2400" s="343" t="s">
        <v>168</v>
      </c>
    </row>
    <row r="2401" spans="1:11" ht="26.25" customHeight="1">
      <c r="A2401" s="343" t="s">
        <v>1813</v>
      </c>
      <c r="B2401" s="344" t="s">
        <v>162</v>
      </c>
      <c r="C2401" s="344">
        <v>7488</v>
      </c>
      <c r="D2401" s="343" t="s">
        <v>4751</v>
      </c>
      <c r="E2401" s="344">
        <v>6610964</v>
      </c>
      <c r="F2401" s="343" t="s">
        <v>8599</v>
      </c>
      <c r="G2401" s="360" t="s">
        <v>11777</v>
      </c>
      <c r="H2401" s="361">
        <v>43291</v>
      </c>
      <c r="I2401" s="343" t="s">
        <v>9254</v>
      </c>
      <c r="J2401" s="343" t="s">
        <v>11778</v>
      </c>
      <c r="K2401" s="343" t="s">
        <v>168</v>
      </c>
    </row>
    <row r="2402" spans="1:11" ht="26.25" customHeight="1">
      <c r="A2402" s="343" t="s">
        <v>1813</v>
      </c>
      <c r="B2402" s="344" t="s">
        <v>162</v>
      </c>
      <c r="C2402" s="344">
        <v>6991</v>
      </c>
      <c r="D2402" s="343" t="s">
        <v>4878</v>
      </c>
      <c r="E2402" s="344">
        <v>4228344</v>
      </c>
      <c r="F2402" s="343" t="s">
        <v>9246</v>
      </c>
      <c r="G2402" s="360" t="s">
        <v>11779</v>
      </c>
      <c r="H2402" s="361">
        <v>43292</v>
      </c>
      <c r="I2402" s="343" t="s">
        <v>211</v>
      </c>
      <c r="J2402" s="343" t="s">
        <v>211</v>
      </c>
      <c r="K2402" s="343" t="s">
        <v>168</v>
      </c>
    </row>
    <row r="2403" spans="1:11" ht="26.25" customHeight="1">
      <c r="A2403" s="343" t="s">
        <v>1813</v>
      </c>
      <c r="B2403" s="344" t="s">
        <v>162</v>
      </c>
      <c r="C2403" s="344">
        <v>7479</v>
      </c>
      <c r="D2403" s="343" t="s">
        <v>4779</v>
      </c>
      <c r="E2403" s="344">
        <v>6485684</v>
      </c>
      <c r="F2403" s="343" t="s">
        <v>7320</v>
      </c>
      <c r="G2403" s="360" t="s">
        <v>10336</v>
      </c>
      <c r="H2403" s="361">
        <v>43292</v>
      </c>
      <c r="I2403" s="343" t="s">
        <v>9261</v>
      </c>
      <c r="J2403" s="343" t="s">
        <v>11780</v>
      </c>
      <c r="K2403" s="343" t="s">
        <v>168</v>
      </c>
    </row>
    <row r="2404" spans="1:11" ht="26.25" customHeight="1">
      <c r="A2404" s="343" t="s">
        <v>1813</v>
      </c>
      <c r="B2404" s="344" t="s">
        <v>162</v>
      </c>
      <c r="C2404" s="344">
        <v>7474</v>
      </c>
      <c r="D2404" s="343" t="s">
        <v>8553</v>
      </c>
      <c r="E2404" s="344">
        <v>6188560</v>
      </c>
      <c r="F2404" s="343" t="s">
        <v>9249</v>
      </c>
      <c r="G2404" s="360" t="s">
        <v>11781</v>
      </c>
      <c r="H2404" s="361">
        <v>43292</v>
      </c>
      <c r="I2404" s="343" t="s">
        <v>198</v>
      </c>
      <c r="J2404" s="343" t="s">
        <v>198</v>
      </c>
      <c r="K2404" s="343" t="s">
        <v>168</v>
      </c>
    </row>
    <row r="2405" spans="1:11" ht="26.25" customHeight="1">
      <c r="A2405" s="343" t="s">
        <v>1813</v>
      </c>
      <c r="B2405" s="344" t="s">
        <v>162</v>
      </c>
      <c r="C2405" s="344">
        <v>11528</v>
      </c>
      <c r="D2405" s="343" t="s">
        <v>5098</v>
      </c>
      <c r="E2405" s="344">
        <v>6254207</v>
      </c>
      <c r="F2405" s="343" t="s">
        <v>9257</v>
      </c>
      <c r="G2405" s="360" t="s">
        <v>10112</v>
      </c>
      <c r="H2405" s="361">
        <v>43292</v>
      </c>
      <c r="I2405" s="343" t="s">
        <v>198</v>
      </c>
      <c r="J2405" s="343" t="s">
        <v>198</v>
      </c>
      <c r="K2405" s="343" t="s">
        <v>168</v>
      </c>
    </row>
    <row r="2406" spans="1:11" ht="26.25" customHeight="1">
      <c r="A2406" s="343" t="s">
        <v>1813</v>
      </c>
      <c r="B2406" s="344" t="s">
        <v>162</v>
      </c>
      <c r="C2406" s="344">
        <v>6646</v>
      </c>
      <c r="D2406" s="343" t="s">
        <v>5087</v>
      </c>
      <c r="E2406" s="344">
        <v>6226047</v>
      </c>
      <c r="F2406" s="343" t="s">
        <v>9260</v>
      </c>
      <c r="G2406" s="360" t="s">
        <v>10386</v>
      </c>
      <c r="H2406" s="361">
        <v>43292</v>
      </c>
      <c r="I2406" s="343" t="s">
        <v>366</v>
      </c>
      <c r="J2406" s="343" t="s">
        <v>366</v>
      </c>
      <c r="K2406" s="343" t="s">
        <v>168</v>
      </c>
    </row>
    <row r="2407" spans="1:11" ht="26.25" customHeight="1">
      <c r="A2407" s="343" t="s">
        <v>1813</v>
      </c>
      <c r="B2407" s="344" t="s">
        <v>162</v>
      </c>
      <c r="C2407" s="344">
        <v>10045</v>
      </c>
      <c r="D2407" s="343" t="s">
        <v>5134</v>
      </c>
      <c r="E2407" s="344">
        <v>5965143</v>
      </c>
      <c r="F2407" s="343" t="s">
        <v>9266</v>
      </c>
      <c r="G2407" s="360" t="s">
        <v>11534</v>
      </c>
      <c r="H2407" s="361">
        <v>43305</v>
      </c>
      <c r="I2407" s="343" t="s">
        <v>261</v>
      </c>
      <c r="J2407" s="343" t="s">
        <v>631</v>
      </c>
      <c r="K2407" s="343" t="s">
        <v>168</v>
      </c>
    </row>
    <row r="2408" spans="1:11" ht="26.25" customHeight="1">
      <c r="A2408" s="343" t="s">
        <v>1813</v>
      </c>
      <c r="B2408" s="344" t="s">
        <v>162</v>
      </c>
      <c r="C2408" s="344">
        <v>9388</v>
      </c>
      <c r="D2408" s="343" t="s">
        <v>7041</v>
      </c>
      <c r="E2408" s="344">
        <v>6060265</v>
      </c>
      <c r="F2408" s="343" t="s">
        <v>9250</v>
      </c>
      <c r="G2408" s="360" t="s">
        <v>11125</v>
      </c>
      <c r="H2408" s="361">
        <v>43312</v>
      </c>
      <c r="I2408" s="343" t="s">
        <v>166</v>
      </c>
      <c r="J2408" s="343" t="s">
        <v>296</v>
      </c>
      <c r="K2408" s="343" t="s">
        <v>168</v>
      </c>
    </row>
    <row r="2409" spans="1:11" ht="26.25" customHeight="1">
      <c r="A2409" s="343" t="s">
        <v>1813</v>
      </c>
      <c r="B2409" s="344" t="s">
        <v>162</v>
      </c>
      <c r="C2409" s="344">
        <v>10036</v>
      </c>
      <c r="D2409" s="343" t="s">
        <v>5129</v>
      </c>
      <c r="E2409" s="344">
        <v>6636987</v>
      </c>
      <c r="F2409" s="343" t="s">
        <v>9264</v>
      </c>
      <c r="G2409" s="360" t="s">
        <v>11782</v>
      </c>
      <c r="H2409" s="361">
        <v>43312</v>
      </c>
      <c r="I2409" s="343" t="s">
        <v>802</v>
      </c>
      <c r="J2409" s="343" t="s">
        <v>1075</v>
      </c>
      <c r="K2409" s="343" t="s">
        <v>168</v>
      </c>
    </row>
    <row r="2410" spans="1:11" ht="26.25" customHeight="1">
      <c r="A2410" s="343" t="s">
        <v>1813</v>
      </c>
      <c r="B2410" s="344" t="s">
        <v>162</v>
      </c>
      <c r="C2410" s="344">
        <v>7164</v>
      </c>
      <c r="D2410" s="343" t="s">
        <v>4894</v>
      </c>
      <c r="E2410" s="344">
        <v>6133113</v>
      </c>
      <c r="F2410" s="343" t="s">
        <v>9247</v>
      </c>
      <c r="G2410" s="360" t="s">
        <v>1477</v>
      </c>
      <c r="H2410" s="361">
        <v>43312</v>
      </c>
      <c r="I2410" s="343" t="s">
        <v>193</v>
      </c>
      <c r="J2410" s="343" t="s">
        <v>637</v>
      </c>
      <c r="K2410" s="343" t="s">
        <v>168</v>
      </c>
    </row>
    <row r="2411" spans="1:11" ht="26.25" customHeight="1">
      <c r="A2411" s="343" t="s">
        <v>1813</v>
      </c>
      <c r="B2411" s="344" t="s">
        <v>162</v>
      </c>
      <c r="C2411" s="344">
        <v>7467</v>
      </c>
      <c r="D2411" s="343" t="s">
        <v>4735</v>
      </c>
      <c r="E2411" s="344">
        <v>6330207</v>
      </c>
      <c r="F2411" s="343" t="s">
        <v>9253</v>
      </c>
      <c r="G2411" s="360" t="s">
        <v>468</v>
      </c>
      <c r="H2411" s="361">
        <v>43312</v>
      </c>
      <c r="I2411" s="343" t="s">
        <v>4006</v>
      </c>
      <c r="J2411" s="343" t="s">
        <v>4006</v>
      </c>
      <c r="K2411" s="343" t="s">
        <v>173</v>
      </c>
    </row>
    <row r="2412" spans="1:11" ht="26.25" customHeight="1">
      <c r="A2412" s="343" t="s">
        <v>1813</v>
      </c>
      <c r="B2412" s="344" t="s">
        <v>162</v>
      </c>
      <c r="C2412" s="344">
        <v>9850</v>
      </c>
      <c r="D2412" s="343" t="s">
        <v>4839</v>
      </c>
      <c r="E2412" s="344">
        <v>6755882</v>
      </c>
      <c r="F2412" s="343" t="s">
        <v>9258</v>
      </c>
      <c r="G2412" s="360" t="s">
        <v>10939</v>
      </c>
      <c r="H2412" s="361">
        <v>43312</v>
      </c>
      <c r="I2412" s="343" t="s">
        <v>166</v>
      </c>
      <c r="J2412" s="343" t="s">
        <v>327</v>
      </c>
      <c r="K2412" s="343" t="s">
        <v>168</v>
      </c>
    </row>
    <row r="2413" spans="1:11" ht="26.25" customHeight="1">
      <c r="A2413" s="343" t="s">
        <v>1813</v>
      </c>
      <c r="B2413" s="344" t="s">
        <v>162</v>
      </c>
      <c r="C2413" s="344">
        <v>7468</v>
      </c>
      <c r="D2413" s="343" t="s">
        <v>4811</v>
      </c>
      <c r="E2413" s="344">
        <v>6518359</v>
      </c>
      <c r="F2413" s="343" t="s">
        <v>4817</v>
      </c>
      <c r="G2413" s="360" t="s">
        <v>11783</v>
      </c>
      <c r="H2413" s="361">
        <v>43318</v>
      </c>
      <c r="I2413" s="343" t="s">
        <v>1082</v>
      </c>
      <c r="J2413" s="343" t="s">
        <v>11784</v>
      </c>
      <c r="K2413" s="343" t="s">
        <v>173</v>
      </c>
    </row>
    <row r="2414" spans="1:11" ht="26.25" customHeight="1">
      <c r="A2414" s="343" t="s">
        <v>1813</v>
      </c>
      <c r="B2414" s="344" t="s">
        <v>162</v>
      </c>
      <c r="C2414" s="344">
        <v>7166</v>
      </c>
      <c r="D2414" s="343" t="s">
        <v>4960</v>
      </c>
      <c r="E2414" s="344">
        <v>5970971</v>
      </c>
      <c r="F2414" s="343" t="s">
        <v>9245</v>
      </c>
      <c r="G2414" s="360" t="s">
        <v>11785</v>
      </c>
      <c r="H2414" s="361">
        <v>43319</v>
      </c>
      <c r="I2414" s="343" t="s">
        <v>180</v>
      </c>
      <c r="J2414" s="343" t="s">
        <v>11786</v>
      </c>
      <c r="K2414" s="343" t="s">
        <v>168</v>
      </c>
    </row>
    <row r="2415" spans="1:11" ht="26.25" customHeight="1">
      <c r="A2415" s="343" t="s">
        <v>1813</v>
      </c>
      <c r="B2415" s="344" t="s">
        <v>162</v>
      </c>
      <c r="C2415" s="344">
        <v>8935</v>
      </c>
      <c r="D2415" s="343" t="s">
        <v>5151</v>
      </c>
      <c r="E2415" s="344">
        <v>6409394</v>
      </c>
      <c r="F2415" s="343" t="s">
        <v>9259</v>
      </c>
      <c r="G2415" s="360" t="s">
        <v>10040</v>
      </c>
      <c r="H2415" s="361">
        <v>43321</v>
      </c>
      <c r="I2415" s="343" t="s">
        <v>180</v>
      </c>
      <c r="J2415" s="343" t="s">
        <v>11787</v>
      </c>
      <c r="K2415" s="343" t="s">
        <v>173</v>
      </c>
    </row>
    <row r="2416" spans="1:11" ht="26.25" customHeight="1">
      <c r="A2416" s="343" t="s">
        <v>1813</v>
      </c>
      <c r="B2416" s="344" t="s">
        <v>162</v>
      </c>
      <c r="C2416" s="344">
        <v>6627</v>
      </c>
      <c r="D2416" s="343" t="s">
        <v>5065</v>
      </c>
      <c r="E2416" s="344">
        <v>6212368</v>
      </c>
      <c r="F2416" s="343" t="s">
        <v>4766</v>
      </c>
      <c r="G2416" s="360" t="s">
        <v>11788</v>
      </c>
      <c r="H2416" s="361">
        <v>43322</v>
      </c>
      <c r="I2416" s="343" t="s">
        <v>9256</v>
      </c>
      <c r="J2416" s="343" t="s">
        <v>11789</v>
      </c>
      <c r="K2416" s="343" t="s">
        <v>248</v>
      </c>
    </row>
    <row r="2417" spans="1:11" ht="26.25" customHeight="1">
      <c r="A2417" s="343" t="s">
        <v>1813</v>
      </c>
      <c r="B2417" s="344" t="s">
        <v>162</v>
      </c>
      <c r="C2417" s="344">
        <v>7469</v>
      </c>
      <c r="D2417" s="343" t="s">
        <v>4750</v>
      </c>
      <c r="E2417" s="344">
        <v>6956613</v>
      </c>
      <c r="F2417" s="343" t="s">
        <v>8546</v>
      </c>
      <c r="G2417" s="360" t="s">
        <v>11790</v>
      </c>
      <c r="H2417" s="361">
        <v>43322</v>
      </c>
      <c r="I2417" s="343" t="s">
        <v>580</v>
      </c>
      <c r="J2417" s="343" t="s">
        <v>11791</v>
      </c>
      <c r="K2417" s="343" t="s">
        <v>248</v>
      </c>
    </row>
    <row r="2418" spans="1:11" ht="26.25" customHeight="1">
      <c r="A2418" s="343" t="s">
        <v>1813</v>
      </c>
      <c r="B2418" s="344" t="s">
        <v>162</v>
      </c>
      <c r="C2418" s="344">
        <v>7485</v>
      </c>
      <c r="D2418" s="343" t="s">
        <v>4791</v>
      </c>
      <c r="E2418" s="344">
        <v>6977806</v>
      </c>
      <c r="F2418" s="343" t="s">
        <v>9265</v>
      </c>
      <c r="G2418" s="360" t="s">
        <v>11792</v>
      </c>
      <c r="H2418" s="361">
        <v>43322</v>
      </c>
      <c r="I2418" s="343" t="s">
        <v>3629</v>
      </c>
      <c r="J2418" s="343" t="s">
        <v>11793</v>
      </c>
      <c r="K2418" s="343" t="s">
        <v>168</v>
      </c>
    </row>
    <row r="2419" spans="1:11" ht="26.25" customHeight="1">
      <c r="A2419" s="343" t="s">
        <v>1813</v>
      </c>
      <c r="B2419" s="344" t="s">
        <v>162</v>
      </c>
      <c r="C2419" s="344">
        <v>6981</v>
      </c>
      <c r="D2419" s="343" t="s">
        <v>4901</v>
      </c>
      <c r="E2419" s="344">
        <v>4656208</v>
      </c>
      <c r="F2419" s="343" t="s">
        <v>9267</v>
      </c>
      <c r="G2419" s="360" t="s">
        <v>9815</v>
      </c>
      <c r="H2419" s="361">
        <v>43325</v>
      </c>
      <c r="I2419" s="343" t="s">
        <v>180</v>
      </c>
      <c r="J2419" s="343" t="s">
        <v>11794</v>
      </c>
      <c r="K2419" s="343" t="s">
        <v>173</v>
      </c>
    </row>
    <row r="2420" spans="1:11" ht="26.25" customHeight="1">
      <c r="A2420" s="343" t="s">
        <v>1813</v>
      </c>
      <c r="B2420" s="344" t="s">
        <v>162</v>
      </c>
      <c r="C2420" s="344">
        <v>6646</v>
      </c>
      <c r="D2420" s="343" t="s">
        <v>5087</v>
      </c>
      <c r="E2420" s="344">
        <v>6430409</v>
      </c>
      <c r="F2420" s="343" t="s">
        <v>9165</v>
      </c>
      <c r="G2420" s="360" t="s">
        <v>9459</v>
      </c>
      <c r="H2420" s="361">
        <v>43325</v>
      </c>
      <c r="I2420" s="343" t="s">
        <v>1124</v>
      </c>
      <c r="J2420" s="343" t="s">
        <v>10414</v>
      </c>
      <c r="K2420" s="343" t="s">
        <v>173</v>
      </c>
    </row>
    <row r="2421" spans="1:11" ht="26.25" customHeight="1">
      <c r="A2421" s="343" t="s">
        <v>1813</v>
      </c>
      <c r="B2421" s="344" t="s">
        <v>162</v>
      </c>
      <c r="C2421" s="344">
        <v>9946</v>
      </c>
      <c r="D2421" s="343" t="s">
        <v>4867</v>
      </c>
      <c r="E2421" s="344">
        <v>6288769</v>
      </c>
      <c r="F2421" s="343" t="s">
        <v>9252</v>
      </c>
      <c r="G2421" s="360" t="s">
        <v>9459</v>
      </c>
      <c r="H2421" s="361">
        <v>43325</v>
      </c>
      <c r="I2421" s="343" t="s">
        <v>465</v>
      </c>
      <c r="J2421" s="343" t="s">
        <v>9614</v>
      </c>
      <c r="K2421" s="343" t="s">
        <v>168</v>
      </c>
    </row>
    <row r="2422" spans="1:11" ht="26.25" customHeight="1">
      <c r="A2422" s="343" t="s">
        <v>1813</v>
      </c>
      <c r="B2422" s="344" t="s">
        <v>162</v>
      </c>
      <c r="C2422" s="344">
        <v>7474</v>
      </c>
      <c r="D2422" s="343" t="s">
        <v>8553</v>
      </c>
      <c r="E2422" s="344">
        <v>6766466</v>
      </c>
      <c r="F2422" s="343" t="s">
        <v>9248</v>
      </c>
      <c r="G2422" s="360" t="s">
        <v>11795</v>
      </c>
      <c r="H2422" s="361">
        <v>43325</v>
      </c>
      <c r="I2422" s="343" t="s">
        <v>166</v>
      </c>
      <c r="J2422" s="343" t="s">
        <v>327</v>
      </c>
      <c r="K2422" s="343" t="s">
        <v>168</v>
      </c>
    </row>
    <row r="2423" spans="1:11" ht="26.25" customHeight="1">
      <c r="A2423" s="343" t="s">
        <v>1813</v>
      </c>
      <c r="B2423" s="344" t="s">
        <v>162</v>
      </c>
      <c r="C2423" s="344">
        <v>9388</v>
      </c>
      <c r="D2423" s="343" t="s">
        <v>7041</v>
      </c>
      <c r="E2423" s="344">
        <v>6816436</v>
      </c>
      <c r="F2423" s="343" t="s">
        <v>9251</v>
      </c>
      <c r="G2423" s="360" t="s">
        <v>11102</v>
      </c>
      <c r="H2423" s="361">
        <v>43325</v>
      </c>
      <c r="I2423" s="343" t="s">
        <v>193</v>
      </c>
      <c r="J2423" s="343" t="s">
        <v>637</v>
      </c>
      <c r="K2423" s="343" t="s">
        <v>168</v>
      </c>
    </row>
    <row r="2424" spans="1:11" ht="26.25" customHeight="1">
      <c r="A2424" s="343" t="s">
        <v>1813</v>
      </c>
      <c r="B2424" s="344" t="s">
        <v>162</v>
      </c>
      <c r="C2424" s="344">
        <v>10043</v>
      </c>
      <c r="D2424" s="343" t="s">
        <v>4802</v>
      </c>
      <c r="E2424" s="344">
        <v>6771758</v>
      </c>
      <c r="F2424" s="343" t="s">
        <v>9263</v>
      </c>
      <c r="G2424" s="360" t="s">
        <v>11796</v>
      </c>
      <c r="H2424" s="361">
        <v>43327</v>
      </c>
      <c r="I2424" s="343" t="s">
        <v>166</v>
      </c>
      <c r="J2424" s="343" t="s">
        <v>327</v>
      </c>
      <c r="K2424" s="343" t="s">
        <v>168</v>
      </c>
    </row>
    <row r="2425" spans="1:11" ht="26.25" customHeight="1">
      <c r="A2425" s="343" t="s">
        <v>1813</v>
      </c>
      <c r="B2425" s="344" t="s">
        <v>162</v>
      </c>
      <c r="C2425" s="344">
        <v>7463</v>
      </c>
      <c r="D2425" s="343" t="s">
        <v>4732</v>
      </c>
      <c r="E2425" s="344">
        <v>6905392</v>
      </c>
      <c r="F2425" s="343" t="s">
        <v>11797</v>
      </c>
      <c r="G2425" s="360" t="s">
        <v>11798</v>
      </c>
      <c r="H2425" s="361">
        <v>43328</v>
      </c>
      <c r="I2425" s="343" t="s">
        <v>193</v>
      </c>
      <c r="J2425" s="343" t="s">
        <v>637</v>
      </c>
      <c r="K2425" s="343" t="s">
        <v>168</v>
      </c>
    </row>
    <row r="2426" spans="1:11" ht="26.25" customHeight="1">
      <c r="A2426" s="343" t="s">
        <v>1813</v>
      </c>
      <c r="B2426" s="344" t="s">
        <v>162</v>
      </c>
      <c r="C2426" s="344">
        <v>6646</v>
      </c>
      <c r="D2426" s="343" t="s">
        <v>5087</v>
      </c>
      <c r="E2426" s="344">
        <v>5963494</v>
      </c>
      <c r="F2426" s="343" t="s">
        <v>5088</v>
      </c>
      <c r="G2426" s="360" t="s">
        <v>11446</v>
      </c>
      <c r="H2426" s="361">
        <v>43329</v>
      </c>
      <c r="I2426" s="343" t="s">
        <v>287</v>
      </c>
      <c r="J2426" s="343" t="s">
        <v>11799</v>
      </c>
      <c r="K2426" s="343" t="s">
        <v>168</v>
      </c>
    </row>
    <row r="2427" spans="1:11" ht="26.25" customHeight="1">
      <c r="A2427" s="343" t="s">
        <v>1813</v>
      </c>
      <c r="B2427" s="344" t="s">
        <v>162</v>
      </c>
      <c r="C2427" s="344">
        <v>6645</v>
      </c>
      <c r="D2427" s="343" t="s">
        <v>7888</v>
      </c>
      <c r="E2427" s="344">
        <v>6122020</v>
      </c>
      <c r="F2427" s="343" t="s">
        <v>11800</v>
      </c>
      <c r="G2427" s="360" t="s">
        <v>10070</v>
      </c>
      <c r="H2427" s="361">
        <v>43329</v>
      </c>
      <c r="I2427" s="343" t="s">
        <v>514</v>
      </c>
      <c r="J2427" s="343" t="s">
        <v>11634</v>
      </c>
      <c r="K2427" s="343" t="s">
        <v>168</v>
      </c>
    </row>
    <row r="2428" spans="1:11" ht="26.25" customHeight="1">
      <c r="A2428" s="343" t="s">
        <v>1813</v>
      </c>
      <c r="B2428" s="344" t="s">
        <v>162</v>
      </c>
      <c r="C2428" s="344">
        <v>6981</v>
      </c>
      <c r="D2428" s="343" t="s">
        <v>4901</v>
      </c>
      <c r="E2428" s="344">
        <v>5836020</v>
      </c>
      <c r="F2428" s="343" t="s">
        <v>5147</v>
      </c>
      <c r="G2428" s="360" t="s">
        <v>10693</v>
      </c>
      <c r="H2428" s="361">
        <v>43329</v>
      </c>
      <c r="I2428" s="343" t="s">
        <v>11801</v>
      </c>
      <c r="J2428" s="343" t="s">
        <v>11802</v>
      </c>
      <c r="K2428" s="343" t="s">
        <v>168</v>
      </c>
    </row>
    <row r="2429" spans="1:11" ht="26.25" customHeight="1">
      <c r="A2429" s="343" t="s">
        <v>1813</v>
      </c>
      <c r="B2429" s="344" t="s">
        <v>162</v>
      </c>
      <c r="C2429" s="344">
        <v>9482</v>
      </c>
      <c r="D2429" s="343" t="s">
        <v>5092</v>
      </c>
      <c r="E2429" s="344">
        <v>6002649</v>
      </c>
      <c r="F2429" s="343" t="s">
        <v>7558</v>
      </c>
      <c r="G2429" s="360" t="s">
        <v>11669</v>
      </c>
      <c r="H2429" s="361">
        <v>43332</v>
      </c>
      <c r="I2429" s="343" t="s">
        <v>193</v>
      </c>
      <c r="J2429" s="343" t="s">
        <v>637</v>
      </c>
      <c r="K2429" s="343" t="s">
        <v>168</v>
      </c>
    </row>
    <row r="2430" spans="1:11" ht="26.25" customHeight="1">
      <c r="A2430" s="343" t="s">
        <v>1813</v>
      </c>
      <c r="B2430" s="344" t="s">
        <v>162</v>
      </c>
      <c r="C2430" s="344">
        <v>7467</v>
      </c>
      <c r="D2430" s="343" t="s">
        <v>4735</v>
      </c>
      <c r="E2430" s="344">
        <v>6465880</v>
      </c>
      <c r="F2430" s="343" t="s">
        <v>11803</v>
      </c>
      <c r="G2430" s="360" t="s">
        <v>11258</v>
      </c>
      <c r="H2430" s="361">
        <v>43332</v>
      </c>
      <c r="I2430" s="343" t="s">
        <v>1082</v>
      </c>
      <c r="J2430" s="343" t="s">
        <v>11804</v>
      </c>
      <c r="K2430" s="343" t="s">
        <v>248</v>
      </c>
    </row>
    <row r="2431" spans="1:11" ht="26.25" customHeight="1">
      <c r="A2431" s="343" t="s">
        <v>1813</v>
      </c>
      <c r="B2431" s="344" t="s">
        <v>162</v>
      </c>
      <c r="C2431" s="344">
        <v>12103</v>
      </c>
      <c r="D2431" s="343" t="s">
        <v>4874</v>
      </c>
      <c r="E2431" s="344">
        <v>5737118</v>
      </c>
      <c r="F2431" s="343" t="s">
        <v>11805</v>
      </c>
      <c r="G2431" s="360" t="s">
        <v>10002</v>
      </c>
      <c r="H2431" s="361">
        <v>43333</v>
      </c>
      <c r="I2431" s="343" t="s">
        <v>366</v>
      </c>
      <c r="J2431" s="343" t="s">
        <v>366</v>
      </c>
      <c r="K2431" s="343" t="s">
        <v>168</v>
      </c>
    </row>
    <row r="2432" spans="1:11" ht="26.25" customHeight="1">
      <c r="A2432" s="343" t="s">
        <v>1813</v>
      </c>
      <c r="B2432" s="344" t="s">
        <v>162</v>
      </c>
      <c r="C2432" s="344">
        <v>6637</v>
      </c>
      <c r="D2432" s="343" t="s">
        <v>7035</v>
      </c>
      <c r="E2432" s="344">
        <v>6734030</v>
      </c>
      <c r="F2432" s="343" t="s">
        <v>11806</v>
      </c>
      <c r="G2432" s="360" t="s">
        <v>11612</v>
      </c>
      <c r="H2432" s="361">
        <v>43333</v>
      </c>
      <c r="I2432" s="343" t="s">
        <v>198</v>
      </c>
      <c r="J2432" s="343" t="s">
        <v>198</v>
      </c>
      <c r="K2432" s="343" t="s">
        <v>168</v>
      </c>
    </row>
    <row r="2433" spans="1:11" ht="26.25" customHeight="1">
      <c r="A2433" s="343" t="s">
        <v>1813</v>
      </c>
      <c r="B2433" s="344" t="s">
        <v>162</v>
      </c>
      <c r="C2433" s="344">
        <v>9480</v>
      </c>
      <c r="D2433" s="343" t="s">
        <v>4857</v>
      </c>
      <c r="E2433" s="344">
        <v>4829158</v>
      </c>
      <c r="F2433" s="343" t="s">
        <v>9138</v>
      </c>
      <c r="G2433" s="360" t="s">
        <v>11807</v>
      </c>
      <c r="H2433" s="361">
        <v>43333</v>
      </c>
      <c r="I2433" s="343" t="s">
        <v>11808</v>
      </c>
      <c r="J2433" s="343" t="s">
        <v>11809</v>
      </c>
      <c r="K2433" s="343" t="s">
        <v>248</v>
      </c>
    </row>
    <row r="2434" spans="1:11" ht="26.25" customHeight="1">
      <c r="A2434" s="343" t="s">
        <v>1813</v>
      </c>
      <c r="B2434" s="344" t="s">
        <v>162</v>
      </c>
      <c r="C2434" s="344">
        <v>10038</v>
      </c>
      <c r="D2434" s="343" t="s">
        <v>5002</v>
      </c>
      <c r="E2434" s="344">
        <v>6470603</v>
      </c>
      <c r="F2434" s="343" t="s">
        <v>11810</v>
      </c>
      <c r="G2434" s="360" t="s">
        <v>11205</v>
      </c>
      <c r="H2434" s="361">
        <v>43335</v>
      </c>
      <c r="I2434" s="343" t="s">
        <v>1182</v>
      </c>
      <c r="J2434" s="343" t="s">
        <v>10913</v>
      </c>
      <c r="K2434" s="343" t="s">
        <v>173</v>
      </c>
    </row>
    <row r="2435" spans="1:11" ht="26.25" customHeight="1">
      <c r="A2435" s="343" t="s">
        <v>1813</v>
      </c>
      <c r="B2435" s="344" t="s">
        <v>162</v>
      </c>
      <c r="C2435" s="344">
        <v>10038</v>
      </c>
      <c r="D2435" s="343" t="s">
        <v>5002</v>
      </c>
      <c r="E2435" s="344">
        <v>5784471</v>
      </c>
      <c r="F2435" s="343" t="s">
        <v>11811</v>
      </c>
      <c r="G2435" s="360" t="s">
        <v>11812</v>
      </c>
      <c r="H2435" s="361">
        <v>43335</v>
      </c>
      <c r="I2435" s="343" t="s">
        <v>709</v>
      </c>
      <c r="J2435" s="343" t="s">
        <v>11813</v>
      </c>
      <c r="K2435" s="343" t="s">
        <v>168</v>
      </c>
    </row>
    <row r="2436" spans="1:11" ht="26.25" customHeight="1">
      <c r="A2436" s="343" t="s">
        <v>1813</v>
      </c>
      <c r="B2436" s="344" t="s">
        <v>162</v>
      </c>
      <c r="C2436" s="344">
        <v>10038</v>
      </c>
      <c r="D2436" s="343" t="s">
        <v>5002</v>
      </c>
      <c r="E2436" s="344">
        <v>4980260</v>
      </c>
      <c r="F2436" s="343" t="s">
        <v>11814</v>
      </c>
      <c r="G2436" s="360" t="s">
        <v>11815</v>
      </c>
      <c r="H2436" s="361">
        <v>43335</v>
      </c>
      <c r="I2436" s="343" t="s">
        <v>6973</v>
      </c>
      <c r="J2436" s="343" t="s">
        <v>11206</v>
      </c>
      <c r="K2436" s="343" t="s">
        <v>168</v>
      </c>
    </row>
    <row r="2437" spans="1:11" ht="26.25" customHeight="1">
      <c r="A2437" s="343" t="s">
        <v>1813</v>
      </c>
      <c r="B2437" s="344" t="s">
        <v>162</v>
      </c>
      <c r="C2437" s="344">
        <v>9881</v>
      </c>
      <c r="D2437" s="343" t="s">
        <v>4926</v>
      </c>
      <c r="E2437" s="344">
        <v>5720532</v>
      </c>
      <c r="F2437" s="343" t="s">
        <v>11816</v>
      </c>
      <c r="G2437" s="360" t="s">
        <v>11817</v>
      </c>
      <c r="H2437" s="361">
        <v>43335</v>
      </c>
      <c r="I2437" s="343" t="s">
        <v>193</v>
      </c>
      <c r="J2437" s="343" t="s">
        <v>637</v>
      </c>
      <c r="K2437" s="343" t="s">
        <v>168</v>
      </c>
    </row>
    <row r="2438" spans="1:11" ht="26.25" customHeight="1">
      <c r="A2438" s="343" t="s">
        <v>1813</v>
      </c>
      <c r="B2438" s="344" t="s">
        <v>162</v>
      </c>
      <c r="C2438" s="344">
        <v>7464</v>
      </c>
      <c r="D2438" s="343" t="s">
        <v>4771</v>
      </c>
      <c r="E2438" s="344">
        <v>6981735</v>
      </c>
      <c r="F2438" s="343" t="s">
        <v>11818</v>
      </c>
      <c r="G2438" s="360" t="s">
        <v>11267</v>
      </c>
      <c r="H2438" s="361">
        <v>43339</v>
      </c>
      <c r="I2438" s="343" t="s">
        <v>3629</v>
      </c>
      <c r="J2438" s="343" t="s">
        <v>11819</v>
      </c>
      <c r="K2438" s="343" t="s">
        <v>168</v>
      </c>
    </row>
    <row r="2439" spans="1:11" ht="26.25" customHeight="1">
      <c r="A2439" s="343" t="s">
        <v>1813</v>
      </c>
      <c r="B2439" s="344" t="s">
        <v>162</v>
      </c>
      <c r="C2439" s="344">
        <v>7488</v>
      </c>
      <c r="D2439" s="343" t="s">
        <v>4751</v>
      </c>
      <c r="E2439" s="344">
        <v>6594779</v>
      </c>
      <c r="F2439" s="343" t="s">
        <v>11820</v>
      </c>
      <c r="G2439" s="360" t="s">
        <v>11821</v>
      </c>
      <c r="H2439" s="361">
        <v>43339</v>
      </c>
      <c r="I2439" s="343" t="s">
        <v>802</v>
      </c>
      <c r="J2439" s="343" t="s">
        <v>1172</v>
      </c>
      <c r="K2439" s="343" t="s">
        <v>168</v>
      </c>
    </row>
    <row r="2440" spans="1:11" ht="26.25" customHeight="1">
      <c r="A2440" s="343" t="s">
        <v>1813</v>
      </c>
      <c r="B2440" s="344" t="s">
        <v>162</v>
      </c>
      <c r="C2440" s="344">
        <v>6638</v>
      </c>
      <c r="D2440" s="343" t="s">
        <v>7036</v>
      </c>
      <c r="E2440" s="344">
        <v>6730527</v>
      </c>
      <c r="F2440" s="343" t="s">
        <v>11822</v>
      </c>
      <c r="G2440" s="360" t="s">
        <v>11171</v>
      </c>
      <c r="H2440" s="361">
        <v>43340</v>
      </c>
      <c r="I2440" s="343" t="s">
        <v>166</v>
      </c>
      <c r="J2440" s="343" t="s">
        <v>327</v>
      </c>
      <c r="K2440" s="343" t="s">
        <v>168</v>
      </c>
    </row>
    <row r="2441" spans="1:11" ht="26.25" customHeight="1">
      <c r="A2441" s="343" t="s">
        <v>1813</v>
      </c>
      <c r="B2441" s="344" t="s">
        <v>162</v>
      </c>
      <c r="C2441" s="344">
        <v>7474</v>
      </c>
      <c r="D2441" s="343" t="s">
        <v>8553</v>
      </c>
      <c r="E2441" s="344">
        <v>6231202</v>
      </c>
      <c r="F2441" s="343" t="s">
        <v>11823</v>
      </c>
      <c r="G2441" s="360" t="s">
        <v>9380</v>
      </c>
      <c r="H2441" s="361">
        <v>43343</v>
      </c>
      <c r="I2441" s="343" t="s">
        <v>11824</v>
      </c>
      <c r="J2441" s="343" t="s">
        <v>11825</v>
      </c>
      <c r="K2441" s="343" t="s">
        <v>248</v>
      </c>
    </row>
    <row r="2442" spans="1:11" ht="26.25" customHeight="1">
      <c r="A2442" s="343" t="s">
        <v>1813</v>
      </c>
      <c r="B2442" s="344" t="s">
        <v>162</v>
      </c>
      <c r="C2442" s="344">
        <v>6994</v>
      </c>
      <c r="D2442" s="343" t="s">
        <v>4939</v>
      </c>
      <c r="E2442" s="344">
        <v>6224798</v>
      </c>
      <c r="F2442" s="343" t="s">
        <v>11826</v>
      </c>
      <c r="G2442" s="360" t="s">
        <v>11827</v>
      </c>
      <c r="H2442" s="361">
        <v>43343</v>
      </c>
      <c r="I2442" s="343" t="s">
        <v>166</v>
      </c>
      <c r="J2442" s="343" t="s">
        <v>296</v>
      </c>
      <c r="K2442" s="343" t="s">
        <v>168</v>
      </c>
    </row>
    <row r="2443" spans="1:11" ht="26.25" customHeight="1">
      <c r="A2443" s="343" t="s">
        <v>1813</v>
      </c>
      <c r="B2443" s="344" t="s">
        <v>162</v>
      </c>
      <c r="C2443" s="344">
        <v>6994</v>
      </c>
      <c r="D2443" s="343" t="s">
        <v>4939</v>
      </c>
      <c r="E2443" s="344">
        <v>6224798</v>
      </c>
      <c r="F2443" s="343" t="s">
        <v>11826</v>
      </c>
      <c r="G2443" s="360" t="s">
        <v>11827</v>
      </c>
      <c r="H2443" s="361">
        <v>43343</v>
      </c>
      <c r="I2443" s="343" t="s">
        <v>166</v>
      </c>
      <c r="J2443" s="343" t="s">
        <v>296</v>
      </c>
      <c r="K2443" s="343" t="s">
        <v>168</v>
      </c>
    </row>
    <row r="2444" spans="1:11" ht="26.25" customHeight="1">
      <c r="A2444" s="343" t="s">
        <v>1641</v>
      </c>
      <c r="B2444" s="344" t="s">
        <v>162</v>
      </c>
      <c r="C2444" s="344">
        <v>6790</v>
      </c>
      <c r="D2444" s="343" t="s">
        <v>5507</v>
      </c>
      <c r="E2444" s="344">
        <v>5102917</v>
      </c>
      <c r="F2444" s="343" t="s">
        <v>5509</v>
      </c>
      <c r="G2444" s="360" t="s">
        <v>11828</v>
      </c>
      <c r="H2444" s="361">
        <v>42172</v>
      </c>
      <c r="I2444" s="343" t="s">
        <v>5510</v>
      </c>
      <c r="J2444" s="343" t="s">
        <v>11829</v>
      </c>
      <c r="K2444" s="343" t="s">
        <v>168</v>
      </c>
    </row>
    <row r="2445" spans="1:11" ht="26.25" customHeight="1">
      <c r="A2445" s="343" t="s">
        <v>1641</v>
      </c>
      <c r="B2445" s="344" t="s">
        <v>162</v>
      </c>
      <c r="C2445" s="344">
        <v>7644</v>
      </c>
      <c r="D2445" s="343" t="s">
        <v>5210</v>
      </c>
      <c r="E2445" s="344">
        <v>6200542</v>
      </c>
      <c r="F2445" s="343" t="s">
        <v>5219</v>
      </c>
      <c r="G2445" s="360" t="s">
        <v>11830</v>
      </c>
      <c r="H2445" s="361">
        <v>42173</v>
      </c>
      <c r="I2445" s="343" t="s">
        <v>193</v>
      </c>
      <c r="J2445" s="343" t="s">
        <v>377</v>
      </c>
      <c r="K2445" s="343" t="s">
        <v>168</v>
      </c>
    </row>
    <row r="2446" spans="1:11" ht="26.25" customHeight="1">
      <c r="A2446" s="343" t="s">
        <v>1641</v>
      </c>
      <c r="B2446" s="344" t="s">
        <v>162</v>
      </c>
      <c r="C2446" s="344">
        <v>7127</v>
      </c>
      <c r="D2446" s="343" t="s">
        <v>5289</v>
      </c>
      <c r="E2446" s="344">
        <v>5790666</v>
      </c>
      <c r="F2446" s="343" t="s">
        <v>5293</v>
      </c>
      <c r="G2446" s="360" t="s">
        <v>11817</v>
      </c>
      <c r="H2446" s="361">
        <v>42080</v>
      </c>
      <c r="I2446" s="343" t="s">
        <v>261</v>
      </c>
      <c r="J2446" s="343" t="s">
        <v>11831</v>
      </c>
      <c r="K2446" s="343" t="s">
        <v>168</v>
      </c>
    </row>
    <row r="2447" spans="1:11" ht="26.25" customHeight="1">
      <c r="A2447" s="343" t="s">
        <v>1641</v>
      </c>
      <c r="B2447" s="344" t="s">
        <v>162</v>
      </c>
      <c r="C2447" s="344">
        <v>7125</v>
      </c>
      <c r="D2447" s="343" t="s">
        <v>5356</v>
      </c>
      <c r="E2447" s="344">
        <v>5749450</v>
      </c>
      <c r="F2447" s="343" t="s">
        <v>5358</v>
      </c>
      <c r="G2447" s="360" t="s">
        <v>828</v>
      </c>
      <c r="H2447" s="361">
        <v>42326</v>
      </c>
      <c r="I2447" s="343" t="s">
        <v>366</v>
      </c>
      <c r="J2447" s="343" t="s">
        <v>852</v>
      </c>
      <c r="K2447" s="343" t="s">
        <v>168</v>
      </c>
    </row>
    <row r="2448" spans="1:11" ht="26.25" customHeight="1">
      <c r="A2448" s="343" t="s">
        <v>1641</v>
      </c>
      <c r="B2448" s="344" t="s">
        <v>162</v>
      </c>
      <c r="C2448" s="344">
        <v>7123</v>
      </c>
      <c r="D2448" s="343" t="s">
        <v>5345</v>
      </c>
      <c r="E2448" s="344">
        <v>5315176</v>
      </c>
      <c r="F2448" s="343" t="s">
        <v>5348</v>
      </c>
      <c r="G2448" s="360" t="s">
        <v>11832</v>
      </c>
      <c r="H2448" s="361">
        <v>42256</v>
      </c>
      <c r="I2448" s="343" t="s">
        <v>4108</v>
      </c>
      <c r="J2448" s="343" t="s">
        <v>11833</v>
      </c>
      <c r="K2448" s="343" t="s">
        <v>168</v>
      </c>
    </row>
    <row r="2449" spans="1:11" ht="26.25" customHeight="1">
      <c r="A2449" s="343" t="s">
        <v>1641</v>
      </c>
      <c r="B2449" s="344" t="s">
        <v>162</v>
      </c>
      <c r="C2449" s="344">
        <v>7123</v>
      </c>
      <c r="D2449" s="343" t="s">
        <v>5345</v>
      </c>
      <c r="E2449" s="344">
        <v>5821297</v>
      </c>
      <c r="F2449" s="343" t="s">
        <v>5346</v>
      </c>
      <c r="G2449" s="360" t="s">
        <v>11834</v>
      </c>
      <c r="H2449" s="361">
        <v>42251</v>
      </c>
      <c r="I2449" s="343" t="s">
        <v>580</v>
      </c>
      <c r="J2449" s="343" t="s">
        <v>11835</v>
      </c>
      <c r="K2449" s="343" t="s">
        <v>248</v>
      </c>
    </row>
    <row r="2450" spans="1:11" ht="26.25" customHeight="1">
      <c r="A2450" s="343" t="s">
        <v>1641</v>
      </c>
      <c r="B2450" s="344" t="s">
        <v>162</v>
      </c>
      <c r="C2450" s="344">
        <v>6790</v>
      </c>
      <c r="D2450" s="343" t="s">
        <v>5507</v>
      </c>
      <c r="E2450" s="344">
        <v>6228104</v>
      </c>
      <c r="F2450" s="343" t="s">
        <v>5508</v>
      </c>
      <c r="G2450" s="360" t="s">
        <v>11836</v>
      </c>
      <c r="H2450" s="361">
        <v>42244</v>
      </c>
      <c r="I2450" s="343" t="s">
        <v>742</v>
      </c>
      <c r="J2450" s="343" t="s">
        <v>11837</v>
      </c>
      <c r="K2450" s="343" t="s">
        <v>168</v>
      </c>
    </row>
    <row r="2451" spans="1:11" ht="26.25" customHeight="1">
      <c r="A2451" s="343" t="s">
        <v>1641</v>
      </c>
      <c r="B2451" s="344" t="s">
        <v>162</v>
      </c>
      <c r="C2451" s="344">
        <v>9433</v>
      </c>
      <c r="D2451" s="343" t="s">
        <v>5410</v>
      </c>
      <c r="E2451" s="344">
        <v>4207469</v>
      </c>
      <c r="F2451" s="343" t="s">
        <v>5413</v>
      </c>
      <c r="G2451" s="360" t="s">
        <v>11838</v>
      </c>
      <c r="H2451" s="361">
        <v>42223</v>
      </c>
      <c r="I2451" s="343" t="s">
        <v>180</v>
      </c>
      <c r="J2451" s="343" t="s">
        <v>11839</v>
      </c>
      <c r="K2451" s="343" t="s">
        <v>168</v>
      </c>
    </row>
    <row r="2452" spans="1:11" ht="26.25" customHeight="1">
      <c r="A2452" s="343" t="s">
        <v>1641</v>
      </c>
      <c r="B2452" s="344" t="s">
        <v>162</v>
      </c>
      <c r="C2452" s="344">
        <v>7637</v>
      </c>
      <c r="D2452" s="343" t="s">
        <v>5186</v>
      </c>
      <c r="E2452" s="344">
        <v>6173809</v>
      </c>
      <c r="F2452" s="343" t="s">
        <v>5187</v>
      </c>
      <c r="G2452" s="360" t="s">
        <v>11332</v>
      </c>
      <c r="H2452" s="361">
        <v>42193</v>
      </c>
      <c r="I2452" s="343" t="s">
        <v>166</v>
      </c>
      <c r="J2452" s="343" t="s">
        <v>11840</v>
      </c>
      <c r="K2452" s="343" t="s">
        <v>168</v>
      </c>
    </row>
    <row r="2453" spans="1:11" ht="26.25" customHeight="1">
      <c r="A2453" s="343" t="s">
        <v>1641</v>
      </c>
      <c r="B2453" s="344" t="s">
        <v>162</v>
      </c>
      <c r="C2453" s="344">
        <v>8441</v>
      </c>
      <c r="D2453" s="343" t="s">
        <v>5396</v>
      </c>
      <c r="E2453" s="344">
        <v>5008311</v>
      </c>
      <c r="F2453" s="343" t="s">
        <v>5397</v>
      </c>
      <c r="G2453" s="360" t="s">
        <v>9876</v>
      </c>
      <c r="H2453" s="361">
        <v>42320</v>
      </c>
      <c r="I2453" s="343" t="s">
        <v>193</v>
      </c>
      <c r="J2453" s="343" t="s">
        <v>1256</v>
      </c>
      <c r="K2453" s="343" t="s">
        <v>168</v>
      </c>
    </row>
    <row r="2454" spans="1:11" ht="26.25" customHeight="1">
      <c r="A2454" s="343" t="s">
        <v>1641</v>
      </c>
      <c r="B2454" s="344" t="s">
        <v>162</v>
      </c>
      <c r="C2454" s="344">
        <v>11094</v>
      </c>
      <c r="D2454" s="343" t="s">
        <v>5254</v>
      </c>
      <c r="E2454" s="344">
        <v>5110142</v>
      </c>
      <c r="F2454" s="343" t="s">
        <v>5255</v>
      </c>
      <c r="G2454" s="360" t="s">
        <v>11841</v>
      </c>
      <c r="H2454" s="361">
        <v>42300</v>
      </c>
      <c r="I2454" s="343" t="s">
        <v>5256</v>
      </c>
      <c r="J2454" s="343" t="s">
        <v>11842</v>
      </c>
      <c r="K2454" s="343" t="s">
        <v>168</v>
      </c>
    </row>
    <row r="2455" spans="1:11" ht="26.25" customHeight="1">
      <c r="A2455" s="343" t="s">
        <v>1641</v>
      </c>
      <c r="B2455" s="344" t="s">
        <v>162</v>
      </c>
      <c r="C2455" s="344">
        <v>7119</v>
      </c>
      <c r="D2455" s="343" t="s">
        <v>5337</v>
      </c>
      <c r="E2455" s="344">
        <v>4089483</v>
      </c>
      <c r="F2455" s="343" t="s">
        <v>5342</v>
      </c>
      <c r="G2455" s="360" t="s">
        <v>11843</v>
      </c>
      <c r="H2455" s="361">
        <v>42342</v>
      </c>
      <c r="I2455" s="343" t="s">
        <v>5343</v>
      </c>
      <c r="J2455" s="343" t="s">
        <v>11844</v>
      </c>
      <c r="K2455" s="343" t="s">
        <v>173</v>
      </c>
    </row>
    <row r="2456" spans="1:11" ht="26.25" customHeight="1">
      <c r="A2456" s="343" t="s">
        <v>1641</v>
      </c>
      <c r="B2456" s="344" t="s">
        <v>162</v>
      </c>
      <c r="C2456" s="344">
        <v>7140</v>
      </c>
      <c r="D2456" s="343" t="s">
        <v>5276</v>
      </c>
      <c r="E2456" s="344">
        <v>4745314</v>
      </c>
      <c r="F2456" s="343" t="s">
        <v>5278</v>
      </c>
      <c r="G2456" s="360" t="s">
        <v>10952</v>
      </c>
      <c r="H2456" s="361">
        <v>42244</v>
      </c>
      <c r="I2456" s="343" t="s">
        <v>366</v>
      </c>
      <c r="J2456" s="343" t="s">
        <v>11845</v>
      </c>
      <c r="K2456" s="343" t="s">
        <v>168</v>
      </c>
    </row>
    <row r="2457" spans="1:11" ht="26.25" customHeight="1">
      <c r="A2457" s="343" t="s">
        <v>1641</v>
      </c>
      <c r="B2457" s="344" t="s">
        <v>162</v>
      </c>
      <c r="C2457" s="344">
        <v>7139</v>
      </c>
      <c r="D2457" s="343" t="s">
        <v>5305</v>
      </c>
      <c r="E2457" s="344">
        <v>5515268</v>
      </c>
      <c r="F2457" s="343" t="s">
        <v>5307</v>
      </c>
      <c r="G2457" s="360" t="s">
        <v>10799</v>
      </c>
      <c r="H2457" s="361">
        <v>42347</v>
      </c>
      <c r="I2457" s="343" t="s">
        <v>211</v>
      </c>
      <c r="J2457" s="343" t="s">
        <v>836</v>
      </c>
      <c r="K2457" s="343" t="s">
        <v>168</v>
      </c>
    </row>
    <row r="2458" spans="1:11" ht="26.25" customHeight="1">
      <c r="A2458" s="343" t="s">
        <v>1641</v>
      </c>
      <c r="B2458" s="344" t="s">
        <v>162</v>
      </c>
      <c r="C2458" s="344">
        <v>7142</v>
      </c>
      <c r="D2458" s="343" t="s">
        <v>5401</v>
      </c>
      <c r="E2458" s="344">
        <v>4418716</v>
      </c>
      <c r="F2458" s="343" t="s">
        <v>5405</v>
      </c>
      <c r="G2458" s="360" t="s">
        <v>10380</v>
      </c>
      <c r="H2458" s="361">
        <v>42055</v>
      </c>
      <c r="I2458" s="343" t="s">
        <v>4129</v>
      </c>
      <c r="J2458" s="343" t="s">
        <v>11846</v>
      </c>
      <c r="K2458" s="343" t="s">
        <v>248</v>
      </c>
    </row>
    <row r="2459" spans="1:11" ht="26.25" customHeight="1">
      <c r="A2459" s="343" t="s">
        <v>1641</v>
      </c>
      <c r="B2459" s="344" t="s">
        <v>162</v>
      </c>
      <c r="C2459" s="344">
        <v>7142</v>
      </c>
      <c r="D2459" s="343" t="s">
        <v>5401</v>
      </c>
      <c r="E2459" s="344">
        <v>4629153</v>
      </c>
      <c r="F2459" s="343" t="s">
        <v>5407</v>
      </c>
      <c r="G2459" s="360" t="s">
        <v>11847</v>
      </c>
      <c r="H2459" s="361">
        <v>42055</v>
      </c>
      <c r="I2459" s="343" t="s">
        <v>3606</v>
      </c>
      <c r="J2459" s="343" t="s">
        <v>3606</v>
      </c>
      <c r="K2459" s="343" t="s">
        <v>168</v>
      </c>
    </row>
    <row r="2460" spans="1:11" ht="26.25" customHeight="1">
      <c r="A2460" s="343" t="s">
        <v>1641</v>
      </c>
      <c r="B2460" s="344" t="s">
        <v>162</v>
      </c>
      <c r="C2460" s="344">
        <v>7143</v>
      </c>
      <c r="D2460" s="343" t="s">
        <v>5425</v>
      </c>
      <c r="E2460" s="344">
        <v>5037069</v>
      </c>
      <c r="F2460" s="343" t="s">
        <v>5429</v>
      </c>
      <c r="G2460" s="360" t="s">
        <v>11848</v>
      </c>
      <c r="H2460" s="361">
        <v>42158</v>
      </c>
      <c r="I2460" s="343" t="s">
        <v>198</v>
      </c>
      <c r="J2460" s="343" t="s">
        <v>198</v>
      </c>
      <c r="K2460" s="343" t="s">
        <v>168</v>
      </c>
    </row>
    <row r="2461" spans="1:11" ht="26.25" customHeight="1">
      <c r="A2461" s="343" t="s">
        <v>1641</v>
      </c>
      <c r="B2461" s="344" t="s">
        <v>162</v>
      </c>
      <c r="C2461" s="344">
        <v>7142</v>
      </c>
      <c r="D2461" s="343" t="s">
        <v>5401</v>
      </c>
      <c r="E2461" s="344">
        <v>6008029</v>
      </c>
      <c r="F2461" s="343" t="s">
        <v>5406</v>
      </c>
      <c r="G2461" s="360" t="s">
        <v>11849</v>
      </c>
      <c r="H2461" s="361">
        <v>42054</v>
      </c>
      <c r="I2461" s="343" t="s">
        <v>193</v>
      </c>
      <c r="J2461" s="343" t="s">
        <v>228</v>
      </c>
      <c r="K2461" s="343" t="s">
        <v>168</v>
      </c>
    </row>
    <row r="2462" spans="1:11" ht="26.25" customHeight="1">
      <c r="A2462" s="343" t="s">
        <v>1641</v>
      </c>
      <c r="B2462" s="344" t="s">
        <v>162</v>
      </c>
      <c r="C2462" s="344">
        <v>12075</v>
      </c>
      <c r="D2462" s="343" t="s">
        <v>5324</v>
      </c>
      <c r="E2462" s="344">
        <v>6139300</v>
      </c>
      <c r="F2462" s="343" t="s">
        <v>5325</v>
      </c>
      <c r="G2462" s="360" t="s">
        <v>11850</v>
      </c>
      <c r="H2462" s="361">
        <v>42167</v>
      </c>
      <c r="I2462" s="343" t="s">
        <v>709</v>
      </c>
      <c r="J2462" s="343" t="s">
        <v>9821</v>
      </c>
      <c r="K2462" s="343" t="s">
        <v>168</v>
      </c>
    </row>
    <row r="2463" spans="1:11" ht="26.25" customHeight="1">
      <c r="A2463" s="343" t="s">
        <v>1641</v>
      </c>
      <c r="B2463" s="344" t="s">
        <v>162</v>
      </c>
      <c r="C2463" s="344">
        <v>7126</v>
      </c>
      <c r="D2463" s="343" t="s">
        <v>5316</v>
      </c>
      <c r="E2463" s="344">
        <v>4454086</v>
      </c>
      <c r="F2463" s="343" t="s">
        <v>5319</v>
      </c>
      <c r="G2463" s="360" t="s">
        <v>11851</v>
      </c>
      <c r="H2463" s="361">
        <v>42163</v>
      </c>
      <c r="I2463" s="343" t="s">
        <v>211</v>
      </c>
      <c r="J2463" s="343" t="s">
        <v>11852</v>
      </c>
      <c r="K2463" s="343" t="s">
        <v>168</v>
      </c>
    </row>
    <row r="2464" spans="1:11" ht="26.25" customHeight="1">
      <c r="A2464" s="343" t="s">
        <v>1641</v>
      </c>
      <c r="B2464" s="344" t="s">
        <v>162</v>
      </c>
      <c r="C2464" s="344">
        <v>6776</v>
      </c>
      <c r="D2464" s="343" t="s">
        <v>5431</v>
      </c>
      <c r="E2464" s="344">
        <v>4887873</v>
      </c>
      <c r="F2464" s="343" t="s">
        <v>5433</v>
      </c>
      <c r="G2464" s="360" t="s">
        <v>11853</v>
      </c>
      <c r="H2464" s="361">
        <v>42153</v>
      </c>
      <c r="I2464" s="343" t="s">
        <v>193</v>
      </c>
      <c r="J2464" s="343" t="s">
        <v>377</v>
      </c>
      <c r="K2464" s="343" t="s">
        <v>168</v>
      </c>
    </row>
    <row r="2465" spans="1:11" ht="26.25" customHeight="1">
      <c r="A2465" s="343" t="s">
        <v>1641</v>
      </c>
      <c r="B2465" s="344" t="s">
        <v>162</v>
      </c>
      <c r="C2465" s="344">
        <v>7139</v>
      </c>
      <c r="D2465" s="343" t="s">
        <v>5305</v>
      </c>
      <c r="E2465" s="344">
        <v>4295138</v>
      </c>
      <c r="F2465" s="343" t="s">
        <v>5308</v>
      </c>
      <c r="G2465" s="360" t="s">
        <v>11854</v>
      </c>
      <c r="H2465" s="361">
        <v>42153</v>
      </c>
      <c r="I2465" s="343" t="s">
        <v>166</v>
      </c>
      <c r="J2465" s="343" t="s">
        <v>11840</v>
      </c>
      <c r="K2465" s="343" t="s">
        <v>168</v>
      </c>
    </row>
    <row r="2466" spans="1:11" ht="26.25" customHeight="1">
      <c r="A2466" s="343" t="s">
        <v>1641</v>
      </c>
      <c r="B2466" s="344" t="s">
        <v>162</v>
      </c>
      <c r="C2466" s="344">
        <v>7132</v>
      </c>
      <c r="D2466" s="343" t="s">
        <v>5310</v>
      </c>
      <c r="E2466" s="344">
        <v>4895900</v>
      </c>
      <c r="F2466" s="343" t="s">
        <v>5312</v>
      </c>
      <c r="G2466" s="360" t="s">
        <v>11855</v>
      </c>
      <c r="H2466" s="361">
        <v>42151</v>
      </c>
      <c r="I2466" s="343" t="s">
        <v>193</v>
      </c>
      <c r="J2466" s="343" t="s">
        <v>377</v>
      </c>
      <c r="K2466" s="343" t="s">
        <v>168</v>
      </c>
    </row>
    <row r="2467" spans="1:11" ht="26.25" customHeight="1">
      <c r="A2467" s="343" t="s">
        <v>1641</v>
      </c>
      <c r="B2467" s="344" t="s">
        <v>162</v>
      </c>
      <c r="C2467" s="344">
        <v>7118</v>
      </c>
      <c r="D2467" s="343" t="s">
        <v>5381</v>
      </c>
      <c r="E2467" s="344">
        <v>4831830</v>
      </c>
      <c r="F2467" s="343" t="s">
        <v>5384</v>
      </c>
      <c r="G2467" s="360" t="s">
        <v>11856</v>
      </c>
      <c r="H2467" s="361">
        <v>42151</v>
      </c>
      <c r="I2467" s="343" t="s">
        <v>166</v>
      </c>
      <c r="J2467" s="343" t="s">
        <v>184</v>
      </c>
      <c r="K2467" s="343" t="s">
        <v>168</v>
      </c>
    </row>
    <row r="2468" spans="1:11" ht="26.25" customHeight="1">
      <c r="A2468" s="343" t="s">
        <v>1641</v>
      </c>
      <c r="B2468" s="344" t="s">
        <v>162</v>
      </c>
      <c r="C2468" s="344">
        <v>7139</v>
      </c>
      <c r="D2468" s="343" t="s">
        <v>5305</v>
      </c>
      <c r="E2468" s="344">
        <v>4295162</v>
      </c>
      <c r="F2468" s="343" t="s">
        <v>5309</v>
      </c>
      <c r="G2468" s="360" t="s">
        <v>11857</v>
      </c>
      <c r="H2468" s="361">
        <v>42151</v>
      </c>
      <c r="I2468" s="343" t="s">
        <v>166</v>
      </c>
      <c r="J2468" s="343" t="s">
        <v>11840</v>
      </c>
      <c r="K2468" s="343" t="s">
        <v>168</v>
      </c>
    </row>
    <row r="2469" spans="1:11" ht="26.25" customHeight="1">
      <c r="A2469" s="343" t="s">
        <v>1641</v>
      </c>
      <c r="B2469" s="344" t="s">
        <v>162</v>
      </c>
      <c r="C2469" s="344">
        <v>7118</v>
      </c>
      <c r="D2469" s="343" t="s">
        <v>5381</v>
      </c>
      <c r="E2469" s="344">
        <v>5007819</v>
      </c>
      <c r="F2469" s="343" t="s">
        <v>5388</v>
      </c>
      <c r="G2469" s="360" t="s">
        <v>11858</v>
      </c>
      <c r="H2469" s="361">
        <v>42149</v>
      </c>
      <c r="I2469" s="343" t="s">
        <v>166</v>
      </c>
      <c r="J2469" s="343" t="s">
        <v>478</v>
      </c>
      <c r="K2469" s="343" t="s">
        <v>168</v>
      </c>
    </row>
    <row r="2470" spans="1:11" ht="26.25" customHeight="1">
      <c r="A2470" s="343" t="s">
        <v>1641</v>
      </c>
      <c r="B2470" s="344" t="s">
        <v>162</v>
      </c>
      <c r="C2470" s="344">
        <v>7123</v>
      </c>
      <c r="D2470" s="343" t="s">
        <v>5345</v>
      </c>
      <c r="E2470" s="344">
        <v>4696323</v>
      </c>
      <c r="F2470" s="343" t="s">
        <v>5347</v>
      </c>
      <c r="G2470" s="360" t="s">
        <v>11859</v>
      </c>
      <c r="H2470" s="361">
        <v>42074</v>
      </c>
      <c r="I2470" s="343" t="s">
        <v>180</v>
      </c>
      <c r="J2470" s="343" t="s">
        <v>11860</v>
      </c>
      <c r="K2470" s="343" t="s">
        <v>168</v>
      </c>
    </row>
    <row r="2471" spans="1:11" ht="26.25" customHeight="1">
      <c r="A2471" s="343" t="s">
        <v>1641</v>
      </c>
      <c r="B2471" s="344" t="s">
        <v>162</v>
      </c>
      <c r="C2471" s="344">
        <v>7132</v>
      </c>
      <c r="D2471" s="343" t="s">
        <v>5310</v>
      </c>
      <c r="E2471" s="344">
        <v>4508738</v>
      </c>
      <c r="F2471" s="343" t="s">
        <v>5313</v>
      </c>
      <c r="G2471" s="360" t="s">
        <v>11861</v>
      </c>
      <c r="H2471" s="361">
        <v>42137</v>
      </c>
      <c r="I2471" s="343" t="s">
        <v>366</v>
      </c>
      <c r="J2471" s="343" t="s">
        <v>9849</v>
      </c>
      <c r="K2471" s="343" t="s">
        <v>168</v>
      </c>
    </row>
    <row r="2472" spans="1:11" ht="26.25" customHeight="1">
      <c r="A2472" s="343" t="s">
        <v>1641</v>
      </c>
      <c r="B2472" s="344" t="s">
        <v>162</v>
      </c>
      <c r="C2472" s="344">
        <v>7636</v>
      </c>
      <c r="D2472" s="343" t="s">
        <v>5204</v>
      </c>
      <c r="E2472" s="344">
        <v>6251358</v>
      </c>
      <c r="F2472" s="343" t="s">
        <v>5208</v>
      </c>
      <c r="G2472" s="360" t="s">
        <v>11862</v>
      </c>
      <c r="H2472" s="361">
        <v>42138</v>
      </c>
      <c r="I2472" s="343" t="s">
        <v>305</v>
      </c>
      <c r="J2472" s="343" t="s">
        <v>11863</v>
      </c>
      <c r="K2472" s="343" t="s">
        <v>168</v>
      </c>
    </row>
    <row r="2473" spans="1:11" ht="26.25" customHeight="1">
      <c r="A2473" s="343" t="s">
        <v>1641</v>
      </c>
      <c r="B2473" s="344" t="s">
        <v>162</v>
      </c>
      <c r="C2473" s="344">
        <v>7136</v>
      </c>
      <c r="D2473" s="343" t="s">
        <v>5328</v>
      </c>
      <c r="E2473" s="344">
        <v>4913357</v>
      </c>
      <c r="F2473" s="343" t="s">
        <v>5331</v>
      </c>
      <c r="G2473" s="360" t="s">
        <v>11864</v>
      </c>
      <c r="H2473" s="361">
        <v>42136</v>
      </c>
      <c r="I2473" s="343" t="s">
        <v>547</v>
      </c>
      <c r="J2473" s="343" t="s">
        <v>11427</v>
      </c>
      <c r="K2473" s="343" t="s">
        <v>248</v>
      </c>
    </row>
    <row r="2474" spans="1:11" ht="26.25" customHeight="1">
      <c r="A2474" s="343" t="s">
        <v>1641</v>
      </c>
      <c r="B2474" s="344" t="s">
        <v>162</v>
      </c>
      <c r="C2474" s="344">
        <v>6777</v>
      </c>
      <c r="D2474" s="343" t="s">
        <v>5439</v>
      </c>
      <c r="E2474" s="344">
        <v>5110356</v>
      </c>
      <c r="F2474" s="343" t="s">
        <v>5446</v>
      </c>
      <c r="G2474" s="360" t="s">
        <v>1067</v>
      </c>
      <c r="H2474" s="361">
        <v>42101</v>
      </c>
      <c r="I2474" s="343" t="s">
        <v>166</v>
      </c>
      <c r="J2474" s="343" t="s">
        <v>11840</v>
      </c>
      <c r="K2474" s="343" t="s">
        <v>168</v>
      </c>
    </row>
    <row r="2475" spans="1:11" ht="26.25" customHeight="1">
      <c r="A2475" s="343" t="s">
        <v>1641</v>
      </c>
      <c r="B2475" s="344" t="s">
        <v>162</v>
      </c>
      <c r="C2475" s="344">
        <v>7604</v>
      </c>
      <c r="D2475" s="343" t="s">
        <v>5177</v>
      </c>
      <c r="E2475" s="344">
        <v>6258280</v>
      </c>
      <c r="F2475" s="343" t="s">
        <v>5178</v>
      </c>
      <c r="G2475" s="360" t="s">
        <v>11865</v>
      </c>
      <c r="H2475" s="361">
        <v>42430</v>
      </c>
      <c r="I2475" s="343" t="s">
        <v>301</v>
      </c>
      <c r="J2475" s="343" t="s">
        <v>302</v>
      </c>
      <c r="K2475" s="343" t="s">
        <v>168</v>
      </c>
    </row>
    <row r="2476" spans="1:11" ht="26.25" customHeight="1">
      <c r="A2476" s="343" t="s">
        <v>1641</v>
      </c>
      <c r="B2476" s="344" t="s">
        <v>162</v>
      </c>
      <c r="C2476" s="344">
        <v>7144</v>
      </c>
      <c r="D2476" s="343" t="s">
        <v>5368</v>
      </c>
      <c r="E2476" s="344">
        <v>6514147</v>
      </c>
      <c r="F2476" s="343" t="s">
        <v>5372</v>
      </c>
      <c r="G2476" s="360" t="s">
        <v>11022</v>
      </c>
      <c r="H2476" s="361">
        <v>42430</v>
      </c>
      <c r="I2476" s="343" t="s">
        <v>3606</v>
      </c>
      <c r="J2476" s="343" t="s">
        <v>3606</v>
      </c>
      <c r="K2476" s="343" t="s">
        <v>168</v>
      </c>
    </row>
    <row r="2477" spans="1:11" ht="26.25" customHeight="1">
      <c r="A2477" s="343" t="s">
        <v>1641</v>
      </c>
      <c r="B2477" s="344" t="s">
        <v>162</v>
      </c>
      <c r="C2477" s="344">
        <v>7636</v>
      </c>
      <c r="D2477" s="343" t="s">
        <v>5204</v>
      </c>
      <c r="E2477" s="344">
        <v>6160954</v>
      </c>
      <c r="F2477" s="343" t="s">
        <v>5205</v>
      </c>
      <c r="G2477" s="360" t="s">
        <v>11160</v>
      </c>
      <c r="H2477" s="361">
        <v>42430</v>
      </c>
      <c r="I2477" s="343" t="s">
        <v>193</v>
      </c>
      <c r="J2477" s="343" t="s">
        <v>11866</v>
      </c>
      <c r="K2477" s="343" t="s">
        <v>168</v>
      </c>
    </row>
    <row r="2478" spans="1:11" ht="26.25" customHeight="1">
      <c r="A2478" s="343" t="s">
        <v>1641</v>
      </c>
      <c r="B2478" s="344" t="s">
        <v>162</v>
      </c>
      <c r="C2478" s="344">
        <v>7137</v>
      </c>
      <c r="D2478" s="343" t="s">
        <v>5298</v>
      </c>
      <c r="E2478" s="344">
        <v>4950581</v>
      </c>
      <c r="F2478" s="343" t="s">
        <v>5299</v>
      </c>
      <c r="G2478" s="360" t="s">
        <v>11867</v>
      </c>
      <c r="H2478" s="361">
        <v>42433</v>
      </c>
      <c r="I2478" s="343" t="s">
        <v>211</v>
      </c>
      <c r="J2478" s="343" t="s">
        <v>11868</v>
      </c>
      <c r="K2478" s="343" t="s">
        <v>168</v>
      </c>
    </row>
    <row r="2479" spans="1:11" ht="26.25" customHeight="1">
      <c r="A2479" s="343" t="s">
        <v>1641</v>
      </c>
      <c r="B2479" s="344" t="s">
        <v>162</v>
      </c>
      <c r="C2479" s="344">
        <v>9719</v>
      </c>
      <c r="D2479" s="343" t="s">
        <v>5192</v>
      </c>
      <c r="E2479" s="344">
        <v>6361073</v>
      </c>
      <c r="F2479" s="343" t="s">
        <v>5197</v>
      </c>
      <c r="G2479" s="360" t="s">
        <v>393</v>
      </c>
      <c r="H2479" s="361">
        <v>42438</v>
      </c>
      <c r="I2479" s="343" t="s">
        <v>166</v>
      </c>
      <c r="J2479" s="343" t="s">
        <v>11869</v>
      </c>
      <c r="K2479" s="343" t="s">
        <v>168</v>
      </c>
    </row>
    <row r="2480" spans="1:11" ht="26.25" customHeight="1">
      <c r="A2480" s="343" t="s">
        <v>1641</v>
      </c>
      <c r="B2480" s="344" t="s">
        <v>162</v>
      </c>
      <c r="C2480" s="344">
        <v>9719</v>
      </c>
      <c r="D2480" s="343" t="s">
        <v>5192</v>
      </c>
      <c r="E2480" s="344">
        <v>6377157</v>
      </c>
      <c r="F2480" s="343" t="s">
        <v>5196</v>
      </c>
      <c r="G2480" s="360" t="s">
        <v>11870</v>
      </c>
      <c r="H2480" s="361">
        <v>42439</v>
      </c>
      <c r="I2480" s="343" t="s">
        <v>193</v>
      </c>
      <c r="J2480" s="343" t="s">
        <v>377</v>
      </c>
      <c r="K2480" s="343" t="s">
        <v>168</v>
      </c>
    </row>
    <row r="2481" spans="1:11" ht="26.25" customHeight="1">
      <c r="A2481" s="343" t="s">
        <v>1641</v>
      </c>
      <c r="B2481" s="344" t="s">
        <v>162</v>
      </c>
      <c r="C2481" s="344">
        <v>7140</v>
      </c>
      <c r="D2481" s="343" t="s">
        <v>5276</v>
      </c>
      <c r="E2481" s="344">
        <v>5932874</v>
      </c>
      <c r="F2481" s="343" t="s">
        <v>5279</v>
      </c>
      <c r="G2481" s="360" t="s">
        <v>11871</v>
      </c>
      <c r="H2481" s="361">
        <v>42439</v>
      </c>
      <c r="I2481" s="343" t="s">
        <v>366</v>
      </c>
      <c r="J2481" s="343" t="s">
        <v>1095</v>
      </c>
      <c r="K2481" s="343" t="s">
        <v>168</v>
      </c>
    </row>
    <row r="2482" spans="1:11" ht="26.25" customHeight="1">
      <c r="A2482" s="343" t="s">
        <v>1641</v>
      </c>
      <c r="B2482" s="344" t="s">
        <v>162</v>
      </c>
      <c r="C2482" s="344">
        <v>7137</v>
      </c>
      <c r="D2482" s="343" t="s">
        <v>5298</v>
      </c>
      <c r="E2482" s="344">
        <v>5126043</v>
      </c>
      <c r="F2482" s="343" t="s">
        <v>5300</v>
      </c>
      <c r="G2482" s="360" t="s">
        <v>11872</v>
      </c>
      <c r="H2482" s="361">
        <v>42444</v>
      </c>
      <c r="I2482" s="343" t="s">
        <v>198</v>
      </c>
      <c r="J2482" s="343" t="s">
        <v>1327</v>
      </c>
      <c r="K2482" s="343" t="s">
        <v>168</v>
      </c>
    </row>
    <row r="2483" spans="1:11" ht="26.25" customHeight="1">
      <c r="A2483" s="343" t="s">
        <v>1641</v>
      </c>
      <c r="B2483" s="344" t="s">
        <v>162</v>
      </c>
      <c r="C2483" s="344">
        <v>7644</v>
      </c>
      <c r="D2483" s="343" t="s">
        <v>5210</v>
      </c>
      <c r="E2483" s="344">
        <v>6199713</v>
      </c>
      <c r="F2483" s="343" t="s">
        <v>5211</v>
      </c>
      <c r="G2483" s="360" t="s">
        <v>9626</v>
      </c>
      <c r="H2483" s="361">
        <v>42444</v>
      </c>
      <c r="I2483" s="343" t="s">
        <v>193</v>
      </c>
      <c r="J2483" s="343" t="s">
        <v>11873</v>
      </c>
      <c r="K2483" s="343" t="s">
        <v>168</v>
      </c>
    </row>
    <row r="2484" spans="1:11" ht="26.25" customHeight="1">
      <c r="A2484" s="343" t="s">
        <v>1641</v>
      </c>
      <c r="B2484" s="344" t="s">
        <v>162</v>
      </c>
      <c r="C2484" s="344">
        <v>11096</v>
      </c>
      <c r="D2484" s="343" t="s">
        <v>5248</v>
      </c>
      <c r="E2484" s="344">
        <v>6193535</v>
      </c>
      <c r="F2484" s="343" t="s">
        <v>5249</v>
      </c>
      <c r="G2484" s="360" t="s">
        <v>11781</v>
      </c>
      <c r="H2484" s="361">
        <v>42444</v>
      </c>
      <c r="I2484" s="343" t="s">
        <v>193</v>
      </c>
      <c r="J2484" s="343" t="s">
        <v>536</v>
      </c>
      <c r="K2484" s="343" t="s">
        <v>168</v>
      </c>
    </row>
    <row r="2485" spans="1:11" ht="26.25" customHeight="1">
      <c r="A2485" s="343" t="s">
        <v>1641</v>
      </c>
      <c r="B2485" s="344" t="s">
        <v>162</v>
      </c>
      <c r="C2485" s="344">
        <v>7132</v>
      </c>
      <c r="D2485" s="343" t="s">
        <v>5310</v>
      </c>
      <c r="E2485" s="344">
        <v>5611751</v>
      </c>
      <c r="F2485" s="343" t="s">
        <v>5314</v>
      </c>
      <c r="G2485" s="360" t="s">
        <v>11874</v>
      </c>
      <c r="H2485" s="361">
        <v>42447</v>
      </c>
      <c r="I2485" s="343" t="s">
        <v>5315</v>
      </c>
      <c r="J2485" s="343" t="s">
        <v>11875</v>
      </c>
      <c r="K2485" s="343" t="s">
        <v>168</v>
      </c>
    </row>
    <row r="2486" spans="1:11" ht="26.25" customHeight="1">
      <c r="A2486" s="343" t="s">
        <v>1641</v>
      </c>
      <c r="B2486" s="344" t="s">
        <v>162</v>
      </c>
      <c r="C2486" s="344">
        <v>7138</v>
      </c>
      <c r="D2486" s="343" t="s">
        <v>5281</v>
      </c>
      <c r="E2486" s="344">
        <v>6275423</v>
      </c>
      <c r="F2486" s="343" t="s">
        <v>5284</v>
      </c>
      <c r="G2486" s="360" t="s">
        <v>11876</v>
      </c>
      <c r="H2486" s="361">
        <v>42447</v>
      </c>
      <c r="I2486" s="343" t="s">
        <v>301</v>
      </c>
      <c r="J2486" s="343" t="s">
        <v>302</v>
      </c>
      <c r="K2486" s="343" t="s">
        <v>168</v>
      </c>
    </row>
    <row r="2487" spans="1:11" ht="26.25" customHeight="1">
      <c r="A2487" s="343" t="s">
        <v>1641</v>
      </c>
      <c r="B2487" s="344" t="s">
        <v>162</v>
      </c>
      <c r="C2487" s="344">
        <v>7122</v>
      </c>
      <c r="D2487" s="343" t="s">
        <v>5303</v>
      </c>
      <c r="E2487" s="344">
        <v>5807867</v>
      </c>
      <c r="F2487" s="343" t="s">
        <v>5304</v>
      </c>
      <c r="G2487" s="360" t="s">
        <v>11877</v>
      </c>
      <c r="H2487" s="361">
        <v>42446</v>
      </c>
      <c r="I2487" s="343" t="s">
        <v>952</v>
      </c>
      <c r="J2487" s="343" t="s">
        <v>11878</v>
      </c>
      <c r="K2487" s="343" t="s">
        <v>168</v>
      </c>
    </row>
    <row r="2488" spans="1:11" ht="26.25" customHeight="1">
      <c r="A2488" s="343" t="s">
        <v>1641</v>
      </c>
      <c r="B2488" s="344" t="s">
        <v>162</v>
      </c>
      <c r="C2488" s="344">
        <v>6769</v>
      </c>
      <c r="D2488" s="343" t="s">
        <v>5492</v>
      </c>
      <c r="E2488" s="344">
        <v>5620168</v>
      </c>
      <c r="F2488" s="343" t="s">
        <v>5496</v>
      </c>
      <c r="G2488" s="360" t="s">
        <v>1145</v>
      </c>
      <c r="H2488" s="361">
        <v>42446</v>
      </c>
      <c r="I2488" s="343" t="s">
        <v>465</v>
      </c>
      <c r="J2488" s="343" t="s">
        <v>553</v>
      </c>
      <c r="K2488" s="343" t="s">
        <v>168</v>
      </c>
    </row>
    <row r="2489" spans="1:11" ht="26.25" customHeight="1">
      <c r="A2489" s="343" t="s">
        <v>1641</v>
      </c>
      <c r="B2489" s="344" t="s">
        <v>162</v>
      </c>
      <c r="C2489" s="344">
        <v>7118</v>
      </c>
      <c r="D2489" s="343" t="s">
        <v>5381</v>
      </c>
      <c r="E2489" s="344">
        <v>5586598</v>
      </c>
      <c r="F2489" s="343" t="s">
        <v>5390</v>
      </c>
      <c r="G2489" s="360" t="s">
        <v>11233</v>
      </c>
      <c r="H2489" s="361">
        <v>42452</v>
      </c>
      <c r="I2489" s="343" t="s">
        <v>261</v>
      </c>
      <c r="J2489" s="343" t="s">
        <v>262</v>
      </c>
      <c r="K2489" s="343" t="s">
        <v>168</v>
      </c>
    </row>
    <row r="2490" spans="1:11" ht="26.25" customHeight="1">
      <c r="A2490" s="343" t="s">
        <v>1641</v>
      </c>
      <c r="B2490" s="344" t="s">
        <v>162</v>
      </c>
      <c r="C2490" s="344">
        <v>6777</v>
      </c>
      <c r="D2490" s="343" t="s">
        <v>5439</v>
      </c>
      <c r="E2490" s="344">
        <v>6403542</v>
      </c>
      <c r="F2490" s="343" t="s">
        <v>5444</v>
      </c>
      <c r="G2490" s="360" t="s">
        <v>11879</v>
      </c>
      <c r="H2490" s="361">
        <v>42464</v>
      </c>
      <c r="I2490" s="343" t="s">
        <v>193</v>
      </c>
      <c r="J2490" s="343" t="s">
        <v>536</v>
      </c>
      <c r="K2490" s="343" t="s">
        <v>168</v>
      </c>
    </row>
    <row r="2491" spans="1:11" ht="26.25" customHeight="1">
      <c r="A2491" s="343" t="s">
        <v>1641</v>
      </c>
      <c r="B2491" s="344" t="s">
        <v>162</v>
      </c>
      <c r="C2491" s="344">
        <v>7639</v>
      </c>
      <c r="D2491" s="343" t="s">
        <v>5189</v>
      </c>
      <c r="E2491" s="344">
        <v>6193336</v>
      </c>
      <c r="F2491" s="343" t="s">
        <v>5190</v>
      </c>
      <c r="G2491" s="360" t="s">
        <v>11880</v>
      </c>
      <c r="H2491" s="361">
        <v>42464</v>
      </c>
      <c r="I2491" s="343" t="s">
        <v>166</v>
      </c>
      <c r="J2491" s="343" t="s">
        <v>344</v>
      </c>
      <c r="K2491" s="343" t="s">
        <v>168</v>
      </c>
    </row>
    <row r="2492" spans="1:11" ht="26.25" customHeight="1">
      <c r="A2492" s="343" t="s">
        <v>1641</v>
      </c>
      <c r="B2492" s="344" t="s">
        <v>162</v>
      </c>
      <c r="C2492" s="344">
        <v>7118</v>
      </c>
      <c r="D2492" s="343" t="s">
        <v>5381</v>
      </c>
      <c r="E2492" s="344">
        <v>5092157</v>
      </c>
      <c r="F2492" s="343" t="s">
        <v>5385</v>
      </c>
      <c r="G2492" s="360" t="s">
        <v>864</v>
      </c>
      <c r="H2492" s="361">
        <v>42464</v>
      </c>
      <c r="I2492" s="343" t="s">
        <v>166</v>
      </c>
      <c r="J2492" s="343" t="s">
        <v>243</v>
      </c>
      <c r="K2492" s="343" t="s">
        <v>168</v>
      </c>
    </row>
    <row r="2493" spans="1:11" ht="26.25" customHeight="1">
      <c r="A2493" s="343" t="s">
        <v>1641</v>
      </c>
      <c r="B2493" s="344" t="s">
        <v>162</v>
      </c>
      <c r="C2493" s="344">
        <v>7592</v>
      </c>
      <c r="D2493" s="343" t="s">
        <v>5230</v>
      </c>
      <c r="E2493" s="344">
        <v>6346819</v>
      </c>
      <c r="F2493" s="343" t="s">
        <v>5232</v>
      </c>
      <c r="G2493" s="360" t="s">
        <v>11367</v>
      </c>
      <c r="H2493" s="361">
        <v>42466</v>
      </c>
      <c r="I2493" s="343" t="s">
        <v>166</v>
      </c>
      <c r="J2493" s="343" t="s">
        <v>243</v>
      </c>
      <c r="K2493" s="343" t="s">
        <v>168</v>
      </c>
    </row>
    <row r="2494" spans="1:11" ht="26.25" customHeight="1">
      <c r="A2494" s="343" t="s">
        <v>1641</v>
      </c>
      <c r="B2494" s="344" t="s">
        <v>162</v>
      </c>
      <c r="C2494" s="344">
        <v>7125</v>
      </c>
      <c r="D2494" s="343" t="s">
        <v>5356</v>
      </c>
      <c r="E2494" s="344">
        <v>5204413</v>
      </c>
      <c r="F2494" s="343" t="s">
        <v>5360</v>
      </c>
      <c r="G2494" s="360" t="s">
        <v>11881</v>
      </c>
      <c r="H2494" s="361">
        <v>42473</v>
      </c>
      <c r="I2494" s="343" t="s">
        <v>5361</v>
      </c>
      <c r="J2494" s="343" t="s">
        <v>11882</v>
      </c>
      <c r="K2494" s="343" t="s">
        <v>173</v>
      </c>
    </row>
    <row r="2495" spans="1:11" ht="26.25" customHeight="1">
      <c r="A2495" s="343" t="s">
        <v>1641</v>
      </c>
      <c r="B2495" s="344" t="s">
        <v>162</v>
      </c>
      <c r="C2495" s="344">
        <v>7605</v>
      </c>
      <c r="D2495" s="343" t="s">
        <v>5174</v>
      </c>
      <c r="E2495" s="344">
        <v>6355126</v>
      </c>
      <c r="F2495" s="343" t="s">
        <v>5175</v>
      </c>
      <c r="G2495" s="360" t="s">
        <v>11883</v>
      </c>
      <c r="H2495" s="361">
        <v>42473</v>
      </c>
      <c r="I2495" s="343" t="s">
        <v>423</v>
      </c>
      <c r="J2495" s="343" t="s">
        <v>11884</v>
      </c>
      <c r="K2495" s="343" t="s">
        <v>168</v>
      </c>
    </row>
    <row r="2496" spans="1:11" ht="26.25" customHeight="1">
      <c r="A2496" s="343" t="s">
        <v>1641</v>
      </c>
      <c r="B2496" s="344" t="s">
        <v>162</v>
      </c>
      <c r="C2496" s="344">
        <v>7138</v>
      </c>
      <c r="D2496" s="343" t="s">
        <v>5281</v>
      </c>
      <c r="E2496" s="344">
        <v>4429651</v>
      </c>
      <c r="F2496" s="343" t="s">
        <v>5285</v>
      </c>
      <c r="G2496" s="360" t="s">
        <v>11885</v>
      </c>
      <c r="H2496" s="361">
        <v>42473</v>
      </c>
      <c r="I2496" s="343" t="s">
        <v>211</v>
      </c>
      <c r="J2496" s="343" t="s">
        <v>948</v>
      </c>
      <c r="K2496" s="343" t="s">
        <v>168</v>
      </c>
    </row>
    <row r="2497" spans="1:11" ht="26.25" customHeight="1">
      <c r="A2497" s="343" t="s">
        <v>1641</v>
      </c>
      <c r="B2497" s="344" t="s">
        <v>162</v>
      </c>
      <c r="C2497" s="344">
        <v>6769</v>
      </c>
      <c r="D2497" s="343" t="s">
        <v>5492</v>
      </c>
      <c r="E2497" s="344">
        <v>5220565</v>
      </c>
      <c r="F2497" s="343" t="s">
        <v>5493</v>
      </c>
      <c r="G2497" s="360" t="s">
        <v>696</v>
      </c>
      <c r="H2497" s="361">
        <v>42473</v>
      </c>
      <c r="I2497" s="343" t="s">
        <v>193</v>
      </c>
      <c r="J2497" s="343" t="s">
        <v>11886</v>
      </c>
      <c r="K2497" s="343" t="s">
        <v>168</v>
      </c>
    </row>
    <row r="2498" spans="1:11" ht="26.25" customHeight="1">
      <c r="A2498" s="343" t="s">
        <v>1641</v>
      </c>
      <c r="B2498" s="344" t="s">
        <v>162</v>
      </c>
      <c r="C2498" s="344">
        <v>7639</v>
      </c>
      <c r="D2498" s="343" t="s">
        <v>5189</v>
      </c>
      <c r="E2498" s="344">
        <v>6319425</v>
      </c>
      <c r="F2498" s="343" t="s">
        <v>5191</v>
      </c>
      <c r="G2498" s="360" t="s">
        <v>447</v>
      </c>
      <c r="H2498" s="361">
        <v>42472</v>
      </c>
      <c r="I2498" s="343" t="s">
        <v>354</v>
      </c>
      <c r="J2498" s="343" t="s">
        <v>11887</v>
      </c>
      <c r="K2498" s="343" t="s">
        <v>168</v>
      </c>
    </row>
    <row r="2499" spans="1:11" ht="26.25" customHeight="1">
      <c r="A2499" s="343" t="s">
        <v>1641</v>
      </c>
      <c r="B2499" s="344" t="s">
        <v>162</v>
      </c>
      <c r="C2499" s="344">
        <v>7121</v>
      </c>
      <c r="D2499" s="343" t="s">
        <v>5365</v>
      </c>
      <c r="E2499" s="344">
        <v>5148742</v>
      </c>
      <c r="F2499" s="343" t="s">
        <v>5366</v>
      </c>
      <c r="G2499" s="360" t="s">
        <v>11888</v>
      </c>
      <c r="H2499" s="361">
        <v>42466</v>
      </c>
      <c r="I2499" s="343" t="s">
        <v>193</v>
      </c>
      <c r="J2499" s="343" t="s">
        <v>429</v>
      </c>
      <c r="K2499" s="343" t="s">
        <v>168</v>
      </c>
    </row>
    <row r="2500" spans="1:11" ht="26.25" customHeight="1">
      <c r="A2500" s="343" t="s">
        <v>1641</v>
      </c>
      <c r="B2500" s="344" t="s">
        <v>162</v>
      </c>
      <c r="C2500" s="344">
        <v>7141</v>
      </c>
      <c r="D2500" s="343" t="s">
        <v>5376</v>
      </c>
      <c r="E2500" s="344">
        <v>5718237</v>
      </c>
      <c r="F2500" s="343" t="s">
        <v>5379</v>
      </c>
      <c r="G2500" s="360" t="s">
        <v>11889</v>
      </c>
      <c r="H2500" s="361">
        <v>42485</v>
      </c>
      <c r="I2500" s="343" t="s">
        <v>5380</v>
      </c>
      <c r="J2500" s="343" t="s">
        <v>11890</v>
      </c>
      <c r="K2500" s="343" t="s">
        <v>168</v>
      </c>
    </row>
    <row r="2501" spans="1:11" ht="26.25" customHeight="1">
      <c r="A2501" s="343" t="s">
        <v>1641</v>
      </c>
      <c r="B2501" s="344" t="s">
        <v>162</v>
      </c>
      <c r="C2501" s="344">
        <v>7118</v>
      </c>
      <c r="D2501" s="343" t="s">
        <v>5381</v>
      </c>
      <c r="E2501" s="344">
        <v>4968576</v>
      </c>
      <c r="F2501" s="343" t="s">
        <v>5387</v>
      </c>
      <c r="G2501" s="360" t="s">
        <v>10790</v>
      </c>
      <c r="H2501" s="361">
        <v>42489</v>
      </c>
      <c r="I2501" s="343" t="s">
        <v>166</v>
      </c>
      <c r="J2501" s="343" t="s">
        <v>11891</v>
      </c>
      <c r="K2501" s="343" t="s">
        <v>168</v>
      </c>
    </row>
    <row r="2502" spans="1:11" ht="26.25" customHeight="1">
      <c r="A2502" s="343" t="s">
        <v>1641</v>
      </c>
      <c r="B2502" s="344" t="s">
        <v>162</v>
      </c>
      <c r="C2502" s="344">
        <v>7130</v>
      </c>
      <c r="D2502" s="343" t="s">
        <v>5415</v>
      </c>
      <c r="E2502" s="344">
        <v>4180042</v>
      </c>
      <c r="F2502" s="343" t="s">
        <v>5421</v>
      </c>
      <c r="G2502" s="360" t="s">
        <v>11892</v>
      </c>
      <c r="H2502" s="361">
        <v>42487</v>
      </c>
      <c r="I2502" s="343" t="s">
        <v>166</v>
      </c>
      <c r="J2502" s="343" t="s">
        <v>10327</v>
      </c>
      <c r="K2502" s="343" t="s">
        <v>168</v>
      </c>
    </row>
    <row r="2503" spans="1:11" ht="26.25" customHeight="1">
      <c r="A2503" s="343" t="s">
        <v>1641</v>
      </c>
      <c r="B2503" s="344" t="s">
        <v>162</v>
      </c>
      <c r="C2503" s="344">
        <v>7144</v>
      </c>
      <c r="D2503" s="343" t="s">
        <v>5368</v>
      </c>
      <c r="E2503" s="344">
        <v>4957446</v>
      </c>
      <c r="F2503" s="343" t="s">
        <v>5371</v>
      </c>
      <c r="G2503" s="360" t="s">
        <v>10362</v>
      </c>
      <c r="H2503" s="361">
        <v>42479</v>
      </c>
      <c r="I2503" s="343" t="s">
        <v>166</v>
      </c>
      <c r="J2503" s="343" t="s">
        <v>344</v>
      </c>
      <c r="K2503" s="343" t="s">
        <v>168</v>
      </c>
    </row>
    <row r="2504" spans="1:11" ht="26.25" customHeight="1">
      <c r="A2504" s="343" t="s">
        <v>1641</v>
      </c>
      <c r="B2504" s="344" t="s">
        <v>162</v>
      </c>
      <c r="C2504" s="344">
        <v>6784</v>
      </c>
      <c r="D2504" s="343" t="s">
        <v>5537</v>
      </c>
      <c r="E2504" s="344">
        <v>6059230</v>
      </c>
      <c r="F2504" s="343" t="s">
        <v>5538</v>
      </c>
      <c r="G2504" s="360" t="s">
        <v>10297</v>
      </c>
      <c r="H2504" s="361">
        <v>42474</v>
      </c>
      <c r="I2504" s="343" t="s">
        <v>198</v>
      </c>
      <c r="J2504" s="343" t="s">
        <v>1327</v>
      </c>
      <c r="K2504" s="343" t="s">
        <v>168</v>
      </c>
    </row>
    <row r="2505" spans="1:11" ht="26.25" customHeight="1">
      <c r="A2505" s="343" t="s">
        <v>1641</v>
      </c>
      <c r="B2505" s="344" t="s">
        <v>162</v>
      </c>
      <c r="C2505" s="344">
        <v>7140</v>
      </c>
      <c r="D2505" s="343" t="s">
        <v>5276</v>
      </c>
      <c r="E2505" s="344">
        <v>4425723</v>
      </c>
      <c r="F2505" s="343" t="s">
        <v>5277</v>
      </c>
      <c r="G2505" s="360" t="s">
        <v>11893</v>
      </c>
      <c r="H2505" s="361">
        <v>42480</v>
      </c>
      <c r="I2505" s="343" t="s">
        <v>1339</v>
      </c>
      <c r="J2505" s="343" t="s">
        <v>1340</v>
      </c>
      <c r="K2505" s="343" t="s">
        <v>168</v>
      </c>
    </row>
    <row r="2506" spans="1:11" ht="26.25" customHeight="1">
      <c r="A2506" s="343" t="s">
        <v>1641</v>
      </c>
      <c r="B2506" s="344" t="s">
        <v>162</v>
      </c>
      <c r="C2506" s="344">
        <v>8570</v>
      </c>
      <c r="D2506" s="343" t="s">
        <v>5517</v>
      </c>
      <c r="E2506" s="344">
        <v>6432354</v>
      </c>
      <c r="F2506" s="343" t="s">
        <v>5519</v>
      </c>
      <c r="G2506" s="360" t="s">
        <v>11894</v>
      </c>
      <c r="H2506" s="361">
        <v>42502</v>
      </c>
      <c r="I2506" s="343" t="s">
        <v>198</v>
      </c>
      <c r="J2506" s="343" t="s">
        <v>10321</v>
      </c>
      <c r="K2506" s="343" t="s">
        <v>168</v>
      </c>
    </row>
    <row r="2507" spans="1:11" ht="26.25" customHeight="1">
      <c r="A2507" s="343" t="s">
        <v>1641</v>
      </c>
      <c r="B2507" s="344" t="s">
        <v>162</v>
      </c>
      <c r="C2507" s="344">
        <v>7131</v>
      </c>
      <c r="D2507" s="343" t="s">
        <v>5296</v>
      </c>
      <c r="E2507" s="344">
        <v>6017900</v>
      </c>
      <c r="F2507" s="343" t="s">
        <v>5297</v>
      </c>
      <c r="G2507" s="360" t="s">
        <v>11895</v>
      </c>
      <c r="H2507" s="361">
        <v>42515</v>
      </c>
      <c r="I2507" s="343" t="s">
        <v>211</v>
      </c>
      <c r="J2507" s="343" t="s">
        <v>211</v>
      </c>
      <c r="K2507" s="343" t="s">
        <v>168</v>
      </c>
    </row>
    <row r="2508" spans="1:11" ht="26.25" customHeight="1">
      <c r="A2508" s="343" t="s">
        <v>1641</v>
      </c>
      <c r="B2508" s="344" t="s">
        <v>162</v>
      </c>
      <c r="C2508" s="344">
        <v>6768</v>
      </c>
      <c r="D2508" s="343" t="s">
        <v>5486</v>
      </c>
      <c r="E2508" s="344">
        <v>6417536</v>
      </c>
      <c r="F2508" s="343" t="s">
        <v>5490</v>
      </c>
      <c r="G2508" s="360" t="s">
        <v>11896</v>
      </c>
      <c r="H2508" s="361">
        <v>42509</v>
      </c>
      <c r="I2508" s="343" t="s">
        <v>166</v>
      </c>
      <c r="J2508" s="343" t="s">
        <v>243</v>
      </c>
      <c r="K2508" s="343" t="s">
        <v>168</v>
      </c>
    </row>
    <row r="2509" spans="1:11" ht="26.25" customHeight="1">
      <c r="A2509" s="343" t="s">
        <v>1641</v>
      </c>
      <c r="B2509" s="344" t="s">
        <v>162</v>
      </c>
      <c r="C2509" s="344">
        <v>11095</v>
      </c>
      <c r="D2509" s="343" t="s">
        <v>5261</v>
      </c>
      <c r="E2509" s="344">
        <v>6027565</v>
      </c>
      <c r="F2509" s="343" t="s">
        <v>5266</v>
      </c>
      <c r="G2509" s="360" t="s">
        <v>11897</v>
      </c>
      <c r="H2509" s="361">
        <v>42534</v>
      </c>
      <c r="I2509" s="343" t="s">
        <v>166</v>
      </c>
      <c r="J2509" s="343" t="s">
        <v>11898</v>
      </c>
      <c r="K2509" s="343" t="s">
        <v>168</v>
      </c>
    </row>
    <row r="2510" spans="1:11" ht="26.25" customHeight="1">
      <c r="A2510" s="343" t="s">
        <v>1641</v>
      </c>
      <c r="B2510" s="344" t="s">
        <v>162</v>
      </c>
      <c r="C2510" s="344">
        <v>9719</v>
      </c>
      <c r="D2510" s="343" t="s">
        <v>5192</v>
      </c>
      <c r="E2510" s="344">
        <v>6491610</v>
      </c>
      <c r="F2510" s="343" t="s">
        <v>5195</v>
      </c>
      <c r="G2510" s="360" t="s">
        <v>9722</v>
      </c>
      <c r="H2510" s="361">
        <v>42531</v>
      </c>
      <c r="I2510" s="343" t="s">
        <v>284</v>
      </c>
      <c r="J2510" s="343" t="s">
        <v>11899</v>
      </c>
      <c r="K2510" s="343" t="s">
        <v>168</v>
      </c>
    </row>
    <row r="2511" spans="1:11" ht="26.25" customHeight="1">
      <c r="A2511" s="343" t="s">
        <v>1641</v>
      </c>
      <c r="B2511" s="344" t="s">
        <v>162</v>
      </c>
      <c r="C2511" s="344">
        <v>11096</v>
      </c>
      <c r="D2511" s="343" t="s">
        <v>5248</v>
      </c>
      <c r="E2511" s="344">
        <v>6198791</v>
      </c>
      <c r="F2511" s="343" t="s">
        <v>5251</v>
      </c>
      <c r="G2511" s="360" t="s">
        <v>10135</v>
      </c>
      <c r="H2511" s="361">
        <v>42524</v>
      </c>
      <c r="I2511" s="343" t="s">
        <v>166</v>
      </c>
      <c r="J2511" s="343" t="s">
        <v>11900</v>
      </c>
      <c r="K2511" s="343" t="s">
        <v>168</v>
      </c>
    </row>
    <row r="2512" spans="1:11" ht="26.25" customHeight="1">
      <c r="A2512" s="343" t="s">
        <v>1641</v>
      </c>
      <c r="B2512" s="344" t="s">
        <v>162</v>
      </c>
      <c r="C2512" s="344">
        <v>7607</v>
      </c>
      <c r="D2512" s="343" t="s">
        <v>5198</v>
      </c>
      <c r="E2512" s="344">
        <v>6377183</v>
      </c>
      <c r="F2512" s="343" t="s">
        <v>5200</v>
      </c>
      <c r="G2512" s="360" t="s">
        <v>9359</v>
      </c>
      <c r="H2512" s="361">
        <v>42524</v>
      </c>
      <c r="I2512" s="343" t="s">
        <v>193</v>
      </c>
      <c r="J2512" s="343" t="s">
        <v>1429</v>
      </c>
      <c r="K2512" s="343" t="s">
        <v>168</v>
      </c>
    </row>
    <row r="2513" spans="1:11" ht="26.25" customHeight="1">
      <c r="A2513" s="343" t="s">
        <v>1641</v>
      </c>
      <c r="B2513" s="344" t="s">
        <v>162</v>
      </c>
      <c r="C2513" s="344">
        <v>7604</v>
      </c>
      <c r="D2513" s="343" t="s">
        <v>5177</v>
      </c>
      <c r="E2513" s="344">
        <v>6216400</v>
      </c>
      <c r="F2513" s="343" t="s">
        <v>5181</v>
      </c>
      <c r="G2513" s="360" t="s">
        <v>10556</v>
      </c>
      <c r="H2513" s="361">
        <v>42531</v>
      </c>
      <c r="I2513" s="343" t="s">
        <v>3601</v>
      </c>
      <c r="J2513" s="343" t="s">
        <v>11901</v>
      </c>
      <c r="K2513" s="343" t="s">
        <v>168</v>
      </c>
    </row>
    <row r="2514" spans="1:11" ht="26.25" customHeight="1">
      <c r="A2514" s="343" t="s">
        <v>1641</v>
      </c>
      <c r="B2514" s="344" t="s">
        <v>162</v>
      </c>
      <c r="C2514" s="344">
        <v>7144</v>
      </c>
      <c r="D2514" s="343" t="s">
        <v>5368</v>
      </c>
      <c r="E2514" s="344">
        <v>4707085</v>
      </c>
      <c r="F2514" s="343" t="s">
        <v>5369</v>
      </c>
      <c r="G2514" s="360" t="s">
        <v>11902</v>
      </c>
      <c r="H2514" s="361">
        <v>42531</v>
      </c>
      <c r="I2514" s="343" t="s">
        <v>366</v>
      </c>
      <c r="J2514" s="343" t="s">
        <v>366</v>
      </c>
      <c r="K2514" s="343" t="s">
        <v>168</v>
      </c>
    </row>
    <row r="2515" spans="1:11" ht="26.25" customHeight="1">
      <c r="A2515" s="343" t="s">
        <v>1641</v>
      </c>
      <c r="B2515" s="344" t="s">
        <v>162</v>
      </c>
      <c r="C2515" s="344">
        <v>8998</v>
      </c>
      <c r="D2515" s="343" t="s">
        <v>5436</v>
      </c>
      <c r="E2515" s="344">
        <v>4314943</v>
      </c>
      <c r="F2515" s="343" t="s">
        <v>5438</v>
      </c>
      <c r="G2515" s="360" t="s">
        <v>11903</v>
      </c>
      <c r="H2515" s="361">
        <v>42549</v>
      </c>
      <c r="I2515" s="343" t="s">
        <v>709</v>
      </c>
      <c r="J2515" s="343" t="s">
        <v>10359</v>
      </c>
      <c r="K2515" s="343" t="s">
        <v>168</v>
      </c>
    </row>
    <row r="2516" spans="1:11" ht="26.25" customHeight="1">
      <c r="A2516" s="343" t="s">
        <v>1641</v>
      </c>
      <c r="B2516" s="344" t="s">
        <v>162</v>
      </c>
      <c r="C2516" s="344">
        <v>9719</v>
      </c>
      <c r="D2516" s="343" t="s">
        <v>5192</v>
      </c>
      <c r="E2516" s="344">
        <v>6153668</v>
      </c>
      <c r="F2516" s="343" t="s">
        <v>5194</v>
      </c>
      <c r="G2516" s="360" t="s">
        <v>11904</v>
      </c>
      <c r="H2516" s="361">
        <v>42550</v>
      </c>
      <c r="I2516" s="343" t="s">
        <v>271</v>
      </c>
      <c r="J2516" s="343" t="s">
        <v>333</v>
      </c>
      <c r="K2516" s="343" t="s">
        <v>168</v>
      </c>
    </row>
    <row r="2517" spans="1:11" ht="26.25" customHeight="1">
      <c r="A2517" s="343" t="s">
        <v>1641</v>
      </c>
      <c r="B2517" s="344" t="s">
        <v>162</v>
      </c>
      <c r="C2517" s="344">
        <v>8571</v>
      </c>
      <c r="D2517" s="343" t="s">
        <v>5526</v>
      </c>
      <c r="E2517" s="344">
        <v>6160139</v>
      </c>
      <c r="F2517" s="343" t="s">
        <v>5528</v>
      </c>
      <c r="G2517" s="360" t="s">
        <v>11905</v>
      </c>
      <c r="H2517" s="361">
        <v>42537</v>
      </c>
      <c r="I2517" s="343" t="s">
        <v>166</v>
      </c>
      <c r="J2517" s="343" t="s">
        <v>344</v>
      </c>
      <c r="K2517" s="343" t="s">
        <v>168</v>
      </c>
    </row>
    <row r="2518" spans="1:11" ht="26.25" customHeight="1">
      <c r="A2518" s="343" t="s">
        <v>1641</v>
      </c>
      <c r="B2518" s="344" t="s">
        <v>162</v>
      </c>
      <c r="C2518" s="344">
        <v>6768</v>
      </c>
      <c r="D2518" s="343" t="s">
        <v>5486</v>
      </c>
      <c r="E2518" s="344">
        <v>5780599</v>
      </c>
      <c r="F2518" s="343" t="s">
        <v>5491</v>
      </c>
      <c r="G2518" s="360" t="s">
        <v>1462</v>
      </c>
      <c r="H2518" s="361">
        <v>42536</v>
      </c>
      <c r="I2518" s="343" t="s">
        <v>465</v>
      </c>
      <c r="J2518" s="343" t="s">
        <v>553</v>
      </c>
      <c r="K2518" s="343" t="s">
        <v>168</v>
      </c>
    </row>
    <row r="2519" spans="1:11" ht="26.25" customHeight="1">
      <c r="A2519" s="343" t="s">
        <v>1641</v>
      </c>
      <c r="B2519" s="344" t="s">
        <v>162</v>
      </c>
      <c r="C2519" s="344">
        <v>6768</v>
      </c>
      <c r="D2519" s="343" t="s">
        <v>5486</v>
      </c>
      <c r="E2519" s="344">
        <v>5719439</v>
      </c>
      <c r="F2519" s="343" t="s">
        <v>5488</v>
      </c>
      <c r="G2519" s="360" t="s">
        <v>1466</v>
      </c>
      <c r="H2519" s="361">
        <v>42536</v>
      </c>
      <c r="I2519" s="343" t="s">
        <v>193</v>
      </c>
      <c r="J2519" s="343" t="s">
        <v>600</v>
      </c>
      <c r="K2519" s="343" t="s">
        <v>168</v>
      </c>
    </row>
    <row r="2520" spans="1:11" ht="26.25" customHeight="1">
      <c r="A2520" s="343" t="s">
        <v>1641</v>
      </c>
      <c r="B2520" s="344" t="s">
        <v>162</v>
      </c>
      <c r="C2520" s="344">
        <v>7146</v>
      </c>
      <c r="D2520" s="343" t="s">
        <v>5391</v>
      </c>
      <c r="E2520" s="344">
        <v>4501172</v>
      </c>
      <c r="F2520" s="343" t="s">
        <v>5392</v>
      </c>
      <c r="G2520" s="360" t="s">
        <v>11906</v>
      </c>
      <c r="H2520" s="361">
        <v>42557</v>
      </c>
      <c r="I2520" s="343" t="s">
        <v>1082</v>
      </c>
      <c r="J2520" s="343" t="s">
        <v>11907</v>
      </c>
      <c r="K2520" s="343" t="s">
        <v>173</v>
      </c>
    </row>
    <row r="2521" spans="1:11" ht="26.25" customHeight="1">
      <c r="A2521" s="343" t="s">
        <v>1641</v>
      </c>
      <c r="B2521" s="344" t="s">
        <v>162</v>
      </c>
      <c r="C2521" s="344">
        <v>7644</v>
      </c>
      <c r="D2521" s="343" t="s">
        <v>5210</v>
      </c>
      <c r="E2521" s="344">
        <v>6251312</v>
      </c>
      <c r="F2521" s="343" t="s">
        <v>5213</v>
      </c>
      <c r="G2521" s="360" t="s">
        <v>11173</v>
      </c>
      <c r="H2521" s="361">
        <v>42557</v>
      </c>
      <c r="I2521" s="343" t="s">
        <v>193</v>
      </c>
      <c r="J2521" s="343" t="s">
        <v>536</v>
      </c>
      <c r="K2521" s="343" t="s">
        <v>168</v>
      </c>
    </row>
    <row r="2522" spans="1:11" ht="26.25" customHeight="1">
      <c r="A2522" s="343" t="s">
        <v>1641</v>
      </c>
      <c r="B2522" s="344" t="s">
        <v>162</v>
      </c>
      <c r="C2522" s="344">
        <v>7644</v>
      </c>
      <c r="D2522" s="343" t="s">
        <v>5210</v>
      </c>
      <c r="E2522" s="344">
        <v>6334088</v>
      </c>
      <c r="F2522" s="343" t="s">
        <v>5214</v>
      </c>
      <c r="G2522" s="360" t="s">
        <v>11908</v>
      </c>
      <c r="H2522" s="361">
        <v>42557</v>
      </c>
      <c r="I2522" s="343" t="s">
        <v>166</v>
      </c>
      <c r="J2522" s="343" t="s">
        <v>344</v>
      </c>
      <c r="K2522" s="343" t="s">
        <v>168</v>
      </c>
    </row>
    <row r="2523" spans="1:11" ht="26.25" customHeight="1">
      <c r="A2523" s="343" t="s">
        <v>1641</v>
      </c>
      <c r="B2523" s="344" t="s">
        <v>162</v>
      </c>
      <c r="C2523" s="344">
        <v>6775</v>
      </c>
      <c r="D2523" s="343" t="s">
        <v>5459</v>
      </c>
      <c r="E2523" s="344">
        <v>5718307</v>
      </c>
      <c r="F2523" s="343" t="s">
        <v>5461</v>
      </c>
      <c r="G2523" s="360" t="s">
        <v>11909</v>
      </c>
      <c r="H2523" s="361">
        <v>42600</v>
      </c>
      <c r="I2523" s="343" t="s">
        <v>5268</v>
      </c>
      <c r="J2523" s="343" t="s">
        <v>11910</v>
      </c>
      <c r="K2523" s="343" t="s">
        <v>248</v>
      </c>
    </row>
    <row r="2524" spans="1:11" ht="26.25" customHeight="1">
      <c r="A2524" s="343" t="s">
        <v>1641</v>
      </c>
      <c r="B2524" s="344" t="s">
        <v>162</v>
      </c>
      <c r="C2524" s="344">
        <v>7129</v>
      </c>
      <c r="D2524" s="343" t="s">
        <v>5352</v>
      </c>
      <c r="E2524" s="344">
        <v>5633781</v>
      </c>
      <c r="F2524" s="343" t="s">
        <v>5355</v>
      </c>
      <c r="G2524" s="360" t="s">
        <v>9814</v>
      </c>
      <c r="H2524" s="361">
        <v>42592</v>
      </c>
      <c r="I2524" s="343" t="s">
        <v>4252</v>
      </c>
      <c r="J2524" s="343" t="s">
        <v>11911</v>
      </c>
      <c r="K2524" s="343" t="s">
        <v>168</v>
      </c>
    </row>
    <row r="2525" spans="1:11" ht="26.25" customHeight="1">
      <c r="A2525" s="343" t="s">
        <v>1641</v>
      </c>
      <c r="B2525" s="344" t="s">
        <v>162</v>
      </c>
      <c r="C2525" s="344">
        <v>7644</v>
      </c>
      <c r="D2525" s="343" t="s">
        <v>5210</v>
      </c>
      <c r="E2525" s="344">
        <v>6351420</v>
      </c>
      <c r="F2525" s="343" t="s">
        <v>5218</v>
      </c>
      <c r="G2525" s="360" t="s">
        <v>9439</v>
      </c>
      <c r="H2525" s="361">
        <v>42593</v>
      </c>
      <c r="I2525" s="343" t="s">
        <v>166</v>
      </c>
      <c r="J2525" s="343" t="s">
        <v>344</v>
      </c>
      <c r="K2525" s="343" t="s">
        <v>168</v>
      </c>
    </row>
    <row r="2526" spans="1:11" ht="26.25" customHeight="1">
      <c r="A2526" s="343" t="s">
        <v>1641</v>
      </c>
      <c r="B2526" s="344" t="s">
        <v>162</v>
      </c>
      <c r="C2526" s="344">
        <v>7118</v>
      </c>
      <c r="D2526" s="343" t="s">
        <v>5381</v>
      </c>
      <c r="E2526" s="344">
        <v>4290187</v>
      </c>
      <c r="F2526" s="343" t="s">
        <v>5386</v>
      </c>
      <c r="G2526" s="360" t="s">
        <v>11912</v>
      </c>
      <c r="H2526" s="361">
        <v>42612</v>
      </c>
      <c r="I2526" s="343" t="s">
        <v>166</v>
      </c>
      <c r="J2526" s="343" t="s">
        <v>344</v>
      </c>
      <c r="K2526" s="343" t="s">
        <v>168</v>
      </c>
    </row>
    <row r="2527" spans="1:11" ht="26.25" customHeight="1">
      <c r="A2527" s="343" t="s">
        <v>1641</v>
      </c>
      <c r="B2527" s="344" t="s">
        <v>162</v>
      </c>
      <c r="C2527" s="344">
        <v>7130</v>
      </c>
      <c r="D2527" s="343" t="s">
        <v>5415</v>
      </c>
      <c r="E2527" s="344">
        <v>4284795</v>
      </c>
      <c r="F2527" s="343" t="s">
        <v>5417</v>
      </c>
      <c r="G2527" s="360" t="s">
        <v>11491</v>
      </c>
      <c r="H2527" s="361">
        <v>42540</v>
      </c>
      <c r="I2527" s="343" t="s">
        <v>211</v>
      </c>
      <c r="J2527" s="343" t="s">
        <v>836</v>
      </c>
      <c r="K2527" s="343" t="s">
        <v>168</v>
      </c>
    </row>
    <row r="2528" spans="1:11" ht="26.25" customHeight="1">
      <c r="A2528" s="343" t="s">
        <v>1641</v>
      </c>
      <c r="B2528" s="344" t="s">
        <v>162</v>
      </c>
      <c r="C2528" s="344">
        <v>7137</v>
      </c>
      <c r="D2528" s="343" t="s">
        <v>5298</v>
      </c>
      <c r="E2528" s="344">
        <v>5218961</v>
      </c>
      <c r="F2528" s="343" t="s">
        <v>5302</v>
      </c>
      <c r="G2528" s="360" t="s">
        <v>11913</v>
      </c>
      <c r="H2528" s="361">
        <v>42628</v>
      </c>
      <c r="I2528" s="343" t="s">
        <v>261</v>
      </c>
      <c r="J2528" s="343" t="s">
        <v>262</v>
      </c>
      <c r="K2528" s="343" t="s">
        <v>168</v>
      </c>
    </row>
    <row r="2529" spans="1:11" ht="26.25" customHeight="1">
      <c r="A2529" s="343" t="s">
        <v>1641</v>
      </c>
      <c r="B2529" s="344" t="s">
        <v>162</v>
      </c>
      <c r="C2529" s="344">
        <v>7136</v>
      </c>
      <c r="D2529" s="343" t="s">
        <v>5328</v>
      </c>
      <c r="E2529" s="344">
        <v>4879632</v>
      </c>
      <c r="F2529" s="343" t="s">
        <v>5332</v>
      </c>
      <c r="G2529" s="360" t="s">
        <v>10864</v>
      </c>
      <c r="H2529" s="361">
        <v>42633</v>
      </c>
      <c r="I2529" s="343" t="s">
        <v>4108</v>
      </c>
      <c r="J2529" s="343" t="s">
        <v>11914</v>
      </c>
      <c r="K2529" s="343" t="s">
        <v>168</v>
      </c>
    </row>
    <row r="2530" spans="1:11" ht="26.25" customHeight="1">
      <c r="A2530" s="343" t="s">
        <v>1641</v>
      </c>
      <c r="B2530" s="344" t="s">
        <v>162</v>
      </c>
      <c r="C2530" s="344">
        <v>7142</v>
      </c>
      <c r="D2530" s="343" t="s">
        <v>5401</v>
      </c>
      <c r="E2530" s="344">
        <v>3911404</v>
      </c>
      <c r="F2530" s="343" t="s">
        <v>5402</v>
      </c>
      <c r="G2530" s="360" t="s">
        <v>11915</v>
      </c>
      <c r="H2530" s="361">
        <v>42643</v>
      </c>
      <c r="I2530" s="343" t="s">
        <v>193</v>
      </c>
      <c r="J2530" s="343" t="s">
        <v>536</v>
      </c>
      <c r="K2530" s="343" t="s">
        <v>168</v>
      </c>
    </row>
    <row r="2531" spans="1:11" ht="26.25" customHeight="1">
      <c r="A2531" s="343" t="s">
        <v>1641</v>
      </c>
      <c r="B2531" s="344" t="s">
        <v>162</v>
      </c>
      <c r="C2531" s="344">
        <v>7598</v>
      </c>
      <c r="D2531" s="343" t="s">
        <v>5165</v>
      </c>
      <c r="E2531" s="344">
        <v>6079713</v>
      </c>
      <c r="F2531" s="343" t="s">
        <v>5166</v>
      </c>
      <c r="G2531" s="360" t="s">
        <v>10606</v>
      </c>
      <c r="H2531" s="361">
        <v>42649</v>
      </c>
      <c r="I2531" s="343" t="s">
        <v>166</v>
      </c>
      <c r="J2531" s="343" t="s">
        <v>11916</v>
      </c>
      <c r="K2531" s="343" t="s">
        <v>168</v>
      </c>
    </row>
    <row r="2532" spans="1:11" ht="26.25" customHeight="1">
      <c r="A2532" s="343" t="s">
        <v>1641</v>
      </c>
      <c r="B2532" s="344" t="s">
        <v>162</v>
      </c>
      <c r="C2532" s="344">
        <v>7129</v>
      </c>
      <c r="D2532" s="343" t="s">
        <v>5352</v>
      </c>
      <c r="E2532" s="344">
        <v>4139336</v>
      </c>
      <c r="F2532" s="343" t="s">
        <v>5353</v>
      </c>
      <c r="G2532" s="360" t="s">
        <v>11917</v>
      </c>
      <c r="H2532" s="361">
        <v>42656</v>
      </c>
      <c r="I2532" s="343" t="s">
        <v>709</v>
      </c>
      <c r="J2532" s="343" t="s">
        <v>978</v>
      </c>
      <c r="K2532" s="343" t="s">
        <v>173</v>
      </c>
    </row>
    <row r="2533" spans="1:11" ht="26.25" customHeight="1">
      <c r="A2533" s="343" t="s">
        <v>1641</v>
      </c>
      <c r="B2533" s="344" t="s">
        <v>162</v>
      </c>
      <c r="C2533" s="344">
        <v>6775</v>
      </c>
      <c r="D2533" s="343" t="s">
        <v>5459</v>
      </c>
      <c r="E2533" s="344">
        <v>5709044</v>
      </c>
      <c r="F2533" s="343" t="s">
        <v>5463</v>
      </c>
      <c r="G2533" s="360" t="s">
        <v>11918</v>
      </c>
      <c r="H2533" s="361">
        <v>42669</v>
      </c>
      <c r="I2533" s="343" t="s">
        <v>198</v>
      </c>
      <c r="J2533" s="343" t="s">
        <v>198</v>
      </c>
      <c r="K2533" s="343" t="s">
        <v>168</v>
      </c>
    </row>
    <row r="2534" spans="1:11" ht="26.25" customHeight="1">
      <c r="A2534" s="343" t="s">
        <v>1641</v>
      </c>
      <c r="B2534" s="344" t="s">
        <v>162</v>
      </c>
      <c r="C2534" s="344">
        <v>7134</v>
      </c>
      <c r="D2534" s="343" t="s">
        <v>5287</v>
      </c>
      <c r="E2534" s="344">
        <v>4749031</v>
      </c>
      <c r="F2534" s="343" t="s">
        <v>5288</v>
      </c>
      <c r="G2534" s="360" t="s">
        <v>11919</v>
      </c>
      <c r="H2534" s="361">
        <v>42675</v>
      </c>
      <c r="I2534" s="343" t="s">
        <v>742</v>
      </c>
      <c r="J2534" s="343" t="s">
        <v>742</v>
      </c>
      <c r="K2534" s="343" t="s">
        <v>168</v>
      </c>
    </row>
    <row r="2535" spans="1:11" ht="26.25" customHeight="1">
      <c r="A2535" s="343" t="s">
        <v>1641</v>
      </c>
      <c r="B2535" s="344" t="s">
        <v>162</v>
      </c>
      <c r="C2535" s="344">
        <v>7127</v>
      </c>
      <c r="D2535" s="343" t="s">
        <v>5289</v>
      </c>
      <c r="E2535" s="344">
        <v>4958772</v>
      </c>
      <c r="F2535" s="343" t="s">
        <v>5292</v>
      </c>
      <c r="G2535" s="360" t="s">
        <v>11920</v>
      </c>
      <c r="H2535" s="361">
        <v>42681</v>
      </c>
      <c r="I2535" s="343" t="s">
        <v>198</v>
      </c>
      <c r="J2535" s="343" t="s">
        <v>198</v>
      </c>
      <c r="K2535" s="343" t="s">
        <v>168</v>
      </c>
    </row>
    <row r="2536" spans="1:11" ht="26.25" customHeight="1">
      <c r="A2536" s="343" t="s">
        <v>1641</v>
      </c>
      <c r="B2536" s="344" t="s">
        <v>162</v>
      </c>
      <c r="C2536" s="344">
        <v>7142</v>
      </c>
      <c r="D2536" s="343" t="s">
        <v>5401</v>
      </c>
      <c r="E2536" s="344">
        <v>3946158</v>
      </c>
      <c r="F2536" s="343" t="s">
        <v>5404</v>
      </c>
      <c r="G2536" s="360" t="s">
        <v>11921</v>
      </c>
      <c r="H2536" s="361">
        <v>42696</v>
      </c>
      <c r="I2536" s="343" t="s">
        <v>3606</v>
      </c>
      <c r="J2536" s="343" t="s">
        <v>3606</v>
      </c>
      <c r="K2536" s="343" t="s">
        <v>168</v>
      </c>
    </row>
    <row r="2537" spans="1:11" ht="26.25" customHeight="1">
      <c r="A2537" s="343" t="s">
        <v>1641</v>
      </c>
      <c r="B2537" s="344" t="s">
        <v>162</v>
      </c>
      <c r="C2537" s="344">
        <v>6769</v>
      </c>
      <c r="D2537" s="343" t="s">
        <v>5492</v>
      </c>
      <c r="E2537" s="344">
        <v>6550745</v>
      </c>
      <c r="F2537" s="343" t="s">
        <v>5494</v>
      </c>
      <c r="G2537" s="360" t="s">
        <v>11666</v>
      </c>
      <c r="H2537" s="361">
        <v>42697</v>
      </c>
      <c r="I2537" s="343" t="s">
        <v>887</v>
      </c>
      <c r="J2537" s="343" t="s">
        <v>11922</v>
      </c>
      <c r="K2537" s="343" t="s">
        <v>168</v>
      </c>
    </row>
    <row r="2538" spans="1:11" ht="26.25" customHeight="1">
      <c r="A2538" s="343" t="s">
        <v>1641</v>
      </c>
      <c r="B2538" s="344" t="s">
        <v>162</v>
      </c>
      <c r="C2538" s="344">
        <v>7636</v>
      </c>
      <c r="D2538" s="343" t="s">
        <v>5204</v>
      </c>
      <c r="E2538" s="344">
        <v>6457763</v>
      </c>
      <c r="F2538" s="343" t="s">
        <v>5206</v>
      </c>
      <c r="G2538" s="360" t="s">
        <v>10628</v>
      </c>
      <c r="H2538" s="361">
        <v>42705</v>
      </c>
      <c r="I2538" s="343" t="s">
        <v>193</v>
      </c>
      <c r="J2538" s="343" t="s">
        <v>637</v>
      </c>
      <c r="K2538" s="343" t="s">
        <v>168</v>
      </c>
    </row>
    <row r="2539" spans="1:11" ht="26.25" customHeight="1">
      <c r="A2539" s="343" t="s">
        <v>1641</v>
      </c>
      <c r="B2539" s="344" t="s">
        <v>162</v>
      </c>
      <c r="C2539" s="344">
        <v>7135</v>
      </c>
      <c r="D2539" s="343" t="s">
        <v>5294</v>
      </c>
      <c r="E2539" s="344">
        <v>4522336</v>
      </c>
      <c r="F2539" s="343" t="s">
        <v>5295</v>
      </c>
      <c r="G2539" s="360" t="s">
        <v>11923</v>
      </c>
      <c r="H2539" s="361">
        <v>41968</v>
      </c>
      <c r="I2539" s="343" t="s">
        <v>198</v>
      </c>
      <c r="J2539" s="343" t="s">
        <v>577</v>
      </c>
      <c r="K2539" s="343" t="s">
        <v>168</v>
      </c>
    </row>
    <row r="2540" spans="1:11" ht="26.25" customHeight="1">
      <c r="A2540" s="343" t="s">
        <v>1641</v>
      </c>
      <c r="B2540" s="344" t="s">
        <v>162</v>
      </c>
      <c r="C2540" s="344">
        <v>9433</v>
      </c>
      <c r="D2540" s="343" t="s">
        <v>5410</v>
      </c>
      <c r="E2540" s="344">
        <v>4256403</v>
      </c>
      <c r="F2540" s="343" t="s">
        <v>5412</v>
      </c>
      <c r="G2540" s="360" t="s">
        <v>11924</v>
      </c>
      <c r="H2540" s="361">
        <v>40585</v>
      </c>
      <c r="I2540" s="343" t="s">
        <v>465</v>
      </c>
      <c r="J2540" s="343" t="s">
        <v>10378</v>
      </c>
      <c r="K2540" s="343" t="s">
        <v>168</v>
      </c>
    </row>
    <row r="2541" spans="1:11" ht="26.25" customHeight="1">
      <c r="A2541" s="343" t="s">
        <v>1641</v>
      </c>
      <c r="B2541" s="344" t="s">
        <v>162</v>
      </c>
      <c r="C2541" s="344">
        <v>7643</v>
      </c>
      <c r="D2541" s="343" t="s">
        <v>5161</v>
      </c>
      <c r="E2541" s="344">
        <v>5927524</v>
      </c>
      <c r="F2541" s="343" t="s">
        <v>5162</v>
      </c>
      <c r="G2541" s="360" t="s">
        <v>11925</v>
      </c>
      <c r="H2541" s="361">
        <v>41961</v>
      </c>
      <c r="I2541" s="343" t="s">
        <v>284</v>
      </c>
      <c r="J2541" s="343" t="s">
        <v>11926</v>
      </c>
      <c r="K2541" s="343" t="s">
        <v>168</v>
      </c>
    </row>
    <row r="2542" spans="1:11" ht="26.25" customHeight="1">
      <c r="A2542" s="343" t="s">
        <v>1641</v>
      </c>
      <c r="B2542" s="344" t="s">
        <v>162</v>
      </c>
      <c r="C2542" s="344">
        <v>7126</v>
      </c>
      <c r="D2542" s="343" t="s">
        <v>5316</v>
      </c>
      <c r="E2542" s="344">
        <v>4296349</v>
      </c>
      <c r="F2542" s="343" t="s">
        <v>5317</v>
      </c>
      <c r="G2542" s="360" t="s">
        <v>10266</v>
      </c>
      <c r="H2542" s="361">
        <v>40253</v>
      </c>
      <c r="I2542" s="343" t="s">
        <v>5318</v>
      </c>
      <c r="J2542" s="343" t="s">
        <v>11927</v>
      </c>
      <c r="K2542" s="343" t="s">
        <v>168</v>
      </c>
    </row>
    <row r="2543" spans="1:11" ht="26.25" customHeight="1">
      <c r="A2543" s="343" t="s">
        <v>1641</v>
      </c>
      <c r="B2543" s="344" t="s">
        <v>162</v>
      </c>
      <c r="C2543" s="344">
        <v>7139</v>
      </c>
      <c r="D2543" s="343" t="s">
        <v>5305</v>
      </c>
      <c r="E2543" s="344">
        <v>3574513</v>
      </c>
      <c r="F2543" s="343" t="s">
        <v>5306</v>
      </c>
      <c r="G2543" s="360" t="s">
        <v>11928</v>
      </c>
      <c r="H2543" s="361">
        <v>40324</v>
      </c>
      <c r="I2543" s="343" t="s">
        <v>211</v>
      </c>
      <c r="J2543" s="343" t="s">
        <v>211</v>
      </c>
      <c r="K2543" s="343" t="s">
        <v>168</v>
      </c>
    </row>
    <row r="2544" spans="1:11" ht="26.25" customHeight="1">
      <c r="A2544" s="343" t="s">
        <v>1641</v>
      </c>
      <c r="B2544" s="344" t="s">
        <v>162</v>
      </c>
      <c r="C2544" s="344">
        <v>7125</v>
      </c>
      <c r="D2544" s="343" t="s">
        <v>5356</v>
      </c>
      <c r="E2544" s="344">
        <v>4768103</v>
      </c>
      <c r="F2544" s="343" t="s">
        <v>5359</v>
      </c>
      <c r="G2544" s="360" t="s">
        <v>11929</v>
      </c>
      <c r="H2544" s="361">
        <v>41927</v>
      </c>
      <c r="I2544" s="343" t="s">
        <v>193</v>
      </c>
      <c r="J2544" s="343" t="s">
        <v>228</v>
      </c>
      <c r="K2544" s="343" t="s">
        <v>168</v>
      </c>
    </row>
    <row r="2545" spans="1:11" ht="26.25" customHeight="1">
      <c r="A2545" s="343" t="s">
        <v>1641</v>
      </c>
      <c r="B2545" s="344" t="s">
        <v>162</v>
      </c>
      <c r="C2545" s="344">
        <v>7119</v>
      </c>
      <c r="D2545" s="343" t="s">
        <v>5337</v>
      </c>
      <c r="E2545" s="344">
        <v>4780768</v>
      </c>
      <c r="F2545" s="343" t="s">
        <v>5344</v>
      </c>
      <c r="G2545" s="360" t="s">
        <v>11930</v>
      </c>
      <c r="H2545" s="361">
        <v>40644</v>
      </c>
      <c r="I2545" s="343" t="s">
        <v>4147</v>
      </c>
      <c r="J2545" s="343" t="s">
        <v>10902</v>
      </c>
      <c r="K2545" s="343" t="s">
        <v>173</v>
      </c>
    </row>
    <row r="2546" spans="1:11" ht="26.25" customHeight="1">
      <c r="A2546" s="343" t="s">
        <v>1641</v>
      </c>
      <c r="B2546" s="344" t="s">
        <v>162</v>
      </c>
      <c r="C2546" s="344">
        <v>7123</v>
      </c>
      <c r="D2546" s="343" t="s">
        <v>5345</v>
      </c>
      <c r="E2546" s="344">
        <v>4035824</v>
      </c>
      <c r="F2546" s="343" t="s">
        <v>5349</v>
      </c>
      <c r="G2546" s="360" t="s">
        <v>11931</v>
      </c>
      <c r="H2546" s="361">
        <v>40644</v>
      </c>
      <c r="I2546" s="343" t="s">
        <v>887</v>
      </c>
      <c r="J2546" s="343" t="s">
        <v>11932</v>
      </c>
      <c r="K2546" s="343" t="s">
        <v>168</v>
      </c>
    </row>
    <row r="2547" spans="1:11" ht="26.25" customHeight="1">
      <c r="A2547" s="343" t="s">
        <v>1641</v>
      </c>
      <c r="B2547" s="344" t="s">
        <v>162</v>
      </c>
      <c r="C2547" s="344">
        <v>7143</v>
      </c>
      <c r="D2547" s="343" t="s">
        <v>5425</v>
      </c>
      <c r="E2547" s="344">
        <v>3141793</v>
      </c>
      <c r="F2547" s="343" t="s">
        <v>5428</v>
      </c>
      <c r="G2547" s="360" t="s">
        <v>11933</v>
      </c>
      <c r="H2547" s="361">
        <v>40857</v>
      </c>
      <c r="I2547" s="343" t="s">
        <v>709</v>
      </c>
      <c r="J2547" s="343" t="s">
        <v>978</v>
      </c>
      <c r="K2547" s="343" t="s">
        <v>173</v>
      </c>
    </row>
    <row r="2548" spans="1:11" ht="26.25" customHeight="1">
      <c r="A2548" s="343" t="s">
        <v>1641</v>
      </c>
      <c r="B2548" s="344" t="s">
        <v>162</v>
      </c>
      <c r="C2548" s="344">
        <v>7125</v>
      </c>
      <c r="D2548" s="343" t="s">
        <v>5356</v>
      </c>
      <c r="E2548" s="344">
        <v>4700760</v>
      </c>
      <c r="F2548" s="343" t="s">
        <v>5362</v>
      </c>
      <c r="G2548" s="360" t="s">
        <v>11934</v>
      </c>
      <c r="H2548" s="361">
        <v>40665</v>
      </c>
      <c r="I2548" s="343" t="s">
        <v>5363</v>
      </c>
      <c r="J2548" s="343" t="s">
        <v>11935</v>
      </c>
      <c r="K2548" s="343" t="s">
        <v>168</v>
      </c>
    </row>
    <row r="2549" spans="1:11" ht="26.25" customHeight="1">
      <c r="A2549" s="343" t="s">
        <v>1641</v>
      </c>
      <c r="B2549" s="344" t="s">
        <v>162</v>
      </c>
      <c r="C2549" s="344">
        <v>7143</v>
      </c>
      <c r="D2549" s="343" t="s">
        <v>5425</v>
      </c>
      <c r="E2549" s="344">
        <v>3141949</v>
      </c>
      <c r="F2549" s="343" t="s">
        <v>5430</v>
      </c>
      <c r="G2549" s="360" t="s">
        <v>11936</v>
      </c>
      <c r="H2549" s="361">
        <v>40954</v>
      </c>
      <c r="I2549" s="343" t="s">
        <v>366</v>
      </c>
      <c r="J2549" s="343" t="s">
        <v>366</v>
      </c>
      <c r="K2549" s="343" t="s">
        <v>168</v>
      </c>
    </row>
    <row r="2550" spans="1:11" ht="26.25" customHeight="1">
      <c r="A2550" s="343" t="s">
        <v>1641</v>
      </c>
      <c r="B2550" s="344" t="s">
        <v>162</v>
      </c>
      <c r="C2550" s="344">
        <v>7129</v>
      </c>
      <c r="D2550" s="343" t="s">
        <v>5352</v>
      </c>
      <c r="E2550" s="344">
        <v>3893181</v>
      </c>
      <c r="F2550" s="343" t="s">
        <v>5354</v>
      </c>
      <c r="G2550" s="360" t="s">
        <v>11937</v>
      </c>
      <c r="H2550" s="361">
        <v>42108</v>
      </c>
      <c r="I2550" s="343" t="s">
        <v>547</v>
      </c>
      <c r="J2550" s="343" t="s">
        <v>11938</v>
      </c>
      <c r="K2550" s="343" t="s">
        <v>248</v>
      </c>
    </row>
    <row r="2551" spans="1:11" ht="26.25" customHeight="1">
      <c r="A2551" s="343" t="s">
        <v>1641</v>
      </c>
      <c r="B2551" s="344" t="s">
        <v>162</v>
      </c>
      <c r="C2551" s="344">
        <v>7146</v>
      </c>
      <c r="D2551" s="343" t="s">
        <v>5391</v>
      </c>
      <c r="E2551" s="344">
        <v>3885123</v>
      </c>
      <c r="F2551" s="343" t="s">
        <v>5393</v>
      </c>
      <c r="G2551" s="360" t="s">
        <v>11939</v>
      </c>
      <c r="H2551" s="361">
        <v>40977</v>
      </c>
      <c r="I2551" s="343" t="s">
        <v>211</v>
      </c>
      <c r="J2551" s="343" t="s">
        <v>211</v>
      </c>
      <c r="K2551" s="343" t="s">
        <v>168</v>
      </c>
    </row>
    <row r="2552" spans="1:11" ht="26.25" customHeight="1">
      <c r="A2552" s="343" t="s">
        <v>1641</v>
      </c>
      <c r="B2552" s="344" t="s">
        <v>162</v>
      </c>
      <c r="C2552" s="344">
        <v>9115</v>
      </c>
      <c r="D2552" s="343" t="s">
        <v>5394</v>
      </c>
      <c r="E2552" s="344">
        <v>4188205</v>
      </c>
      <c r="F2552" s="343" t="s">
        <v>5395</v>
      </c>
      <c r="G2552" s="360" t="s">
        <v>11940</v>
      </c>
      <c r="H2552" s="361">
        <v>40990</v>
      </c>
      <c r="I2552" s="343" t="s">
        <v>984</v>
      </c>
      <c r="J2552" s="343" t="s">
        <v>9373</v>
      </c>
      <c r="K2552" s="343" t="s">
        <v>168</v>
      </c>
    </row>
    <row r="2553" spans="1:11" ht="26.25" customHeight="1">
      <c r="A2553" s="343" t="s">
        <v>1641</v>
      </c>
      <c r="B2553" s="344" t="s">
        <v>162</v>
      </c>
      <c r="C2553" s="344">
        <v>7126</v>
      </c>
      <c r="D2553" s="343" t="s">
        <v>5316</v>
      </c>
      <c r="E2553" s="344">
        <v>4330745</v>
      </c>
      <c r="F2553" s="343" t="s">
        <v>5320</v>
      </c>
      <c r="G2553" s="360" t="s">
        <v>813</v>
      </c>
      <c r="H2553" s="361">
        <v>40995</v>
      </c>
      <c r="I2553" s="343" t="s">
        <v>193</v>
      </c>
      <c r="J2553" s="343" t="s">
        <v>9871</v>
      </c>
      <c r="K2553" s="343" t="s">
        <v>168</v>
      </c>
    </row>
    <row r="2554" spans="1:11" ht="26.25" customHeight="1">
      <c r="A2554" s="343" t="s">
        <v>1641</v>
      </c>
      <c r="B2554" s="344" t="s">
        <v>162</v>
      </c>
      <c r="C2554" s="344">
        <v>7127</v>
      </c>
      <c r="D2554" s="343" t="s">
        <v>5289</v>
      </c>
      <c r="E2554" s="344">
        <v>4694896</v>
      </c>
      <c r="F2554" s="343" t="s">
        <v>5290</v>
      </c>
      <c r="G2554" s="360" t="s">
        <v>11941</v>
      </c>
      <c r="H2554" s="361">
        <v>41017</v>
      </c>
      <c r="I2554" s="343" t="s">
        <v>211</v>
      </c>
      <c r="J2554" s="343" t="s">
        <v>909</v>
      </c>
      <c r="K2554" s="343" t="s">
        <v>168</v>
      </c>
    </row>
    <row r="2555" spans="1:11" ht="26.25" customHeight="1">
      <c r="A2555" s="343" t="s">
        <v>1641</v>
      </c>
      <c r="B2555" s="344" t="s">
        <v>162</v>
      </c>
      <c r="C2555" s="344">
        <v>11094</v>
      </c>
      <c r="D2555" s="343" t="s">
        <v>5254</v>
      </c>
      <c r="E2555" s="344">
        <v>4750620</v>
      </c>
      <c r="F2555" s="343" t="s">
        <v>5257</v>
      </c>
      <c r="G2555" s="360" t="s">
        <v>11942</v>
      </c>
      <c r="H2555" s="361">
        <v>41214</v>
      </c>
      <c r="I2555" s="343" t="s">
        <v>180</v>
      </c>
      <c r="J2555" s="343" t="s">
        <v>11860</v>
      </c>
      <c r="K2555" s="343" t="s">
        <v>173</v>
      </c>
    </row>
    <row r="2556" spans="1:11" ht="26.25" customHeight="1">
      <c r="A2556" s="343" t="s">
        <v>1641</v>
      </c>
      <c r="B2556" s="344" t="s">
        <v>162</v>
      </c>
      <c r="C2556" s="344">
        <v>7140</v>
      </c>
      <c r="D2556" s="343" t="s">
        <v>5276</v>
      </c>
      <c r="E2556" s="344">
        <v>5150687</v>
      </c>
      <c r="F2556" s="343" t="s">
        <v>5280</v>
      </c>
      <c r="G2556" s="360" t="s">
        <v>11943</v>
      </c>
      <c r="H2556" s="361">
        <v>41158</v>
      </c>
      <c r="I2556" s="343" t="s">
        <v>1182</v>
      </c>
      <c r="J2556" s="343" t="s">
        <v>1330</v>
      </c>
      <c r="K2556" s="343" t="s">
        <v>173</v>
      </c>
    </row>
    <row r="2557" spans="1:11" ht="26.25" customHeight="1">
      <c r="A2557" s="343" t="s">
        <v>1641</v>
      </c>
      <c r="B2557" s="344" t="s">
        <v>162</v>
      </c>
      <c r="C2557" s="344">
        <v>8432</v>
      </c>
      <c r="D2557" s="343" t="s">
        <v>5271</v>
      </c>
      <c r="E2557" s="344">
        <v>4161393</v>
      </c>
      <c r="F2557" s="343" t="s">
        <v>5274</v>
      </c>
      <c r="G2557" s="360" t="s">
        <v>11944</v>
      </c>
      <c r="H2557" s="361">
        <v>41079</v>
      </c>
      <c r="I2557" s="343" t="s">
        <v>5275</v>
      </c>
      <c r="J2557" s="343" t="s">
        <v>11945</v>
      </c>
      <c r="K2557" s="343" t="s">
        <v>168</v>
      </c>
    </row>
    <row r="2558" spans="1:11" ht="26.25" customHeight="1">
      <c r="A2558" s="343" t="s">
        <v>1641</v>
      </c>
      <c r="B2558" s="344" t="s">
        <v>162</v>
      </c>
      <c r="C2558" s="344">
        <v>9433</v>
      </c>
      <c r="D2558" s="343" t="s">
        <v>5410</v>
      </c>
      <c r="E2558" s="344">
        <v>4980773</v>
      </c>
      <c r="F2558" s="343" t="s">
        <v>5414</v>
      </c>
      <c r="G2558" s="360" t="s">
        <v>11946</v>
      </c>
      <c r="H2558" s="361">
        <v>41632</v>
      </c>
      <c r="I2558" s="343" t="s">
        <v>305</v>
      </c>
      <c r="J2558" s="343" t="s">
        <v>11947</v>
      </c>
      <c r="K2558" s="343" t="s">
        <v>168</v>
      </c>
    </row>
    <row r="2559" spans="1:11" ht="26.25" customHeight="1">
      <c r="A2559" s="343" t="s">
        <v>1641</v>
      </c>
      <c r="B2559" s="344" t="s">
        <v>162</v>
      </c>
      <c r="C2559" s="344">
        <v>7126</v>
      </c>
      <c r="D2559" s="343" t="s">
        <v>5316</v>
      </c>
      <c r="E2559" s="344">
        <v>3395672</v>
      </c>
      <c r="F2559" s="343" t="s">
        <v>5321</v>
      </c>
      <c r="G2559" s="360" t="s">
        <v>11948</v>
      </c>
      <c r="H2559" s="361">
        <v>41332</v>
      </c>
      <c r="I2559" s="343" t="s">
        <v>198</v>
      </c>
      <c r="J2559" s="343" t="s">
        <v>198</v>
      </c>
      <c r="K2559" s="343" t="s">
        <v>168</v>
      </c>
    </row>
    <row r="2560" spans="1:11" ht="26.25" customHeight="1">
      <c r="A2560" s="343" t="s">
        <v>1641</v>
      </c>
      <c r="B2560" s="344" t="s">
        <v>162</v>
      </c>
      <c r="C2560" s="344">
        <v>9433</v>
      </c>
      <c r="D2560" s="343" t="s">
        <v>5410</v>
      </c>
      <c r="E2560" s="344">
        <v>4279308</v>
      </c>
      <c r="F2560" s="343" t="s">
        <v>5411</v>
      </c>
      <c r="G2560" s="360" t="s">
        <v>11949</v>
      </c>
      <c r="H2560" s="361">
        <v>41332</v>
      </c>
      <c r="I2560" s="343" t="s">
        <v>3755</v>
      </c>
      <c r="J2560" s="343" t="s">
        <v>11950</v>
      </c>
      <c r="K2560" s="343" t="s">
        <v>168</v>
      </c>
    </row>
    <row r="2561" spans="1:11" ht="26.25" customHeight="1">
      <c r="A2561" s="343" t="s">
        <v>1641</v>
      </c>
      <c r="B2561" s="344" t="s">
        <v>162</v>
      </c>
      <c r="C2561" s="344">
        <v>7119</v>
      </c>
      <c r="D2561" s="343" t="s">
        <v>5337</v>
      </c>
      <c r="E2561" s="344">
        <v>3915787</v>
      </c>
      <c r="F2561" s="343" t="s">
        <v>5339</v>
      </c>
      <c r="G2561" s="360" t="s">
        <v>11951</v>
      </c>
      <c r="H2561" s="361">
        <v>41885</v>
      </c>
      <c r="I2561" s="343" t="s">
        <v>5340</v>
      </c>
      <c r="J2561" s="343" t="s">
        <v>11952</v>
      </c>
      <c r="K2561" s="343" t="s">
        <v>168</v>
      </c>
    </row>
    <row r="2562" spans="1:11" ht="26.25" customHeight="1">
      <c r="A2562" s="343" t="s">
        <v>1641</v>
      </c>
      <c r="B2562" s="344" t="s">
        <v>162</v>
      </c>
      <c r="C2562" s="344">
        <v>7130</v>
      </c>
      <c r="D2562" s="343" t="s">
        <v>5415</v>
      </c>
      <c r="E2562" s="344">
        <v>4561069</v>
      </c>
      <c r="F2562" s="343" t="s">
        <v>5420</v>
      </c>
      <c r="G2562" s="360" t="s">
        <v>11953</v>
      </c>
      <c r="H2562" s="361">
        <v>41872</v>
      </c>
      <c r="I2562" s="343" t="s">
        <v>742</v>
      </c>
      <c r="J2562" s="343" t="s">
        <v>11954</v>
      </c>
      <c r="K2562" s="343" t="s">
        <v>168</v>
      </c>
    </row>
    <row r="2563" spans="1:11" ht="26.25" customHeight="1">
      <c r="A2563" s="343" t="s">
        <v>1641</v>
      </c>
      <c r="B2563" s="344" t="s">
        <v>162</v>
      </c>
      <c r="C2563" s="344">
        <v>7130</v>
      </c>
      <c r="D2563" s="343" t="s">
        <v>5415</v>
      </c>
      <c r="E2563" s="344">
        <v>3571946</v>
      </c>
      <c r="F2563" s="343" t="s">
        <v>5416</v>
      </c>
      <c r="G2563" s="360" t="s">
        <v>11955</v>
      </c>
      <c r="H2563" s="361">
        <v>41565</v>
      </c>
      <c r="I2563" s="343" t="s">
        <v>166</v>
      </c>
      <c r="J2563" s="343" t="s">
        <v>943</v>
      </c>
      <c r="K2563" s="343" t="s">
        <v>168</v>
      </c>
    </row>
    <row r="2564" spans="1:11" ht="26.25" customHeight="1">
      <c r="A2564" s="343" t="s">
        <v>1641</v>
      </c>
      <c r="B2564" s="344" t="s">
        <v>162</v>
      </c>
      <c r="C2564" s="344">
        <v>7126</v>
      </c>
      <c r="D2564" s="343" t="s">
        <v>5316</v>
      </c>
      <c r="E2564" s="344">
        <v>5138218</v>
      </c>
      <c r="F2564" s="343" t="s">
        <v>5323</v>
      </c>
      <c r="G2564" s="360" t="s">
        <v>11956</v>
      </c>
      <c r="H2564" s="361">
        <v>41341</v>
      </c>
      <c r="I2564" s="343" t="s">
        <v>166</v>
      </c>
      <c r="J2564" s="343" t="s">
        <v>11957</v>
      </c>
      <c r="K2564" s="343" t="s">
        <v>168</v>
      </c>
    </row>
    <row r="2565" spans="1:11" ht="26.25" customHeight="1">
      <c r="A2565" s="343" t="s">
        <v>1641</v>
      </c>
      <c r="B2565" s="344" t="s">
        <v>162</v>
      </c>
      <c r="C2565" s="344">
        <v>6777</v>
      </c>
      <c r="D2565" s="343" t="s">
        <v>5439</v>
      </c>
      <c r="E2565" s="344">
        <v>4648455</v>
      </c>
      <c r="F2565" s="343" t="s">
        <v>5445</v>
      </c>
      <c r="G2565" s="360" t="s">
        <v>11958</v>
      </c>
      <c r="H2565" s="361">
        <v>41340</v>
      </c>
      <c r="I2565" s="343" t="s">
        <v>166</v>
      </c>
      <c r="J2565" s="343" t="s">
        <v>943</v>
      </c>
      <c r="K2565" s="343" t="s">
        <v>168</v>
      </c>
    </row>
    <row r="2566" spans="1:11" ht="26.25" customHeight="1">
      <c r="A2566" s="343" t="s">
        <v>1641</v>
      </c>
      <c r="B2566" s="344" t="s">
        <v>162</v>
      </c>
      <c r="C2566" s="344">
        <v>12075</v>
      </c>
      <c r="D2566" s="343" t="s">
        <v>5324</v>
      </c>
      <c r="E2566" s="344">
        <v>4913926</v>
      </c>
      <c r="F2566" s="343" t="s">
        <v>5326</v>
      </c>
      <c r="G2566" s="360" t="s">
        <v>11959</v>
      </c>
      <c r="H2566" s="361">
        <v>41523</v>
      </c>
      <c r="I2566" s="343" t="s">
        <v>5327</v>
      </c>
      <c r="J2566" s="343" t="s">
        <v>11960</v>
      </c>
      <c r="K2566" s="343" t="s">
        <v>248</v>
      </c>
    </row>
    <row r="2567" spans="1:11" ht="26.25" customHeight="1">
      <c r="A2567" s="343" t="s">
        <v>1641</v>
      </c>
      <c r="B2567" s="344" t="s">
        <v>162</v>
      </c>
      <c r="C2567" s="344">
        <v>8441</v>
      </c>
      <c r="D2567" s="343" t="s">
        <v>5396</v>
      </c>
      <c r="E2567" s="344">
        <v>4526648</v>
      </c>
      <c r="F2567" s="343" t="s">
        <v>5400</v>
      </c>
      <c r="G2567" s="360" t="s">
        <v>11961</v>
      </c>
      <c r="H2567" s="361">
        <v>41360</v>
      </c>
      <c r="I2567" s="343" t="s">
        <v>3805</v>
      </c>
      <c r="J2567" s="343" t="s">
        <v>11962</v>
      </c>
      <c r="K2567" s="343" t="s">
        <v>173</v>
      </c>
    </row>
    <row r="2568" spans="1:11" ht="26.25" customHeight="1">
      <c r="A2568" s="343" t="s">
        <v>1641</v>
      </c>
      <c r="B2568" s="344" t="s">
        <v>162</v>
      </c>
      <c r="C2568" s="344">
        <v>7120</v>
      </c>
      <c r="D2568" s="343" t="s">
        <v>5350</v>
      </c>
      <c r="E2568" s="344">
        <v>4735410</v>
      </c>
      <c r="F2568" s="343" t="s">
        <v>1163</v>
      </c>
      <c r="G2568" s="360" t="s">
        <v>11729</v>
      </c>
      <c r="H2568" s="361">
        <v>41367</v>
      </c>
      <c r="I2568" s="343" t="s">
        <v>211</v>
      </c>
      <c r="J2568" s="343" t="s">
        <v>836</v>
      </c>
      <c r="K2568" s="343" t="s">
        <v>168</v>
      </c>
    </row>
    <row r="2569" spans="1:11" ht="26.25" customHeight="1">
      <c r="A2569" s="343" t="s">
        <v>1641</v>
      </c>
      <c r="B2569" s="344" t="s">
        <v>162</v>
      </c>
      <c r="C2569" s="344">
        <v>11094</v>
      </c>
      <c r="D2569" s="343" t="s">
        <v>5254</v>
      </c>
      <c r="E2569" s="344">
        <v>4855048</v>
      </c>
      <c r="F2569" s="343" t="s">
        <v>5259</v>
      </c>
      <c r="G2569" s="360" t="s">
        <v>11963</v>
      </c>
      <c r="H2569" s="361">
        <v>41403</v>
      </c>
      <c r="I2569" s="343" t="s">
        <v>211</v>
      </c>
      <c r="J2569" s="343" t="s">
        <v>211</v>
      </c>
      <c r="K2569" s="343" t="s">
        <v>168</v>
      </c>
    </row>
    <row r="2570" spans="1:11" ht="26.25" customHeight="1">
      <c r="A2570" s="343" t="s">
        <v>1641</v>
      </c>
      <c r="B2570" s="344" t="s">
        <v>162</v>
      </c>
      <c r="C2570" s="344">
        <v>7126</v>
      </c>
      <c r="D2570" s="343" t="s">
        <v>5316</v>
      </c>
      <c r="E2570" s="344">
        <v>5179052</v>
      </c>
      <c r="F2570" s="343" t="s">
        <v>5322</v>
      </c>
      <c r="G2570" s="360" t="s">
        <v>11964</v>
      </c>
      <c r="H2570" s="361">
        <v>41423</v>
      </c>
      <c r="I2570" s="343" t="s">
        <v>802</v>
      </c>
      <c r="J2570" s="343" t="s">
        <v>11965</v>
      </c>
      <c r="K2570" s="343" t="s">
        <v>168</v>
      </c>
    </row>
    <row r="2571" spans="1:11" ht="26.25" customHeight="1">
      <c r="A2571" s="343" t="s">
        <v>1641</v>
      </c>
      <c r="B2571" s="344" t="s">
        <v>162</v>
      </c>
      <c r="C2571" s="344">
        <v>7138</v>
      </c>
      <c r="D2571" s="343" t="s">
        <v>5281</v>
      </c>
      <c r="E2571" s="344">
        <v>4497618</v>
      </c>
      <c r="F2571" s="343" t="s">
        <v>5283</v>
      </c>
      <c r="G2571" s="360" t="s">
        <v>11966</v>
      </c>
      <c r="H2571" s="361">
        <v>41446</v>
      </c>
      <c r="I2571" s="343" t="s">
        <v>366</v>
      </c>
      <c r="J2571" s="343" t="s">
        <v>10263</v>
      </c>
      <c r="K2571" s="343" t="s">
        <v>168</v>
      </c>
    </row>
    <row r="2572" spans="1:11" ht="26.25" customHeight="1">
      <c r="A2572" s="343" t="s">
        <v>1641</v>
      </c>
      <c r="B2572" s="344" t="s">
        <v>162</v>
      </c>
      <c r="C2572" s="344">
        <v>7143</v>
      </c>
      <c r="D2572" s="343" t="s">
        <v>5425</v>
      </c>
      <c r="E2572" s="344">
        <v>3870475</v>
      </c>
      <c r="F2572" s="343" t="s">
        <v>5426</v>
      </c>
      <c r="G2572" s="360" t="s">
        <v>10447</v>
      </c>
      <c r="H2572" s="361">
        <v>41445</v>
      </c>
      <c r="I2572" s="343" t="s">
        <v>5427</v>
      </c>
      <c r="J2572" s="343" t="s">
        <v>11967</v>
      </c>
      <c r="K2572" s="343" t="s">
        <v>168</v>
      </c>
    </row>
    <row r="2573" spans="1:11" ht="26.25" customHeight="1">
      <c r="A2573" s="343" t="s">
        <v>1641</v>
      </c>
      <c r="B2573" s="344" t="s">
        <v>162</v>
      </c>
      <c r="C2573" s="344">
        <v>7130</v>
      </c>
      <c r="D2573" s="343" t="s">
        <v>5415</v>
      </c>
      <c r="E2573" s="344">
        <v>4464959</v>
      </c>
      <c r="F2573" s="343" t="s">
        <v>5423</v>
      </c>
      <c r="G2573" s="360" t="s">
        <v>11968</v>
      </c>
      <c r="H2573" s="361">
        <v>41721</v>
      </c>
      <c r="I2573" s="343" t="s">
        <v>766</v>
      </c>
      <c r="J2573" s="343" t="s">
        <v>11969</v>
      </c>
      <c r="K2573" s="343" t="s">
        <v>168</v>
      </c>
    </row>
    <row r="2574" spans="1:11" ht="26.25" customHeight="1">
      <c r="A2574" s="343" t="s">
        <v>1641</v>
      </c>
      <c r="B2574" s="344" t="s">
        <v>162</v>
      </c>
      <c r="C2574" s="344">
        <v>6777</v>
      </c>
      <c r="D2574" s="343" t="s">
        <v>5439</v>
      </c>
      <c r="E2574" s="344">
        <v>5682204</v>
      </c>
      <c r="F2574" s="343" t="s">
        <v>5447</v>
      </c>
      <c r="G2574" s="360" t="s">
        <v>11970</v>
      </c>
      <c r="H2574" s="361">
        <v>41781</v>
      </c>
      <c r="I2574" s="343" t="s">
        <v>5448</v>
      </c>
      <c r="J2574" s="343" t="s">
        <v>11971</v>
      </c>
      <c r="K2574" s="343" t="s">
        <v>168</v>
      </c>
    </row>
    <row r="2575" spans="1:11" ht="26.25" customHeight="1">
      <c r="A2575" s="343" t="s">
        <v>1641</v>
      </c>
      <c r="B2575" s="344" t="s">
        <v>162</v>
      </c>
      <c r="C2575" s="344">
        <v>7138</v>
      </c>
      <c r="D2575" s="343" t="s">
        <v>5281</v>
      </c>
      <c r="E2575" s="344">
        <v>5833062</v>
      </c>
      <c r="F2575" s="343" t="s">
        <v>5286</v>
      </c>
      <c r="G2575" s="360" t="s">
        <v>11972</v>
      </c>
      <c r="H2575" s="361">
        <v>41774</v>
      </c>
      <c r="I2575" s="343" t="s">
        <v>198</v>
      </c>
      <c r="J2575" s="343" t="s">
        <v>577</v>
      </c>
      <c r="K2575" s="343" t="s">
        <v>168</v>
      </c>
    </row>
    <row r="2576" spans="1:11" ht="26.25" customHeight="1">
      <c r="A2576" s="343" t="s">
        <v>1641</v>
      </c>
      <c r="B2576" s="344" t="s">
        <v>162</v>
      </c>
      <c r="C2576" s="344">
        <v>7120</v>
      </c>
      <c r="D2576" s="343" t="s">
        <v>5350</v>
      </c>
      <c r="E2576" s="344">
        <v>4582876</v>
      </c>
      <c r="F2576" s="343" t="s">
        <v>5351</v>
      </c>
      <c r="G2576" s="360" t="s">
        <v>11973</v>
      </c>
      <c r="H2576" s="361">
        <v>41774</v>
      </c>
      <c r="I2576" s="343" t="s">
        <v>984</v>
      </c>
      <c r="J2576" s="343" t="s">
        <v>11974</v>
      </c>
      <c r="K2576" s="343" t="s">
        <v>168</v>
      </c>
    </row>
    <row r="2577" spans="1:11" ht="26.25" customHeight="1">
      <c r="A2577" s="343" t="s">
        <v>1641</v>
      </c>
      <c r="B2577" s="344" t="s">
        <v>162</v>
      </c>
      <c r="C2577" s="344">
        <v>6777</v>
      </c>
      <c r="D2577" s="343" t="s">
        <v>5439</v>
      </c>
      <c r="E2577" s="344">
        <v>5710064</v>
      </c>
      <c r="F2577" s="343" t="s">
        <v>5440</v>
      </c>
      <c r="G2577" s="360" t="s">
        <v>11975</v>
      </c>
      <c r="H2577" s="361">
        <v>41771</v>
      </c>
      <c r="I2577" s="343" t="s">
        <v>166</v>
      </c>
      <c r="J2577" s="343" t="s">
        <v>167</v>
      </c>
      <c r="K2577" s="343" t="s">
        <v>168</v>
      </c>
    </row>
    <row r="2578" spans="1:11" ht="26.25" customHeight="1">
      <c r="A2578" s="343" t="s">
        <v>1641</v>
      </c>
      <c r="B2578" s="344" t="s">
        <v>162</v>
      </c>
      <c r="C2578" s="344">
        <v>7138</v>
      </c>
      <c r="D2578" s="343" t="s">
        <v>5281</v>
      </c>
      <c r="E2578" s="344">
        <v>4684031</v>
      </c>
      <c r="F2578" s="343" t="s">
        <v>5282</v>
      </c>
      <c r="G2578" s="360" t="s">
        <v>11976</v>
      </c>
      <c r="H2578" s="361">
        <v>41724</v>
      </c>
      <c r="I2578" s="343" t="s">
        <v>261</v>
      </c>
      <c r="J2578" s="343" t="s">
        <v>11977</v>
      </c>
      <c r="K2578" s="343" t="s">
        <v>168</v>
      </c>
    </row>
    <row r="2579" spans="1:11" ht="26.25" customHeight="1">
      <c r="A2579" s="343" t="s">
        <v>1641</v>
      </c>
      <c r="B2579" s="344" t="s">
        <v>162</v>
      </c>
      <c r="C2579" s="344">
        <v>7645</v>
      </c>
      <c r="D2579" s="343" t="s">
        <v>5222</v>
      </c>
      <c r="E2579" s="344">
        <v>5803000</v>
      </c>
      <c r="F2579" s="343" t="s">
        <v>5223</v>
      </c>
      <c r="G2579" s="360" t="s">
        <v>11978</v>
      </c>
      <c r="H2579" s="361">
        <v>41758</v>
      </c>
      <c r="I2579" s="343" t="s">
        <v>465</v>
      </c>
      <c r="J2579" s="343" t="s">
        <v>11979</v>
      </c>
      <c r="K2579" s="343" t="s">
        <v>168</v>
      </c>
    </row>
    <row r="2580" spans="1:11" ht="26.25" customHeight="1">
      <c r="A2580" s="343" t="s">
        <v>1641</v>
      </c>
      <c r="B2580" s="344" t="s">
        <v>162</v>
      </c>
      <c r="C2580" s="344">
        <v>7136</v>
      </c>
      <c r="D2580" s="343" t="s">
        <v>5328</v>
      </c>
      <c r="E2580" s="344">
        <v>5212574</v>
      </c>
      <c r="F2580" s="343" t="s">
        <v>5335</v>
      </c>
      <c r="G2580" s="360" t="s">
        <v>9959</v>
      </c>
      <c r="H2580" s="361">
        <v>41743</v>
      </c>
      <c r="I2580" s="343" t="s">
        <v>166</v>
      </c>
      <c r="J2580" s="343" t="s">
        <v>167</v>
      </c>
      <c r="K2580" s="343" t="s">
        <v>168</v>
      </c>
    </row>
    <row r="2581" spans="1:11" ht="26.25" customHeight="1">
      <c r="A2581" s="343" t="s">
        <v>1641</v>
      </c>
      <c r="B2581" s="344" t="s">
        <v>162</v>
      </c>
      <c r="C2581" s="344">
        <v>7130</v>
      </c>
      <c r="D2581" s="343" t="s">
        <v>5415</v>
      </c>
      <c r="E2581" s="344">
        <v>5139638</v>
      </c>
      <c r="F2581" s="343" t="s">
        <v>5418</v>
      </c>
      <c r="G2581" s="360" t="s">
        <v>11980</v>
      </c>
      <c r="H2581" s="361">
        <v>41740</v>
      </c>
      <c r="I2581" s="343" t="s">
        <v>166</v>
      </c>
      <c r="J2581" s="343" t="s">
        <v>167</v>
      </c>
      <c r="K2581" s="343" t="s">
        <v>168</v>
      </c>
    </row>
    <row r="2582" spans="1:11" ht="26.25" customHeight="1">
      <c r="A2582" s="343" t="s">
        <v>1641</v>
      </c>
      <c r="B2582" s="344" t="s">
        <v>162</v>
      </c>
      <c r="C2582" s="344">
        <v>8998</v>
      </c>
      <c r="D2582" s="343" t="s">
        <v>5436</v>
      </c>
      <c r="E2582" s="344">
        <v>5074108</v>
      </c>
      <c r="F2582" s="343" t="s">
        <v>5437</v>
      </c>
      <c r="G2582" s="360" t="s">
        <v>11981</v>
      </c>
      <c r="H2582" s="361">
        <v>41137</v>
      </c>
      <c r="I2582" s="343" t="s">
        <v>180</v>
      </c>
      <c r="J2582" s="343" t="s">
        <v>11982</v>
      </c>
      <c r="K2582" s="343" t="s">
        <v>168</v>
      </c>
    </row>
    <row r="2583" spans="1:11" ht="26.25" customHeight="1">
      <c r="A2583" s="343" t="s">
        <v>1641</v>
      </c>
      <c r="B2583" s="344" t="s">
        <v>162</v>
      </c>
      <c r="C2583" s="344">
        <v>7125</v>
      </c>
      <c r="D2583" s="343" t="s">
        <v>5356</v>
      </c>
      <c r="E2583" s="344">
        <v>4587307</v>
      </c>
      <c r="F2583" s="343" t="s">
        <v>5364</v>
      </c>
      <c r="G2583" s="360" t="s">
        <v>10377</v>
      </c>
      <c r="H2583" s="361">
        <v>41731</v>
      </c>
      <c r="I2583" s="343" t="s">
        <v>780</v>
      </c>
      <c r="J2583" s="343" t="s">
        <v>780</v>
      </c>
      <c r="K2583" s="343" t="s">
        <v>168</v>
      </c>
    </row>
    <row r="2584" spans="1:11" ht="26.25" customHeight="1">
      <c r="A2584" s="343" t="s">
        <v>1641</v>
      </c>
      <c r="B2584" s="344" t="s">
        <v>162</v>
      </c>
      <c r="C2584" s="344">
        <v>7125</v>
      </c>
      <c r="D2584" s="343" t="s">
        <v>5356</v>
      </c>
      <c r="E2584" s="344">
        <v>6546815</v>
      </c>
      <c r="F2584" s="343" t="s">
        <v>5357</v>
      </c>
      <c r="G2584" s="360" t="s">
        <v>11983</v>
      </c>
      <c r="H2584" s="361">
        <v>42744</v>
      </c>
      <c r="I2584" s="343" t="s">
        <v>166</v>
      </c>
      <c r="J2584" s="343" t="s">
        <v>682</v>
      </c>
      <c r="K2584" s="343" t="s">
        <v>168</v>
      </c>
    </row>
    <row r="2585" spans="1:11" ht="26.25" customHeight="1">
      <c r="A2585" s="343" t="s">
        <v>1641</v>
      </c>
      <c r="B2585" s="344" t="s">
        <v>162</v>
      </c>
      <c r="C2585" s="344">
        <v>7608</v>
      </c>
      <c r="D2585" s="343" t="s">
        <v>5182</v>
      </c>
      <c r="E2585" s="344">
        <v>6352526</v>
      </c>
      <c r="F2585" s="343" t="s">
        <v>5183</v>
      </c>
      <c r="G2585" s="360" t="s">
        <v>10174</v>
      </c>
      <c r="H2585" s="361">
        <v>42745</v>
      </c>
      <c r="I2585" s="343" t="s">
        <v>193</v>
      </c>
      <c r="J2585" s="343" t="s">
        <v>637</v>
      </c>
      <c r="K2585" s="343" t="s">
        <v>168</v>
      </c>
    </row>
    <row r="2586" spans="1:11" ht="26.25" customHeight="1">
      <c r="A2586" s="343" t="s">
        <v>1641</v>
      </c>
      <c r="B2586" s="344" t="s">
        <v>162</v>
      </c>
      <c r="C2586" s="344">
        <v>7137</v>
      </c>
      <c r="D2586" s="343" t="s">
        <v>5298</v>
      </c>
      <c r="E2586" s="344">
        <v>6565296</v>
      </c>
      <c r="F2586" s="343" t="s">
        <v>5301</v>
      </c>
      <c r="G2586" s="360" t="s">
        <v>9802</v>
      </c>
      <c r="H2586" s="361">
        <v>42746</v>
      </c>
      <c r="I2586" s="343" t="s">
        <v>166</v>
      </c>
      <c r="J2586" s="343" t="s">
        <v>296</v>
      </c>
      <c r="K2586" s="343" t="s">
        <v>168</v>
      </c>
    </row>
    <row r="2587" spans="1:11" ht="26.25" customHeight="1">
      <c r="A2587" s="343" t="s">
        <v>1641</v>
      </c>
      <c r="B2587" s="344" t="s">
        <v>162</v>
      </c>
      <c r="C2587" s="344">
        <v>11095</v>
      </c>
      <c r="D2587" s="343" t="s">
        <v>5261</v>
      </c>
      <c r="E2587" s="344">
        <v>6366152</v>
      </c>
      <c r="F2587" s="343" t="s">
        <v>5262</v>
      </c>
      <c r="G2587" s="360" t="s">
        <v>1400</v>
      </c>
      <c r="H2587" s="361">
        <v>42752</v>
      </c>
      <c r="I2587" s="343" t="s">
        <v>580</v>
      </c>
      <c r="J2587" s="343" t="s">
        <v>11984</v>
      </c>
      <c r="K2587" s="343" t="s">
        <v>248</v>
      </c>
    </row>
    <row r="2588" spans="1:11" ht="26.25" customHeight="1">
      <c r="A2588" s="343" t="s">
        <v>1641</v>
      </c>
      <c r="B2588" s="344" t="s">
        <v>162</v>
      </c>
      <c r="C2588" s="344">
        <v>7141</v>
      </c>
      <c r="D2588" s="343" t="s">
        <v>5376</v>
      </c>
      <c r="E2588" s="344">
        <v>5624160</v>
      </c>
      <c r="F2588" s="343" t="s">
        <v>5378</v>
      </c>
      <c r="G2588" s="360" t="s">
        <v>11985</v>
      </c>
      <c r="H2588" s="361">
        <v>42761</v>
      </c>
      <c r="I2588" s="343" t="s">
        <v>366</v>
      </c>
      <c r="J2588" s="343" t="s">
        <v>366</v>
      </c>
      <c r="K2588" s="343" t="s">
        <v>168</v>
      </c>
    </row>
    <row r="2589" spans="1:11" ht="26.25" customHeight="1">
      <c r="A2589" s="343" t="s">
        <v>1641</v>
      </c>
      <c r="B2589" s="344" t="s">
        <v>162</v>
      </c>
      <c r="C2589" s="344">
        <v>6794</v>
      </c>
      <c r="D2589" s="343" t="s">
        <v>5534</v>
      </c>
      <c r="E2589" s="344">
        <v>6246655</v>
      </c>
      <c r="F2589" s="343" t="s">
        <v>5536</v>
      </c>
      <c r="G2589" s="360" t="s">
        <v>10017</v>
      </c>
      <c r="H2589" s="361">
        <v>42766</v>
      </c>
      <c r="I2589" s="343" t="s">
        <v>166</v>
      </c>
      <c r="J2589" s="343" t="s">
        <v>11986</v>
      </c>
      <c r="K2589" s="343" t="s">
        <v>168</v>
      </c>
    </row>
    <row r="2590" spans="1:11" ht="26.25" customHeight="1">
      <c r="A2590" s="343" t="s">
        <v>1641</v>
      </c>
      <c r="B2590" s="344" t="s">
        <v>162</v>
      </c>
      <c r="C2590" s="344">
        <v>7136</v>
      </c>
      <c r="D2590" s="343" t="s">
        <v>5328</v>
      </c>
      <c r="E2590" s="344">
        <v>6142165</v>
      </c>
      <c r="F2590" s="343" t="s">
        <v>5329</v>
      </c>
      <c r="G2590" s="360" t="s">
        <v>11987</v>
      </c>
      <c r="H2590" s="361">
        <v>42766</v>
      </c>
      <c r="I2590" s="343" t="s">
        <v>211</v>
      </c>
      <c r="J2590" s="343" t="s">
        <v>211</v>
      </c>
      <c r="K2590" s="343" t="s">
        <v>168</v>
      </c>
    </row>
    <row r="2591" spans="1:11" ht="26.25" customHeight="1">
      <c r="A2591" s="343" t="s">
        <v>1641</v>
      </c>
      <c r="B2591" s="344" t="s">
        <v>162</v>
      </c>
      <c r="C2591" s="344">
        <v>7635</v>
      </c>
      <c r="D2591" s="343" t="s">
        <v>5226</v>
      </c>
      <c r="E2591" s="344">
        <v>6401986</v>
      </c>
      <c r="F2591" s="343" t="s">
        <v>5228</v>
      </c>
      <c r="G2591" s="360" t="s">
        <v>11988</v>
      </c>
      <c r="H2591" s="361">
        <v>42773</v>
      </c>
      <c r="I2591" s="343" t="s">
        <v>166</v>
      </c>
      <c r="J2591" s="343" t="s">
        <v>10417</v>
      </c>
      <c r="K2591" s="343" t="s">
        <v>248</v>
      </c>
    </row>
    <row r="2592" spans="1:11" ht="26.25" customHeight="1">
      <c r="A2592" s="343" t="s">
        <v>1641</v>
      </c>
      <c r="B2592" s="344" t="s">
        <v>162</v>
      </c>
      <c r="C2592" s="344">
        <v>6794</v>
      </c>
      <c r="D2592" s="343" t="s">
        <v>5534</v>
      </c>
      <c r="E2592" s="344">
        <v>5956175</v>
      </c>
      <c r="F2592" s="343" t="s">
        <v>5535</v>
      </c>
      <c r="G2592" s="360" t="s">
        <v>1077</v>
      </c>
      <c r="H2592" s="361">
        <v>42773</v>
      </c>
      <c r="I2592" s="343" t="s">
        <v>166</v>
      </c>
      <c r="J2592" s="343" t="s">
        <v>327</v>
      </c>
      <c r="K2592" s="343" t="s">
        <v>168</v>
      </c>
    </row>
    <row r="2593" spans="1:11" ht="26.25" customHeight="1">
      <c r="A2593" s="343" t="s">
        <v>1641</v>
      </c>
      <c r="B2593" s="344" t="s">
        <v>162</v>
      </c>
      <c r="C2593" s="344">
        <v>7136</v>
      </c>
      <c r="D2593" s="343" t="s">
        <v>5328</v>
      </c>
      <c r="E2593" s="344">
        <v>5647566</v>
      </c>
      <c r="F2593" s="343" t="s">
        <v>5334</v>
      </c>
      <c r="G2593" s="360" t="s">
        <v>1469</v>
      </c>
      <c r="H2593" s="361">
        <v>42773</v>
      </c>
      <c r="I2593" s="343" t="s">
        <v>211</v>
      </c>
      <c r="J2593" s="343" t="s">
        <v>211</v>
      </c>
      <c r="K2593" s="343" t="s">
        <v>168</v>
      </c>
    </row>
    <row r="2594" spans="1:11" ht="26.25" customHeight="1">
      <c r="A2594" s="343" t="s">
        <v>1641</v>
      </c>
      <c r="B2594" s="344" t="s">
        <v>162</v>
      </c>
      <c r="C2594" s="344">
        <v>6774</v>
      </c>
      <c r="D2594" s="343" t="s">
        <v>5548</v>
      </c>
      <c r="E2594" s="344">
        <v>6018279</v>
      </c>
      <c r="F2594" s="343" t="s">
        <v>5551</v>
      </c>
      <c r="G2594" s="360" t="s">
        <v>11989</v>
      </c>
      <c r="H2594" s="361">
        <v>42779</v>
      </c>
      <c r="I2594" s="343" t="s">
        <v>166</v>
      </c>
      <c r="J2594" s="343" t="s">
        <v>327</v>
      </c>
      <c r="K2594" s="343" t="s">
        <v>168</v>
      </c>
    </row>
    <row r="2595" spans="1:11" ht="26.25" customHeight="1">
      <c r="A2595" s="343" t="s">
        <v>1641</v>
      </c>
      <c r="B2595" s="344" t="s">
        <v>162</v>
      </c>
      <c r="C2595" s="344">
        <v>6787</v>
      </c>
      <c r="D2595" s="343" t="s">
        <v>7042</v>
      </c>
      <c r="E2595" s="344">
        <v>6175985</v>
      </c>
      <c r="F2595" s="343" t="s">
        <v>5470</v>
      </c>
      <c r="G2595" s="360" t="s">
        <v>10064</v>
      </c>
      <c r="H2595" s="361">
        <v>42779</v>
      </c>
      <c r="I2595" s="343" t="s">
        <v>301</v>
      </c>
      <c r="J2595" s="343" t="s">
        <v>1113</v>
      </c>
      <c r="K2595" s="343" t="s">
        <v>168</v>
      </c>
    </row>
    <row r="2596" spans="1:11" ht="26.25" customHeight="1">
      <c r="A2596" s="343" t="s">
        <v>1641</v>
      </c>
      <c r="B2596" s="344" t="s">
        <v>162</v>
      </c>
      <c r="C2596" s="344">
        <v>6786</v>
      </c>
      <c r="D2596" s="343" t="s">
        <v>5556</v>
      </c>
      <c r="E2596" s="344">
        <v>5848649</v>
      </c>
      <c r="F2596" s="343" t="s">
        <v>5557</v>
      </c>
      <c r="G2596" s="360" t="s">
        <v>11990</v>
      </c>
      <c r="H2596" s="361">
        <v>42789</v>
      </c>
      <c r="I2596" s="343" t="s">
        <v>193</v>
      </c>
      <c r="J2596" s="343" t="s">
        <v>194</v>
      </c>
      <c r="K2596" s="343" t="s">
        <v>168</v>
      </c>
    </row>
    <row r="2597" spans="1:11" ht="26.25" customHeight="1">
      <c r="A2597" s="343" t="s">
        <v>1641</v>
      </c>
      <c r="B2597" s="344" t="s">
        <v>162</v>
      </c>
      <c r="C2597" s="344">
        <v>6772</v>
      </c>
      <c r="D2597" s="343" t="s">
        <v>5456</v>
      </c>
      <c r="E2597" s="344">
        <v>6452163</v>
      </c>
      <c r="F2597" s="343" t="s">
        <v>5457</v>
      </c>
      <c r="G2597" s="360" t="s">
        <v>10915</v>
      </c>
      <c r="H2597" s="361">
        <v>42789</v>
      </c>
      <c r="I2597" s="343" t="s">
        <v>193</v>
      </c>
      <c r="J2597" s="343" t="s">
        <v>1089</v>
      </c>
      <c r="K2597" s="343" t="s">
        <v>168</v>
      </c>
    </row>
    <row r="2598" spans="1:11" ht="26.25" customHeight="1">
      <c r="A2598" s="343" t="s">
        <v>1641</v>
      </c>
      <c r="B2598" s="344" t="s">
        <v>162</v>
      </c>
      <c r="C2598" s="344">
        <v>6773</v>
      </c>
      <c r="D2598" s="343" t="s">
        <v>5573</v>
      </c>
      <c r="E2598" s="344">
        <v>6221562</v>
      </c>
      <c r="F2598" s="343" t="s">
        <v>5578</v>
      </c>
      <c r="G2598" s="360" t="s">
        <v>9639</v>
      </c>
      <c r="H2598" s="361">
        <v>42789</v>
      </c>
      <c r="I2598" s="343" t="s">
        <v>193</v>
      </c>
      <c r="J2598" s="343" t="s">
        <v>194</v>
      </c>
      <c r="K2598" s="343" t="s">
        <v>168</v>
      </c>
    </row>
    <row r="2599" spans="1:11" ht="26.25" customHeight="1">
      <c r="A2599" s="343" t="s">
        <v>1641</v>
      </c>
      <c r="B2599" s="344" t="s">
        <v>162</v>
      </c>
      <c r="C2599" s="344">
        <v>7119</v>
      </c>
      <c r="D2599" s="343" t="s">
        <v>5337</v>
      </c>
      <c r="E2599" s="344">
        <v>4938105</v>
      </c>
      <c r="F2599" s="343" t="s">
        <v>5338</v>
      </c>
      <c r="G2599" s="360" t="s">
        <v>11991</v>
      </c>
      <c r="H2599" s="361">
        <v>42789</v>
      </c>
      <c r="I2599" s="343" t="s">
        <v>193</v>
      </c>
      <c r="J2599" s="343" t="s">
        <v>194</v>
      </c>
      <c r="K2599" s="343" t="s">
        <v>168</v>
      </c>
    </row>
    <row r="2600" spans="1:11" ht="26.25" customHeight="1">
      <c r="A2600" s="343" t="s">
        <v>1641</v>
      </c>
      <c r="B2600" s="344" t="s">
        <v>162</v>
      </c>
      <c r="C2600" s="344">
        <v>7118</v>
      </c>
      <c r="D2600" s="343" t="s">
        <v>5381</v>
      </c>
      <c r="E2600" s="344">
        <v>5754818</v>
      </c>
      <c r="F2600" s="343" t="s">
        <v>5389</v>
      </c>
      <c r="G2600" s="360" t="s">
        <v>10907</v>
      </c>
      <c r="H2600" s="361">
        <v>42789</v>
      </c>
      <c r="I2600" s="343" t="s">
        <v>193</v>
      </c>
      <c r="J2600" s="343" t="s">
        <v>194</v>
      </c>
      <c r="K2600" s="343" t="s">
        <v>168</v>
      </c>
    </row>
    <row r="2601" spans="1:11" ht="26.25" customHeight="1">
      <c r="A2601" s="343" t="s">
        <v>1641</v>
      </c>
      <c r="B2601" s="344" t="s">
        <v>162</v>
      </c>
      <c r="C2601" s="344">
        <v>8571</v>
      </c>
      <c r="D2601" s="343" t="s">
        <v>5526</v>
      </c>
      <c r="E2601" s="344">
        <v>6207615</v>
      </c>
      <c r="F2601" s="343" t="s">
        <v>5527</v>
      </c>
      <c r="G2601" s="360" t="s">
        <v>10445</v>
      </c>
      <c r="H2601" s="361">
        <v>42789</v>
      </c>
      <c r="I2601" s="343" t="s">
        <v>193</v>
      </c>
      <c r="J2601" s="343" t="s">
        <v>194</v>
      </c>
      <c r="K2601" s="343" t="s">
        <v>168</v>
      </c>
    </row>
    <row r="2602" spans="1:11" ht="26.25" customHeight="1">
      <c r="A2602" s="343" t="s">
        <v>1641</v>
      </c>
      <c r="B2602" s="344" t="s">
        <v>162</v>
      </c>
      <c r="C2602" s="344">
        <v>9385</v>
      </c>
      <c r="D2602" s="343" t="s">
        <v>5544</v>
      </c>
      <c r="E2602" s="344">
        <v>5870183</v>
      </c>
      <c r="F2602" s="343" t="s">
        <v>5547</v>
      </c>
      <c r="G2602" s="360" t="s">
        <v>1473</v>
      </c>
      <c r="H2602" s="361">
        <v>42789</v>
      </c>
      <c r="I2602" s="343" t="s">
        <v>166</v>
      </c>
      <c r="J2602" s="343" t="s">
        <v>296</v>
      </c>
      <c r="K2602" s="343" t="s">
        <v>168</v>
      </c>
    </row>
    <row r="2603" spans="1:11" ht="26.25" customHeight="1">
      <c r="A2603" s="343" t="s">
        <v>1641</v>
      </c>
      <c r="B2603" s="344" t="s">
        <v>162</v>
      </c>
      <c r="C2603" s="344">
        <v>7119</v>
      </c>
      <c r="D2603" s="343" t="s">
        <v>5337</v>
      </c>
      <c r="E2603" s="344">
        <v>4965676</v>
      </c>
      <c r="F2603" s="343" t="s">
        <v>5341</v>
      </c>
      <c r="G2603" s="360" t="s">
        <v>11992</v>
      </c>
      <c r="H2603" s="361">
        <v>42790</v>
      </c>
      <c r="I2603" s="343" t="s">
        <v>187</v>
      </c>
      <c r="J2603" s="343" t="s">
        <v>187</v>
      </c>
      <c r="K2603" s="343" t="s">
        <v>168</v>
      </c>
    </row>
    <row r="2604" spans="1:11" ht="26.25" customHeight="1">
      <c r="A2604" s="343" t="s">
        <v>1641</v>
      </c>
      <c r="B2604" s="344" t="s">
        <v>162</v>
      </c>
      <c r="C2604" s="344">
        <v>6774</v>
      </c>
      <c r="D2604" s="343" t="s">
        <v>5548</v>
      </c>
      <c r="E2604" s="344">
        <v>5867317</v>
      </c>
      <c r="F2604" s="343" t="s">
        <v>5552</v>
      </c>
      <c r="G2604" s="360" t="s">
        <v>10949</v>
      </c>
      <c r="H2604" s="361">
        <v>42790</v>
      </c>
      <c r="I2604" s="343" t="s">
        <v>5553</v>
      </c>
      <c r="J2604" s="343" t="s">
        <v>11993</v>
      </c>
      <c r="K2604" s="343" t="s">
        <v>168</v>
      </c>
    </row>
    <row r="2605" spans="1:11" ht="26.25" customHeight="1">
      <c r="A2605" s="343" t="s">
        <v>1641</v>
      </c>
      <c r="B2605" s="344" t="s">
        <v>162</v>
      </c>
      <c r="C2605" s="344">
        <v>7644</v>
      </c>
      <c r="D2605" s="343" t="s">
        <v>5210</v>
      </c>
      <c r="E2605" s="344">
        <v>6079282</v>
      </c>
      <c r="F2605" s="343" t="s">
        <v>5220</v>
      </c>
      <c r="G2605" s="360" t="s">
        <v>11994</v>
      </c>
      <c r="H2605" s="361">
        <v>42790</v>
      </c>
      <c r="I2605" s="343" t="s">
        <v>301</v>
      </c>
      <c r="J2605" s="343" t="s">
        <v>1113</v>
      </c>
      <c r="K2605" s="343" t="s">
        <v>168</v>
      </c>
    </row>
    <row r="2606" spans="1:11" ht="26.25" customHeight="1">
      <c r="A2606" s="343" t="s">
        <v>1641</v>
      </c>
      <c r="B2606" s="344" t="s">
        <v>162</v>
      </c>
      <c r="C2606" s="344">
        <v>7607</v>
      </c>
      <c r="D2606" s="343" t="s">
        <v>5198</v>
      </c>
      <c r="E2606" s="344">
        <v>6509203</v>
      </c>
      <c r="F2606" s="343" t="s">
        <v>5199</v>
      </c>
      <c r="G2606" s="360" t="s">
        <v>9989</v>
      </c>
      <c r="H2606" s="361">
        <v>42790</v>
      </c>
      <c r="I2606" s="343" t="s">
        <v>166</v>
      </c>
      <c r="J2606" s="343" t="s">
        <v>265</v>
      </c>
      <c r="K2606" s="343" t="s">
        <v>168</v>
      </c>
    </row>
    <row r="2607" spans="1:11" ht="26.25" customHeight="1">
      <c r="A2607" s="343" t="s">
        <v>1641</v>
      </c>
      <c r="B2607" s="344" t="s">
        <v>162</v>
      </c>
      <c r="C2607" s="344">
        <v>6769</v>
      </c>
      <c r="D2607" s="343" t="s">
        <v>5492</v>
      </c>
      <c r="E2607" s="344">
        <v>5933033</v>
      </c>
      <c r="F2607" s="343" t="s">
        <v>5497</v>
      </c>
      <c r="G2607" s="360" t="s">
        <v>11995</v>
      </c>
      <c r="H2607" s="361">
        <v>42790</v>
      </c>
      <c r="I2607" s="343" t="s">
        <v>5498</v>
      </c>
      <c r="J2607" s="343" t="s">
        <v>11996</v>
      </c>
      <c r="K2607" s="343" t="s">
        <v>168</v>
      </c>
    </row>
    <row r="2608" spans="1:11" ht="26.25" customHeight="1">
      <c r="A2608" s="343" t="s">
        <v>1641</v>
      </c>
      <c r="B2608" s="344" t="s">
        <v>162</v>
      </c>
      <c r="C2608" s="344">
        <v>6785</v>
      </c>
      <c r="D2608" s="343" t="s">
        <v>5450</v>
      </c>
      <c r="E2608" s="344">
        <v>6774065</v>
      </c>
      <c r="F2608" s="343" t="s">
        <v>5452</v>
      </c>
      <c r="G2608" s="360" t="s">
        <v>9599</v>
      </c>
      <c r="H2608" s="361">
        <v>42790</v>
      </c>
      <c r="I2608" s="343" t="s">
        <v>5453</v>
      </c>
      <c r="J2608" s="343" t="s">
        <v>11997</v>
      </c>
      <c r="K2608" s="343" t="s">
        <v>173</v>
      </c>
    </row>
    <row r="2609" spans="1:11" ht="26.25" customHeight="1">
      <c r="A2609" s="343" t="s">
        <v>1641</v>
      </c>
      <c r="B2609" s="344" t="s">
        <v>162</v>
      </c>
      <c r="C2609" s="344">
        <v>7638</v>
      </c>
      <c r="D2609" s="343" t="s">
        <v>5235</v>
      </c>
      <c r="E2609" s="344">
        <v>6326102</v>
      </c>
      <c r="F2609" s="343" t="s">
        <v>5237</v>
      </c>
      <c r="G2609" s="360" t="s">
        <v>11998</v>
      </c>
      <c r="H2609" s="361">
        <v>42790</v>
      </c>
      <c r="I2609" s="343" t="s">
        <v>366</v>
      </c>
      <c r="J2609" s="343" t="s">
        <v>366</v>
      </c>
      <c r="K2609" s="343" t="s">
        <v>168</v>
      </c>
    </row>
    <row r="2610" spans="1:11" ht="26.25" customHeight="1">
      <c r="A2610" s="343" t="s">
        <v>1641</v>
      </c>
      <c r="B2610" s="344" t="s">
        <v>162</v>
      </c>
      <c r="C2610" s="344">
        <v>7144</v>
      </c>
      <c r="D2610" s="343" t="s">
        <v>5368</v>
      </c>
      <c r="E2610" s="344">
        <v>5187205</v>
      </c>
      <c r="F2610" s="343" t="s">
        <v>5370</v>
      </c>
      <c r="G2610" s="360" t="s">
        <v>10867</v>
      </c>
      <c r="H2610" s="361">
        <v>42790</v>
      </c>
      <c r="I2610" s="343" t="s">
        <v>198</v>
      </c>
      <c r="J2610" s="343" t="s">
        <v>198</v>
      </c>
      <c r="K2610" s="343" t="s">
        <v>168</v>
      </c>
    </row>
    <row r="2611" spans="1:11" ht="26.25" customHeight="1">
      <c r="A2611" s="343" t="s">
        <v>1641</v>
      </c>
      <c r="B2611" s="344" t="s">
        <v>162</v>
      </c>
      <c r="C2611" s="344">
        <v>7136</v>
      </c>
      <c r="D2611" s="343" t="s">
        <v>5328</v>
      </c>
      <c r="E2611" s="344">
        <v>4950956</v>
      </c>
      <c r="F2611" s="343" t="s">
        <v>5336</v>
      </c>
      <c r="G2611" s="360" t="s">
        <v>11999</v>
      </c>
      <c r="H2611" s="361">
        <v>42790</v>
      </c>
      <c r="I2611" s="343" t="s">
        <v>211</v>
      </c>
      <c r="J2611" s="343" t="s">
        <v>909</v>
      </c>
      <c r="K2611" s="343" t="s">
        <v>168</v>
      </c>
    </row>
    <row r="2612" spans="1:11" ht="26.25" customHeight="1">
      <c r="A2612" s="343" t="s">
        <v>1641</v>
      </c>
      <c r="B2612" s="344" t="s">
        <v>162</v>
      </c>
      <c r="C2612" s="344">
        <v>6784</v>
      </c>
      <c r="D2612" s="343" t="s">
        <v>5537</v>
      </c>
      <c r="E2612" s="344">
        <v>6260189</v>
      </c>
      <c r="F2612" s="343" t="s">
        <v>5539</v>
      </c>
      <c r="G2612" s="360" t="s">
        <v>11978</v>
      </c>
      <c r="H2612" s="361">
        <v>42800</v>
      </c>
      <c r="I2612" s="343" t="s">
        <v>198</v>
      </c>
      <c r="J2612" s="343" t="s">
        <v>198</v>
      </c>
      <c r="K2612" s="343" t="s">
        <v>168</v>
      </c>
    </row>
    <row r="2613" spans="1:11" ht="26.25" customHeight="1">
      <c r="A2613" s="343" t="s">
        <v>1641</v>
      </c>
      <c r="B2613" s="344" t="s">
        <v>162</v>
      </c>
      <c r="C2613" s="344">
        <v>11095</v>
      </c>
      <c r="D2613" s="343" t="s">
        <v>5261</v>
      </c>
      <c r="E2613" s="344">
        <v>5861050</v>
      </c>
      <c r="F2613" s="343" t="s">
        <v>5263</v>
      </c>
      <c r="G2613" s="360" t="s">
        <v>12000</v>
      </c>
      <c r="H2613" s="361">
        <v>42800</v>
      </c>
      <c r="I2613" s="343" t="s">
        <v>261</v>
      </c>
      <c r="J2613" s="343" t="s">
        <v>631</v>
      </c>
      <c r="K2613" s="343" t="s">
        <v>168</v>
      </c>
    </row>
    <row r="2614" spans="1:11" ht="26.25" customHeight="1">
      <c r="A2614" s="343" t="s">
        <v>1641</v>
      </c>
      <c r="B2614" s="344" t="s">
        <v>162</v>
      </c>
      <c r="C2614" s="344">
        <v>11095</v>
      </c>
      <c r="D2614" s="343" t="s">
        <v>5261</v>
      </c>
      <c r="E2614" s="344">
        <v>5856291</v>
      </c>
      <c r="F2614" s="343" t="s">
        <v>5264</v>
      </c>
      <c r="G2614" s="360" t="s">
        <v>1147</v>
      </c>
      <c r="H2614" s="361">
        <v>42800</v>
      </c>
      <c r="I2614" s="343" t="s">
        <v>301</v>
      </c>
      <c r="J2614" s="343" t="s">
        <v>1113</v>
      </c>
      <c r="K2614" s="343" t="s">
        <v>168</v>
      </c>
    </row>
    <row r="2615" spans="1:11" ht="26.25" customHeight="1">
      <c r="A2615" s="343" t="s">
        <v>1641</v>
      </c>
      <c r="B2615" s="344" t="s">
        <v>162</v>
      </c>
      <c r="C2615" s="344">
        <v>6782</v>
      </c>
      <c r="D2615" s="343" t="s">
        <v>5568</v>
      </c>
      <c r="E2615" s="344">
        <v>5915518</v>
      </c>
      <c r="F2615" s="343" t="s">
        <v>5569</v>
      </c>
      <c r="G2615" s="360" t="s">
        <v>12001</v>
      </c>
      <c r="H2615" s="361">
        <v>42800</v>
      </c>
      <c r="I2615" s="343" t="s">
        <v>193</v>
      </c>
      <c r="J2615" s="343" t="s">
        <v>472</v>
      </c>
      <c r="K2615" s="343" t="s">
        <v>168</v>
      </c>
    </row>
    <row r="2616" spans="1:11" ht="26.25" customHeight="1">
      <c r="A2616" s="343" t="s">
        <v>1641</v>
      </c>
      <c r="B2616" s="344" t="s">
        <v>162</v>
      </c>
      <c r="C2616" s="344">
        <v>8995</v>
      </c>
      <c r="D2616" s="343" t="s">
        <v>5505</v>
      </c>
      <c r="E2616" s="344">
        <v>6701546</v>
      </c>
      <c r="F2616" s="343" t="s">
        <v>5506</v>
      </c>
      <c r="G2616" s="360" t="s">
        <v>495</v>
      </c>
      <c r="H2616" s="361">
        <v>42800</v>
      </c>
      <c r="I2616" s="343" t="s">
        <v>166</v>
      </c>
      <c r="J2616" s="343" t="s">
        <v>296</v>
      </c>
      <c r="K2616" s="343" t="s">
        <v>168</v>
      </c>
    </row>
    <row r="2617" spans="1:11" ht="26.25" customHeight="1">
      <c r="A2617" s="343" t="s">
        <v>1641</v>
      </c>
      <c r="B2617" s="344" t="s">
        <v>162</v>
      </c>
      <c r="C2617" s="344">
        <v>6771</v>
      </c>
      <c r="D2617" s="343" t="s">
        <v>5562</v>
      </c>
      <c r="E2617" s="344">
        <v>6063751</v>
      </c>
      <c r="F2617" s="343" t="s">
        <v>5566</v>
      </c>
      <c r="G2617" s="360" t="s">
        <v>12002</v>
      </c>
      <c r="H2617" s="361">
        <v>42800</v>
      </c>
      <c r="I2617" s="343" t="s">
        <v>166</v>
      </c>
      <c r="J2617" s="343" t="s">
        <v>327</v>
      </c>
      <c r="K2617" s="343" t="s">
        <v>168</v>
      </c>
    </row>
    <row r="2618" spans="1:11" ht="26.25" customHeight="1">
      <c r="A2618" s="343" t="s">
        <v>1641</v>
      </c>
      <c r="B2618" s="344" t="s">
        <v>162</v>
      </c>
      <c r="C2618" s="344">
        <v>6776</v>
      </c>
      <c r="D2618" s="343" t="s">
        <v>5431</v>
      </c>
      <c r="E2618" s="344">
        <v>5982601</v>
      </c>
      <c r="F2618" s="343" t="s">
        <v>5434</v>
      </c>
      <c r="G2618" s="360" t="s">
        <v>12003</v>
      </c>
      <c r="H2618" s="361">
        <v>42801</v>
      </c>
      <c r="I2618" s="343" t="s">
        <v>166</v>
      </c>
      <c r="J2618" s="343" t="s">
        <v>327</v>
      </c>
      <c r="K2618" s="343" t="s">
        <v>168</v>
      </c>
    </row>
    <row r="2619" spans="1:11" ht="26.25" customHeight="1">
      <c r="A2619" s="343" t="s">
        <v>1641</v>
      </c>
      <c r="B2619" s="344" t="s">
        <v>162</v>
      </c>
      <c r="C2619" s="344">
        <v>6783</v>
      </c>
      <c r="D2619" s="343" t="s">
        <v>5521</v>
      </c>
      <c r="E2619" s="344">
        <v>5853053</v>
      </c>
      <c r="F2619" s="343" t="s">
        <v>5523</v>
      </c>
      <c r="G2619" s="360" t="s">
        <v>12004</v>
      </c>
      <c r="H2619" s="361">
        <v>42796</v>
      </c>
      <c r="I2619" s="343" t="s">
        <v>465</v>
      </c>
      <c r="J2619" s="343" t="s">
        <v>466</v>
      </c>
      <c r="K2619" s="343" t="s">
        <v>168</v>
      </c>
    </row>
    <row r="2620" spans="1:11" ht="26.25" customHeight="1">
      <c r="A2620" s="343" t="s">
        <v>1641</v>
      </c>
      <c r="B2620" s="344" t="s">
        <v>162</v>
      </c>
      <c r="C2620" s="344">
        <v>6779</v>
      </c>
      <c r="D2620" s="343" t="s">
        <v>5472</v>
      </c>
      <c r="E2620" s="344">
        <v>6210697</v>
      </c>
      <c r="F2620" s="343" t="s">
        <v>5473</v>
      </c>
      <c r="G2620" s="360" t="s">
        <v>12005</v>
      </c>
      <c r="H2620" s="361">
        <v>42801</v>
      </c>
      <c r="I2620" s="343" t="s">
        <v>166</v>
      </c>
      <c r="J2620" s="343" t="s">
        <v>327</v>
      </c>
      <c r="K2620" s="343" t="s">
        <v>168</v>
      </c>
    </row>
    <row r="2621" spans="1:11" ht="26.25" customHeight="1">
      <c r="A2621" s="343" t="s">
        <v>1641</v>
      </c>
      <c r="B2621" s="344" t="s">
        <v>162</v>
      </c>
      <c r="C2621" s="344">
        <v>7121</v>
      </c>
      <c r="D2621" s="343" t="s">
        <v>5365</v>
      </c>
      <c r="E2621" s="344">
        <v>4523429</v>
      </c>
      <c r="F2621" s="343" t="s">
        <v>5367</v>
      </c>
      <c r="G2621" s="360" t="s">
        <v>12006</v>
      </c>
      <c r="H2621" s="361">
        <v>42800</v>
      </c>
      <c r="I2621" s="343" t="s">
        <v>193</v>
      </c>
      <c r="J2621" s="343" t="s">
        <v>194</v>
      </c>
      <c r="K2621" s="343" t="s">
        <v>168</v>
      </c>
    </row>
    <row r="2622" spans="1:11" ht="26.25" customHeight="1">
      <c r="A2622" s="343" t="s">
        <v>1641</v>
      </c>
      <c r="B2622" s="344" t="s">
        <v>162</v>
      </c>
      <c r="C2622" s="344">
        <v>11094</v>
      </c>
      <c r="D2622" s="343" t="s">
        <v>5254</v>
      </c>
      <c r="E2622" s="344">
        <v>5133777</v>
      </c>
      <c r="F2622" s="343" t="s">
        <v>5258</v>
      </c>
      <c r="G2622" s="360" t="s">
        <v>12007</v>
      </c>
      <c r="H2622" s="361">
        <v>42796</v>
      </c>
      <c r="I2622" s="343" t="s">
        <v>354</v>
      </c>
      <c r="J2622" s="343" t="s">
        <v>12008</v>
      </c>
      <c r="K2622" s="343" t="s">
        <v>168</v>
      </c>
    </row>
    <row r="2623" spans="1:11" ht="26.25" customHeight="1">
      <c r="A2623" s="343" t="s">
        <v>1641</v>
      </c>
      <c r="B2623" s="344" t="s">
        <v>162</v>
      </c>
      <c r="C2623" s="344">
        <v>6777</v>
      </c>
      <c r="D2623" s="343" t="s">
        <v>5439</v>
      </c>
      <c r="E2623" s="344">
        <v>6475270</v>
      </c>
      <c r="F2623" s="343" t="s">
        <v>5449</v>
      </c>
      <c r="G2623" s="360" t="s">
        <v>12009</v>
      </c>
      <c r="H2623" s="361">
        <v>42796</v>
      </c>
      <c r="I2623" s="343" t="s">
        <v>366</v>
      </c>
      <c r="J2623" s="343" t="s">
        <v>366</v>
      </c>
      <c r="K2623" s="343" t="s">
        <v>168</v>
      </c>
    </row>
    <row r="2624" spans="1:11" ht="26.25" customHeight="1">
      <c r="A2624" s="343" t="s">
        <v>1641</v>
      </c>
      <c r="B2624" s="344" t="s">
        <v>162</v>
      </c>
      <c r="C2624" s="344">
        <v>6777</v>
      </c>
      <c r="D2624" s="343" t="s">
        <v>5439</v>
      </c>
      <c r="E2624" s="344">
        <v>5991172</v>
      </c>
      <c r="F2624" s="343" t="s">
        <v>5442</v>
      </c>
      <c r="G2624" s="360" t="s">
        <v>12010</v>
      </c>
      <c r="H2624" s="361">
        <v>42796</v>
      </c>
      <c r="I2624" s="343" t="s">
        <v>193</v>
      </c>
      <c r="J2624" s="343" t="s">
        <v>472</v>
      </c>
      <c r="K2624" s="343" t="s">
        <v>168</v>
      </c>
    </row>
    <row r="2625" spans="1:11" ht="26.25" customHeight="1">
      <c r="A2625" s="343" t="s">
        <v>1641</v>
      </c>
      <c r="B2625" s="344" t="s">
        <v>162</v>
      </c>
      <c r="C2625" s="344">
        <v>6769</v>
      </c>
      <c r="D2625" s="343" t="s">
        <v>5492</v>
      </c>
      <c r="E2625" s="344">
        <v>5926177</v>
      </c>
      <c r="F2625" s="343" t="s">
        <v>5495</v>
      </c>
      <c r="G2625" s="360" t="s">
        <v>10040</v>
      </c>
      <c r="H2625" s="361">
        <v>42796</v>
      </c>
      <c r="I2625" s="343" t="s">
        <v>166</v>
      </c>
      <c r="J2625" s="343" t="s">
        <v>296</v>
      </c>
      <c r="K2625" s="343" t="s">
        <v>168</v>
      </c>
    </row>
    <row r="2626" spans="1:11" ht="26.25" customHeight="1">
      <c r="A2626" s="343" t="s">
        <v>1641</v>
      </c>
      <c r="B2626" s="344" t="s">
        <v>162</v>
      </c>
      <c r="C2626" s="344">
        <v>9719</v>
      </c>
      <c r="D2626" s="343" t="s">
        <v>5192</v>
      </c>
      <c r="E2626" s="344">
        <v>6204249</v>
      </c>
      <c r="F2626" s="343" t="s">
        <v>5193</v>
      </c>
      <c r="G2626" s="360" t="s">
        <v>12011</v>
      </c>
      <c r="H2626" s="361">
        <v>42804</v>
      </c>
      <c r="I2626" s="343" t="s">
        <v>3850</v>
      </c>
      <c r="J2626" s="343" t="s">
        <v>9605</v>
      </c>
      <c r="K2626" s="343" t="s">
        <v>168</v>
      </c>
    </row>
    <row r="2627" spans="1:11" ht="26.25" customHeight="1">
      <c r="A2627" s="343" t="s">
        <v>1641</v>
      </c>
      <c r="B2627" s="344" t="s">
        <v>162</v>
      </c>
      <c r="C2627" s="344">
        <v>9197</v>
      </c>
      <c r="D2627" s="343" t="s">
        <v>5511</v>
      </c>
      <c r="E2627" s="344">
        <v>5895516</v>
      </c>
      <c r="F2627" s="343" t="s">
        <v>5513</v>
      </c>
      <c r="G2627" s="360" t="s">
        <v>609</v>
      </c>
      <c r="H2627" s="361">
        <v>42804</v>
      </c>
      <c r="I2627" s="343" t="s">
        <v>166</v>
      </c>
      <c r="J2627" s="343" t="s">
        <v>12012</v>
      </c>
      <c r="K2627" s="343" t="s">
        <v>168</v>
      </c>
    </row>
    <row r="2628" spans="1:11" ht="26.25" customHeight="1">
      <c r="A2628" s="343" t="s">
        <v>1641</v>
      </c>
      <c r="B2628" s="344" t="s">
        <v>162</v>
      </c>
      <c r="C2628" s="344">
        <v>7604</v>
      </c>
      <c r="D2628" s="343" t="s">
        <v>5177</v>
      </c>
      <c r="E2628" s="344">
        <v>6536458</v>
      </c>
      <c r="F2628" s="343" t="s">
        <v>5179</v>
      </c>
      <c r="G2628" s="360" t="s">
        <v>12013</v>
      </c>
      <c r="H2628" s="361">
        <v>42804</v>
      </c>
      <c r="I2628" s="343" t="s">
        <v>5180</v>
      </c>
      <c r="J2628" s="343" t="s">
        <v>12014</v>
      </c>
      <c r="K2628" s="343" t="s">
        <v>248</v>
      </c>
    </row>
    <row r="2629" spans="1:11" ht="26.25" customHeight="1">
      <c r="A2629" s="343" t="s">
        <v>1641</v>
      </c>
      <c r="B2629" s="344" t="s">
        <v>162</v>
      </c>
      <c r="C2629" s="344">
        <v>7136</v>
      </c>
      <c r="D2629" s="343" t="s">
        <v>5328</v>
      </c>
      <c r="E2629" s="344">
        <v>5099868</v>
      </c>
      <c r="F2629" s="343" t="s">
        <v>5330</v>
      </c>
      <c r="G2629" s="360" t="s">
        <v>1005</v>
      </c>
      <c r="H2629" s="361">
        <v>42807</v>
      </c>
      <c r="I2629" s="343" t="s">
        <v>166</v>
      </c>
      <c r="J2629" s="343" t="s">
        <v>327</v>
      </c>
      <c r="K2629" s="343" t="s">
        <v>168</v>
      </c>
    </row>
    <row r="2630" spans="1:11" ht="26.25" customHeight="1">
      <c r="A2630" s="343" t="s">
        <v>1641</v>
      </c>
      <c r="B2630" s="344" t="s">
        <v>162</v>
      </c>
      <c r="C2630" s="344">
        <v>8846</v>
      </c>
      <c r="D2630" s="343" t="s">
        <v>5475</v>
      </c>
      <c r="E2630" s="344">
        <v>6471973</v>
      </c>
      <c r="F2630" s="343" t="s">
        <v>5482</v>
      </c>
      <c r="G2630" s="360" t="s">
        <v>1332</v>
      </c>
      <c r="H2630" s="361">
        <v>42807</v>
      </c>
      <c r="I2630" s="343" t="s">
        <v>4038</v>
      </c>
      <c r="J2630" s="343" t="s">
        <v>11217</v>
      </c>
      <c r="K2630" s="343" t="s">
        <v>168</v>
      </c>
    </row>
    <row r="2631" spans="1:11" ht="26.25" customHeight="1">
      <c r="A2631" s="343" t="s">
        <v>1641</v>
      </c>
      <c r="B2631" s="344" t="s">
        <v>162</v>
      </c>
      <c r="C2631" s="344">
        <v>6778</v>
      </c>
      <c r="D2631" s="343" t="s">
        <v>5499</v>
      </c>
      <c r="E2631" s="344">
        <v>5914662</v>
      </c>
      <c r="F2631" s="343" t="s">
        <v>5500</v>
      </c>
      <c r="G2631" s="360" t="s">
        <v>12015</v>
      </c>
      <c r="H2631" s="361">
        <v>42807</v>
      </c>
      <c r="I2631" s="343" t="s">
        <v>193</v>
      </c>
      <c r="J2631" s="343" t="s">
        <v>194</v>
      </c>
      <c r="K2631" s="343" t="s">
        <v>168</v>
      </c>
    </row>
    <row r="2632" spans="1:11" ht="26.25" customHeight="1">
      <c r="A2632" s="343" t="s">
        <v>1641</v>
      </c>
      <c r="B2632" s="344" t="s">
        <v>162</v>
      </c>
      <c r="C2632" s="344">
        <v>7592</v>
      </c>
      <c r="D2632" s="343" t="s">
        <v>5230</v>
      </c>
      <c r="E2632" s="344">
        <v>6200740</v>
      </c>
      <c r="F2632" s="343" t="s">
        <v>5231</v>
      </c>
      <c r="G2632" s="360" t="s">
        <v>12016</v>
      </c>
      <c r="H2632" s="361">
        <v>42807</v>
      </c>
      <c r="I2632" s="343" t="s">
        <v>166</v>
      </c>
      <c r="J2632" s="343" t="s">
        <v>327</v>
      </c>
      <c r="K2632" s="343" t="s">
        <v>168</v>
      </c>
    </row>
    <row r="2633" spans="1:11" ht="26.25" customHeight="1">
      <c r="A2633" s="343" t="s">
        <v>1641</v>
      </c>
      <c r="B2633" s="344" t="s">
        <v>162</v>
      </c>
      <c r="C2633" s="344">
        <v>9197</v>
      </c>
      <c r="D2633" s="343" t="s">
        <v>5511</v>
      </c>
      <c r="E2633" s="344">
        <v>6238131</v>
      </c>
      <c r="F2633" s="343" t="s">
        <v>5514</v>
      </c>
      <c r="G2633" s="360" t="s">
        <v>11198</v>
      </c>
      <c r="H2633" s="361">
        <v>42807</v>
      </c>
      <c r="I2633" s="343" t="s">
        <v>5515</v>
      </c>
      <c r="J2633" s="343" t="s">
        <v>12017</v>
      </c>
      <c r="K2633" s="343" t="s">
        <v>168</v>
      </c>
    </row>
    <row r="2634" spans="1:11" ht="26.25" customHeight="1">
      <c r="A2634" s="343" t="s">
        <v>1641</v>
      </c>
      <c r="B2634" s="344" t="s">
        <v>162</v>
      </c>
      <c r="C2634" s="344">
        <v>7145</v>
      </c>
      <c r="D2634" s="343" t="s">
        <v>5408</v>
      </c>
      <c r="E2634" s="344">
        <v>5137546</v>
      </c>
      <c r="F2634" s="343" t="s">
        <v>5409</v>
      </c>
      <c r="G2634" s="360" t="s">
        <v>11443</v>
      </c>
      <c r="H2634" s="361">
        <v>42807</v>
      </c>
      <c r="I2634" s="343" t="s">
        <v>246</v>
      </c>
      <c r="J2634" s="343" t="s">
        <v>12018</v>
      </c>
      <c r="K2634" s="343" t="s">
        <v>248</v>
      </c>
    </row>
    <row r="2635" spans="1:11" ht="26.25" customHeight="1">
      <c r="A2635" s="343" t="s">
        <v>1641</v>
      </c>
      <c r="B2635" s="344" t="s">
        <v>162</v>
      </c>
      <c r="C2635" s="344">
        <v>7637</v>
      </c>
      <c r="D2635" s="343" t="s">
        <v>5186</v>
      </c>
      <c r="E2635" s="344">
        <v>6691116</v>
      </c>
      <c r="F2635" s="343" t="s">
        <v>5188</v>
      </c>
      <c r="G2635" s="360" t="s">
        <v>12019</v>
      </c>
      <c r="H2635" s="361">
        <v>42815</v>
      </c>
      <c r="I2635" s="343" t="s">
        <v>284</v>
      </c>
      <c r="J2635" s="343" t="s">
        <v>12020</v>
      </c>
      <c r="K2635" s="343" t="s">
        <v>168</v>
      </c>
    </row>
    <row r="2636" spans="1:11" ht="26.25" customHeight="1">
      <c r="A2636" s="343" t="s">
        <v>1641</v>
      </c>
      <c r="B2636" s="344" t="s">
        <v>162</v>
      </c>
      <c r="C2636" s="344">
        <v>7128</v>
      </c>
      <c r="D2636" s="343" t="s">
        <v>5373</v>
      </c>
      <c r="E2636" s="344">
        <v>5291003</v>
      </c>
      <c r="F2636" s="343" t="s">
        <v>5374</v>
      </c>
      <c r="G2636" s="360" t="s">
        <v>11032</v>
      </c>
      <c r="H2636" s="361">
        <v>42815</v>
      </c>
      <c r="I2636" s="343" t="s">
        <v>806</v>
      </c>
      <c r="J2636" s="343" t="s">
        <v>10989</v>
      </c>
      <c r="K2636" s="343" t="s">
        <v>168</v>
      </c>
    </row>
    <row r="2637" spans="1:11" ht="26.25" customHeight="1">
      <c r="A2637" s="343" t="s">
        <v>1641</v>
      </c>
      <c r="B2637" s="344" t="s">
        <v>162</v>
      </c>
      <c r="C2637" s="344">
        <v>7118</v>
      </c>
      <c r="D2637" s="343" t="s">
        <v>5381</v>
      </c>
      <c r="E2637" s="344">
        <v>5996220</v>
      </c>
      <c r="F2637" s="343" t="s">
        <v>5383</v>
      </c>
      <c r="G2637" s="360" t="s">
        <v>1057</v>
      </c>
      <c r="H2637" s="361">
        <v>42816</v>
      </c>
      <c r="I2637" s="343" t="s">
        <v>211</v>
      </c>
      <c r="J2637" s="343" t="s">
        <v>909</v>
      </c>
      <c r="K2637" s="343" t="s">
        <v>168</v>
      </c>
    </row>
    <row r="2638" spans="1:11" ht="26.25" customHeight="1">
      <c r="A2638" s="343" t="s">
        <v>1641</v>
      </c>
      <c r="B2638" s="344" t="s">
        <v>162</v>
      </c>
      <c r="C2638" s="344">
        <v>7592</v>
      </c>
      <c r="D2638" s="343" t="s">
        <v>5230</v>
      </c>
      <c r="E2638" s="344">
        <v>6672208</v>
      </c>
      <c r="F2638" s="343" t="s">
        <v>5233</v>
      </c>
      <c r="G2638" s="360" t="s">
        <v>12021</v>
      </c>
      <c r="H2638" s="361">
        <v>42816</v>
      </c>
      <c r="I2638" s="343" t="s">
        <v>166</v>
      </c>
      <c r="J2638" s="343" t="s">
        <v>9775</v>
      </c>
      <c r="K2638" s="343" t="s">
        <v>248</v>
      </c>
    </row>
    <row r="2639" spans="1:11" ht="26.25" customHeight="1">
      <c r="A2639" s="343" t="s">
        <v>1641</v>
      </c>
      <c r="B2639" s="344" t="s">
        <v>162</v>
      </c>
      <c r="C2639" s="344">
        <v>7130</v>
      </c>
      <c r="D2639" s="343" t="s">
        <v>5415</v>
      </c>
      <c r="E2639" s="344">
        <v>3739142</v>
      </c>
      <c r="F2639" s="343" t="s">
        <v>5422</v>
      </c>
      <c r="G2639" s="360" t="s">
        <v>11850</v>
      </c>
      <c r="H2639" s="361">
        <v>42814</v>
      </c>
      <c r="I2639" s="343" t="s">
        <v>1016</v>
      </c>
      <c r="J2639" s="343" t="s">
        <v>12022</v>
      </c>
      <c r="K2639" s="343" t="s">
        <v>168</v>
      </c>
    </row>
    <row r="2640" spans="1:11" ht="26.25" customHeight="1">
      <c r="A2640" s="343" t="s">
        <v>1641</v>
      </c>
      <c r="B2640" s="344" t="s">
        <v>162</v>
      </c>
      <c r="C2640" s="344">
        <v>7601</v>
      </c>
      <c r="D2640" s="343" t="s">
        <v>5167</v>
      </c>
      <c r="E2640" s="344">
        <v>6465375</v>
      </c>
      <c r="F2640" s="343" t="s">
        <v>5168</v>
      </c>
      <c r="G2640" s="360" t="s">
        <v>12023</v>
      </c>
      <c r="H2640" s="361">
        <v>42814</v>
      </c>
      <c r="I2640" s="343" t="s">
        <v>193</v>
      </c>
      <c r="J2640" s="343" t="s">
        <v>194</v>
      </c>
      <c r="K2640" s="343" t="s">
        <v>168</v>
      </c>
    </row>
    <row r="2641" spans="1:11" ht="26.25" customHeight="1">
      <c r="A2641" s="343" t="s">
        <v>1641</v>
      </c>
      <c r="B2641" s="344" t="s">
        <v>162</v>
      </c>
      <c r="C2641" s="344">
        <v>6774</v>
      </c>
      <c r="D2641" s="343" t="s">
        <v>5548</v>
      </c>
      <c r="E2641" s="344">
        <v>5883102</v>
      </c>
      <c r="F2641" s="343" t="s">
        <v>5554</v>
      </c>
      <c r="G2641" s="360" t="s">
        <v>11010</v>
      </c>
      <c r="H2641" s="361">
        <v>42814</v>
      </c>
      <c r="I2641" s="343" t="s">
        <v>5555</v>
      </c>
      <c r="J2641" s="343" t="s">
        <v>12024</v>
      </c>
      <c r="K2641" s="343" t="s">
        <v>168</v>
      </c>
    </row>
    <row r="2642" spans="1:11" ht="26.25" customHeight="1">
      <c r="A2642" s="343" t="s">
        <v>1641</v>
      </c>
      <c r="B2642" s="344" t="s">
        <v>162</v>
      </c>
      <c r="C2642" s="344">
        <v>6776</v>
      </c>
      <c r="D2642" s="343" t="s">
        <v>5431</v>
      </c>
      <c r="E2642" s="344">
        <v>3924519</v>
      </c>
      <c r="F2642" s="343" t="s">
        <v>5435</v>
      </c>
      <c r="G2642" s="360" t="s">
        <v>10856</v>
      </c>
      <c r="H2642" s="361">
        <v>42814</v>
      </c>
      <c r="I2642" s="343" t="s">
        <v>211</v>
      </c>
      <c r="J2642" s="343" t="s">
        <v>211</v>
      </c>
      <c r="K2642" s="343" t="s">
        <v>168</v>
      </c>
    </row>
    <row r="2643" spans="1:11" ht="26.25" customHeight="1">
      <c r="A2643" s="343" t="s">
        <v>1641</v>
      </c>
      <c r="B2643" s="344" t="s">
        <v>162</v>
      </c>
      <c r="C2643" s="344">
        <v>7635</v>
      </c>
      <c r="D2643" s="343" t="s">
        <v>5226</v>
      </c>
      <c r="E2643" s="344">
        <v>6315639</v>
      </c>
      <c r="F2643" s="343" t="s">
        <v>5227</v>
      </c>
      <c r="G2643" s="360" t="s">
        <v>12025</v>
      </c>
      <c r="H2643" s="361">
        <v>42815</v>
      </c>
      <c r="I2643" s="343" t="s">
        <v>246</v>
      </c>
      <c r="J2643" s="343" t="s">
        <v>12026</v>
      </c>
      <c r="K2643" s="343" t="s">
        <v>248</v>
      </c>
    </row>
    <row r="2644" spans="1:11" ht="26.25" customHeight="1">
      <c r="A2644" s="343" t="s">
        <v>1641</v>
      </c>
      <c r="B2644" s="344" t="s">
        <v>162</v>
      </c>
      <c r="C2644" s="344">
        <v>6787</v>
      </c>
      <c r="D2644" s="343" t="s">
        <v>7042</v>
      </c>
      <c r="E2644" s="344">
        <v>5848749</v>
      </c>
      <c r="F2644" s="343" t="s">
        <v>5468</v>
      </c>
      <c r="G2644" s="360" t="s">
        <v>12027</v>
      </c>
      <c r="H2644" s="361">
        <v>42807</v>
      </c>
      <c r="I2644" s="343" t="s">
        <v>5469</v>
      </c>
      <c r="J2644" s="343" t="s">
        <v>9496</v>
      </c>
      <c r="K2644" s="343" t="s">
        <v>173</v>
      </c>
    </row>
    <row r="2645" spans="1:11" ht="26.25" customHeight="1">
      <c r="A2645" s="343" t="s">
        <v>1641</v>
      </c>
      <c r="B2645" s="344" t="s">
        <v>162</v>
      </c>
      <c r="C2645" s="344">
        <v>7608</v>
      </c>
      <c r="D2645" s="343" t="s">
        <v>5182</v>
      </c>
      <c r="E2645" s="344">
        <v>6775108</v>
      </c>
      <c r="F2645" s="343" t="s">
        <v>5184</v>
      </c>
      <c r="G2645" s="360" t="s">
        <v>11440</v>
      </c>
      <c r="H2645" s="361">
        <v>42810</v>
      </c>
      <c r="I2645" s="343" t="s">
        <v>193</v>
      </c>
      <c r="J2645" s="343" t="s">
        <v>194</v>
      </c>
      <c r="K2645" s="343" t="s">
        <v>168</v>
      </c>
    </row>
    <row r="2646" spans="1:11" ht="26.25" customHeight="1">
      <c r="A2646" s="343" t="s">
        <v>1641</v>
      </c>
      <c r="B2646" s="344" t="s">
        <v>162</v>
      </c>
      <c r="C2646" s="344">
        <v>6777</v>
      </c>
      <c r="D2646" s="343" t="s">
        <v>5439</v>
      </c>
      <c r="E2646" s="344">
        <v>5914657</v>
      </c>
      <c r="F2646" s="343" t="s">
        <v>5441</v>
      </c>
      <c r="G2646" s="360" t="s">
        <v>10415</v>
      </c>
      <c r="H2646" s="361">
        <v>42808</v>
      </c>
      <c r="I2646" s="343" t="s">
        <v>166</v>
      </c>
      <c r="J2646" s="343" t="s">
        <v>296</v>
      </c>
      <c r="K2646" s="343" t="s">
        <v>168</v>
      </c>
    </row>
    <row r="2647" spans="1:11" ht="26.25" customHeight="1">
      <c r="A2647" s="343" t="s">
        <v>1641</v>
      </c>
      <c r="B2647" s="344" t="s">
        <v>162</v>
      </c>
      <c r="C2647" s="344">
        <v>6776</v>
      </c>
      <c r="D2647" s="343" t="s">
        <v>5431</v>
      </c>
      <c r="E2647" s="344">
        <v>6764579</v>
      </c>
      <c r="F2647" s="343" t="s">
        <v>5432</v>
      </c>
      <c r="G2647" s="360" t="s">
        <v>12028</v>
      </c>
      <c r="H2647" s="361">
        <v>42835</v>
      </c>
      <c r="I2647" s="343" t="s">
        <v>211</v>
      </c>
      <c r="J2647" s="343" t="s">
        <v>211</v>
      </c>
      <c r="K2647" s="343" t="s">
        <v>168</v>
      </c>
    </row>
    <row r="2648" spans="1:11" ht="26.25" customHeight="1">
      <c r="A2648" s="343" t="s">
        <v>1641</v>
      </c>
      <c r="B2648" s="344" t="s">
        <v>162</v>
      </c>
      <c r="C2648" s="344">
        <v>6773</v>
      </c>
      <c r="D2648" s="343" t="s">
        <v>5573</v>
      </c>
      <c r="E2648" s="344">
        <v>6385633</v>
      </c>
      <c r="F2648" s="343" t="s">
        <v>5574</v>
      </c>
      <c r="G2648" s="360" t="s">
        <v>12029</v>
      </c>
      <c r="H2648" s="361">
        <v>42842</v>
      </c>
      <c r="I2648" s="343" t="s">
        <v>5575</v>
      </c>
      <c r="J2648" s="343" t="s">
        <v>12030</v>
      </c>
      <c r="K2648" s="343" t="s">
        <v>173</v>
      </c>
    </row>
    <row r="2649" spans="1:11" ht="26.25" customHeight="1">
      <c r="A2649" s="343" t="s">
        <v>1641</v>
      </c>
      <c r="B2649" s="344" t="s">
        <v>162</v>
      </c>
      <c r="C2649" s="344">
        <v>7609</v>
      </c>
      <c r="D2649" s="343" t="s">
        <v>5201</v>
      </c>
      <c r="E2649" s="344">
        <v>6398822</v>
      </c>
      <c r="F2649" s="343" t="s">
        <v>5203</v>
      </c>
      <c r="G2649" s="360" t="s">
        <v>12031</v>
      </c>
      <c r="H2649" s="361">
        <v>42835</v>
      </c>
      <c r="I2649" s="343" t="s">
        <v>366</v>
      </c>
      <c r="J2649" s="343" t="s">
        <v>366</v>
      </c>
      <c r="K2649" s="343" t="s">
        <v>168</v>
      </c>
    </row>
    <row r="2650" spans="1:11" ht="26.25" customHeight="1">
      <c r="A2650" s="343" t="s">
        <v>1641</v>
      </c>
      <c r="B2650" s="344" t="s">
        <v>162</v>
      </c>
      <c r="C2650" s="344">
        <v>8846</v>
      </c>
      <c r="D2650" s="343" t="s">
        <v>5475</v>
      </c>
      <c r="E2650" s="344">
        <v>5833690</v>
      </c>
      <c r="F2650" s="343" t="s">
        <v>5481</v>
      </c>
      <c r="G2650" s="360" t="s">
        <v>9643</v>
      </c>
      <c r="H2650" s="361">
        <v>42835</v>
      </c>
      <c r="I2650" s="343" t="s">
        <v>514</v>
      </c>
      <c r="J2650" s="343" t="s">
        <v>11094</v>
      </c>
      <c r="K2650" s="343" t="s">
        <v>168</v>
      </c>
    </row>
    <row r="2651" spans="1:11" ht="26.25" customHeight="1">
      <c r="A2651" s="343" t="s">
        <v>1641</v>
      </c>
      <c r="B2651" s="344" t="s">
        <v>162</v>
      </c>
      <c r="C2651" s="344">
        <v>6775</v>
      </c>
      <c r="D2651" s="343" t="s">
        <v>5459</v>
      </c>
      <c r="E2651" s="344">
        <v>5717900</v>
      </c>
      <c r="F2651" s="343" t="s">
        <v>5462</v>
      </c>
      <c r="G2651" s="360" t="s">
        <v>12032</v>
      </c>
      <c r="H2651" s="361">
        <v>42844</v>
      </c>
      <c r="I2651" s="343" t="s">
        <v>193</v>
      </c>
      <c r="J2651" s="343" t="s">
        <v>612</v>
      </c>
      <c r="K2651" s="343" t="s">
        <v>168</v>
      </c>
    </row>
    <row r="2652" spans="1:11" ht="26.25" customHeight="1">
      <c r="A2652" s="343" t="s">
        <v>1641</v>
      </c>
      <c r="B2652" s="344" t="s">
        <v>162</v>
      </c>
      <c r="C2652" s="344">
        <v>7601</v>
      </c>
      <c r="D2652" s="343" t="s">
        <v>5167</v>
      </c>
      <c r="E2652" s="344">
        <v>6327088</v>
      </c>
      <c r="F2652" s="343" t="s">
        <v>5169</v>
      </c>
      <c r="G2652" s="360" t="s">
        <v>175</v>
      </c>
      <c r="H2652" s="361">
        <v>42844</v>
      </c>
      <c r="I2652" s="343" t="s">
        <v>166</v>
      </c>
      <c r="J2652" s="343" t="s">
        <v>327</v>
      </c>
      <c r="K2652" s="343" t="s">
        <v>168</v>
      </c>
    </row>
    <row r="2653" spans="1:11" ht="26.25" customHeight="1">
      <c r="A2653" s="343" t="s">
        <v>1641</v>
      </c>
      <c r="B2653" s="344" t="s">
        <v>162</v>
      </c>
      <c r="C2653" s="344">
        <v>7636</v>
      </c>
      <c r="D2653" s="343" t="s">
        <v>5204</v>
      </c>
      <c r="E2653" s="344">
        <v>6622157</v>
      </c>
      <c r="F2653" s="343" t="s">
        <v>5209</v>
      </c>
      <c r="G2653" s="360" t="s">
        <v>11703</v>
      </c>
      <c r="H2653" s="361">
        <v>42850</v>
      </c>
      <c r="I2653" s="343" t="s">
        <v>193</v>
      </c>
      <c r="J2653" s="343" t="s">
        <v>12033</v>
      </c>
      <c r="K2653" s="343" t="s">
        <v>248</v>
      </c>
    </row>
    <row r="2654" spans="1:11" ht="26.25" customHeight="1">
      <c r="A2654" s="343" t="s">
        <v>1641</v>
      </c>
      <c r="B2654" s="344" t="s">
        <v>162</v>
      </c>
      <c r="C2654" s="344">
        <v>7601</v>
      </c>
      <c r="D2654" s="343" t="s">
        <v>5167</v>
      </c>
      <c r="E2654" s="344">
        <v>6180456</v>
      </c>
      <c r="F2654" s="343" t="s">
        <v>5170</v>
      </c>
      <c r="G2654" s="360" t="s">
        <v>11772</v>
      </c>
      <c r="H2654" s="361">
        <v>42850</v>
      </c>
      <c r="I2654" s="343" t="s">
        <v>193</v>
      </c>
      <c r="J2654" s="343" t="s">
        <v>472</v>
      </c>
      <c r="K2654" s="343" t="s">
        <v>168</v>
      </c>
    </row>
    <row r="2655" spans="1:11" ht="26.25" customHeight="1">
      <c r="A2655" s="343" t="s">
        <v>1641</v>
      </c>
      <c r="B2655" s="344" t="s">
        <v>162</v>
      </c>
      <c r="C2655" s="344">
        <v>6771</v>
      </c>
      <c r="D2655" s="343" t="s">
        <v>5562</v>
      </c>
      <c r="E2655" s="344">
        <v>5943351</v>
      </c>
      <c r="F2655" s="343" t="s">
        <v>5565</v>
      </c>
      <c r="G2655" s="360" t="s">
        <v>1235</v>
      </c>
      <c r="H2655" s="361">
        <v>42858</v>
      </c>
      <c r="I2655" s="343" t="s">
        <v>261</v>
      </c>
      <c r="J2655" s="343" t="s">
        <v>631</v>
      </c>
      <c r="K2655" s="343" t="s">
        <v>168</v>
      </c>
    </row>
    <row r="2656" spans="1:11" ht="26.25" customHeight="1">
      <c r="A2656" s="343" t="s">
        <v>1641</v>
      </c>
      <c r="B2656" s="344" t="s">
        <v>162</v>
      </c>
      <c r="C2656" s="344">
        <v>6771</v>
      </c>
      <c r="D2656" s="343" t="s">
        <v>5562</v>
      </c>
      <c r="E2656" s="344">
        <v>6236231</v>
      </c>
      <c r="F2656" s="343" t="s">
        <v>5563</v>
      </c>
      <c r="G2656" s="360" t="s">
        <v>9995</v>
      </c>
      <c r="H2656" s="361">
        <v>42858</v>
      </c>
      <c r="I2656" s="343" t="s">
        <v>5564</v>
      </c>
      <c r="J2656" s="343" t="s">
        <v>12034</v>
      </c>
      <c r="K2656" s="343" t="s">
        <v>168</v>
      </c>
    </row>
    <row r="2657" spans="1:11" ht="26.25" customHeight="1">
      <c r="A2657" s="343" t="s">
        <v>1641</v>
      </c>
      <c r="B2657" s="344" t="s">
        <v>162</v>
      </c>
      <c r="C2657" s="344">
        <v>11096</v>
      </c>
      <c r="D2657" s="343" t="s">
        <v>5248</v>
      </c>
      <c r="E2657" s="344">
        <v>6627983</v>
      </c>
      <c r="F2657" s="343" t="s">
        <v>5250</v>
      </c>
      <c r="G2657" s="360" t="s">
        <v>11749</v>
      </c>
      <c r="H2657" s="361">
        <v>42857</v>
      </c>
      <c r="I2657" s="343" t="s">
        <v>301</v>
      </c>
      <c r="J2657" s="343" t="s">
        <v>1113</v>
      </c>
      <c r="K2657" s="343" t="s">
        <v>168</v>
      </c>
    </row>
    <row r="2658" spans="1:11" ht="26.25" customHeight="1">
      <c r="A2658" s="343" t="s">
        <v>1641</v>
      </c>
      <c r="B2658" s="344" t="s">
        <v>162</v>
      </c>
      <c r="C2658" s="344">
        <v>8441</v>
      </c>
      <c r="D2658" s="343" t="s">
        <v>5396</v>
      </c>
      <c r="E2658" s="344">
        <v>5146845</v>
      </c>
      <c r="F2658" s="343" t="s">
        <v>5399</v>
      </c>
      <c r="G2658" s="360" t="s">
        <v>12035</v>
      </c>
      <c r="H2658" s="361">
        <v>42863</v>
      </c>
      <c r="I2658" s="343" t="s">
        <v>211</v>
      </c>
      <c r="J2658" s="343" t="s">
        <v>909</v>
      </c>
      <c r="K2658" s="343" t="s">
        <v>168</v>
      </c>
    </row>
    <row r="2659" spans="1:11" ht="26.25" customHeight="1">
      <c r="A2659" s="343" t="s">
        <v>1641</v>
      </c>
      <c r="B2659" s="344" t="s">
        <v>162</v>
      </c>
      <c r="C2659" s="344">
        <v>8441</v>
      </c>
      <c r="D2659" s="343" t="s">
        <v>5396</v>
      </c>
      <c r="E2659" s="344">
        <v>4931313</v>
      </c>
      <c r="F2659" s="343" t="s">
        <v>5398</v>
      </c>
      <c r="G2659" s="360" t="s">
        <v>9716</v>
      </c>
      <c r="H2659" s="361">
        <v>42863</v>
      </c>
      <c r="I2659" s="343" t="s">
        <v>301</v>
      </c>
      <c r="J2659" s="343" t="s">
        <v>1113</v>
      </c>
      <c r="K2659" s="343" t="s">
        <v>168</v>
      </c>
    </row>
    <row r="2660" spans="1:11" ht="26.25" customHeight="1">
      <c r="A2660" s="343" t="s">
        <v>1641</v>
      </c>
      <c r="B2660" s="344" t="s">
        <v>162</v>
      </c>
      <c r="C2660" s="344">
        <v>7142</v>
      </c>
      <c r="D2660" s="343" t="s">
        <v>5401</v>
      </c>
      <c r="E2660" s="344">
        <v>4970433</v>
      </c>
      <c r="F2660" s="343" t="s">
        <v>5403</v>
      </c>
      <c r="G2660" s="360" t="s">
        <v>11876</v>
      </c>
      <c r="H2660" s="361">
        <v>42863</v>
      </c>
      <c r="I2660" s="343" t="s">
        <v>198</v>
      </c>
      <c r="J2660" s="343" t="s">
        <v>198</v>
      </c>
      <c r="K2660" s="343" t="s">
        <v>168</v>
      </c>
    </row>
    <row r="2661" spans="1:11" ht="26.25" customHeight="1">
      <c r="A2661" s="343" t="s">
        <v>1641</v>
      </c>
      <c r="B2661" s="344" t="s">
        <v>162</v>
      </c>
      <c r="C2661" s="344">
        <v>7128</v>
      </c>
      <c r="D2661" s="343" t="s">
        <v>5373</v>
      </c>
      <c r="E2661" s="344">
        <v>6837275</v>
      </c>
      <c r="F2661" s="343" t="s">
        <v>5375</v>
      </c>
      <c r="G2661" s="360" t="s">
        <v>12036</v>
      </c>
      <c r="H2661" s="361">
        <v>42863</v>
      </c>
      <c r="I2661" s="343" t="s">
        <v>211</v>
      </c>
      <c r="J2661" s="343" t="s">
        <v>909</v>
      </c>
      <c r="K2661" s="343" t="s">
        <v>168</v>
      </c>
    </row>
    <row r="2662" spans="1:11" ht="26.25" customHeight="1">
      <c r="A2662" s="343" t="s">
        <v>1641</v>
      </c>
      <c r="B2662" s="344" t="s">
        <v>162</v>
      </c>
      <c r="C2662" s="344">
        <v>6785</v>
      </c>
      <c r="D2662" s="343" t="s">
        <v>5450</v>
      </c>
      <c r="E2662" s="344">
        <v>6044851</v>
      </c>
      <c r="F2662" s="343" t="s">
        <v>5455</v>
      </c>
      <c r="G2662" s="360" t="s">
        <v>9425</v>
      </c>
      <c r="H2662" s="361">
        <v>42874</v>
      </c>
      <c r="I2662" s="343" t="s">
        <v>366</v>
      </c>
      <c r="J2662" s="343" t="s">
        <v>366</v>
      </c>
      <c r="K2662" s="343" t="s">
        <v>168</v>
      </c>
    </row>
    <row r="2663" spans="1:11" ht="26.25" customHeight="1">
      <c r="A2663" s="343" t="s">
        <v>1641</v>
      </c>
      <c r="B2663" s="344" t="s">
        <v>162</v>
      </c>
      <c r="C2663" s="344">
        <v>6779</v>
      </c>
      <c r="D2663" s="343" t="s">
        <v>5472</v>
      </c>
      <c r="E2663" s="344">
        <v>5753933</v>
      </c>
      <c r="F2663" s="343" t="s">
        <v>5474</v>
      </c>
      <c r="G2663" s="360" t="s">
        <v>11477</v>
      </c>
      <c r="H2663" s="361">
        <v>42874</v>
      </c>
      <c r="I2663" s="343" t="s">
        <v>198</v>
      </c>
      <c r="J2663" s="343" t="s">
        <v>198</v>
      </c>
      <c r="K2663" s="343" t="s">
        <v>168</v>
      </c>
    </row>
    <row r="2664" spans="1:11" ht="26.25" customHeight="1">
      <c r="A2664" s="343" t="s">
        <v>1641</v>
      </c>
      <c r="B2664" s="344" t="s">
        <v>162</v>
      </c>
      <c r="C2664" s="344">
        <v>8846</v>
      </c>
      <c r="D2664" s="343" t="s">
        <v>5475</v>
      </c>
      <c r="E2664" s="344">
        <v>6599682</v>
      </c>
      <c r="F2664" s="343" t="s">
        <v>5477</v>
      </c>
      <c r="G2664" s="360" t="s">
        <v>9372</v>
      </c>
      <c r="H2664" s="361">
        <v>42870</v>
      </c>
      <c r="I2664" s="343" t="s">
        <v>193</v>
      </c>
      <c r="J2664" s="343" t="s">
        <v>9511</v>
      </c>
      <c r="K2664" s="343" t="s">
        <v>168</v>
      </c>
    </row>
    <row r="2665" spans="1:11" ht="26.25" customHeight="1">
      <c r="A2665" s="343" t="s">
        <v>1641</v>
      </c>
      <c r="B2665" s="344" t="s">
        <v>162</v>
      </c>
      <c r="C2665" s="344">
        <v>7118</v>
      </c>
      <c r="D2665" s="343" t="s">
        <v>5381</v>
      </c>
      <c r="E2665" s="344">
        <v>4679070</v>
      </c>
      <c r="F2665" s="343" t="s">
        <v>5382</v>
      </c>
      <c r="G2665" s="360" t="s">
        <v>12037</v>
      </c>
      <c r="H2665" s="361">
        <v>42870</v>
      </c>
      <c r="I2665" s="343" t="s">
        <v>366</v>
      </c>
      <c r="J2665" s="343" t="s">
        <v>366</v>
      </c>
      <c r="K2665" s="343" t="s">
        <v>168</v>
      </c>
    </row>
    <row r="2666" spans="1:11" ht="26.25" customHeight="1">
      <c r="A2666" s="343" t="s">
        <v>1641</v>
      </c>
      <c r="B2666" s="344" t="s">
        <v>162</v>
      </c>
      <c r="C2666" s="344">
        <v>9197</v>
      </c>
      <c r="D2666" s="343" t="s">
        <v>5511</v>
      </c>
      <c r="E2666" s="344">
        <v>5962072</v>
      </c>
      <c r="F2666" s="343" t="s">
        <v>5512</v>
      </c>
      <c r="G2666" s="360" t="s">
        <v>10078</v>
      </c>
      <c r="H2666" s="361">
        <v>42866</v>
      </c>
      <c r="I2666" s="343" t="s">
        <v>670</v>
      </c>
      <c r="J2666" s="343" t="s">
        <v>671</v>
      </c>
      <c r="K2666" s="343" t="s">
        <v>173</v>
      </c>
    </row>
    <row r="2667" spans="1:11" ht="26.25" customHeight="1">
      <c r="A2667" s="343" t="s">
        <v>1641</v>
      </c>
      <c r="B2667" s="344" t="s">
        <v>162</v>
      </c>
      <c r="C2667" s="344">
        <v>6775</v>
      </c>
      <c r="D2667" s="343" t="s">
        <v>5459</v>
      </c>
      <c r="E2667" s="344">
        <v>5755794</v>
      </c>
      <c r="F2667" s="343" t="s">
        <v>5460</v>
      </c>
      <c r="G2667" s="360" t="s">
        <v>11543</v>
      </c>
      <c r="H2667" s="361">
        <v>42892</v>
      </c>
      <c r="I2667" s="343" t="s">
        <v>366</v>
      </c>
      <c r="J2667" s="343" t="s">
        <v>366</v>
      </c>
      <c r="K2667" s="343" t="s">
        <v>168</v>
      </c>
    </row>
    <row r="2668" spans="1:11" ht="26.25" customHeight="1">
      <c r="A2668" s="343" t="s">
        <v>1641</v>
      </c>
      <c r="B2668" s="344" t="s">
        <v>162</v>
      </c>
      <c r="C2668" s="344">
        <v>6787</v>
      </c>
      <c r="D2668" s="343" t="s">
        <v>7042</v>
      </c>
      <c r="E2668" s="344">
        <v>5833843</v>
      </c>
      <c r="F2668" s="343" t="s">
        <v>5464</v>
      </c>
      <c r="G2668" s="360" t="s">
        <v>655</v>
      </c>
      <c r="H2668" s="361">
        <v>42878</v>
      </c>
      <c r="I2668" s="343" t="s">
        <v>465</v>
      </c>
      <c r="J2668" s="343" t="s">
        <v>1118</v>
      </c>
      <c r="K2668" s="343" t="s">
        <v>168</v>
      </c>
    </row>
    <row r="2669" spans="1:11" ht="26.25" customHeight="1">
      <c r="A2669" s="343" t="s">
        <v>1641</v>
      </c>
      <c r="B2669" s="344" t="s">
        <v>162</v>
      </c>
      <c r="C2669" s="344">
        <v>6787</v>
      </c>
      <c r="D2669" s="343" t="s">
        <v>7042</v>
      </c>
      <c r="E2669" s="344">
        <v>5844128</v>
      </c>
      <c r="F2669" s="343" t="s">
        <v>5465</v>
      </c>
      <c r="G2669" s="360" t="s">
        <v>10032</v>
      </c>
      <c r="H2669" s="361">
        <v>42880</v>
      </c>
      <c r="I2669" s="343" t="s">
        <v>5466</v>
      </c>
      <c r="J2669" s="343" t="s">
        <v>12038</v>
      </c>
      <c r="K2669" s="343" t="s">
        <v>173</v>
      </c>
    </row>
    <row r="2670" spans="1:11" ht="26.25" customHeight="1">
      <c r="A2670" s="343" t="s">
        <v>1641</v>
      </c>
      <c r="B2670" s="344" t="s">
        <v>162</v>
      </c>
      <c r="C2670" s="344">
        <v>6785</v>
      </c>
      <c r="D2670" s="343" t="s">
        <v>5450</v>
      </c>
      <c r="E2670" s="344">
        <v>6341026</v>
      </c>
      <c r="F2670" s="343" t="s">
        <v>5454</v>
      </c>
      <c r="G2670" s="360" t="s">
        <v>9591</v>
      </c>
      <c r="H2670" s="361">
        <v>42880</v>
      </c>
      <c r="I2670" s="343" t="s">
        <v>3850</v>
      </c>
      <c r="J2670" s="343" t="s">
        <v>11004</v>
      </c>
      <c r="K2670" s="343" t="s">
        <v>168</v>
      </c>
    </row>
    <row r="2671" spans="1:11" ht="26.25" customHeight="1">
      <c r="A2671" s="343" t="s">
        <v>1641</v>
      </c>
      <c r="B2671" s="344" t="s">
        <v>162</v>
      </c>
      <c r="C2671" s="344">
        <v>6771</v>
      </c>
      <c r="D2671" s="343" t="s">
        <v>5562</v>
      </c>
      <c r="E2671" s="344">
        <v>6635323</v>
      </c>
      <c r="F2671" s="343" t="s">
        <v>5567</v>
      </c>
      <c r="G2671" s="360" t="s">
        <v>10478</v>
      </c>
      <c r="H2671" s="361">
        <v>42881</v>
      </c>
      <c r="I2671" s="343" t="s">
        <v>1038</v>
      </c>
      <c r="J2671" s="343" t="s">
        <v>9369</v>
      </c>
      <c r="K2671" s="343" t="s">
        <v>168</v>
      </c>
    </row>
    <row r="2672" spans="1:11" ht="26.25" customHeight="1">
      <c r="A2672" s="343" t="s">
        <v>1641</v>
      </c>
      <c r="B2672" s="344" t="s">
        <v>162</v>
      </c>
      <c r="C2672" s="344">
        <v>7599</v>
      </c>
      <c r="D2672" s="343" t="s">
        <v>5238</v>
      </c>
      <c r="E2672" s="344">
        <v>6593193</v>
      </c>
      <c r="F2672" s="343" t="s">
        <v>5239</v>
      </c>
      <c r="G2672" s="360" t="s">
        <v>11750</v>
      </c>
      <c r="H2672" s="361">
        <v>42881</v>
      </c>
      <c r="I2672" s="343" t="s">
        <v>5240</v>
      </c>
      <c r="J2672" s="343" t="s">
        <v>12039</v>
      </c>
      <c r="K2672" s="343" t="s">
        <v>168</v>
      </c>
    </row>
    <row r="2673" spans="1:11" ht="26.25" customHeight="1">
      <c r="A2673" s="343" t="s">
        <v>1641</v>
      </c>
      <c r="B2673" s="344" t="s">
        <v>162</v>
      </c>
      <c r="C2673" s="344">
        <v>6774</v>
      </c>
      <c r="D2673" s="343" t="s">
        <v>5548</v>
      </c>
      <c r="E2673" s="344">
        <v>5989175</v>
      </c>
      <c r="F2673" s="343" t="s">
        <v>5549</v>
      </c>
      <c r="G2673" s="360" t="s">
        <v>9630</v>
      </c>
      <c r="H2673" s="361">
        <v>42881</v>
      </c>
      <c r="I2673" s="343" t="s">
        <v>5550</v>
      </c>
      <c r="J2673" s="343" t="s">
        <v>12040</v>
      </c>
      <c r="K2673" s="343" t="s">
        <v>168</v>
      </c>
    </row>
    <row r="2674" spans="1:11" ht="26.25" customHeight="1">
      <c r="A2674" s="343" t="s">
        <v>1641</v>
      </c>
      <c r="B2674" s="344" t="s">
        <v>162</v>
      </c>
      <c r="C2674" s="344">
        <v>6777</v>
      </c>
      <c r="D2674" s="343" t="s">
        <v>5439</v>
      </c>
      <c r="E2674" s="344">
        <v>5725965</v>
      </c>
      <c r="F2674" s="343" t="s">
        <v>5443</v>
      </c>
      <c r="G2674" s="360" t="s">
        <v>10442</v>
      </c>
      <c r="H2674" s="361">
        <v>42881</v>
      </c>
      <c r="I2674" s="343" t="s">
        <v>301</v>
      </c>
      <c r="J2674" s="343" t="s">
        <v>1113</v>
      </c>
      <c r="K2674" s="343" t="s">
        <v>168</v>
      </c>
    </row>
    <row r="2675" spans="1:11" ht="26.25" customHeight="1">
      <c r="A2675" s="343" t="s">
        <v>1641</v>
      </c>
      <c r="B2675" s="344" t="s">
        <v>162</v>
      </c>
      <c r="C2675" s="344">
        <v>7136</v>
      </c>
      <c r="D2675" s="343" t="s">
        <v>5328</v>
      </c>
      <c r="E2675" s="344">
        <v>4946196</v>
      </c>
      <c r="F2675" s="343" t="s">
        <v>5333</v>
      </c>
      <c r="G2675" s="360" t="s">
        <v>10502</v>
      </c>
      <c r="H2675" s="361">
        <v>42881</v>
      </c>
      <c r="I2675" s="343" t="s">
        <v>198</v>
      </c>
      <c r="J2675" s="343" t="s">
        <v>198</v>
      </c>
      <c r="K2675" s="343" t="s">
        <v>168</v>
      </c>
    </row>
    <row r="2676" spans="1:11" ht="26.25" customHeight="1">
      <c r="A2676" s="343" t="s">
        <v>1641</v>
      </c>
      <c r="B2676" s="344" t="s">
        <v>162</v>
      </c>
      <c r="C2676" s="344">
        <v>6767</v>
      </c>
      <c r="D2676" s="343" t="s">
        <v>5501</v>
      </c>
      <c r="E2676" s="344">
        <v>5958392</v>
      </c>
      <c r="F2676" s="343" t="s">
        <v>5503</v>
      </c>
      <c r="G2676" s="360" t="s">
        <v>10979</v>
      </c>
      <c r="H2676" s="361">
        <v>42881</v>
      </c>
      <c r="I2676" s="343" t="s">
        <v>193</v>
      </c>
      <c r="J2676" s="343" t="s">
        <v>194</v>
      </c>
      <c r="K2676" s="343" t="s">
        <v>168</v>
      </c>
    </row>
    <row r="2677" spans="1:11" ht="26.25" customHeight="1">
      <c r="A2677" s="343" t="s">
        <v>1641</v>
      </c>
      <c r="B2677" s="344" t="s">
        <v>162</v>
      </c>
      <c r="C2677" s="344">
        <v>7130</v>
      </c>
      <c r="D2677" s="343" t="s">
        <v>5415</v>
      </c>
      <c r="E2677" s="344">
        <v>3350129</v>
      </c>
      <c r="F2677" s="343" t="s">
        <v>5419</v>
      </c>
      <c r="G2677" s="360" t="s">
        <v>12041</v>
      </c>
      <c r="H2677" s="361">
        <v>42884</v>
      </c>
      <c r="I2677" s="343" t="s">
        <v>198</v>
      </c>
      <c r="J2677" s="343" t="s">
        <v>198</v>
      </c>
      <c r="K2677" s="343" t="s">
        <v>168</v>
      </c>
    </row>
    <row r="2678" spans="1:11" ht="26.25" customHeight="1">
      <c r="A2678" s="343" t="s">
        <v>1641</v>
      </c>
      <c r="B2678" s="344" t="s">
        <v>162</v>
      </c>
      <c r="C2678" s="344">
        <v>6787</v>
      </c>
      <c r="D2678" s="343" t="s">
        <v>7042</v>
      </c>
      <c r="E2678" s="344">
        <v>6461547</v>
      </c>
      <c r="F2678" s="343" t="s">
        <v>5471</v>
      </c>
      <c r="G2678" s="360" t="s">
        <v>11640</v>
      </c>
      <c r="H2678" s="361">
        <v>42905</v>
      </c>
      <c r="I2678" s="343" t="s">
        <v>180</v>
      </c>
      <c r="J2678" s="343" t="s">
        <v>12042</v>
      </c>
      <c r="K2678" s="343" t="s">
        <v>173</v>
      </c>
    </row>
    <row r="2679" spans="1:11" ht="26.25" customHeight="1">
      <c r="A2679" s="343" t="s">
        <v>1641</v>
      </c>
      <c r="B2679" s="344" t="s">
        <v>162</v>
      </c>
      <c r="C2679" s="344">
        <v>7132</v>
      </c>
      <c r="D2679" s="343" t="s">
        <v>5310</v>
      </c>
      <c r="E2679" s="344">
        <v>6181121</v>
      </c>
      <c r="F2679" s="343" t="s">
        <v>5311</v>
      </c>
      <c r="G2679" s="360" t="s">
        <v>1158</v>
      </c>
      <c r="H2679" s="361">
        <v>42888</v>
      </c>
      <c r="I2679" s="343" t="s">
        <v>709</v>
      </c>
      <c r="J2679" s="343" t="s">
        <v>978</v>
      </c>
      <c r="K2679" s="343" t="s">
        <v>173</v>
      </c>
    </row>
    <row r="2680" spans="1:11" ht="26.25" customHeight="1">
      <c r="A2680" s="343" t="s">
        <v>1641</v>
      </c>
      <c r="B2680" s="344" t="s">
        <v>162</v>
      </c>
      <c r="C2680" s="344">
        <v>6767</v>
      </c>
      <c r="D2680" s="343" t="s">
        <v>5501</v>
      </c>
      <c r="E2680" s="344">
        <v>5895608</v>
      </c>
      <c r="F2680" s="343" t="s">
        <v>5502</v>
      </c>
      <c r="G2680" s="360" t="s">
        <v>12043</v>
      </c>
      <c r="H2680" s="361">
        <v>42891</v>
      </c>
      <c r="I2680" s="343" t="s">
        <v>4225</v>
      </c>
      <c r="J2680" s="343" t="s">
        <v>12044</v>
      </c>
      <c r="K2680" s="343" t="s">
        <v>173</v>
      </c>
    </row>
    <row r="2681" spans="1:11" ht="26.25" customHeight="1">
      <c r="A2681" s="343" t="s">
        <v>1641</v>
      </c>
      <c r="B2681" s="344" t="s">
        <v>162</v>
      </c>
      <c r="C2681" s="344">
        <v>6767</v>
      </c>
      <c r="D2681" s="343" t="s">
        <v>5501</v>
      </c>
      <c r="E2681" s="344">
        <v>5895633</v>
      </c>
      <c r="F2681" s="343" t="s">
        <v>5504</v>
      </c>
      <c r="G2681" s="360" t="s">
        <v>12043</v>
      </c>
      <c r="H2681" s="361">
        <v>42891</v>
      </c>
      <c r="I2681" s="343" t="s">
        <v>4225</v>
      </c>
      <c r="J2681" s="343" t="s">
        <v>12044</v>
      </c>
      <c r="K2681" s="343" t="s">
        <v>173</v>
      </c>
    </row>
    <row r="2682" spans="1:11" ht="26.25" customHeight="1">
      <c r="A2682" s="343" t="s">
        <v>1641</v>
      </c>
      <c r="B2682" s="344" t="s">
        <v>162</v>
      </c>
      <c r="C2682" s="344">
        <v>8571</v>
      </c>
      <c r="D2682" s="343" t="s">
        <v>5526</v>
      </c>
      <c r="E2682" s="344">
        <v>5751434</v>
      </c>
      <c r="F2682" s="343" t="s">
        <v>5529</v>
      </c>
      <c r="G2682" s="360" t="s">
        <v>9445</v>
      </c>
      <c r="H2682" s="361">
        <v>42886</v>
      </c>
      <c r="I2682" s="343" t="s">
        <v>5530</v>
      </c>
      <c r="J2682" s="343" t="s">
        <v>12045</v>
      </c>
      <c r="K2682" s="343" t="s">
        <v>168</v>
      </c>
    </row>
    <row r="2683" spans="1:11" ht="26.25" customHeight="1">
      <c r="A2683" s="343" t="s">
        <v>1641</v>
      </c>
      <c r="B2683" s="344" t="s">
        <v>162</v>
      </c>
      <c r="C2683" s="344">
        <v>6768</v>
      </c>
      <c r="D2683" s="343" t="s">
        <v>5486</v>
      </c>
      <c r="E2683" s="344">
        <v>5936787</v>
      </c>
      <c r="F2683" s="343" t="s">
        <v>5487</v>
      </c>
      <c r="G2683" s="360" t="s">
        <v>214</v>
      </c>
      <c r="H2683" s="361">
        <v>42885</v>
      </c>
      <c r="I2683" s="343" t="s">
        <v>166</v>
      </c>
      <c r="J2683" s="343" t="s">
        <v>327</v>
      </c>
      <c r="K2683" s="343" t="s">
        <v>168</v>
      </c>
    </row>
    <row r="2684" spans="1:11" ht="26.25" customHeight="1">
      <c r="A2684" s="343" t="s">
        <v>1641</v>
      </c>
      <c r="B2684" s="344" t="s">
        <v>162</v>
      </c>
      <c r="C2684" s="344">
        <v>7635</v>
      </c>
      <c r="D2684" s="343" t="s">
        <v>5226</v>
      </c>
      <c r="E2684" s="344">
        <v>6545913</v>
      </c>
      <c r="F2684" s="343" t="s">
        <v>5229</v>
      </c>
      <c r="G2684" s="360" t="s">
        <v>10963</v>
      </c>
      <c r="H2684" s="361">
        <v>42909</v>
      </c>
      <c r="I2684" s="343" t="s">
        <v>166</v>
      </c>
      <c r="J2684" s="343" t="s">
        <v>327</v>
      </c>
      <c r="K2684" s="343" t="s">
        <v>168</v>
      </c>
    </row>
    <row r="2685" spans="1:11" ht="26.25" customHeight="1">
      <c r="A2685" s="343" t="s">
        <v>1641</v>
      </c>
      <c r="B2685" s="344" t="s">
        <v>162</v>
      </c>
      <c r="C2685" s="344">
        <v>9174</v>
      </c>
      <c r="D2685" s="343" t="s">
        <v>5558</v>
      </c>
      <c r="E2685" s="344">
        <v>6039277</v>
      </c>
      <c r="F2685" s="343" t="s">
        <v>5559</v>
      </c>
      <c r="G2685" s="360" t="s">
        <v>12046</v>
      </c>
      <c r="H2685" s="361">
        <v>42888</v>
      </c>
      <c r="I2685" s="343" t="s">
        <v>366</v>
      </c>
      <c r="J2685" s="343" t="s">
        <v>366</v>
      </c>
      <c r="K2685" s="343" t="s">
        <v>168</v>
      </c>
    </row>
    <row r="2686" spans="1:11" ht="26.25" customHeight="1">
      <c r="A2686" s="343" t="s">
        <v>1641</v>
      </c>
      <c r="B2686" s="344" t="s">
        <v>162</v>
      </c>
      <c r="C2686" s="344">
        <v>7644</v>
      </c>
      <c r="D2686" s="343" t="s">
        <v>5210</v>
      </c>
      <c r="E2686" s="344">
        <v>6666848</v>
      </c>
      <c r="F2686" s="343" t="s">
        <v>5216</v>
      </c>
      <c r="G2686" s="360" t="s">
        <v>10146</v>
      </c>
      <c r="H2686" s="361">
        <v>42888</v>
      </c>
      <c r="I2686" s="343" t="s">
        <v>5217</v>
      </c>
      <c r="J2686" s="343" t="s">
        <v>12047</v>
      </c>
      <c r="K2686" s="343" t="s">
        <v>173</v>
      </c>
    </row>
    <row r="2687" spans="1:11" ht="26.25" customHeight="1">
      <c r="A2687" s="343" t="s">
        <v>1641</v>
      </c>
      <c r="B2687" s="344" t="s">
        <v>162</v>
      </c>
      <c r="C2687" s="344">
        <v>7599</v>
      </c>
      <c r="D2687" s="343" t="s">
        <v>5238</v>
      </c>
      <c r="E2687" s="344">
        <v>6503523</v>
      </c>
      <c r="F2687" s="343" t="s">
        <v>5245</v>
      </c>
      <c r="G2687" s="360" t="s">
        <v>12048</v>
      </c>
      <c r="H2687" s="361">
        <v>42885</v>
      </c>
      <c r="I2687" s="343" t="s">
        <v>193</v>
      </c>
      <c r="J2687" s="343" t="s">
        <v>194</v>
      </c>
      <c r="K2687" s="343" t="s">
        <v>168</v>
      </c>
    </row>
    <row r="2688" spans="1:11" ht="26.25" customHeight="1">
      <c r="A2688" s="343" t="s">
        <v>1641</v>
      </c>
      <c r="B2688" s="344" t="s">
        <v>162</v>
      </c>
      <c r="C2688" s="344">
        <v>7643</v>
      </c>
      <c r="D2688" s="343" t="s">
        <v>5161</v>
      </c>
      <c r="E2688" s="344">
        <v>6770579</v>
      </c>
      <c r="F2688" s="343" t="s">
        <v>5164</v>
      </c>
      <c r="G2688" s="360" t="s">
        <v>12049</v>
      </c>
      <c r="H2688" s="361">
        <v>42912</v>
      </c>
      <c r="I2688" s="343" t="s">
        <v>166</v>
      </c>
      <c r="J2688" s="343" t="s">
        <v>9752</v>
      </c>
      <c r="K2688" s="343" t="s">
        <v>248</v>
      </c>
    </row>
    <row r="2689" spans="1:11" ht="26.25" customHeight="1">
      <c r="A2689" s="343" t="s">
        <v>1641</v>
      </c>
      <c r="B2689" s="344" t="s">
        <v>162</v>
      </c>
      <c r="C2689" s="344">
        <v>6784</v>
      </c>
      <c r="D2689" s="343" t="s">
        <v>5537</v>
      </c>
      <c r="E2689" s="344">
        <v>6642465</v>
      </c>
      <c r="F2689" s="343" t="s">
        <v>5543</v>
      </c>
      <c r="G2689" s="360" t="s">
        <v>10568</v>
      </c>
      <c r="H2689" s="361">
        <v>42914</v>
      </c>
      <c r="I2689" s="343" t="s">
        <v>193</v>
      </c>
      <c r="J2689" s="343" t="s">
        <v>12050</v>
      </c>
      <c r="K2689" s="343" t="s">
        <v>168</v>
      </c>
    </row>
    <row r="2690" spans="1:11" ht="26.25" customHeight="1">
      <c r="A2690" s="343" t="s">
        <v>1641</v>
      </c>
      <c r="B2690" s="344" t="s">
        <v>162</v>
      </c>
      <c r="C2690" s="344">
        <v>6783</v>
      </c>
      <c r="D2690" s="343" t="s">
        <v>5521</v>
      </c>
      <c r="E2690" s="344">
        <v>6447181</v>
      </c>
      <c r="F2690" s="343" t="s">
        <v>5524</v>
      </c>
      <c r="G2690" s="360" t="s">
        <v>1204</v>
      </c>
      <c r="H2690" s="361">
        <v>42914</v>
      </c>
      <c r="I2690" s="343" t="s">
        <v>354</v>
      </c>
      <c r="J2690" s="343" t="s">
        <v>12051</v>
      </c>
      <c r="K2690" s="343" t="s">
        <v>168</v>
      </c>
    </row>
    <row r="2691" spans="1:11" ht="26.25" customHeight="1">
      <c r="A2691" s="343" t="s">
        <v>1641</v>
      </c>
      <c r="B2691" s="344" t="s">
        <v>162</v>
      </c>
      <c r="C2691" s="344">
        <v>7130</v>
      </c>
      <c r="D2691" s="343" t="s">
        <v>5415</v>
      </c>
      <c r="E2691" s="344">
        <v>4574815</v>
      </c>
      <c r="F2691" s="343" t="s">
        <v>5424</v>
      </c>
      <c r="G2691" s="360" t="s">
        <v>12052</v>
      </c>
      <c r="H2691" s="361">
        <v>42919</v>
      </c>
      <c r="I2691" s="343" t="s">
        <v>198</v>
      </c>
      <c r="J2691" s="343" t="s">
        <v>198</v>
      </c>
      <c r="K2691" s="343" t="s">
        <v>168</v>
      </c>
    </row>
    <row r="2692" spans="1:11" ht="26.25" customHeight="1">
      <c r="A2692" s="343" t="s">
        <v>1641</v>
      </c>
      <c r="B2692" s="344" t="s">
        <v>162</v>
      </c>
      <c r="C2692" s="344">
        <v>6773</v>
      </c>
      <c r="D2692" s="343" t="s">
        <v>5573</v>
      </c>
      <c r="E2692" s="344">
        <v>5785476</v>
      </c>
      <c r="F2692" s="343" t="s">
        <v>5577</v>
      </c>
      <c r="G2692" s="360" t="s">
        <v>471</v>
      </c>
      <c r="H2692" s="361">
        <v>42919</v>
      </c>
      <c r="I2692" s="343" t="s">
        <v>193</v>
      </c>
      <c r="J2692" s="343" t="s">
        <v>12053</v>
      </c>
      <c r="K2692" s="343" t="s">
        <v>168</v>
      </c>
    </row>
    <row r="2693" spans="1:11" ht="26.25" customHeight="1">
      <c r="A2693" s="343" t="s">
        <v>1641</v>
      </c>
      <c r="B2693" s="344" t="s">
        <v>162</v>
      </c>
      <c r="C2693" s="344">
        <v>8432</v>
      </c>
      <c r="D2693" s="343" t="s">
        <v>5271</v>
      </c>
      <c r="E2693" s="344">
        <v>5819196</v>
      </c>
      <c r="F2693" s="343" t="s">
        <v>5272</v>
      </c>
      <c r="G2693" s="360" t="s">
        <v>12054</v>
      </c>
      <c r="H2693" s="361">
        <v>42919</v>
      </c>
      <c r="I2693" s="343" t="s">
        <v>211</v>
      </c>
      <c r="J2693" s="343" t="s">
        <v>211</v>
      </c>
      <c r="K2693" s="343" t="s">
        <v>168</v>
      </c>
    </row>
    <row r="2694" spans="1:11" ht="26.25" customHeight="1">
      <c r="A2694" s="343" t="s">
        <v>1641</v>
      </c>
      <c r="B2694" s="344" t="s">
        <v>162</v>
      </c>
      <c r="C2694" s="344">
        <v>6789</v>
      </c>
      <c r="D2694" s="343" t="s">
        <v>5570</v>
      </c>
      <c r="E2694" s="344">
        <v>6437642</v>
      </c>
      <c r="F2694" s="343" t="s">
        <v>5572</v>
      </c>
      <c r="G2694" s="360" t="s">
        <v>10464</v>
      </c>
      <c r="H2694" s="361">
        <v>42919</v>
      </c>
      <c r="I2694" s="343" t="s">
        <v>198</v>
      </c>
      <c r="J2694" s="343" t="s">
        <v>198</v>
      </c>
      <c r="K2694" s="343" t="s">
        <v>168</v>
      </c>
    </row>
    <row r="2695" spans="1:11" ht="26.25" customHeight="1">
      <c r="A2695" s="343" t="s">
        <v>1641</v>
      </c>
      <c r="B2695" s="344" t="s">
        <v>162</v>
      </c>
      <c r="C2695" s="344">
        <v>6789</v>
      </c>
      <c r="D2695" s="343" t="s">
        <v>5570</v>
      </c>
      <c r="E2695" s="344">
        <v>5956375</v>
      </c>
      <c r="F2695" s="343" t="s">
        <v>5571</v>
      </c>
      <c r="G2695" s="360" t="s">
        <v>10656</v>
      </c>
      <c r="H2695" s="361">
        <v>42920</v>
      </c>
      <c r="I2695" s="343" t="s">
        <v>166</v>
      </c>
      <c r="J2695" s="343" t="s">
        <v>296</v>
      </c>
      <c r="K2695" s="343" t="s">
        <v>168</v>
      </c>
    </row>
    <row r="2696" spans="1:11" ht="26.25" customHeight="1">
      <c r="A2696" s="343" t="s">
        <v>1641</v>
      </c>
      <c r="B2696" s="344" t="s">
        <v>162</v>
      </c>
      <c r="C2696" s="344">
        <v>6778</v>
      </c>
      <c r="D2696" s="343" t="s">
        <v>5499</v>
      </c>
      <c r="E2696" s="344">
        <v>5652701</v>
      </c>
      <c r="F2696" s="343" t="s">
        <v>5224</v>
      </c>
      <c r="G2696" s="360" t="s">
        <v>10962</v>
      </c>
      <c r="H2696" s="361">
        <v>42920</v>
      </c>
      <c r="I2696" s="343" t="s">
        <v>166</v>
      </c>
      <c r="J2696" s="343" t="s">
        <v>682</v>
      </c>
      <c r="K2696" s="343" t="s">
        <v>168</v>
      </c>
    </row>
    <row r="2697" spans="1:11" ht="26.25" customHeight="1">
      <c r="A2697" s="343" t="s">
        <v>1641</v>
      </c>
      <c r="B2697" s="344" t="s">
        <v>162</v>
      </c>
      <c r="C2697" s="344">
        <v>7592</v>
      </c>
      <c r="D2697" s="343" t="s">
        <v>5230</v>
      </c>
      <c r="E2697" s="344">
        <v>6173782</v>
      </c>
      <c r="F2697" s="343" t="s">
        <v>5234</v>
      </c>
      <c r="G2697" s="360" t="s">
        <v>9810</v>
      </c>
      <c r="H2697" s="361">
        <v>42920</v>
      </c>
      <c r="I2697" s="343" t="s">
        <v>1038</v>
      </c>
      <c r="J2697" s="343" t="s">
        <v>9369</v>
      </c>
      <c r="K2697" s="343" t="s">
        <v>168</v>
      </c>
    </row>
    <row r="2698" spans="1:11" ht="26.25" customHeight="1">
      <c r="A2698" s="343" t="s">
        <v>1641</v>
      </c>
      <c r="B2698" s="344" t="s">
        <v>162</v>
      </c>
      <c r="C2698" s="344">
        <v>11095</v>
      </c>
      <c r="D2698" s="343" t="s">
        <v>5261</v>
      </c>
      <c r="E2698" s="344">
        <v>6002670</v>
      </c>
      <c r="F2698" s="343" t="s">
        <v>5269</v>
      </c>
      <c r="G2698" s="360" t="s">
        <v>1123</v>
      </c>
      <c r="H2698" s="361">
        <v>42923</v>
      </c>
      <c r="I2698" s="343" t="s">
        <v>366</v>
      </c>
      <c r="J2698" s="343" t="s">
        <v>366</v>
      </c>
      <c r="K2698" s="343" t="s">
        <v>168</v>
      </c>
    </row>
    <row r="2699" spans="1:11" ht="26.25" customHeight="1">
      <c r="A2699" s="343" t="s">
        <v>1641</v>
      </c>
      <c r="B2699" s="344" t="s">
        <v>162</v>
      </c>
      <c r="C2699" s="344">
        <v>7141</v>
      </c>
      <c r="D2699" s="343" t="s">
        <v>5376</v>
      </c>
      <c r="E2699" s="344">
        <v>4965328</v>
      </c>
      <c r="F2699" s="343" t="s">
        <v>5377</v>
      </c>
      <c r="G2699" s="360" t="s">
        <v>12055</v>
      </c>
      <c r="H2699" s="361">
        <v>42926</v>
      </c>
      <c r="I2699" s="343" t="s">
        <v>547</v>
      </c>
      <c r="J2699" s="343" t="s">
        <v>936</v>
      </c>
      <c r="K2699" s="343" t="s">
        <v>248</v>
      </c>
    </row>
    <row r="2700" spans="1:11" ht="26.25" customHeight="1">
      <c r="A2700" s="343" t="s">
        <v>1641</v>
      </c>
      <c r="B2700" s="344" t="s">
        <v>162</v>
      </c>
      <c r="C2700" s="344">
        <v>7608</v>
      </c>
      <c r="D2700" s="343" t="s">
        <v>5182</v>
      </c>
      <c r="E2700" s="344">
        <v>6534588</v>
      </c>
      <c r="F2700" s="343" t="s">
        <v>5185</v>
      </c>
      <c r="G2700" s="360" t="s">
        <v>9401</v>
      </c>
      <c r="H2700" s="361">
        <v>42929</v>
      </c>
      <c r="I2700" s="343" t="s">
        <v>366</v>
      </c>
      <c r="J2700" s="343" t="s">
        <v>366</v>
      </c>
      <c r="K2700" s="343" t="s">
        <v>168</v>
      </c>
    </row>
    <row r="2701" spans="1:11" ht="26.25" customHeight="1">
      <c r="A2701" s="343" t="s">
        <v>1641</v>
      </c>
      <c r="B2701" s="344" t="s">
        <v>162</v>
      </c>
      <c r="C2701" s="344">
        <v>11096</v>
      </c>
      <c r="D2701" s="343" t="s">
        <v>5248</v>
      </c>
      <c r="E2701" s="344">
        <v>6215630</v>
      </c>
      <c r="F2701" s="343" t="s">
        <v>5252</v>
      </c>
      <c r="G2701" s="360" t="s">
        <v>12056</v>
      </c>
      <c r="H2701" s="361">
        <v>42941</v>
      </c>
      <c r="I2701" s="343" t="s">
        <v>166</v>
      </c>
      <c r="J2701" s="343" t="s">
        <v>327</v>
      </c>
      <c r="K2701" s="343" t="s">
        <v>168</v>
      </c>
    </row>
    <row r="2702" spans="1:11" ht="26.25" customHeight="1">
      <c r="A2702" s="343" t="s">
        <v>1641</v>
      </c>
      <c r="B2702" s="344" t="s">
        <v>162</v>
      </c>
      <c r="C2702" s="344">
        <v>6770</v>
      </c>
      <c r="D2702" s="343" t="s">
        <v>5531</v>
      </c>
      <c r="E2702" s="344">
        <v>6769383</v>
      </c>
      <c r="F2702" s="343" t="s">
        <v>5532</v>
      </c>
      <c r="G2702" s="360" t="s">
        <v>1222</v>
      </c>
      <c r="H2702" s="361">
        <v>42941</v>
      </c>
      <c r="I2702" s="343" t="s">
        <v>547</v>
      </c>
      <c r="J2702" s="343" t="s">
        <v>1028</v>
      </c>
      <c r="K2702" s="343" t="s">
        <v>248</v>
      </c>
    </row>
    <row r="2703" spans="1:11" ht="26.25" customHeight="1">
      <c r="A2703" s="343" t="s">
        <v>1641</v>
      </c>
      <c r="B2703" s="344" t="s">
        <v>162</v>
      </c>
      <c r="C2703" s="344">
        <v>7599</v>
      </c>
      <c r="D2703" s="343" t="s">
        <v>5238</v>
      </c>
      <c r="E2703" s="344">
        <v>6731368</v>
      </c>
      <c r="F2703" s="343" t="s">
        <v>5243</v>
      </c>
      <c r="G2703" s="360" t="s">
        <v>10324</v>
      </c>
      <c r="H2703" s="361">
        <v>42949</v>
      </c>
      <c r="I2703" s="343" t="s">
        <v>193</v>
      </c>
      <c r="J2703" s="343" t="s">
        <v>637</v>
      </c>
      <c r="K2703" s="343" t="s">
        <v>168</v>
      </c>
    </row>
    <row r="2704" spans="1:11" ht="26.25" customHeight="1">
      <c r="A2704" s="343" t="s">
        <v>1641</v>
      </c>
      <c r="B2704" s="344" t="s">
        <v>162</v>
      </c>
      <c r="C2704" s="344">
        <v>11096</v>
      </c>
      <c r="D2704" s="343" t="s">
        <v>5248</v>
      </c>
      <c r="E2704" s="344">
        <v>6715174</v>
      </c>
      <c r="F2704" s="343" t="s">
        <v>5253</v>
      </c>
      <c r="G2704" s="360" t="s">
        <v>12057</v>
      </c>
      <c r="H2704" s="361">
        <v>42949</v>
      </c>
      <c r="I2704" s="343" t="s">
        <v>193</v>
      </c>
      <c r="J2704" s="343" t="s">
        <v>603</v>
      </c>
      <c r="K2704" s="343" t="s">
        <v>168</v>
      </c>
    </row>
    <row r="2705" spans="1:11" ht="26.25" customHeight="1">
      <c r="A2705" s="343" t="s">
        <v>1641</v>
      </c>
      <c r="B2705" s="344" t="s">
        <v>162</v>
      </c>
      <c r="C2705" s="344">
        <v>7605</v>
      </c>
      <c r="D2705" s="343" t="s">
        <v>5174</v>
      </c>
      <c r="E2705" s="344">
        <v>6570446</v>
      </c>
      <c r="F2705" s="343" t="s">
        <v>5176</v>
      </c>
      <c r="G2705" s="360" t="s">
        <v>12058</v>
      </c>
      <c r="H2705" s="361">
        <v>42949</v>
      </c>
      <c r="I2705" s="343" t="s">
        <v>166</v>
      </c>
      <c r="J2705" s="343" t="s">
        <v>417</v>
      </c>
      <c r="K2705" s="343" t="s">
        <v>248</v>
      </c>
    </row>
    <row r="2706" spans="1:11" ht="26.25" customHeight="1">
      <c r="A2706" s="343" t="s">
        <v>1641</v>
      </c>
      <c r="B2706" s="344" t="s">
        <v>162</v>
      </c>
      <c r="C2706" s="344">
        <v>8846</v>
      </c>
      <c r="D2706" s="343" t="s">
        <v>5475</v>
      </c>
      <c r="E2706" s="344">
        <v>6060469</v>
      </c>
      <c r="F2706" s="343" t="s">
        <v>5478</v>
      </c>
      <c r="G2706" s="360" t="s">
        <v>661</v>
      </c>
      <c r="H2706" s="361">
        <v>42961</v>
      </c>
      <c r="I2706" s="343" t="s">
        <v>193</v>
      </c>
      <c r="J2706" s="343" t="s">
        <v>603</v>
      </c>
      <c r="K2706" s="343" t="s">
        <v>168</v>
      </c>
    </row>
    <row r="2707" spans="1:11" ht="26.25" customHeight="1">
      <c r="A2707" s="343" t="s">
        <v>1641</v>
      </c>
      <c r="B2707" s="344" t="s">
        <v>162</v>
      </c>
      <c r="C2707" s="344">
        <v>7636</v>
      </c>
      <c r="D2707" s="343" t="s">
        <v>5204</v>
      </c>
      <c r="E2707" s="344">
        <v>6677757</v>
      </c>
      <c r="F2707" s="343" t="s">
        <v>5207</v>
      </c>
      <c r="G2707" s="360" t="s">
        <v>12059</v>
      </c>
      <c r="H2707" s="361">
        <v>42963</v>
      </c>
      <c r="I2707" s="343" t="s">
        <v>193</v>
      </c>
      <c r="J2707" s="343" t="s">
        <v>194</v>
      </c>
      <c r="K2707" s="343" t="s">
        <v>168</v>
      </c>
    </row>
    <row r="2708" spans="1:11" ht="26.25" customHeight="1">
      <c r="A2708" s="343" t="s">
        <v>1641</v>
      </c>
      <c r="B2708" s="344" t="s">
        <v>162</v>
      </c>
      <c r="C2708" s="344">
        <v>8570</v>
      </c>
      <c r="D2708" s="343" t="s">
        <v>5517</v>
      </c>
      <c r="E2708" s="344">
        <v>5951101</v>
      </c>
      <c r="F2708" s="343" t="s">
        <v>5520</v>
      </c>
      <c r="G2708" s="360" t="s">
        <v>12060</v>
      </c>
      <c r="H2708" s="361">
        <v>42964</v>
      </c>
      <c r="I2708" s="343" t="s">
        <v>366</v>
      </c>
      <c r="J2708" s="343" t="s">
        <v>366</v>
      </c>
      <c r="K2708" s="343" t="s">
        <v>168</v>
      </c>
    </row>
    <row r="2709" spans="1:11" ht="26.25" customHeight="1">
      <c r="A2709" s="343" t="s">
        <v>1641</v>
      </c>
      <c r="B2709" s="344" t="s">
        <v>162</v>
      </c>
      <c r="C2709" s="344">
        <v>8570</v>
      </c>
      <c r="D2709" s="343" t="s">
        <v>5517</v>
      </c>
      <c r="E2709" s="344">
        <v>5764787</v>
      </c>
      <c r="F2709" s="343" t="s">
        <v>5518</v>
      </c>
      <c r="G2709" s="360" t="s">
        <v>11010</v>
      </c>
      <c r="H2709" s="361">
        <v>42964</v>
      </c>
      <c r="I2709" s="343" t="s">
        <v>1182</v>
      </c>
      <c r="J2709" s="343" t="s">
        <v>10913</v>
      </c>
      <c r="K2709" s="343" t="s">
        <v>173</v>
      </c>
    </row>
    <row r="2710" spans="1:11" ht="26.25" customHeight="1">
      <c r="A2710" s="343" t="s">
        <v>1641</v>
      </c>
      <c r="B2710" s="344" t="s">
        <v>162</v>
      </c>
      <c r="C2710" s="344">
        <v>8432</v>
      </c>
      <c r="D2710" s="343" t="s">
        <v>5271</v>
      </c>
      <c r="E2710" s="344">
        <v>4314068</v>
      </c>
      <c r="F2710" s="343" t="s">
        <v>5273</v>
      </c>
      <c r="G2710" s="360" t="s">
        <v>12061</v>
      </c>
      <c r="H2710" s="361">
        <v>42964</v>
      </c>
      <c r="I2710" s="343" t="s">
        <v>180</v>
      </c>
      <c r="J2710" s="343" t="s">
        <v>12062</v>
      </c>
      <c r="K2710" s="343" t="s">
        <v>168</v>
      </c>
    </row>
    <row r="2711" spans="1:11" ht="26.25" customHeight="1">
      <c r="A2711" s="343" t="s">
        <v>1641</v>
      </c>
      <c r="B2711" s="344" t="s">
        <v>162</v>
      </c>
      <c r="C2711" s="344">
        <v>9115</v>
      </c>
      <c r="D2711" s="343" t="s">
        <v>5394</v>
      </c>
      <c r="E2711" s="344">
        <v>4826708</v>
      </c>
      <c r="F2711" s="343" t="s">
        <v>7147</v>
      </c>
      <c r="G2711" s="360" t="s">
        <v>11849</v>
      </c>
      <c r="H2711" s="361">
        <v>42965</v>
      </c>
      <c r="I2711" s="343" t="s">
        <v>580</v>
      </c>
      <c r="J2711" s="343" t="s">
        <v>12063</v>
      </c>
      <c r="K2711" s="343" t="s">
        <v>248</v>
      </c>
    </row>
    <row r="2712" spans="1:11" ht="26.25" customHeight="1">
      <c r="A2712" s="343" t="s">
        <v>1641</v>
      </c>
      <c r="B2712" s="344" t="s">
        <v>162</v>
      </c>
      <c r="C2712" s="344">
        <v>11096</v>
      </c>
      <c r="D2712" s="343" t="s">
        <v>5248</v>
      </c>
      <c r="E2712" s="344">
        <v>6439035</v>
      </c>
      <c r="F2712" s="343" t="s">
        <v>7151</v>
      </c>
      <c r="G2712" s="360" t="s">
        <v>10348</v>
      </c>
      <c r="H2712" s="361">
        <v>42969</v>
      </c>
      <c r="I2712" s="343" t="s">
        <v>166</v>
      </c>
      <c r="J2712" s="343" t="s">
        <v>327</v>
      </c>
      <c r="K2712" s="343" t="s">
        <v>168</v>
      </c>
    </row>
    <row r="2713" spans="1:11" ht="26.25" customHeight="1">
      <c r="A2713" s="343" t="s">
        <v>1641</v>
      </c>
      <c r="B2713" s="344" t="s">
        <v>162</v>
      </c>
      <c r="C2713" s="344">
        <v>6786</v>
      </c>
      <c r="D2713" s="343" t="s">
        <v>5556</v>
      </c>
      <c r="E2713" s="344">
        <v>5922014</v>
      </c>
      <c r="F2713" s="343" t="s">
        <v>7134</v>
      </c>
      <c r="G2713" s="360" t="s">
        <v>9606</v>
      </c>
      <c r="H2713" s="361">
        <v>42969</v>
      </c>
      <c r="I2713" s="343" t="s">
        <v>7248</v>
      </c>
      <c r="J2713" s="343" t="s">
        <v>12064</v>
      </c>
      <c r="K2713" s="343" t="s">
        <v>173</v>
      </c>
    </row>
    <row r="2714" spans="1:11" ht="26.25" customHeight="1">
      <c r="A2714" s="343" t="s">
        <v>1641</v>
      </c>
      <c r="B2714" s="344" t="s">
        <v>162</v>
      </c>
      <c r="C2714" s="344">
        <v>6777</v>
      </c>
      <c r="D2714" s="343" t="s">
        <v>5439</v>
      </c>
      <c r="E2714" s="344">
        <v>5701253</v>
      </c>
      <c r="F2714" s="343" t="s">
        <v>7129</v>
      </c>
      <c r="G2714" s="360" t="s">
        <v>11493</v>
      </c>
      <c r="H2714" s="361">
        <v>42969</v>
      </c>
      <c r="I2714" s="343" t="s">
        <v>166</v>
      </c>
      <c r="J2714" s="343" t="s">
        <v>296</v>
      </c>
      <c r="K2714" s="343" t="s">
        <v>168</v>
      </c>
    </row>
    <row r="2715" spans="1:11" ht="26.25" customHeight="1">
      <c r="A2715" s="343" t="s">
        <v>1641</v>
      </c>
      <c r="B2715" s="344" t="s">
        <v>162</v>
      </c>
      <c r="C2715" s="344">
        <v>6785</v>
      </c>
      <c r="D2715" s="343" t="s">
        <v>5450</v>
      </c>
      <c r="E2715" s="344">
        <v>6242951</v>
      </c>
      <c r="F2715" s="343" t="s">
        <v>7133</v>
      </c>
      <c r="G2715" s="360" t="s">
        <v>10971</v>
      </c>
      <c r="H2715" s="361">
        <v>42972</v>
      </c>
      <c r="I2715" s="343" t="s">
        <v>709</v>
      </c>
      <c r="J2715" s="343" t="s">
        <v>709</v>
      </c>
      <c r="K2715" s="343" t="s">
        <v>173</v>
      </c>
    </row>
    <row r="2716" spans="1:11" ht="26.25" customHeight="1">
      <c r="A2716" s="343" t="s">
        <v>1641</v>
      </c>
      <c r="B2716" s="344" t="s">
        <v>162</v>
      </c>
      <c r="C2716" s="344">
        <v>7637</v>
      </c>
      <c r="D2716" s="343" t="s">
        <v>5186</v>
      </c>
      <c r="E2716" s="344">
        <v>6239987</v>
      </c>
      <c r="F2716" s="343" t="s">
        <v>7143</v>
      </c>
      <c r="G2716" s="360" t="s">
        <v>191</v>
      </c>
      <c r="H2716" s="361">
        <v>42976</v>
      </c>
      <c r="I2716" s="343" t="s">
        <v>193</v>
      </c>
      <c r="J2716" s="343" t="s">
        <v>509</v>
      </c>
      <c r="K2716" s="343" t="s">
        <v>168</v>
      </c>
    </row>
    <row r="2717" spans="1:11" ht="26.25" customHeight="1">
      <c r="A2717" s="343" t="s">
        <v>1641</v>
      </c>
      <c r="B2717" s="344" t="s">
        <v>162</v>
      </c>
      <c r="C2717" s="344">
        <v>9115</v>
      </c>
      <c r="D2717" s="343" t="s">
        <v>5394</v>
      </c>
      <c r="E2717" s="344">
        <v>5849044</v>
      </c>
      <c r="F2717" s="343" t="s">
        <v>7148</v>
      </c>
      <c r="G2717" s="360" t="s">
        <v>10796</v>
      </c>
      <c r="H2717" s="361">
        <v>42977</v>
      </c>
      <c r="I2717" s="343" t="s">
        <v>7250</v>
      </c>
      <c r="J2717" s="343" t="s">
        <v>12065</v>
      </c>
      <c r="K2717" s="343" t="s">
        <v>168</v>
      </c>
    </row>
    <row r="2718" spans="1:11" ht="26.25" customHeight="1">
      <c r="A2718" s="343" t="s">
        <v>1641</v>
      </c>
      <c r="B2718" s="344" t="s">
        <v>162</v>
      </c>
      <c r="C2718" s="344">
        <v>7144</v>
      </c>
      <c r="D2718" s="343" t="s">
        <v>5368</v>
      </c>
      <c r="E2718" s="344">
        <v>5197255</v>
      </c>
      <c r="F2718" s="343" t="s">
        <v>7140</v>
      </c>
      <c r="G2718" s="360" t="s">
        <v>12066</v>
      </c>
      <c r="H2718" s="361">
        <v>42977</v>
      </c>
      <c r="I2718" s="343" t="s">
        <v>193</v>
      </c>
      <c r="J2718" s="343" t="s">
        <v>12067</v>
      </c>
      <c r="K2718" s="343" t="s">
        <v>168</v>
      </c>
    </row>
    <row r="2719" spans="1:11" ht="26.25" customHeight="1">
      <c r="A2719" s="343" t="s">
        <v>1641</v>
      </c>
      <c r="B2719" s="344" t="s">
        <v>162</v>
      </c>
      <c r="C2719" s="344">
        <v>11094</v>
      </c>
      <c r="D2719" s="343" t="s">
        <v>5254</v>
      </c>
      <c r="E2719" s="344">
        <v>5784092</v>
      </c>
      <c r="F2719" s="343" t="s">
        <v>7150</v>
      </c>
      <c r="G2719" s="360" t="s">
        <v>9409</v>
      </c>
      <c r="H2719" s="361">
        <v>42979</v>
      </c>
      <c r="I2719" s="343" t="s">
        <v>271</v>
      </c>
      <c r="J2719" s="343" t="s">
        <v>333</v>
      </c>
      <c r="K2719" s="343" t="s">
        <v>168</v>
      </c>
    </row>
    <row r="2720" spans="1:11" ht="26.25" customHeight="1">
      <c r="A2720" s="343" t="s">
        <v>1641</v>
      </c>
      <c r="B2720" s="344" t="s">
        <v>162</v>
      </c>
      <c r="C2720" s="344">
        <v>7639</v>
      </c>
      <c r="D2720" s="343" t="s">
        <v>5189</v>
      </c>
      <c r="E2720" s="344">
        <v>6552934</v>
      </c>
      <c r="F2720" s="343" t="s">
        <v>7144</v>
      </c>
      <c r="G2720" s="360" t="s">
        <v>9477</v>
      </c>
      <c r="H2720" s="361">
        <v>42979</v>
      </c>
      <c r="I2720" s="343" t="s">
        <v>423</v>
      </c>
      <c r="J2720" s="343" t="s">
        <v>10679</v>
      </c>
      <c r="K2720" s="343" t="s">
        <v>168</v>
      </c>
    </row>
    <row r="2721" spans="1:11" ht="26.25" customHeight="1">
      <c r="A2721" s="343" t="s">
        <v>1641</v>
      </c>
      <c r="B2721" s="344" t="s">
        <v>162</v>
      </c>
      <c r="C2721" s="344">
        <v>7129</v>
      </c>
      <c r="D2721" s="343" t="s">
        <v>5352</v>
      </c>
      <c r="E2721" s="344">
        <v>4115384</v>
      </c>
      <c r="F2721" s="343" t="s">
        <v>7137</v>
      </c>
      <c r="G2721" s="360" t="s">
        <v>12068</v>
      </c>
      <c r="H2721" s="361">
        <v>42979</v>
      </c>
      <c r="I2721" s="343" t="s">
        <v>193</v>
      </c>
      <c r="J2721" s="343" t="s">
        <v>12069</v>
      </c>
      <c r="K2721" s="343" t="s">
        <v>168</v>
      </c>
    </row>
    <row r="2722" spans="1:11" ht="26.25" customHeight="1">
      <c r="A2722" s="343" t="s">
        <v>1641</v>
      </c>
      <c r="B2722" s="344" t="s">
        <v>162</v>
      </c>
      <c r="C2722" s="344">
        <v>6790</v>
      </c>
      <c r="D2722" s="343" t="s">
        <v>5507</v>
      </c>
      <c r="E2722" s="344">
        <v>6740238</v>
      </c>
      <c r="F2722" s="343" t="s">
        <v>7135</v>
      </c>
      <c r="G2722" s="360" t="s">
        <v>9741</v>
      </c>
      <c r="H2722" s="361">
        <v>42982</v>
      </c>
      <c r="I2722" s="343" t="s">
        <v>166</v>
      </c>
      <c r="J2722" s="343" t="s">
        <v>327</v>
      </c>
      <c r="K2722" s="343" t="s">
        <v>168</v>
      </c>
    </row>
    <row r="2723" spans="1:11" ht="26.25" customHeight="1">
      <c r="A2723" s="343" t="s">
        <v>1641</v>
      </c>
      <c r="B2723" s="344" t="s">
        <v>162</v>
      </c>
      <c r="C2723" s="344">
        <v>7137</v>
      </c>
      <c r="D2723" s="343" t="s">
        <v>5298</v>
      </c>
      <c r="E2723" s="344">
        <v>5122827</v>
      </c>
      <c r="F2723" s="343" t="s">
        <v>7139</v>
      </c>
      <c r="G2723" s="360" t="s">
        <v>10515</v>
      </c>
      <c r="H2723" s="361">
        <v>42982</v>
      </c>
      <c r="I2723" s="343" t="s">
        <v>198</v>
      </c>
      <c r="J2723" s="343" t="s">
        <v>198</v>
      </c>
      <c r="K2723" s="343" t="s">
        <v>168</v>
      </c>
    </row>
    <row r="2724" spans="1:11" ht="26.25" customHeight="1">
      <c r="A2724" s="343" t="s">
        <v>1641</v>
      </c>
      <c r="B2724" s="344" t="s">
        <v>162</v>
      </c>
      <c r="C2724" s="344">
        <v>7639</v>
      </c>
      <c r="D2724" s="343" t="s">
        <v>5189</v>
      </c>
      <c r="E2724" s="344">
        <v>6208443</v>
      </c>
      <c r="F2724" s="343" t="s">
        <v>7145</v>
      </c>
      <c r="G2724" s="360" t="s">
        <v>474</v>
      </c>
      <c r="H2724" s="361">
        <v>42984</v>
      </c>
      <c r="I2724" s="343" t="s">
        <v>198</v>
      </c>
      <c r="J2724" s="343" t="s">
        <v>198</v>
      </c>
      <c r="K2724" s="343" t="s">
        <v>168</v>
      </c>
    </row>
    <row r="2725" spans="1:11" ht="26.25" customHeight="1">
      <c r="A2725" s="343" t="s">
        <v>1641</v>
      </c>
      <c r="B2725" s="344" t="s">
        <v>162</v>
      </c>
      <c r="C2725" s="344">
        <v>7599</v>
      </c>
      <c r="D2725" s="343" t="s">
        <v>5238</v>
      </c>
      <c r="E2725" s="344">
        <v>6526638</v>
      </c>
      <c r="F2725" s="343" t="s">
        <v>7141</v>
      </c>
      <c r="G2725" s="360" t="s">
        <v>12070</v>
      </c>
      <c r="H2725" s="361">
        <v>42984</v>
      </c>
      <c r="I2725" s="343" t="s">
        <v>166</v>
      </c>
      <c r="J2725" s="343" t="s">
        <v>682</v>
      </c>
      <c r="K2725" s="343" t="s">
        <v>168</v>
      </c>
    </row>
    <row r="2726" spans="1:11" ht="26.25" customHeight="1">
      <c r="A2726" s="343" t="s">
        <v>1641</v>
      </c>
      <c r="B2726" s="344" t="s">
        <v>162</v>
      </c>
      <c r="C2726" s="344">
        <v>7639</v>
      </c>
      <c r="D2726" s="343" t="s">
        <v>5189</v>
      </c>
      <c r="E2726" s="344">
        <v>6555511</v>
      </c>
      <c r="F2726" s="343" t="s">
        <v>7146</v>
      </c>
      <c r="G2726" s="360" t="s">
        <v>12071</v>
      </c>
      <c r="H2726" s="361">
        <v>42984</v>
      </c>
      <c r="I2726" s="343" t="s">
        <v>7249</v>
      </c>
      <c r="J2726" s="343" t="s">
        <v>12072</v>
      </c>
      <c r="K2726" s="343" t="s">
        <v>168</v>
      </c>
    </row>
    <row r="2727" spans="1:11" ht="26.25" customHeight="1">
      <c r="A2727" s="343" t="s">
        <v>1641</v>
      </c>
      <c r="B2727" s="344" t="s">
        <v>162</v>
      </c>
      <c r="C2727" s="344">
        <v>7130</v>
      </c>
      <c r="D2727" s="343" t="s">
        <v>5415</v>
      </c>
      <c r="E2727" s="344">
        <v>5137936</v>
      </c>
      <c r="F2727" s="343" t="s">
        <v>7138</v>
      </c>
      <c r="G2727" s="360" t="s">
        <v>12073</v>
      </c>
      <c r="H2727" s="361">
        <v>42990</v>
      </c>
      <c r="I2727" s="343" t="s">
        <v>5476</v>
      </c>
      <c r="J2727" s="343" t="s">
        <v>12074</v>
      </c>
      <c r="K2727" s="343" t="s">
        <v>168</v>
      </c>
    </row>
    <row r="2728" spans="1:11" ht="26.25" customHeight="1">
      <c r="A2728" s="343" t="s">
        <v>1641</v>
      </c>
      <c r="B2728" s="344" t="s">
        <v>162</v>
      </c>
      <c r="C2728" s="344">
        <v>7599</v>
      </c>
      <c r="D2728" s="343" t="s">
        <v>5238</v>
      </c>
      <c r="E2728" s="344">
        <v>6497862</v>
      </c>
      <c r="F2728" s="343" t="s">
        <v>7142</v>
      </c>
      <c r="G2728" s="360" t="s">
        <v>12075</v>
      </c>
      <c r="H2728" s="361">
        <v>42991</v>
      </c>
      <c r="I2728" s="343" t="s">
        <v>4410</v>
      </c>
      <c r="J2728" s="343" t="s">
        <v>12076</v>
      </c>
      <c r="K2728" s="343" t="s">
        <v>168</v>
      </c>
    </row>
    <row r="2729" spans="1:11" ht="26.25" customHeight="1">
      <c r="A2729" s="343" t="s">
        <v>1641</v>
      </c>
      <c r="B2729" s="344" t="s">
        <v>162</v>
      </c>
      <c r="C2729" s="344">
        <v>6780</v>
      </c>
      <c r="D2729" s="343" t="s">
        <v>5580</v>
      </c>
      <c r="E2729" s="344">
        <v>6642336</v>
      </c>
      <c r="F2729" s="343" t="s">
        <v>7131</v>
      </c>
      <c r="G2729" s="360" t="s">
        <v>12077</v>
      </c>
      <c r="H2729" s="361">
        <v>43004</v>
      </c>
      <c r="I2729" s="343" t="s">
        <v>7247</v>
      </c>
      <c r="J2729" s="343" t="s">
        <v>12078</v>
      </c>
      <c r="K2729" s="343" t="s">
        <v>168</v>
      </c>
    </row>
    <row r="2730" spans="1:11" ht="26.25" customHeight="1">
      <c r="A2730" s="343" t="s">
        <v>1641</v>
      </c>
      <c r="B2730" s="344" t="s">
        <v>162</v>
      </c>
      <c r="C2730" s="344">
        <v>6777</v>
      </c>
      <c r="D2730" s="343" t="s">
        <v>5439</v>
      </c>
      <c r="E2730" s="344">
        <v>6764813</v>
      </c>
      <c r="F2730" s="343" t="s">
        <v>7130</v>
      </c>
      <c r="G2730" s="360" t="s">
        <v>12079</v>
      </c>
      <c r="H2730" s="361">
        <v>43004</v>
      </c>
      <c r="I2730" s="343" t="s">
        <v>193</v>
      </c>
      <c r="J2730" s="343" t="s">
        <v>194</v>
      </c>
      <c r="K2730" s="343" t="s">
        <v>168</v>
      </c>
    </row>
    <row r="2731" spans="1:11" ht="26.25" customHeight="1">
      <c r="A2731" s="343" t="s">
        <v>1641</v>
      </c>
      <c r="B2731" s="344" t="s">
        <v>162</v>
      </c>
      <c r="C2731" s="344">
        <v>9345</v>
      </c>
      <c r="D2731" s="343" t="s">
        <v>5561</v>
      </c>
      <c r="E2731" s="344">
        <v>6016825</v>
      </c>
      <c r="F2731" s="343" t="s">
        <v>7149</v>
      </c>
      <c r="G2731" s="360" t="s">
        <v>12080</v>
      </c>
      <c r="H2731" s="361">
        <v>43004</v>
      </c>
      <c r="I2731" s="343" t="s">
        <v>193</v>
      </c>
      <c r="J2731" s="343" t="s">
        <v>1089</v>
      </c>
      <c r="K2731" s="343" t="s">
        <v>168</v>
      </c>
    </row>
    <row r="2732" spans="1:11" ht="26.25" customHeight="1">
      <c r="A2732" s="343" t="s">
        <v>1641</v>
      </c>
      <c r="B2732" s="344" t="s">
        <v>162</v>
      </c>
      <c r="C2732" s="344">
        <v>7127</v>
      </c>
      <c r="D2732" s="343" t="s">
        <v>5289</v>
      </c>
      <c r="E2732" s="344">
        <v>5545190</v>
      </c>
      <c r="F2732" s="343" t="s">
        <v>7136</v>
      </c>
      <c r="G2732" s="360" t="s">
        <v>12081</v>
      </c>
      <c r="H2732" s="361">
        <v>43005</v>
      </c>
      <c r="I2732" s="343" t="s">
        <v>952</v>
      </c>
      <c r="J2732" s="343" t="s">
        <v>12082</v>
      </c>
      <c r="K2732" s="343" t="s">
        <v>168</v>
      </c>
    </row>
    <row r="2733" spans="1:11" ht="26.25" customHeight="1">
      <c r="A2733" s="343" t="s">
        <v>1641</v>
      </c>
      <c r="B2733" s="344" t="s">
        <v>162</v>
      </c>
      <c r="C2733" s="344">
        <v>7599</v>
      </c>
      <c r="D2733" s="343" t="s">
        <v>5238</v>
      </c>
      <c r="E2733" s="344">
        <v>6561587</v>
      </c>
      <c r="F2733" s="343" t="s">
        <v>5241</v>
      </c>
      <c r="G2733" s="360" t="s">
        <v>10001</v>
      </c>
      <c r="H2733" s="361">
        <v>43019</v>
      </c>
      <c r="I2733" s="343" t="s">
        <v>166</v>
      </c>
      <c r="J2733" s="343" t="s">
        <v>327</v>
      </c>
      <c r="K2733" s="343" t="s">
        <v>168</v>
      </c>
    </row>
    <row r="2734" spans="1:11" ht="26.25" customHeight="1">
      <c r="A2734" s="343" t="s">
        <v>1641</v>
      </c>
      <c r="B2734" s="344" t="s">
        <v>162</v>
      </c>
      <c r="C2734" s="344">
        <v>7638</v>
      </c>
      <c r="D2734" s="343" t="s">
        <v>5235</v>
      </c>
      <c r="E2734" s="344">
        <v>6313334</v>
      </c>
      <c r="F2734" s="343" t="s">
        <v>7345</v>
      </c>
      <c r="G2734" s="360" t="s">
        <v>12083</v>
      </c>
      <c r="H2734" s="361">
        <v>43019</v>
      </c>
      <c r="I2734" s="343" t="s">
        <v>166</v>
      </c>
      <c r="J2734" s="343" t="s">
        <v>327</v>
      </c>
      <c r="K2734" s="343" t="s">
        <v>168</v>
      </c>
    </row>
    <row r="2735" spans="1:11" ht="26.25" customHeight="1">
      <c r="A2735" s="343" t="s">
        <v>1641</v>
      </c>
      <c r="B2735" s="344" t="s">
        <v>162</v>
      </c>
      <c r="C2735" s="344">
        <v>8441</v>
      </c>
      <c r="D2735" s="343" t="s">
        <v>5396</v>
      </c>
      <c r="E2735" s="344">
        <v>5700464</v>
      </c>
      <c r="F2735" s="343" t="s">
        <v>7348</v>
      </c>
      <c r="G2735" s="360" t="s">
        <v>12084</v>
      </c>
      <c r="H2735" s="361">
        <v>43019</v>
      </c>
      <c r="I2735" s="343" t="s">
        <v>166</v>
      </c>
      <c r="J2735" s="343" t="s">
        <v>682</v>
      </c>
      <c r="K2735" s="343" t="s">
        <v>168</v>
      </c>
    </row>
    <row r="2736" spans="1:11" ht="26.25" customHeight="1">
      <c r="A2736" s="343" t="s">
        <v>1641</v>
      </c>
      <c r="B2736" s="344" t="s">
        <v>162</v>
      </c>
      <c r="C2736" s="344">
        <v>6789</v>
      </c>
      <c r="D2736" s="343" t="s">
        <v>5570</v>
      </c>
      <c r="E2736" s="344">
        <v>5754002</v>
      </c>
      <c r="F2736" s="343" t="s">
        <v>7338</v>
      </c>
      <c r="G2736" s="360" t="s">
        <v>12085</v>
      </c>
      <c r="H2736" s="361">
        <v>43025</v>
      </c>
      <c r="I2736" s="343" t="s">
        <v>580</v>
      </c>
      <c r="J2736" s="343" t="s">
        <v>12086</v>
      </c>
      <c r="K2736" s="343" t="s">
        <v>248</v>
      </c>
    </row>
    <row r="2737" spans="1:11" ht="26.25" customHeight="1">
      <c r="A2737" s="343" t="s">
        <v>1641</v>
      </c>
      <c r="B2737" s="344" t="s">
        <v>162</v>
      </c>
      <c r="C2737" s="344">
        <v>8570</v>
      </c>
      <c r="D2737" s="343" t="s">
        <v>5517</v>
      </c>
      <c r="E2737" s="344">
        <v>6219250</v>
      </c>
      <c r="F2737" s="343" t="s">
        <v>7349</v>
      </c>
      <c r="G2737" s="360" t="s">
        <v>9599</v>
      </c>
      <c r="H2737" s="361">
        <v>43026</v>
      </c>
      <c r="I2737" s="343" t="s">
        <v>193</v>
      </c>
      <c r="J2737" s="343" t="s">
        <v>637</v>
      </c>
      <c r="K2737" s="343" t="s">
        <v>168</v>
      </c>
    </row>
    <row r="2738" spans="1:11" ht="26.25" customHeight="1">
      <c r="A2738" s="343" t="s">
        <v>1641</v>
      </c>
      <c r="B2738" s="344" t="s">
        <v>162</v>
      </c>
      <c r="C2738" s="344">
        <v>7144</v>
      </c>
      <c r="D2738" s="343" t="s">
        <v>5368</v>
      </c>
      <c r="E2738" s="344">
        <v>4965617</v>
      </c>
      <c r="F2738" s="343" t="s">
        <v>7340</v>
      </c>
      <c r="G2738" s="360" t="s">
        <v>9851</v>
      </c>
      <c r="H2738" s="361">
        <v>43026</v>
      </c>
      <c r="I2738" s="343" t="s">
        <v>4538</v>
      </c>
      <c r="J2738" s="343" t="s">
        <v>12087</v>
      </c>
      <c r="K2738" s="343" t="s">
        <v>168</v>
      </c>
    </row>
    <row r="2739" spans="1:11" ht="26.25" customHeight="1">
      <c r="A2739" s="343" t="s">
        <v>1641</v>
      </c>
      <c r="B2739" s="344" t="s">
        <v>162</v>
      </c>
      <c r="C2739" s="344">
        <v>9385</v>
      </c>
      <c r="D2739" s="343" t="s">
        <v>5544</v>
      </c>
      <c r="E2739" s="344">
        <v>6000093</v>
      </c>
      <c r="F2739" s="343" t="s">
        <v>5546</v>
      </c>
      <c r="G2739" s="360" t="s">
        <v>9987</v>
      </c>
      <c r="H2739" s="361">
        <v>43026</v>
      </c>
      <c r="I2739" s="343" t="s">
        <v>261</v>
      </c>
      <c r="J2739" s="343" t="s">
        <v>12088</v>
      </c>
      <c r="K2739" s="343" t="s">
        <v>168</v>
      </c>
    </row>
    <row r="2740" spans="1:11" ht="26.25" customHeight="1">
      <c r="A2740" s="343" t="s">
        <v>1641</v>
      </c>
      <c r="B2740" s="344" t="s">
        <v>162</v>
      </c>
      <c r="C2740" s="344">
        <v>7643</v>
      </c>
      <c r="D2740" s="343" t="s">
        <v>5161</v>
      </c>
      <c r="E2740" s="344">
        <v>6798659</v>
      </c>
      <c r="F2740" s="343" t="s">
        <v>7346</v>
      </c>
      <c r="G2740" s="360" t="s">
        <v>12089</v>
      </c>
      <c r="H2740" s="361">
        <v>43027</v>
      </c>
      <c r="I2740" s="343" t="s">
        <v>7347</v>
      </c>
      <c r="J2740" s="343" t="s">
        <v>12090</v>
      </c>
      <c r="K2740" s="343" t="s">
        <v>168</v>
      </c>
    </row>
    <row r="2741" spans="1:11" ht="26.25" customHeight="1">
      <c r="A2741" s="343" t="s">
        <v>1641</v>
      </c>
      <c r="B2741" s="344" t="s">
        <v>162</v>
      </c>
      <c r="C2741" s="344">
        <v>6771</v>
      </c>
      <c r="D2741" s="343" t="s">
        <v>5562</v>
      </c>
      <c r="E2741" s="344">
        <v>6180466</v>
      </c>
      <c r="F2741" s="343" t="s">
        <v>5247</v>
      </c>
      <c r="G2741" s="360" t="s">
        <v>614</v>
      </c>
      <c r="H2741" s="361">
        <v>43032</v>
      </c>
      <c r="I2741" s="343" t="s">
        <v>780</v>
      </c>
      <c r="J2741" s="343" t="s">
        <v>11037</v>
      </c>
      <c r="K2741" s="343" t="s">
        <v>168</v>
      </c>
    </row>
    <row r="2742" spans="1:11" ht="26.25" customHeight="1">
      <c r="A2742" s="343" t="s">
        <v>1641</v>
      </c>
      <c r="B2742" s="344" t="s">
        <v>162</v>
      </c>
      <c r="C2742" s="344">
        <v>6787</v>
      </c>
      <c r="D2742" s="343" t="s">
        <v>7042</v>
      </c>
      <c r="E2742" s="344">
        <v>5974811</v>
      </c>
      <c r="F2742" s="343" t="s">
        <v>5467</v>
      </c>
      <c r="G2742" s="360" t="s">
        <v>10078</v>
      </c>
      <c r="H2742" s="361">
        <v>43032</v>
      </c>
      <c r="I2742" s="343" t="s">
        <v>180</v>
      </c>
      <c r="J2742" s="343" t="s">
        <v>12091</v>
      </c>
      <c r="K2742" s="343" t="s">
        <v>168</v>
      </c>
    </row>
    <row r="2743" spans="1:11" ht="26.25" customHeight="1">
      <c r="A2743" s="343" t="s">
        <v>1641</v>
      </c>
      <c r="B2743" s="344" t="s">
        <v>162</v>
      </c>
      <c r="C2743" s="344">
        <v>11094</v>
      </c>
      <c r="D2743" s="343" t="s">
        <v>5254</v>
      </c>
      <c r="E2743" s="344">
        <v>6447883</v>
      </c>
      <c r="F2743" s="343" t="s">
        <v>5260</v>
      </c>
      <c r="G2743" s="360" t="s">
        <v>12092</v>
      </c>
      <c r="H2743" s="361">
        <v>43035</v>
      </c>
      <c r="I2743" s="343" t="s">
        <v>580</v>
      </c>
      <c r="J2743" s="343" t="s">
        <v>12093</v>
      </c>
      <c r="K2743" s="343" t="s">
        <v>248</v>
      </c>
    </row>
    <row r="2744" spans="1:11" ht="26.25" customHeight="1">
      <c r="A2744" s="343" t="s">
        <v>1641</v>
      </c>
      <c r="B2744" s="344" t="s">
        <v>162</v>
      </c>
      <c r="C2744" s="344">
        <v>7142</v>
      </c>
      <c r="D2744" s="343" t="s">
        <v>5401</v>
      </c>
      <c r="E2744" s="344">
        <v>4483259</v>
      </c>
      <c r="F2744" s="343" t="s">
        <v>7339</v>
      </c>
      <c r="G2744" s="360" t="s">
        <v>12094</v>
      </c>
      <c r="H2744" s="361">
        <v>43035</v>
      </c>
      <c r="I2744" s="343" t="s">
        <v>211</v>
      </c>
      <c r="J2744" s="343" t="s">
        <v>909</v>
      </c>
      <c r="K2744" s="343" t="s">
        <v>168</v>
      </c>
    </row>
    <row r="2745" spans="1:11" ht="26.25" customHeight="1">
      <c r="A2745" s="343" t="s">
        <v>1641</v>
      </c>
      <c r="B2745" s="344" t="s">
        <v>162</v>
      </c>
      <c r="C2745" s="344">
        <v>11096</v>
      </c>
      <c r="D2745" s="343" t="s">
        <v>5248</v>
      </c>
      <c r="E2745" s="344">
        <v>6629724</v>
      </c>
      <c r="F2745" s="343" t="s">
        <v>7351</v>
      </c>
      <c r="G2745" s="360" t="s">
        <v>12095</v>
      </c>
      <c r="H2745" s="361">
        <v>43049</v>
      </c>
      <c r="I2745" s="343" t="s">
        <v>193</v>
      </c>
      <c r="J2745" s="343" t="s">
        <v>603</v>
      </c>
      <c r="K2745" s="343" t="s">
        <v>168</v>
      </c>
    </row>
    <row r="2746" spans="1:11" ht="26.25" customHeight="1">
      <c r="A2746" s="343" t="s">
        <v>1641</v>
      </c>
      <c r="B2746" s="344" t="s">
        <v>162</v>
      </c>
      <c r="C2746" s="344">
        <v>7599</v>
      </c>
      <c r="D2746" s="343" t="s">
        <v>5238</v>
      </c>
      <c r="E2746" s="344">
        <v>6603823</v>
      </c>
      <c r="F2746" s="343" t="s">
        <v>7341</v>
      </c>
      <c r="G2746" s="360" t="s">
        <v>12096</v>
      </c>
      <c r="H2746" s="361">
        <v>43049</v>
      </c>
      <c r="I2746" s="343" t="s">
        <v>193</v>
      </c>
      <c r="J2746" s="343" t="s">
        <v>12097</v>
      </c>
      <c r="K2746" s="343" t="s">
        <v>168</v>
      </c>
    </row>
    <row r="2747" spans="1:11" ht="26.25" customHeight="1">
      <c r="A2747" s="343" t="s">
        <v>1641</v>
      </c>
      <c r="B2747" s="344" t="s">
        <v>162</v>
      </c>
      <c r="C2747" s="344">
        <v>7608</v>
      </c>
      <c r="D2747" s="343" t="s">
        <v>5182</v>
      </c>
      <c r="E2747" s="344">
        <v>6332813</v>
      </c>
      <c r="F2747" s="343" t="s">
        <v>7343</v>
      </c>
      <c r="G2747" s="360" t="s">
        <v>9640</v>
      </c>
      <c r="H2747" s="361">
        <v>43049</v>
      </c>
      <c r="I2747" s="343" t="s">
        <v>662</v>
      </c>
      <c r="J2747" s="343" t="s">
        <v>12098</v>
      </c>
      <c r="K2747" s="343" t="s">
        <v>248</v>
      </c>
    </row>
    <row r="2748" spans="1:11" ht="26.25" customHeight="1">
      <c r="A2748" s="343" t="s">
        <v>1641</v>
      </c>
      <c r="B2748" s="344" t="s">
        <v>162</v>
      </c>
      <c r="C2748" s="344">
        <v>7599</v>
      </c>
      <c r="D2748" s="343" t="s">
        <v>5238</v>
      </c>
      <c r="E2748" s="344">
        <v>6312963</v>
      </c>
      <c r="F2748" s="343" t="s">
        <v>7342</v>
      </c>
      <c r="G2748" s="360" t="s">
        <v>12099</v>
      </c>
      <c r="H2748" s="361">
        <v>43049</v>
      </c>
      <c r="I2748" s="343" t="s">
        <v>166</v>
      </c>
      <c r="J2748" s="343" t="s">
        <v>12100</v>
      </c>
      <c r="K2748" s="343" t="s">
        <v>173</v>
      </c>
    </row>
    <row r="2749" spans="1:11" ht="26.25" customHeight="1">
      <c r="A2749" s="343" t="s">
        <v>1641</v>
      </c>
      <c r="B2749" s="344" t="s">
        <v>162</v>
      </c>
      <c r="C2749" s="344">
        <v>7637</v>
      </c>
      <c r="D2749" s="343" t="s">
        <v>5186</v>
      </c>
      <c r="E2749" s="344">
        <v>6676069</v>
      </c>
      <c r="F2749" s="343" t="s">
        <v>7344</v>
      </c>
      <c r="G2749" s="360" t="s">
        <v>12101</v>
      </c>
      <c r="H2749" s="361">
        <v>43049</v>
      </c>
      <c r="I2749" s="343" t="s">
        <v>1403</v>
      </c>
      <c r="J2749" s="343" t="s">
        <v>12102</v>
      </c>
      <c r="K2749" s="343" t="s">
        <v>168</v>
      </c>
    </row>
    <row r="2750" spans="1:11" ht="26.25" customHeight="1">
      <c r="A2750" s="343" t="s">
        <v>1641</v>
      </c>
      <c r="B2750" s="344" t="s">
        <v>162</v>
      </c>
      <c r="C2750" s="344">
        <v>9174</v>
      </c>
      <c r="D2750" s="343" t="s">
        <v>5558</v>
      </c>
      <c r="E2750" s="344">
        <v>5837478</v>
      </c>
      <c r="F2750" s="343" t="s">
        <v>7350</v>
      </c>
      <c r="G2750" s="360" t="s">
        <v>10005</v>
      </c>
      <c r="H2750" s="361">
        <v>43055</v>
      </c>
      <c r="I2750" s="343" t="s">
        <v>709</v>
      </c>
      <c r="J2750" s="343" t="s">
        <v>9388</v>
      </c>
      <c r="K2750" s="343" t="s">
        <v>168</v>
      </c>
    </row>
    <row r="2751" spans="1:11" ht="26.25" customHeight="1">
      <c r="A2751" s="343" t="s">
        <v>1641</v>
      </c>
      <c r="B2751" s="344" t="s">
        <v>162</v>
      </c>
      <c r="C2751" s="344">
        <v>6783</v>
      </c>
      <c r="D2751" s="343" t="s">
        <v>5521</v>
      </c>
      <c r="E2751" s="344">
        <v>6065889</v>
      </c>
      <c r="F2751" s="343" t="s">
        <v>7337</v>
      </c>
      <c r="G2751" s="360" t="s">
        <v>309</v>
      </c>
      <c r="H2751" s="361">
        <v>43055</v>
      </c>
      <c r="I2751" s="343" t="s">
        <v>193</v>
      </c>
      <c r="J2751" s="343" t="s">
        <v>194</v>
      </c>
      <c r="K2751" s="343" t="s">
        <v>168</v>
      </c>
    </row>
    <row r="2752" spans="1:11" ht="26.25" customHeight="1">
      <c r="A2752" s="343" t="s">
        <v>1641</v>
      </c>
      <c r="B2752" s="344" t="s">
        <v>162</v>
      </c>
      <c r="C2752" s="344">
        <v>7136</v>
      </c>
      <c r="D2752" s="343" t="s">
        <v>5328</v>
      </c>
      <c r="E2752" s="344">
        <v>6391966</v>
      </c>
      <c r="F2752" s="343" t="s">
        <v>7423</v>
      </c>
      <c r="G2752" s="360" t="s">
        <v>12103</v>
      </c>
      <c r="H2752" s="361">
        <v>43076</v>
      </c>
      <c r="I2752" s="343" t="s">
        <v>166</v>
      </c>
      <c r="J2752" s="343" t="s">
        <v>296</v>
      </c>
      <c r="K2752" s="343" t="s">
        <v>168</v>
      </c>
    </row>
    <row r="2753" spans="1:11" ht="26.25" customHeight="1">
      <c r="A2753" s="343" t="s">
        <v>1641</v>
      </c>
      <c r="B2753" s="344" t="s">
        <v>162</v>
      </c>
      <c r="C2753" s="344">
        <v>7603</v>
      </c>
      <c r="D2753" s="343" t="s">
        <v>5246</v>
      </c>
      <c r="E2753" s="344">
        <v>6627521</v>
      </c>
      <c r="F2753" s="343" t="s">
        <v>7500</v>
      </c>
      <c r="G2753" s="360" t="s">
        <v>11762</v>
      </c>
      <c r="H2753" s="361">
        <v>43080</v>
      </c>
      <c r="I2753" s="343" t="s">
        <v>166</v>
      </c>
      <c r="J2753" s="343" t="s">
        <v>327</v>
      </c>
      <c r="K2753" s="343" t="s">
        <v>168</v>
      </c>
    </row>
    <row r="2754" spans="1:11" ht="26.25" customHeight="1">
      <c r="A2754" s="343" t="s">
        <v>1641</v>
      </c>
      <c r="B2754" s="344" t="s">
        <v>162</v>
      </c>
      <c r="C2754" s="344">
        <v>6783</v>
      </c>
      <c r="D2754" s="343" t="s">
        <v>5521</v>
      </c>
      <c r="E2754" s="344">
        <v>6969340</v>
      </c>
      <c r="F2754" s="343" t="s">
        <v>7492</v>
      </c>
      <c r="G2754" s="360" t="s">
        <v>12010</v>
      </c>
      <c r="H2754" s="361">
        <v>43080</v>
      </c>
      <c r="I2754" s="343" t="s">
        <v>7493</v>
      </c>
      <c r="J2754" s="343" t="s">
        <v>12104</v>
      </c>
      <c r="K2754" s="343" t="s">
        <v>168</v>
      </c>
    </row>
    <row r="2755" spans="1:11" ht="26.25" customHeight="1">
      <c r="A2755" s="343" t="s">
        <v>1641</v>
      </c>
      <c r="B2755" s="344" t="s">
        <v>162</v>
      </c>
      <c r="C2755" s="344">
        <v>7144</v>
      </c>
      <c r="D2755" s="343" t="s">
        <v>5368</v>
      </c>
      <c r="E2755" s="344">
        <v>5286820</v>
      </c>
      <c r="F2755" s="343" t="s">
        <v>7498</v>
      </c>
      <c r="G2755" s="360" t="s">
        <v>12105</v>
      </c>
      <c r="H2755" s="361">
        <v>43080</v>
      </c>
      <c r="I2755" s="343" t="s">
        <v>198</v>
      </c>
      <c r="J2755" s="343" t="s">
        <v>198</v>
      </c>
      <c r="K2755" s="343" t="s">
        <v>168</v>
      </c>
    </row>
    <row r="2756" spans="1:11" ht="26.25" customHeight="1">
      <c r="A2756" s="343" t="s">
        <v>1641</v>
      </c>
      <c r="B2756" s="344" t="s">
        <v>162</v>
      </c>
      <c r="C2756" s="344">
        <v>9197</v>
      </c>
      <c r="D2756" s="343" t="s">
        <v>5511</v>
      </c>
      <c r="E2756" s="344">
        <v>5912948</v>
      </c>
      <c r="F2756" s="343" t="s">
        <v>7504</v>
      </c>
      <c r="G2756" s="360" t="s">
        <v>1136</v>
      </c>
      <c r="H2756" s="361">
        <v>43080</v>
      </c>
      <c r="I2756" s="343" t="s">
        <v>180</v>
      </c>
      <c r="J2756" s="343" t="s">
        <v>12106</v>
      </c>
      <c r="K2756" s="343" t="s">
        <v>168</v>
      </c>
    </row>
    <row r="2757" spans="1:11" ht="26.25" customHeight="1">
      <c r="A2757" s="343" t="s">
        <v>1641</v>
      </c>
      <c r="B2757" s="344" t="s">
        <v>162</v>
      </c>
      <c r="C2757" s="344">
        <v>6777</v>
      </c>
      <c r="D2757" s="343" t="s">
        <v>5439</v>
      </c>
      <c r="E2757" s="344">
        <v>6128053</v>
      </c>
      <c r="F2757" s="343" t="s">
        <v>7491</v>
      </c>
      <c r="G2757" s="360" t="s">
        <v>1441</v>
      </c>
      <c r="H2757" s="361">
        <v>43080</v>
      </c>
      <c r="I2757" s="343" t="s">
        <v>166</v>
      </c>
      <c r="J2757" s="343" t="s">
        <v>296</v>
      </c>
      <c r="K2757" s="343" t="s">
        <v>168</v>
      </c>
    </row>
    <row r="2758" spans="1:11" ht="26.25" customHeight="1">
      <c r="A2758" s="343" t="s">
        <v>1641</v>
      </c>
      <c r="B2758" s="344" t="s">
        <v>162</v>
      </c>
      <c r="C2758" s="344">
        <v>6792</v>
      </c>
      <c r="D2758" s="343" t="s">
        <v>5483</v>
      </c>
      <c r="E2758" s="344">
        <v>6920208</v>
      </c>
      <c r="F2758" s="343" t="s">
        <v>7495</v>
      </c>
      <c r="G2758" s="360" t="s">
        <v>511</v>
      </c>
      <c r="H2758" s="361">
        <v>43080</v>
      </c>
      <c r="I2758" s="343" t="s">
        <v>802</v>
      </c>
      <c r="J2758" s="343" t="s">
        <v>12107</v>
      </c>
      <c r="K2758" s="343" t="s">
        <v>168</v>
      </c>
    </row>
    <row r="2759" spans="1:11" ht="26.25" customHeight="1">
      <c r="A2759" s="343" t="s">
        <v>1641</v>
      </c>
      <c r="B2759" s="344" t="s">
        <v>162</v>
      </c>
      <c r="C2759" s="344">
        <v>7120</v>
      </c>
      <c r="D2759" s="343" t="s">
        <v>5350</v>
      </c>
      <c r="E2759" s="344">
        <v>4265004</v>
      </c>
      <c r="F2759" s="343" t="s">
        <v>7496</v>
      </c>
      <c r="G2759" s="360" t="s">
        <v>12108</v>
      </c>
      <c r="H2759" s="361">
        <v>43083</v>
      </c>
      <c r="I2759" s="343" t="s">
        <v>776</v>
      </c>
      <c r="J2759" s="343" t="s">
        <v>11538</v>
      </c>
      <c r="K2759" s="343" t="s">
        <v>168</v>
      </c>
    </row>
    <row r="2760" spans="1:11" ht="26.25" customHeight="1">
      <c r="A2760" s="343" t="s">
        <v>1641</v>
      </c>
      <c r="B2760" s="344" t="s">
        <v>162</v>
      </c>
      <c r="C2760" s="344">
        <v>7636</v>
      </c>
      <c r="D2760" s="343" t="s">
        <v>5204</v>
      </c>
      <c r="E2760" s="344">
        <v>6657980</v>
      </c>
      <c r="F2760" s="343" t="s">
        <v>7501</v>
      </c>
      <c r="G2760" s="360" t="s">
        <v>11111</v>
      </c>
      <c r="H2760" s="361">
        <v>43084</v>
      </c>
      <c r="I2760" s="343" t="s">
        <v>180</v>
      </c>
      <c r="J2760" s="343" t="s">
        <v>12109</v>
      </c>
      <c r="K2760" s="343" t="s">
        <v>168</v>
      </c>
    </row>
    <row r="2761" spans="1:11" ht="26.25" customHeight="1">
      <c r="A2761" s="343" t="s">
        <v>1641</v>
      </c>
      <c r="B2761" s="344" t="s">
        <v>162</v>
      </c>
      <c r="C2761" s="344">
        <v>7125</v>
      </c>
      <c r="D2761" s="343" t="s">
        <v>5356</v>
      </c>
      <c r="E2761" s="344">
        <v>5833452</v>
      </c>
      <c r="F2761" s="343" t="s">
        <v>7497</v>
      </c>
      <c r="G2761" s="360" t="s">
        <v>12110</v>
      </c>
      <c r="H2761" s="361">
        <v>43102</v>
      </c>
      <c r="I2761" s="343" t="s">
        <v>7324</v>
      </c>
      <c r="J2761" s="343" t="s">
        <v>12111</v>
      </c>
      <c r="K2761" s="343" t="s">
        <v>168</v>
      </c>
    </row>
    <row r="2762" spans="1:11" ht="26.25" customHeight="1">
      <c r="A2762" s="343" t="s">
        <v>1641</v>
      </c>
      <c r="B2762" s="344" t="s">
        <v>162</v>
      </c>
      <c r="C2762" s="344">
        <v>8571</v>
      </c>
      <c r="D2762" s="343" t="s">
        <v>5526</v>
      </c>
      <c r="E2762" s="344">
        <v>5983067</v>
      </c>
      <c r="F2762" s="343" t="s">
        <v>7503</v>
      </c>
      <c r="G2762" s="360" t="s">
        <v>11191</v>
      </c>
      <c r="H2762" s="361">
        <v>43119</v>
      </c>
      <c r="I2762" s="343" t="s">
        <v>193</v>
      </c>
      <c r="J2762" s="343" t="s">
        <v>509</v>
      </c>
      <c r="K2762" s="343" t="s">
        <v>168</v>
      </c>
    </row>
    <row r="2763" spans="1:11" ht="26.25" customHeight="1">
      <c r="A2763" s="343" t="s">
        <v>1641</v>
      </c>
      <c r="B2763" s="344" t="s">
        <v>162</v>
      </c>
      <c r="C2763" s="344">
        <v>6770</v>
      </c>
      <c r="D2763" s="343" t="s">
        <v>5531</v>
      </c>
      <c r="E2763" s="344">
        <v>6259897</v>
      </c>
      <c r="F2763" s="343" t="s">
        <v>7489</v>
      </c>
      <c r="G2763" s="360" t="s">
        <v>379</v>
      </c>
      <c r="H2763" s="361">
        <v>43119</v>
      </c>
      <c r="I2763" s="343" t="s">
        <v>166</v>
      </c>
      <c r="J2763" s="343" t="s">
        <v>296</v>
      </c>
      <c r="K2763" s="343" t="s">
        <v>168</v>
      </c>
    </row>
    <row r="2764" spans="1:11" ht="26.25" customHeight="1">
      <c r="A2764" s="343" t="s">
        <v>1641</v>
      </c>
      <c r="B2764" s="344" t="s">
        <v>162</v>
      </c>
      <c r="C2764" s="344">
        <v>7641</v>
      </c>
      <c r="D2764" s="343" t="s">
        <v>5221</v>
      </c>
      <c r="E2764" s="344">
        <v>6939480</v>
      </c>
      <c r="F2764" s="343" t="s">
        <v>7502</v>
      </c>
      <c r="G2764" s="360" t="s">
        <v>12112</v>
      </c>
      <c r="H2764" s="361">
        <v>43119</v>
      </c>
      <c r="I2764" s="343" t="s">
        <v>1038</v>
      </c>
      <c r="J2764" s="343" t="s">
        <v>9369</v>
      </c>
      <c r="K2764" s="343" t="s">
        <v>168</v>
      </c>
    </row>
    <row r="2765" spans="1:11" ht="26.25" customHeight="1">
      <c r="A2765" s="343" t="s">
        <v>1641</v>
      </c>
      <c r="B2765" s="344" t="s">
        <v>162</v>
      </c>
      <c r="C2765" s="344">
        <v>6787</v>
      </c>
      <c r="D2765" s="343" t="s">
        <v>7042</v>
      </c>
      <c r="E2765" s="344">
        <v>5994918</v>
      </c>
      <c r="F2765" s="343" t="s">
        <v>7494</v>
      </c>
      <c r="G2765" s="360" t="s">
        <v>12113</v>
      </c>
      <c r="H2765" s="361">
        <v>43122</v>
      </c>
      <c r="I2765" s="343" t="s">
        <v>166</v>
      </c>
      <c r="J2765" s="343" t="s">
        <v>12114</v>
      </c>
      <c r="K2765" s="343" t="s">
        <v>168</v>
      </c>
    </row>
    <row r="2766" spans="1:11" ht="26.25" customHeight="1">
      <c r="A2766" s="343" t="s">
        <v>1641</v>
      </c>
      <c r="B2766" s="344" t="s">
        <v>162</v>
      </c>
      <c r="C2766" s="344">
        <v>6794</v>
      </c>
      <c r="D2766" s="343" t="s">
        <v>5534</v>
      </c>
      <c r="E2766" s="344">
        <v>5916702</v>
      </c>
      <c r="F2766" s="343" t="s">
        <v>7565</v>
      </c>
      <c r="G2766" s="360" t="s">
        <v>9637</v>
      </c>
      <c r="H2766" s="361">
        <v>43132</v>
      </c>
      <c r="I2766" s="343" t="s">
        <v>366</v>
      </c>
      <c r="J2766" s="343" t="s">
        <v>1095</v>
      </c>
      <c r="K2766" s="343" t="s">
        <v>168</v>
      </c>
    </row>
    <row r="2767" spans="1:11" ht="26.25" customHeight="1">
      <c r="A2767" s="343" t="s">
        <v>1641</v>
      </c>
      <c r="B2767" s="344" t="s">
        <v>162</v>
      </c>
      <c r="C2767" s="344">
        <v>7636</v>
      </c>
      <c r="D2767" s="343" t="s">
        <v>5204</v>
      </c>
      <c r="E2767" s="344">
        <v>6747421</v>
      </c>
      <c r="F2767" s="343" t="s">
        <v>7566</v>
      </c>
      <c r="G2767" s="360" t="s">
        <v>12115</v>
      </c>
      <c r="H2767" s="361">
        <v>43132</v>
      </c>
      <c r="I2767" s="343" t="s">
        <v>193</v>
      </c>
      <c r="J2767" s="343" t="s">
        <v>637</v>
      </c>
      <c r="K2767" s="343" t="s">
        <v>168</v>
      </c>
    </row>
    <row r="2768" spans="1:11" ht="26.25" customHeight="1">
      <c r="A2768" s="343" t="s">
        <v>1641</v>
      </c>
      <c r="B2768" s="344" t="s">
        <v>162</v>
      </c>
      <c r="C2768" s="344">
        <v>8995</v>
      </c>
      <c r="D2768" s="343" t="s">
        <v>5505</v>
      </c>
      <c r="E2768" s="344">
        <v>6000562</v>
      </c>
      <c r="F2768" s="343" t="s">
        <v>7567</v>
      </c>
      <c r="G2768" s="360" t="s">
        <v>10110</v>
      </c>
      <c r="H2768" s="361">
        <v>43132</v>
      </c>
      <c r="I2768" s="343" t="s">
        <v>193</v>
      </c>
      <c r="J2768" s="343" t="s">
        <v>9511</v>
      </c>
      <c r="K2768" s="343" t="s">
        <v>168</v>
      </c>
    </row>
    <row r="2769" spans="1:11" ht="26.25" customHeight="1">
      <c r="A2769" s="343" t="s">
        <v>1641</v>
      </c>
      <c r="B2769" s="344" t="s">
        <v>162</v>
      </c>
      <c r="C2769" s="344">
        <v>7636</v>
      </c>
      <c r="D2769" s="343" t="s">
        <v>5204</v>
      </c>
      <c r="E2769" s="344">
        <v>6741341</v>
      </c>
      <c r="F2769" s="343" t="s">
        <v>7568</v>
      </c>
      <c r="G2769" s="360" t="s">
        <v>10509</v>
      </c>
      <c r="H2769" s="361">
        <v>43132</v>
      </c>
      <c r="I2769" s="343" t="s">
        <v>166</v>
      </c>
      <c r="J2769" s="343" t="s">
        <v>12116</v>
      </c>
      <c r="K2769" s="343" t="s">
        <v>248</v>
      </c>
    </row>
    <row r="2770" spans="1:11" ht="26.25" customHeight="1">
      <c r="A2770" s="343" t="s">
        <v>1641</v>
      </c>
      <c r="B2770" s="344" t="s">
        <v>162</v>
      </c>
      <c r="C2770" s="344">
        <v>7636</v>
      </c>
      <c r="D2770" s="343" t="s">
        <v>5204</v>
      </c>
      <c r="E2770" s="344">
        <v>6545919</v>
      </c>
      <c r="F2770" s="343" t="s">
        <v>7569</v>
      </c>
      <c r="G2770" s="360" t="s">
        <v>9980</v>
      </c>
      <c r="H2770" s="361">
        <v>43132</v>
      </c>
      <c r="I2770" s="343" t="s">
        <v>301</v>
      </c>
      <c r="J2770" s="343" t="s">
        <v>1113</v>
      </c>
      <c r="K2770" s="343" t="s">
        <v>168</v>
      </c>
    </row>
    <row r="2771" spans="1:11" ht="26.25" customHeight="1">
      <c r="A2771" s="343" t="s">
        <v>1641</v>
      </c>
      <c r="B2771" s="344" t="s">
        <v>162</v>
      </c>
      <c r="C2771" s="344">
        <v>9719</v>
      </c>
      <c r="D2771" s="343" t="s">
        <v>5192</v>
      </c>
      <c r="E2771" s="344">
        <v>6683412</v>
      </c>
      <c r="F2771" s="343" t="s">
        <v>7570</v>
      </c>
      <c r="G2771" s="360" t="s">
        <v>11028</v>
      </c>
      <c r="H2771" s="361">
        <v>43133</v>
      </c>
      <c r="I2771" s="343" t="s">
        <v>166</v>
      </c>
      <c r="J2771" s="343" t="s">
        <v>296</v>
      </c>
      <c r="K2771" s="343" t="s">
        <v>168</v>
      </c>
    </row>
    <row r="2772" spans="1:11" ht="26.25" customHeight="1">
      <c r="A2772" s="343" t="s">
        <v>1641</v>
      </c>
      <c r="B2772" s="344" t="s">
        <v>162</v>
      </c>
      <c r="C2772" s="344">
        <v>6775</v>
      </c>
      <c r="D2772" s="343" t="s">
        <v>5459</v>
      </c>
      <c r="E2772" s="344">
        <v>6250406</v>
      </c>
      <c r="F2772" s="343" t="s">
        <v>5172</v>
      </c>
      <c r="G2772" s="360" t="s">
        <v>10119</v>
      </c>
      <c r="H2772" s="361">
        <v>43133</v>
      </c>
      <c r="I2772" s="343" t="s">
        <v>193</v>
      </c>
      <c r="J2772" s="343" t="s">
        <v>603</v>
      </c>
      <c r="K2772" s="343" t="s">
        <v>168</v>
      </c>
    </row>
    <row r="2773" spans="1:11" ht="26.25" customHeight="1">
      <c r="A2773" s="343" t="s">
        <v>1641</v>
      </c>
      <c r="B2773" s="344" t="s">
        <v>162</v>
      </c>
      <c r="C2773" s="344">
        <v>7635</v>
      </c>
      <c r="D2773" s="343" t="s">
        <v>5226</v>
      </c>
      <c r="E2773" s="344">
        <v>6765000</v>
      </c>
      <c r="F2773" s="343" t="s">
        <v>7571</v>
      </c>
      <c r="G2773" s="360" t="s">
        <v>11883</v>
      </c>
      <c r="H2773" s="361">
        <v>43133</v>
      </c>
      <c r="I2773" s="343" t="s">
        <v>301</v>
      </c>
      <c r="J2773" s="343" t="s">
        <v>1113</v>
      </c>
      <c r="K2773" s="343" t="s">
        <v>168</v>
      </c>
    </row>
    <row r="2774" spans="1:11" ht="26.25" customHeight="1">
      <c r="A2774" s="343" t="s">
        <v>1641</v>
      </c>
      <c r="B2774" s="344" t="s">
        <v>162</v>
      </c>
      <c r="C2774" s="344">
        <v>7642</v>
      </c>
      <c r="D2774" s="343" t="s">
        <v>5173</v>
      </c>
      <c r="E2774" s="344">
        <v>6717922</v>
      </c>
      <c r="F2774" s="343" t="s">
        <v>7572</v>
      </c>
      <c r="G2774" s="360" t="s">
        <v>12117</v>
      </c>
      <c r="H2774" s="361">
        <v>43133</v>
      </c>
      <c r="I2774" s="343" t="s">
        <v>5480</v>
      </c>
      <c r="J2774" s="343" t="s">
        <v>12118</v>
      </c>
      <c r="K2774" s="343" t="s">
        <v>168</v>
      </c>
    </row>
    <row r="2775" spans="1:11" ht="26.25" customHeight="1">
      <c r="A2775" s="343" t="s">
        <v>1641</v>
      </c>
      <c r="B2775" s="344" t="s">
        <v>162</v>
      </c>
      <c r="C2775" s="344">
        <v>6774</v>
      </c>
      <c r="D2775" s="343" t="s">
        <v>5548</v>
      </c>
      <c r="E2775" s="344">
        <v>6543247</v>
      </c>
      <c r="F2775" s="343" t="s">
        <v>7573</v>
      </c>
      <c r="G2775" s="360" t="s">
        <v>9582</v>
      </c>
      <c r="H2775" s="361">
        <v>43133</v>
      </c>
      <c r="I2775" s="343" t="s">
        <v>193</v>
      </c>
      <c r="J2775" s="343" t="s">
        <v>637</v>
      </c>
      <c r="K2775" s="343" t="s">
        <v>168</v>
      </c>
    </row>
    <row r="2776" spans="1:11" ht="26.25" customHeight="1">
      <c r="A2776" s="343" t="s">
        <v>1641</v>
      </c>
      <c r="B2776" s="344" t="s">
        <v>162</v>
      </c>
      <c r="C2776" s="344">
        <v>7603</v>
      </c>
      <c r="D2776" s="343" t="s">
        <v>5246</v>
      </c>
      <c r="E2776" s="344">
        <v>6889894</v>
      </c>
      <c r="F2776" s="343" t="s">
        <v>7574</v>
      </c>
      <c r="G2776" s="360" t="s">
        <v>9777</v>
      </c>
      <c r="H2776" s="361">
        <v>43136</v>
      </c>
      <c r="I2776" s="343" t="s">
        <v>284</v>
      </c>
      <c r="J2776" s="343" t="s">
        <v>12119</v>
      </c>
      <c r="K2776" s="343" t="s">
        <v>168</v>
      </c>
    </row>
    <row r="2777" spans="1:11" ht="26.25" customHeight="1">
      <c r="A2777" s="343" t="s">
        <v>1641</v>
      </c>
      <c r="B2777" s="344" t="s">
        <v>162</v>
      </c>
      <c r="C2777" s="344">
        <v>6788</v>
      </c>
      <c r="D2777" s="343" t="s">
        <v>7575</v>
      </c>
      <c r="E2777" s="344">
        <v>6119667</v>
      </c>
      <c r="F2777" s="343" t="s">
        <v>7576</v>
      </c>
      <c r="G2777" s="360" t="s">
        <v>9626</v>
      </c>
      <c r="H2777" s="361">
        <v>43138</v>
      </c>
      <c r="I2777" s="343" t="s">
        <v>193</v>
      </c>
      <c r="J2777" s="343" t="s">
        <v>637</v>
      </c>
      <c r="K2777" s="343" t="s">
        <v>168</v>
      </c>
    </row>
    <row r="2778" spans="1:11" ht="26.25" customHeight="1">
      <c r="A2778" s="343" t="s">
        <v>1641</v>
      </c>
      <c r="B2778" s="344" t="s">
        <v>162</v>
      </c>
      <c r="C2778" s="344">
        <v>7643</v>
      </c>
      <c r="D2778" s="343" t="s">
        <v>5161</v>
      </c>
      <c r="E2778" s="344">
        <v>6893257</v>
      </c>
      <c r="F2778" s="343" t="s">
        <v>7577</v>
      </c>
      <c r="G2778" s="360" t="s">
        <v>12120</v>
      </c>
      <c r="H2778" s="361">
        <v>43138</v>
      </c>
      <c r="I2778" s="343" t="s">
        <v>7578</v>
      </c>
      <c r="J2778" s="343" t="s">
        <v>12121</v>
      </c>
      <c r="K2778" s="343" t="s">
        <v>168</v>
      </c>
    </row>
    <row r="2779" spans="1:11" ht="26.25" customHeight="1">
      <c r="A2779" s="343" t="s">
        <v>1641</v>
      </c>
      <c r="B2779" s="344" t="s">
        <v>162</v>
      </c>
      <c r="C2779" s="344">
        <v>7641</v>
      </c>
      <c r="D2779" s="343" t="s">
        <v>5221</v>
      </c>
      <c r="E2779" s="344">
        <v>6761168</v>
      </c>
      <c r="F2779" s="343" t="s">
        <v>7579</v>
      </c>
      <c r="G2779" s="360" t="s">
        <v>12122</v>
      </c>
      <c r="H2779" s="361">
        <v>43138</v>
      </c>
      <c r="I2779" s="343" t="s">
        <v>166</v>
      </c>
      <c r="J2779" s="343" t="s">
        <v>11610</v>
      </c>
      <c r="K2779" s="343" t="s">
        <v>248</v>
      </c>
    </row>
    <row r="2780" spans="1:11" ht="26.25" customHeight="1">
      <c r="A2780" s="343" t="s">
        <v>1641</v>
      </c>
      <c r="B2780" s="344" t="s">
        <v>162</v>
      </c>
      <c r="C2780" s="344">
        <v>7643</v>
      </c>
      <c r="D2780" s="343" t="s">
        <v>5161</v>
      </c>
      <c r="E2780" s="344">
        <v>6531863</v>
      </c>
      <c r="F2780" s="343" t="s">
        <v>7580</v>
      </c>
      <c r="G2780" s="360" t="s">
        <v>9819</v>
      </c>
      <c r="H2780" s="361">
        <v>43139</v>
      </c>
      <c r="I2780" s="343" t="s">
        <v>7581</v>
      </c>
      <c r="J2780" s="343" t="s">
        <v>12123</v>
      </c>
      <c r="K2780" s="343" t="s">
        <v>168</v>
      </c>
    </row>
    <row r="2781" spans="1:11" ht="26.25" customHeight="1">
      <c r="A2781" s="343" t="s">
        <v>1641</v>
      </c>
      <c r="B2781" s="344" t="s">
        <v>162</v>
      </c>
      <c r="C2781" s="344">
        <v>6780</v>
      </c>
      <c r="D2781" s="343" t="s">
        <v>5580</v>
      </c>
      <c r="E2781" s="344">
        <v>6696973</v>
      </c>
      <c r="F2781" s="343" t="s">
        <v>7582</v>
      </c>
      <c r="G2781" s="360" t="s">
        <v>10445</v>
      </c>
      <c r="H2781" s="361">
        <v>43139</v>
      </c>
      <c r="I2781" s="343" t="s">
        <v>166</v>
      </c>
      <c r="J2781" s="343" t="s">
        <v>682</v>
      </c>
      <c r="K2781" s="343" t="s">
        <v>168</v>
      </c>
    </row>
    <row r="2782" spans="1:11" ht="26.25" customHeight="1">
      <c r="A2782" s="343" t="s">
        <v>1641</v>
      </c>
      <c r="B2782" s="344" t="s">
        <v>162</v>
      </c>
      <c r="C2782" s="344">
        <v>8571</v>
      </c>
      <c r="D2782" s="343" t="s">
        <v>5526</v>
      </c>
      <c r="E2782" s="344">
        <v>6091310</v>
      </c>
      <c r="F2782" s="343" t="s">
        <v>7583</v>
      </c>
      <c r="G2782" s="360" t="s">
        <v>12124</v>
      </c>
      <c r="H2782" s="361">
        <v>41678</v>
      </c>
      <c r="I2782" s="343" t="s">
        <v>211</v>
      </c>
      <c r="J2782" s="343" t="s">
        <v>211</v>
      </c>
      <c r="K2782" s="343" t="s">
        <v>168</v>
      </c>
    </row>
    <row r="2783" spans="1:11" ht="26.25" customHeight="1">
      <c r="A2783" s="343" t="s">
        <v>1641</v>
      </c>
      <c r="B2783" s="344" t="s">
        <v>162</v>
      </c>
      <c r="C2783" s="344">
        <v>11095</v>
      </c>
      <c r="D2783" s="343" t="s">
        <v>5261</v>
      </c>
      <c r="E2783" s="344">
        <v>5917804</v>
      </c>
      <c r="F2783" s="343" t="s">
        <v>5265</v>
      </c>
      <c r="G2783" s="360" t="s">
        <v>399</v>
      </c>
      <c r="H2783" s="361">
        <v>43139</v>
      </c>
      <c r="I2783" s="343" t="s">
        <v>193</v>
      </c>
      <c r="J2783" s="343" t="s">
        <v>637</v>
      </c>
      <c r="K2783" s="343" t="s">
        <v>168</v>
      </c>
    </row>
    <row r="2784" spans="1:11" ht="26.25" customHeight="1">
      <c r="A2784" s="343" t="s">
        <v>1641</v>
      </c>
      <c r="B2784" s="344" t="s">
        <v>162</v>
      </c>
      <c r="C2784" s="344">
        <v>11095</v>
      </c>
      <c r="D2784" s="343" t="s">
        <v>5261</v>
      </c>
      <c r="E2784" s="344">
        <v>6120123</v>
      </c>
      <c r="F2784" s="343" t="s">
        <v>5270</v>
      </c>
      <c r="G2784" s="360" t="s">
        <v>9445</v>
      </c>
      <c r="H2784" s="361">
        <v>43139</v>
      </c>
      <c r="I2784" s="343" t="s">
        <v>547</v>
      </c>
      <c r="J2784" s="343" t="s">
        <v>936</v>
      </c>
      <c r="K2784" s="343" t="s">
        <v>248</v>
      </c>
    </row>
    <row r="2785" spans="1:11" ht="26.25" customHeight="1">
      <c r="A2785" s="343" t="s">
        <v>1641</v>
      </c>
      <c r="B2785" s="344" t="s">
        <v>162</v>
      </c>
      <c r="C2785" s="344">
        <v>11095</v>
      </c>
      <c r="D2785" s="343" t="s">
        <v>5261</v>
      </c>
      <c r="E2785" s="344">
        <v>6707923</v>
      </c>
      <c r="F2785" s="343" t="s">
        <v>7584</v>
      </c>
      <c r="G2785" s="360" t="s">
        <v>419</v>
      </c>
      <c r="H2785" s="361">
        <v>43139</v>
      </c>
      <c r="I2785" s="343" t="s">
        <v>4646</v>
      </c>
      <c r="J2785" s="343" t="s">
        <v>10974</v>
      </c>
      <c r="K2785" s="343" t="s">
        <v>248</v>
      </c>
    </row>
    <row r="2786" spans="1:11" ht="26.25" customHeight="1">
      <c r="A2786" s="343" t="s">
        <v>1641</v>
      </c>
      <c r="B2786" s="344" t="s">
        <v>162</v>
      </c>
      <c r="C2786" s="344">
        <v>6772</v>
      </c>
      <c r="D2786" s="343" t="s">
        <v>5456</v>
      </c>
      <c r="E2786" s="344">
        <v>6526210</v>
      </c>
      <c r="F2786" s="343" t="s">
        <v>7585</v>
      </c>
      <c r="G2786" s="360" t="s">
        <v>12125</v>
      </c>
      <c r="H2786" s="361">
        <v>43139</v>
      </c>
      <c r="I2786" s="343" t="s">
        <v>7586</v>
      </c>
      <c r="J2786" s="343" t="s">
        <v>12126</v>
      </c>
      <c r="K2786" s="343" t="s">
        <v>168</v>
      </c>
    </row>
    <row r="2787" spans="1:11" ht="26.25" customHeight="1">
      <c r="A2787" s="343" t="s">
        <v>1641</v>
      </c>
      <c r="B2787" s="344" t="s">
        <v>162</v>
      </c>
      <c r="C2787" s="344">
        <v>6772</v>
      </c>
      <c r="D2787" s="343" t="s">
        <v>5456</v>
      </c>
      <c r="E2787" s="344">
        <v>6036839</v>
      </c>
      <c r="F2787" s="343" t="s">
        <v>7587</v>
      </c>
      <c r="G2787" s="360" t="s">
        <v>12127</v>
      </c>
      <c r="H2787" s="361">
        <v>43139</v>
      </c>
      <c r="I2787" s="343" t="s">
        <v>211</v>
      </c>
      <c r="J2787" s="343" t="s">
        <v>211</v>
      </c>
      <c r="K2787" s="343" t="s">
        <v>168</v>
      </c>
    </row>
    <row r="2788" spans="1:11" ht="26.25" customHeight="1">
      <c r="A2788" s="343" t="s">
        <v>1641</v>
      </c>
      <c r="B2788" s="344" t="s">
        <v>162</v>
      </c>
      <c r="C2788" s="344">
        <v>6788</v>
      </c>
      <c r="D2788" s="343" t="s">
        <v>7575</v>
      </c>
      <c r="E2788" s="344">
        <v>5901664</v>
      </c>
      <c r="F2788" s="343" t="s">
        <v>7589</v>
      </c>
      <c r="G2788" s="360" t="s">
        <v>1332</v>
      </c>
      <c r="H2788" s="361">
        <v>43145</v>
      </c>
      <c r="I2788" s="343" t="s">
        <v>380</v>
      </c>
      <c r="J2788" s="343" t="s">
        <v>381</v>
      </c>
      <c r="K2788" s="343" t="s">
        <v>173</v>
      </c>
    </row>
    <row r="2789" spans="1:11" ht="26.25" customHeight="1">
      <c r="A2789" s="343" t="s">
        <v>1641</v>
      </c>
      <c r="B2789" s="344" t="s">
        <v>162</v>
      </c>
      <c r="C2789" s="344">
        <v>9197</v>
      </c>
      <c r="D2789" s="343" t="s">
        <v>5511</v>
      </c>
      <c r="E2789" s="344">
        <v>6110476</v>
      </c>
      <c r="F2789" s="343" t="s">
        <v>7591</v>
      </c>
      <c r="G2789" s="360" t="s">
        <v>12128</v>
      </c>
      <c r="H2789" s="361">
        <v>43146</v>
      </c>
      <c r="I2789" s="343" t="s">
        <v>193</v>
      </c>
      <c r="J2789" s="343" t="s">
        <v>637</v>
      </c>
      <c r="K2789" s="343" t="s">
        <v>168</v>
      </c>
    </row>
    <row r="2790" spans="1:11" ht="26.25" customHeight="1">
      <c r="A2790" s="343" t="s">
        <v>1641</v>
      </c>
      <c r="B2790" s="344" t="s">
        <v>162</v>
      </c>
      <c r="C2790" s="344">
        <v>6785</v>
      </c>
      <c r="D2790" s="343" t="s">
        <v>5450</v>
      </c>
      <c r="E2790" s="344">
        <v>6134221</v>
      </c>
      <c r="F2790" s="343" t="s">
        <v>7592</v>
      </c>
      <c r="G2790" s="360" t="s">
        <v>10620</v>
      </c>
      <c r="H2790" s="361">
        <v>43146</v>
      </c>
      <c r="I2790" s="343" t="s">
        <v>380</v>
      </c>
      <c r="J2790" s="343" t="s">
        <v>381</v>
      </c>
      <c r="K2790" s="343" t="s">
        <v>173</v>
      </c>
    </row>
    <row r="2791" spans="1:11" ht="26.25" customHeight="1">
      <c r="A2791" s="343" t="s">
        <v>1641</v>
      </c>
      <c r="B2791" s="344" t="s">
        <v>162</v>
      </c>
      <c r="C2791" s="344">
        <v>6794</v>
      </c>
      <c r="D2791" s="343" t="s">
        <v>5534</v>
      </c>
      <c r="E2791" s="344">
        <v>5742706</v>
      </c>
      <c r="F2791" s="343" t="s">
        <v>7593</v>
      </c>
      <c r="G2791" s="360" t="s">
        <v>9389</v>
      </c>
      <c r="H2791" s="361">
        <v>43146</v>
      </c>
      <c r="I2791" s="343" t="s">
        <v>366</v>
      </c>
      <c r="J2791" s="343" t="s">
        <v>366</v>
      </c>
      <c r="K2791" s="343" t="s">
        <v>168</v>
      </c>
    </row>
    <row r="2792" spans="1:11" ht="26.25" customHeight="1">
      <c r="A2792" s="343" t="s">
        <v>1641</v>
      </c>
      <c r="B2792" s="344" t="s">
        <v>162</v>
      </c>
      <c r="C2792" s="344">
        <v>6774</v>
      </c>
      <c r="D2792" s="343" t="s">
        <v>5548</v>
      </c>
      <c r="E2792" s="344">
        <v>6545782</v>
      </c>
      <c r="F2792" s="343" t="s">
        <v>7594</v>
      </c>
      <c r="G2792" s="360" t="s">
        <v>11088</v>
      </c>
      <c r="H2792" s="361">
        <v>43146</v>
      </c>
      <c r="I2792" s="343" t="s">
        <v>301</v>
      </c>
      <c r="J2792" s="343" t="s">
        <v>1113</v>
      </c>
      <c r="K2792" s="343" t="s">
        <v>168</v>
      </c>
    </row>
    <row r="2793" spans="1:11" ht="26.25" customHeight="1">
      <c r="A2793" s="343" t="s">
        <v>1641</v>
      </c>
      <c r="B2793" s="344" t="s">
        <v>162</v>
      </c>
      <c r="C2793" s="344">
        <v>6777</v>
      </c>
      <c r="D2793" s="343" t="s">
        <v>5439</v>
      </c>
      <c r="E2793" s="344">
        <v>6251172</v>
      </c>
      <c r="F2793" s="343" t="s">
        <v>7595</v>
      </c>
      <c r="G2793" s="360" t="s">
        <v>12129</v>
      </c>
      <c r="H2793" s="361">
        <v>43146</v>
      </c>
      <c r="I2793" s="343" t="s">
        <v>166</v>
      </c>
      <c r="J2793" s="343" t="s">
        <v>12130</v>
      </c>
      <c r="K2793" s="343" t="s">
        <v>168</v>
      </c>
    </row>
    <row r="2794" spans="1:11" ht="26.25" customHeight="1">
      <c r="A2794" s="343" t="s">
        <v>1641</v>
      </c>
      <c r="B2794" s="344" t="s">
        <v>162</v>
      </c>
      <c r="C2794" s="344">
        <v>7597</v>
      </c>
      <c r="D2794" s="343" t="s">
        <v>5171</v>
      </c>
      <c r="E2794" s="344">
        <v>6553194</v>
      </c>
      <c r="F2794" s="343" t="s">
        <v>7596</v>
      </c>
      <c r="G2794" s="360" t="s">
        <v>9989</v>
      </c>
      <c r="H2794" s="361">
        <v>43146</v>
      </c>
      <c r="I2794" s="343" t="s">
        <v>193</v>
      </c>
      <c r="J2794" s="343" t="s">
        <v>637</v>
      </c>
      <c r="K2794" s="343" t="s">
        <v>168</v>
      </c>
    </row>
    <row r="2795" spans="1:11" ht="26.25" customHeight="1">
      <c r="A2795" s="343" t="s">
        <v>1641</v>
      </c>
      <c r="B2795" s="344" t="s">
        <v>162</v>
      </c>
      <c r="C2795" s="344">
        <v>6773</v>
      </c>
      <c r="D2795" s="343" t="s">
        <v>5573</v>
      </c>
      <c r="E2795" s="344">
        <v>5897955</v>
      </c>
      <c r="F2795" s="343" t="s">
        <v>7597</v>
      </c>
      <c r="G2795" s="360" t="s">
        <v>10982</v>
      </c>
      <c r="H2795" s="361">
        <v>43146</v>
      </c>
      <c r="I2795" s="343" t="s">
        <v>166</v>
      </c>
      <c r="J2795" s="343" t="s">
        <v>296</v>
      </c>
      <c r="K2795" s="343" t="s">
        <v>168</v>
      </c>
    </row>
    <row r="2796" spans="1:11" ht="26.25" customHeight="1">
      <c r="A2796" s="343" t="s">
        <v>1641</v>
      </c>
      <c r="B2796" s="344" t="s">
        <v>162</v>
      </c>
      <c r="C2796" s="344">
        <v>7603</v>
      </c>
      <c r="D2796" s="343" t="s">
        <v>5246</v>
      </c>
      <c r="E2796" s="344">
        <v>6967980</v>
      </c>
      <c r="F2796" s="343" t="s">
        <v>7598</v>
      </c>
      <c r="G2796" s="360" t="s">
        <v>12131</v>
      </c>
      <c r="H2796" s="361">
        <v>43146</v>
      </c>
      <c r="I2796" s="343" t="s">
        <v>284</v>
      </c>
      <c r="J2796" s="343" t="s">
        <v>12132</v>
      </c>
      <c r="K2796" s="343" t="s">
        <v>168</v>
      </c>
    </row>
    <row r="2797" spans="1:11" ht="26.25" customHeight="1">
      <c r="A2797" s="343" t="s">
        <v>1641</v>
      </c>
      <c r="B2797" s="344" t="s">
        <v>162</v>
      </c>
      <c r="C2797" s="344">
        <v>7603</v>
      </c>
      <c r="D2797" s="343" t="s">
        <v>5246</v>
      </c>
      <c r="E2797" s="344">
        <v>6239047</v>
      </c>
      <c r="F2797" s="343" t="s">
        <v>7599</v>
      </c>
      <c r="G2797" s="360" t="s">
        <v>11605</v>
      </c>
      <c r="H2797" s="361">
        <v>43146</v>
      </c>
      <c r="I2797" s="343" t="s">
        <v>193</v>
      </c>
      <c r="J2797" s="343" t="s">
        <v>637</v>
      </c>
      <c r="K2797" s="343" t="s">
        <v>168</v>
      </c>
    </row>
    <row r="2798" spans="1:11" ht="26.25" customHeight="1">
      <c r="A2798" s="343" t="s">
        <v>1641</v>
      </c>
      <c r="B2798" s="344" t="s">
        <v>162</v>
      </c>
      <c r="C2798" s="344">
        <v>6773</v>
      </c>
      <c r="D2798" s="343" t="s">
        <v>5573</v>
      </c>
      <c r="E2798" s="344">
        <v>6324229</v>
      </c>
      <c r="F2798" s="343" t="s">
        <v>7600</v>
      </c>
      <c r="G2798" s="360" t="s">
        <v>340</v>
      </c>
      <c r="H2798" s="361">
        <v>43146</v>
      </c>
      <c r="I2798" s="343" t="s">
        <v>193</v>
      </c>
      <c r="J2798" s="343" t="s">
        <v>637</v>
      </c>
      <c r="K2798" s="343" t="s">
        <v>168</v>
      </c>
    </row>
    <row r="2799" spans="1:11" ht="26.25" customHeight="1">
      <c r="A2799" s="343" t="s">
        <v>1641</v>
      </c>
      <c r="B2799" s="344" t="s">
        <v>162</v>
      </c>
      <c r="C2799" s="344">
        <v>6773</v>
      </c>
      <c r="D2799" s="343" t="s">
        <v>5573</v>
      </c>
      <c r="E2799" s="344">
        <v>6977853</v>
      </c>
      <c r="F2799" s="343" t="s">
        <v>7601</v>
      </c>
      <c r="G2799" s="360" t="s">
        <v>9658</v>
      </c>
      <c r="H2799" s="361">
        <v>43146</v>
      </c>
      <c r="I2799" s="343" t="s">
        <v>8631</v>
      </c>
      <c r="J2799" s="343" t="s">
        <v>12133</v>
      </c>
      <c r="K2799" s="343" t="s">
        <v>173</v>
      </c>
    </row>
    <row r="2800" spans="1:11" ht="26.25" customHeight="1">
      <c r="A2800" s="343" t="s">
        <v>1641</v>
      </c>
      <c r="B2800" s="344" t="s">
        <v>162</v>
      </c>
      <c r="C2800" s="344">
        <v>8570</v>
      </c>
      <c r="D2800" s="343" t="s">
        <v>5517</v>
      </c>
      <c r="E2800" s="344">
        <v>6449852</v>
      </c>
      <c r="F2800" s="343" t="s">
        <v>7602</v>
      </c>
      <c r="G2800" s="360" t="s">
        <v>9786</v>
      </c>
      <c r="H2800" s="361">
        <v>43146</v>
      </c>
      <c r="I2800" s="343" t="s">
        <v>193</v>
      </c>
      <c r="J2800" s="343" t="s">
        <v>637</v>
      </c>
      <c r="K2800" s="343" t="s">
        <v>168</v>
      </c>
    </row>
    <row r="2801" spans="1:11" ht="26.25" customHeight="1">
      <c r="A2801" s="343" t="s">
        <v>1641</v>
      </c>
      <c r="B2801" s="344" t="s">
        <v>162</v>
      </c>
      <c r="C2801" s="344">
        <v>6794</v>
      </c>
      <c r="D2801" s="343" t="s">
        <v>5534</v>
      </c>
      <c r="E2801" s="344">
        <v>6114696</v>
      </c>
      <c r="F2801" s="343" t="s">
        <v>7603</v>
      </c>
      <c r="G2801" s="360" t="s">
        <v>11114</v>
      </c>
      <c r="H2801" s="361">
        <v>43146</v>
      </c>
      <c r="I2801" s="343" t="s">
        <v>193</v>
      </c>
      <c r="J2801" s="343" t="s">
        <v>637</v>
      </c>
      <c r="K2801" s="343" t="s">
        <v>168</v>
      </c>
    </row>
    <row r="2802" spans="1:11" ht="26.25" customHeight="1">
      <c r="A2802" s="343" t="s">
        <v>1641</v>
      </c>
      <c r="B2802" s="344" t="s">
        <v>162</v>
      </c>
      <c r="C2802" s="344">
        <v>7144</v>
      </c>
      <c r="D2802" s="343" t="s">
        <v>5368</v>
      </c>
      <c r="E2802" s="344">
        <v>5114985</v>
      </c>
      <c r="F2802" s="343" t="s">
        <v>5545</v>
      </c>
      <c r="G2802" s="360" t="s">
        <v>12134</v>
      </c>
      <c r="H2802" s="361">
        <v>43146</v>
      </c>
      <c r="I2802" s="343" t="s">
        <v>198</v>
      </c>
      <c r="J2802" s="343" t="s">
        <v>198</v>
      </c>
      <c r="K2802" s="343" t="s">
        <v>168</v>
      </c>
    </row>
    <row r="2803" spans="1:11" ht="26.25" customHeight="1">
      <c r="A2803" s="343" t="s">
        <v>1641</v>
      </c>
      <c r="B2803" s="344" t="s">
        <v>162</v>
      </c>
      <c r="C2803" s="344">
        <v>7607</v>
      </c>
      <c r="D2803" s="343" t="s">
        <v>5198</v>
      </c>
      <c r="E2803" s="344">
        <v>6894175</v>
      </c>
      <c r="F2803" s="343" t="s">
        <v>7604</v>
      </c>
      <c r="G2803" s="360" t="s">
        <v>12135</v>
      </c>
      <c r="H2803" s="361">
        <v>43146</v>
      </c>
      <c r="I2803" s="343" t="s">
        <v>742</v>
      </c>
      <c r="J2803" s="343" t="s">
        <v>742</v>
      </c>
      <c r="K2803" s="343" t="s">
        <v>168</v>
      </c>
    </row>
    <row r="2804" spans="1:11" ht="26.25" customHeight="1">
      <c r="A2804" s="343" t="s">
        <v>1641</v>
      </c>
      <c r="B2804" s="344" t="s">
        <v>162</v>
      </c>
      <c r="C2804" s="344">
        <v>6783</v>
      </c>
      <c r="D2804" s="343" t="s">
        <v>5521</v>
      </c>
      <c r="E2804" s="344">
        <v>6243095</v>
      </c>
      <c r="F2804" s="343" t="s">
        <v>5525</v>
      </c>
      <c r="G2804" s="360" t="s">
        <v>10659</v>
      </c>
      <c r="H2804" s="361">
        <v>43146</v>
      </c>
      <c r="I2804" s="343" t="s">
        <v>354</v>
      </c>
      <c r="J2804" s="343" t="s">
        <v>9564</v>
      </c>
      <c r="K2804" s="343" t="s">
        <v>168</v>
      </c>
    </row>
    <row r="2805" spans="1:11" ht="26.25" customHeight="1">
      <c r="A2805" s="343" t="s">
        <v>1641</v>
      </c>
      <c r="B2805" s="344" t="s">
        <v>162</v>
      </c>
      <c r="C2805" s="344">
        <v>6783</v>
      </c>
      <c r="D2805" s="343" t="s">
        <v>5521</v>
      </c>
      <c r="E2805" s="344">
        <v>6172036</v>
      </c>
      <c r="F2805" s="343" t="s">
        <v>7605</v>
      </c>
      <c r="G2805" s="360" t="s">
        <v>10917</v>
      </c>
      <c r="H2805" s="361">
        <v>43146</v>
      </c>
      <c r="I2805" s="343" t="s">
        <v>354</v>
      </c>
      <c r="J2805" s="343" t="s">
        <v>9564</v>
      </c>
      <c r="K2805" s="343" t="s">
        <v>168</v>
      </c>
    </row>
    <row r="2806" spans="1:11" ht="26.25" customHeight="1">
      <c r="A2806" s="343" t="s">
        <v>1641</v>
      </c>
      <c r="B2806" s="344" t="s">
        <v>162</v>
      </c>
      <c r="C2806" s="344">
        <v>8571</v>
      </c>
      <c r="D2806" s="343" t="s">
        <v>5526</v>
      </c>
      <c r="E2806" s="344">
        <v>6133099</v>
      </c>
      <c r="F2806" s="343" t="s">
        <v>7606</v>
      </c>
      <c r="G2806" s="360" t="s">
        <v>9603</v>
      </c>
      <c r="H2806" s="361">
        <v>43146</v>
      </c>
      <c r="I2806" s="343" t="s">
        <v>166</v>
      </c>
      <c r="J2806" s="343" t="s">
        <v>327</v>
      </c>
      <c r="K2806" s="343" t="s">
        <v>168</v>
      </c>
    </row>
    <row r="2807" spans="1:11" ht="26.25" customHeight="1">
      <c r="A2807" s="343" t="s">
        <v>1641</v>
      </c>
      <c r="B2807" s="344" t="s">
        <v>162</v>
      </c>
      <c r="C2807" s="344">
        <v>8571</v>
      </c>
      <c r="D2807" s="343" t="s">
        <v>5526</v>
      </c>
      <c r="E2807" s="344">
        <v>6204688</v>
      </c>
      <c r="F2807" s="343" t="s">
        <v>7607</v>
      </c>
      <c r="G2807" s="360" t="s">
        <v>9516</v>
      </c>
      <c r="H2807" s="361">
        <v>43146</v>
      </c>
      <c r="I2807" s="343" t="s">
        <v>3920</v>
      </c>
      <c r="J2807" s="343" t="s">
        <v>11641</v>
      </c>
      <c r="K2807" s="343" t="s">
        <v>168</v>
      </c>
    </row>
    <row r="2808" spans="1:11" ht="26.25" customHeight="1">
      <c r="A2808" s="343" t="s">
        <v>1641</v>
      </c>
      <c r="B2808" s="344" t="s">
        <v>162</v>
      </c>
      <c r="C2808" s="344">
        <v>6777</v>
      </c>
      <c r="D2808" s="343" t="s">
        <v>5439</v>
      </c>
      <c r="E2808" s="344">
        <v>6205233</v>
      </c>
      <c r="F2808" s="343" t="s">
        <v>7914</v>
      </c>
      <c r="G2808" s="360" t="s">
        <v>11125</v>
      </c>
      <c r="H2808" s="361">
        <v>43151</v>
      </c>
      <c r="I2808" s="343" t="s">
        <v>193</v>
      </c>
      <c r="J2808" s="343" t="s">
        <v>12136</v>
      </c>
      <c r="K2808" s="343" t="s">
        <v>168</v>
      </c>
    </row>
    <row r="2809" spans="1:11" ht="26.25" customHeight="1">
      <c r="A2809" s="343" t="s">
        <v>1641</v>
      </c>
      <c r="B2809" s="344" t="s">
        <v>162</v>
      </c>
      <c r="C2809" s="344">
        <v>6774</v>
      </c>
      <c r="D2809" s="343" t="s">
        <v>5548</v>
      </c>
      <c r="E2809" s="344">
        <v>6670523</v>
      </c>
      <c r="F2809" s="343" t="s">
        <v>7915</v>
      </c>
      <c r="G2809" s="360" t="s">
        <v>9560</v>
      </c>
      <c r="H2809" s="361">
        <v>43151</v>
      </c>
      <c r="I2809" s="343" t="s">
        <v>166</v>
      </c>
      <c r="J2809" s="343" t="s">
        <v>296</v>
      </c>
      <c r="K2809" s="343" t="s">
        <v>168</v>
      </c>
    </row>
    <row r="2810" spans="1:11" ht="26.25" customHeight="1">
      <c r="A2810" s="343" t="s">
        <v>1641</v>
      </c>
      <c r="B2810" s="344" t="s">
        <v>162</v>
      </c>
      <c r="C2810" s="344">
        <v>7637</v>
      </c>
      <c r="D2810" s="343" t="s">
        <v>5186</v>
      </c>
      <c r="E2810" s="344">
        <v>6589826</v>
      </c>
      <c r="F2810" s="343" t="s">
        <v>7916</v>
      </c>
      <c r="G2810" s="360" t="s">
        <v>12137</v>
      </c>
      <c r="H2810" s="361">
        <v>43151</v>
      </c>
      <c r="I2810" s="343" t="s">
        <v>166</v>
      </c>
      <c r="J2810" s="343" t="s">
        <v>12138</v>
      </c>
      <c r="K2810" s="343" t="s">
        <v>168</v>
      </c>
    </row>
    <row r="2811" spans="1:11" ht="26.25" customHeight="1">
      <c r="A2811" s="343" t="s">
        <v>1641</v>
      </c>
      <c r="B2811" s="344" t="s">
        <v>162</v>
      </c>
      <c r="C2811" s="344">
        <v>6778</v>
      </c>
      <c r="D2811" s="343" t="s">
        <v>5499</v>
      </c>
      <c r="E2811" s="344">
        <v>5949767</v>
      </c>
      <c r="F2811" s="343" t="s">
        <v>7917</v>
      </c>
      <c r="G2811" s="360" t="s">
        <v>376</v>
      </c>
      <c r="H2811" s="361">
        <v>43151</v>
      </c>
      <c r="I2811" s="343" t="s">
        <v>166</v>
      </c>
      <c r="J2811" s="343" t="s">
        <v>327</v>
      </c>
      <c r="K2811" s="343" t="s">
        <v>168</v>
      </c>
    </row>
    <row r="2812" spans="1:11" ht="26.25" customHeight="1">
      <c r="A2812" s="343" t="s">
        <v>1641</v>
      </c>
      <c r="B2812" s="344" t="s">
        <v>162</v>
      </c>
      <c r="C2812" s="344">
        <v>7608</v>
      </c>
      <c r="D2812" s="343" t="s">
        <v>5182</v>
      </c>
      <c r="E2812" s="344">
        <v>6786148</v>
      </c>
      <c r="F2812" s="343" t="s">
        <v>7918</v>
      </c>
      <c r="G2812" s="360" t="s">
        <v>12139</v>
      </c>
      <c r="H2812" s="361">
        <v>43151</v>
      </c>
      <c r="I2812" s="343" t="s">
        <v>802</v>
      </c>
      <c r="J2812" s="343" t="s">
        <v>1172</v>
      </c>
      <c r="K2812" s="343" t="s">
        <v>168</v>
      </c>
    </row>
    <row r="2813" spans="1:11" ht="26.25" customHeight="1">
      <c r="A2813" s="343" t="s">
        <v>1641</v>
      </c>
      <c r="B2813" s="344" t="s">
        <v>162</v>
      </c>
      <c r="C2813" s="344">
        <v>6783</v>
      </c>
      <c r="D2813" s="343" t="s">
        <v>5521</v>
      </c>
      <c r="E2813" s="344">
        <v>6172019</v>
      </c>
      <c r="F2813" s="343" t="s">
        <v>7919</v>
      </c>
      <c r="G2813" s="360" t="s">
        <v>10917</v>
      </c>
      <c r="H2813" s="361">
        <v>43151</v>
      </c>
      <c r="I2813" s="343" t="s">
        <v>354</v>
      </c>
      <c r="J2813" s="343" t="s">
        <v>9564</v>
      </c>
      <c r="K2813" s="343" t="s">
        <v>168</v>
      </c>
    </row>
    <row r="2814" spans="1:11" ht="26.25" customHeight="1">
      <c r="A2814" s="343" t="s">
        <v>1641</v>
      </c>
      <c r="B2814" s="344" t="s">
        <v>162</v>
      </c>
      <c r="C2814" s="344">
        <v>6783</v>
      </c>
      <c r="D2814" s="343" t="s">
        <v>5521</v>
      </c>
      <c r="E2814" s="344">
        <v>6499010</v>
      </c>
      <c r="F2814" s="343" t="s">
        <v>7920</v>
      </c>
      <c r="G2814" s="360" t="s">
        <v>12140</v>
      </c>
      <c r="H2814" s="361">
        <v>43151</v>
      </c>
      <c r="I2814" s="343" t="s">
        <v>465</v>
      </c>
      <c r="J2814" s="343" t="s">
        <v>9697</v>
      </c>
      <c r="K2814" s="343" t="s">
        <v>168</v>
      </c>
    </row>
    <row r="2815" spans="1:11" ht="26.25" customHeight="1">
      <c r="A2815" s="343" t="s">
        <v>1641</v>
      </c>
      <c r="B2815" s="344" t="s">
        <v>162</v>
      </c>
      <c r="C2815" s="344">
        <v>7135</v>
      </c>
      <c r="D2815" s="343" t="s">
        <v>5294</v>
      </c>
      <c r="E2815" s="344">
        <v>5946362</v>
      </c>
      <c r="F2815" s="343" t="s">
        <v>5451</v>
      </c>
      <c r="G2815" s="360" t="s">
        <v>11909</v>
      </c>
      <c r="H2815" s="361">
        <v>43151</v>
      </c>
      <c r="I2815" s="343" t="s">
        <v>6158</v>
      </c>
      <c r="J2815" s="343" t="s">
        <v>12141</v>
      </c>
      <c r="K2815" s="343" t="s">
        <v>248</v>
      </c>
    </row>
    <row r="2816" spans="1:11" ht="26.25" customHeight="1">
      <c r="A2816" s="343" t="s">
        <v>1641</v>
      </c>
      <c r="B2816" s="344" t="s">
        <v>162</v>
      </c>
      <c r="C2816" s="344">
        <v>6783</v>
      </c>
      <c r="D2816" s="343" t="s">
        <v>5521</v>
      </c>
      <c r="E2816" s="344">
        <v>5843837</v>
      </c>
      <c r="F2816" s="343" t="s">
        <v>5522</v>
      </c>
      <c r="G2816" s="360" t="s">
        <v>12142</v>
      </c>
      <c r="H2816" s="361">
        <v>43151</v>
      </c>
      <c r="I2816" s="343" t="s">
        <v>166</v>
      </c>
      <c r="J2816" s="343" t="s">
        <v>327</v>
      </c>
      <c r="K2816" s="343" t="s">
        <v>168</v>
      </c>
    </row>
    <row r="2817" spans="1:11" ht="26.25" customHeight="1">
      <c r="A2817" s="343" t="s">
        <v>1641</v>
      </c>
      <c r="B2817" s="344" t="s">
        <v>162</v>
      </c>
      <c r="C2817" s="344">
        <v>11095</v>
      </c>
      <c r="D2817" s="343" t="s">
        <v>5261</v>
      </c>
      <c r="E2817" s="344">
        <v>6165379</v>
      </c>
      <c r="F2817" s="343" t="s">
        <v>7921</v>
      </c>
      <c r="G2817" s="360" t="s">
        <v>10478</v>
      </c>
      <c r="H2817" s="361">
        <v>43151</v>
      </c>
      <c r="I2817" s="343" t="s">
        <v>7922</v>
      </c>
      <c r="J2817" s="343" t="s">
        <v>12143</v>
      </c>
      <c r="K2817" s="343" t="s">
        <v>248</v>
      </c>
    </row>
    <row r="2818" spans="1:11" ht="26.25" customHeight="1">
      <c r="A2818" s="343" t="s">
        <v>1641</v>
      </c>
      <c r="B2818" s="344" t="s">
        <v>162</v>
      </c>
      <c r="C2818" s="344">
        <v>7604</v>
      </c>
      <c r="D2818" s="343" t="s">
        <v>5177</v>
      </c>
      <c r="E2818" s="344">
        <v>6589237</v>
      </c>
      <c r="F2818" s="343" t="s">
        <v>7923</v>
      </c>
      <c r="G2818" s="360" t="s">
        <v>11762</v>
      </c>
      <c r="H2818" s="361">
        <v>43151</v>
      </c>
      <c r="I2818" s="343" t="s">
        <v>193</v>
      </c>
      <c r="J2818" s="343" t="s">
        <v>9650</v>
      </c>
      <c r="K2818" s="343" t="s">
        <v>168</v>
      </c>
    </row>
    <row r="2819" spans="1:11" ht="26.25" customHeight="1">
      <c r="A2819" s="343" t="s">
        <v>1641</v>
      </c>
      <c r="B2819" s="344" t="s">
        <v>162</v>
      </c>
      <c r="C2819" s="344">
        <v>9197</v>
      </c>
      <c r="D2819" s="343" t="s">
        <v>5511</v>
      </c>
      <c r="E2819" s="344">
        <v>5986773</v>
      </c>
      <c r="F2819" s="343" t="s">
        <v>7924</v>
      </c>
      <c r="G2819" s="360" t="s">
        <v>11326</v>
      </c>
      <c r="H2819" s="361">
        <v>43152</v>
      </c>
      <c r="I2819" s="343" t="s">
        <v>193</v>
      </c>
      <c r="J2819" s="343" t="s">
        <v>9765</v>
      </c>
      <c r="K2819" s="343" t="s">
        <v>168</v>
      </c>
    </row>
    <row r="2820" spans="1:11" ht="26.25" customHeight="1">
      <c r="A2820" s="343" t="s">
        <v>1641</v>
      </c>
      <c r="B2820" s="344" t="s">
        <v>162</v>
      </c>
      <c r="C2820" s="344">
        <v>7144</v>
      </c>
      <c r="D2820" s="343" t="s">
        <v>5368</v>
      </c>
      <c r="E2820" s="344">
        <v>5647431</v>
      </c>
      <c r="F2820" s="343" t="s">
        <v>7925</v>
      </c>
      <c r="G2820" s="360" t="s">
        <v>12144</v>
      </c>
      <c r="H2820" s="361">
        <v>43152</v>
      </c>
      <c r="I2820" s="343" t="s">
        <v>211</v>
      </c>
      <c r="J2820" s="343" t="s">
        <v>211</v>
      </c>
      <c r="K2820" s="343" t="s">
        <v>168</v>
      </c>
    </row>
    <row r="2821" spans="1:11" ht="26.25" customHeight="1">
      <c r="A2821" s="343" t="s">
        <v>1641</v>
      </c>
      <c r="B2821" s="344" t="s">
        <v>162</v>
      </c>
      <c r="C2821" s="344">
        <v>6789</v>
      </c>
      <c r="D2821" s="343" t="s">
        <v>5570</v>
      </c>
      <c r="E2821" s="344">
        <v>6438093</v>
      </c>
      <c r="F2821" s="343" t="s">
        <v>7926</v>
      </c>
      <c r="G2821" s="360" t="s">
        <v>10631</v>
      </c>
      <c r="H2821" s="361">
        <v>43152</v>
      </c>
      <c r="I2821" s="343" t="s">
        <v>166</v>
      </c>
      <c r="J2821" s="343" t="s">
        <v>373</v>
      </c>
      <c r="K2821" s="343" t="s">
        <v>168</v>
      </c>
    </row>
    <row r="2822" spans="1:11" ht="26.25" customHeight="1">
      <c r="A2822" s="343" t="s">
        <v>1641</v>
      </c>
      <c r="B2822" s="344" t="s">
        <v>162</v>
      </c>
      <c r="C2822" s="344">
        <v>11096</v>
      </c>
      <c r="D2822" s="343" t="s">
        <v>5248</v>
      </c>
      <c r="E2822" s="344">
        <v>6707818</v>
      </c>
      <c r="F2822" s="343" t="s">
        <v>7927</v>
      </c>
      <c r="G2822" s="360" t="s">
        <v>12145</v>
      </c>
      <c r="H2822" s="361">
        <v>43152</v>
      </c>
      <c r="I2822" s="343" t="s">
        <v>193</v>
      </c>
      <c r="J2822" s="343" t="s">
        <v>12146</v>
      </c>
      <c r="K2822" s="343" t="s">
        <v>168</v>
      </c>
    </row>
    <row r="2823" spans="1:11" ht="26.25" customHeight="1">
      <c r="A2823" s="343" t="s">
        <v>1641</v>
      </c>
      <c r="B2823" s="344" t="s">
        <v>162</v>
      </c>
      <c r="C2823" s="344">
        <v>6790</v>
      </c>
      <c r="D2823" s="343" t="s">
        <v>5507</v>
      </c>
      <c r="E2823" s="344">
        <v>5998689</v>
      </c>
      <c r="F2823" s="343" t="s">
        <v>7929</v>
      </c>
      <c r="G2823" s="360" t="s">
        <v>10572</v>
      </c>
      <c r="H2823" s="361">
        <v>43152</v>
      </c>
      <c r="I2823" s="343" t="s">
        <v>366</v>
      </c>
      <c r="J2823" s="343" t="s">
        <v>366</v>
      </c>
      <c r="K2823" s="343" t="s">
        <v>168</v>
      </c>
    </row>
    <row r="2824" spans="1:11" ht="26.25" customHeight="1">
      <c r="A2824" s="343" t="s">
        <v>1641</v>
      </c>
      <c r="B2824" s="344" t="s">
        <v>162</v>
      </c>
      <c r="C2824" s="344">
        <v>6770</v>
      </c>
      <c r="D2824" s="343" t="s">
        <v>5531</v>
      </c>
      <c r="E2824" s="344">
        <v>6055497</v>
      </c>
      <c r="F2824" s="343" t="s">
        <v>5236</v>
      </c>
      <c r="G2824" s="360" t="s">
        <v>10165</v>
      </c>
      <c r="H2824" s="361">
        <v>43153</v>
      </c>
      <c r="I2824" s="343" t="s">
        <v>193</v>
      </c>
      <c r="J2824" s="343" t="s">
        <v>637</v>
      </c>
      <c r="K2824" s="343" t="s">
        <v>168</v>
      </c>
    </row>
    <row r="2825" spans="1:11" ht="26.25" customHeight="1">
      <c r="A2825" s="343" t="s">
        <v>1641</v>
      </c>
      <c r="B2825" s="344" t="s">
        <v>162</v>
      </c>
      <c r="C2825" s="344">
        <v>7592</v>
      </c>
      <c r="D2825" s="343" t="s">
        <v>5230</v>
      </c>
      <c r="E2825" s="344">
        <v>6468955</v>
      </c>
      <c r="F2825" s="343" t="s">
        <v>7930</v>
      </c>
      <c r="G2825" s="360" t="s">
        <v>12147</v>
      </c>
      <c r="H2825" s="361">
        <v>43160</v>
      </c>
      <c r="I2825" s="343" t="s">
        <v>166</v>
      </c>
      <c r="J2825" s="343" t="s">
        <v>327</v>
      </c>
      <c r="K2825" s="343" t="s">
        <v>168</v>
      </c>
    </row>
    <row r="2826" spans="1:11" ht="26.25" customHeight="1">
      <c r="A2826" s="343" t="s">
        <v>1641</v>
      </c>
      <c r="B2826" s="344" t="s">
        <v>162</v>
      </c>
      <c r="C2826" s="344">
        <v>11095</v>
      </c>
      <c r="D2826" s="343" t="s">
        <v>5261</v>
      </c>
      <c r="E2826" s="344">
        <v>5917768</v>
      </c>
      <c r="F2826" s="343" t="s">
        <v>5267</v>
      </c>
      <c r="G2826" s="360" t="s">
        <v>399</v>
      </c>
      <c r="H2826" s="361">
        <v>43160</v>
      </c>
      <c r="I2826" s="343" t="s">
        <v>193</v>
      </c>
      <c r="J2826" s="343" t="s">
        <v>637</v>
      </c>
      <c r="K2826" s="343" t="s">
        <v>168</v>
      </c>
    </row>
    <row r="2827" spans="1:11" ht="26.25" customHeight="1">
      <c r="A2827" s="343" t="s">
        <v>1641</v>
      </c>
      <c r="B2827" s="344" t="s">
        <v>162</v>
      </c>
      <c r="C2827" s="344">
        <v>6768</v>
      </c>
      <c r="D2827" s="343" t="s">
        <v>5486</v>
      </c>
      <c r="E2827" s="344">
        <v>6096587</v>
      </c>
      <c r="F2827" s="343" t="s">
        <v>5489</v>
      </c>
      <c r="G2827" s="360" t="s">
        <v>10637</v>
      </c>
      <c r="H2827" s="361">
        <v>43160</v>
      </c>
      <c r="I2827" s="343" t="s">
        <v>380</v>
      </c>
      <c r="J2827" s="343" t="s">
        <v>10079</v>
      </c>
      <c r="K2827" s="343" t="s">
        <v>173</v>
      </c>
    </row>
    <row r="2828" spans="1:11" ht="26.25" customHeight="1">
      <c r="A2828" s="343" t="s">
        <v>1641</v>
      </c>
      <c r="B2828" s="344" t="s">
        <v>162</v>
      </c>
      <c r="C2828" s="344">
        <v>7123</v>
      </c>
      <c r="D2828" s="343" t="s">
        <v>5345</v>
      </c>
      <c r="E2828" s="344">
        <v>5661759</v>
      </c>
      <c r="F2828" s="343" t="s">
        <v>7931</v>
      </c>
      <c r="G2828" s="360" t="s">
        <v>11549</v>
      </c>
      <c r="H2828" s="361">
        <v>43160</v>
      </c>
      <c r="I2828" s="343" t="s">
        <v>166</v>
      </c>
      <c r="J2828" s="343" t="s">
        <v>12148</v>
      </c>
      <c r="K2828" s="343" t="s">
        <v>168</v>
      </c>
    </row>
    <row r="2829" spans="1:11" ht="26.25" customHeight="1">
      <c r="A2829" s="343" t="s">
        <v>1641</v>
      </c>
      <c r="B2829" s="344" t="s">
        <v>162</v>
      </c>
      <c r="C2829" s="344">
        <v>6784</v>
      </c>
      <c r="D2829" s="343" t="s">
        <v>5537</v>
      </c>
      <c r="E2829" s="344">
        <v>6288217</v>
      </c>
      <c r="F2829" s="343" t="s">
        <v>5542</v>
      </c>
      <c r="G2829" s="360" t="s">
        <v>10060</v>
      </c>
      <c r="H2829" s="361">
        <v>43160</v>
      </c>
      <c r="I2829" s="343" t="s">
        <v>465</v>
      </c>
      <c r="J2829" s="343" t="s">
        <v>9697</v>
      </c>
      <c r="K2829" s="343" t="s">
        <v>168</v>
      </c>
    </row>
    <row r="2830" spans="1:11" ht="26.25" customHeight="1">
      <c r="A2830" s="343" t="s">
        <v>1641</v>
      </c>
      <c r="B2830" s="344" t="s">
        <v>162</v>
      </c>
      <c r="C2830" s="344">
        <v>6784</v>
      </c>
      <c r="D2830" s="343" t="s">
        <v>5537</v>
      </c>
      <c r="E2830" s="344">
        <v>6718940</v>
      </c>
      <c r="F2830" s="343" t="s">
        <v>5540</v>
      </c>
      <c r="G2830" s="360" t="s">
        <v>12079</v>
      </c>
      <c r="H2830" s="361">
        <v>43160</v>
      </c>
      <c r="I2830" s="343" t="s">
        <v>166</v>
      </c>
      <c r="J2830" s="343" t="s">
        <v>296</v>
      </c>
      <c r="K2830" s="343" t="s">
        <v>168</v>
      </c>
    </row>
    <row r="2831" spans="1:11" ht="26.25" customHeight="1">
      <c r="A2831" s="343" t="s">
        <v>1641</v>
      </c>
      <c r="B2831" s="344" t="s">
        <v>162</v>
      </c>
      <c r="C2831" s="344">
        <v>7138</v>
      </c>
      <c r="D2831" s="343" t="s">
        <v>5281</v>
      </c>
      <c r="E2831" s="344">
        <v>5729902</v>
      </c>
      <c r="F2831" s="343" t="s">
        <v>7932</v>
      </c>
      <c r="G2831" s="360" t="s">
        <v>1335</v>
      </c>
      <c r="H2831" s="361">
        <v>43160</v>
      </c>
      <c r="I2831" s="343" t="s">
        <v>366</v>
      </c>
      <c r="J2831" s="343" t="s">
        <v>366</v>
      </c>
      <c r="K2831" s="343" t="s">
        <v>168</v>
      </c>
    </row>
    <row r="2832" spans="1:11" ht="26.25" customHeight="1">
      <c r="A2832" s="343" t="s">
        <v>1641</v>
      </c>
      <c r="B2832" s="344" t="s">
        <v>162</v>
      </c>
      <c r="C2832" s="344">
        <v>6770</v>
      </c>
      <c r="D2832" s="343" t="s">
        <v>5531</v>
      </c>
      <c r="E2832" s="344">
        <v>6150146</v>
      </c>
      <c r="F2832" s="343" t="s">
        <v>7933</v>
      </c>
      <c r="G2832" s="360" t="s">
        <v>11155</v>
      </c>
      <c r="H2832" s="361">
        <v>43160</v>
      </c>
      <c r="I2832" s="343" t="s">
        <v>166</v>
      </c>
      <c r="J2832" s="343" t="s">
        <v>327</v>
      </c>
      <c r="K2832" s="343" t="s">
        <v>168</v>
      </c>
    </row>
    <row r="2833" spans="1:11" ht="26.25" customHeight="1">
      <c r="A2833" s="343" t="s">
        <v>1641</v>
      </c>
      <c r="B2833" s="344" t="s">
        <v>162</v>
      </c>
      <c r="C2833" s="344">
        <v>11095</v>
      </c>
      <c r="D2833" s="343" t="s">
        <v>5261</v>
      </c>
      <c r="E2833" s="344">
        <v>6129857</v>
      </c>
      <c r="F2833" s="343" t="s">
        <v>7934</v>
      </c>
      <c r="G2833" s="360" t="s">
        <v>10062</v>
      </c>
      <c r="H2833" s="361">
        <v>43160</v>
      </c>
      <c r="I2833" s="343" t="s">
        <v>193</v>
      </c>
      <c r="J2833" s="343" t="s">
        <v>637</v>
      </c>
      <c r="K2833" s="343" t="s">
        <v>168</v>
      </c>
    </row>
    <row r="2834" spans="1:11" ht="26.25" customHeight="1">
      <c r="A2834" s="343" t="s">
        <v>1641</v>
      </c>
      <c r="B2834" s="344" t="s">
        <v>162</v>
      </c>
      <c r="C2834" s="344">
        <v>7609</v>
      </c>
      <c r="D2834" s="343" t="s">
        <v>5201</v>
      </c>
      <c r="E2834" s="344">
        <v>6518190</v>
      </c>
      <c r="F2834" s="343" t="s">
        <v>5202</v>
      </c>
      <c r="G2834" s="360" t="s">
        <v>12149</v>
      </c>
      <c r="H2834" s="361">
        <v>43160</v>
      </c>
      <c r="I2834" s="343" t="s">
        <v>193</v>
      </c>
      <c r="J2834" s="343" t="s">
        <v>509</v>
      </c>
      <c r="K2834" s="343" t="s">
        <v>168</v>
      </c>
    </row>
    <row r="2835" spans="1:11" ht="26.25" customHeight="1">
      <c r="A2835" s="343" t="s">
        <v>1641</v>
      </c>
      <c r="B2835" s="344" t="s">
        <v>162</v>
      </c>
      <c r="C2835" s="344">
        <v>6771</v>
      </c>
      <c r="D2835" s="343" t="s">
        <v>5562</v>
      </c>
      <c r="E2835" s="344">
        <v>5937164</v>
      </c>
      <c r="F2835" s="343" t="s">
        <v>7935</v>
      </c>
      <c r="G2835" s="360" t="s">
        <v>483</v>
      </c>
      <c r="H2835" s="361">
        <v>43160</v>
      </c>
      <c r="I2835" s="343" t="s">
        <v>465</v>
      </c>
      <c r="J2835" s="343" t="s">
        <v>9614</v>
      </c>
      <c r="K2835" s="343" t="s">
        <v>168</v>
      </c>
    </row>
    <row r="2836" spans="1:11" ht="26.25" customHeight="1">
      <c r="A2836" s="343" t="s">
        <v>1641</v>
      </c>
      <c r="B2836" s="344" t="s">
        <v>162</v>
      </c>
      <c r="C2836" s="344">
        <v>6771</v>
      </c>
      <c r="D2836" s="343" t="s">
        <v>5562</v>
      </c>
      <c r="E2836" s="344">
        <v>6952222</v>
      </c>
      <c r="F2836" s="343" t="s">
        <v>7936</v>
      </c>
      <c r="G2836" s="360" t="s">
        <v>9544</v>
      </c>
      <c r="H2836" s="361">
        <v>43160</v>
      </c>
      <c r="I2836" s="343" t="s">
        <v>514</v>
      </c>
      <c r="J2836" s="343" t="s">
        <v>11109</v>
      </c>
      <c r="K2836" s="343" t="s">
        <v>248</v>
      </c>
    </row>
    <row r="2837" spans="1:11" ht="26.25" customHeight="1">
      <c r="A2837" s="343" t="s">
        <v>1641</v>
      </c>
      <c r="B2837" s="344" t="s">
        <v>162</v>
      </c>
      <c r="C2837" s="344">
        <v>7636</v>
      </c>
      <c r="D2837" s="343" t="s">
        <v>5204</v>
      </c>
      <c r="E2837" s="344">
        <v>6845525</v>
      </c>
      <c r="F2837" s="343" t="s">
        <v>7937</v>
      </c>
      <c r="G2837" s="360" t="s">
        <v>12150</v>
      </c>
      <c r="H2837" s="361">
        <v>43160</v>
      </c>
      <c r="I2837" s="343" t="s">
        <v>3988</v>
      </c>
      <c r="J2837" s="343" t="s">
        <v>12151</v>
      </c>
      <c r="K2837" s="343" t="s">
        <v>168</v>
      </c>
    </row>
    <row r="2838" spans="1:11" ht="26.25" customHeight="1">
      <c r="A2838" s="343" t="s">
        <v>1641</v>
      </c>
      <c r="B2838" s="344" t="s">
        <v>162</v>
      </c>
      <c r="C2838" s="344">
        <v>7636</v>
      </c>
      <c r="D2838" s="343" t="s">
        <v>5204</v>
      </c>
      <c r="E2838" s="344">
        <v>6845545</v>
      </c>
      <c r="F2838" s="343" t="s">
        <v>7938</v>
      </c>
      <c r="G2838" s="360" t="s">
        <v>12150</v>
      </c>
      <c r="H2838" s="361">
        <v>43160</v>
      </c>
      <c r="I2838" s="343" t="s">
        <v>3988</v>
      </c>
      <c r="J2838" s="343" t="s">
        <v>12151</v>
      </c>
      <c r="K2838" s="343" t="s">
        <v>168</v>
      </c>
    </row>
    <row r="2839" spans="1:11" ht="26.25" customHeight="1">
      <c r="A2839" s="343" t="s">
        <v>1641</v>
      </c>
      <c r="B2839" s="344" t="s">
        <v>162</v>
      </c>
      <c r="C2839" s="344">
        <v>7598</v>
      </c>
      <c r="D2839" s="343" t="s">
        <v>5165</v>
      </c>
      <c r="E2839" s="344">
        <v>6320130</v>
      </c>
      <c r="F2839" s="343" t="s">
        <v>7939</v>
      </c>
      <c r="G2839" s="360" t="s">
        <v>12152</v>
      </c>
      <c r="H2839" s="361">
        <v>43160</v>
      </c>
      <c r="I2839" s="343" t="s">
        <v>366</v>
      </c>
      <c r="J2839" s="343" t="s">
        <v>366</v>
      </c>
      <c r="K2839" s="343" t="s">
        <v>168</v>
      </c>
    </row>
    <row r="2840" spans="1:11" ht="26.25" customHeight="1">
      <c r="A2840" s="343" t="s">
        <v>1641</v>
      </c>
      <c r="B2840" s="344" t="s">
        <v>162</v>
      </c>
      <c r="C2840" s="344">
        <v>7592</v>
      </c>
      <c r="D2840" s="343" t="s">
        <v>5230</v>
      </c>
      <c r="E2840" s="344">
        <v>6946783</v>
      </c>
      <c r="F2840" s="343" t="s">
        <v>7940</v>
      </c>
      <c r="G2840" s="360" t="s">
        <v>11676</v>
      </c>
      <c r="H2840" s="361">
        <v>43160</v>
      </c>
      <c r="I2840" s="343" t="s">
        <v>193</v>
      </c>
      <c r="J2840" s="343" t="s">
        <v>637</v>
      </c>
      <c r="K2840" s="343" t="s">
        <v>168</v>
      </c>
    </row>
    <row r="2841" spans="1:11" ht="26.25" customHeight="1">
      <c r="A2841" s="343" t="s">
        <v>1641</v>
      </c>
      <c r="B2841" s="344" t="s">
        <v>162</v>
      </c>
      <c r="C2841" s="344">
        <v>6771</v>
      </c>
      <c r="D2841" s="343" t="s">
        <v>5562</v>
      </c>
      <c r="E2841" s="344">
        <v>6867981</v>
      </c>
      <c r="F2841" s="343" t="s">
        <v>7941</v>
      </c>
      <c r="G2841" s="360" t="s">
        <v>12153</v>
      </c>
      <c r="H2841" s="361">
        <v>43160</v>
      </c>
      <c r="I2841" s="343" t="s">
        <v>271</v>
      </c>
      <c r="J2841" s="343" t="s">
        <v>10150</v>
      </c>
      <c r="K2841" s="343" t="s">
        <v>168</v>
      </c>
    </row>
    <row r="2842" spans="1:11" ht="26.25" customHeight="1">
      <c r="A2842" s="343" t="s">
        <v>1641</v>
      </c>
      <c r="B2842" s="344" t="s">
        <v>162</v>
      </c>
      <c r="C2842" s="344">
        <v>8995</v>
      </c>
      <c r="D2842" s="343" t="s">
        <v>5505</v>
      </c>
      <c r="E2842" s="344">
        <v>6393455</v>
      </c>
      <c r="F2842" s="343" t="s">
        <v>7942</v>
      </c>
      <c r="G2842" s="360" t="s">
        <v>12154</v>
      </c>
      <c r="H2842" s="361">
        <v>43167</v>
      </c>
      <c r="I2842" s="343" t="s">
        <v>3857</v>
      </c>
      <c r="J2842" s="343" t="s">
        <v>12155</v>
      </c>
      <c r="K2842" s="343" t="s">
        <v>168</v>
      </c>
    </row>
    <row r="2843" spans="1:11" ht="26.25" customHeight="1">
      <c r="A2843" s="343" t="s">
        <v>1641</v>
      </c>
      <c r="B2843" s="344" t="s">
        <v>162</v>
      </c>
      <c r="C2843" s="344">
        <v>9174</v>
      </c>
      <c r="D2843" s="343" t="s">
        <v>5558</v>
      </c>
      <c r="E2843" s="344">
        <v>6032669</v>
      </c>
      <c r="F2843" s="343" t="s">
        <v>7943</v>
      </c>
      <c r="G2843" s="360" t="s">
        <v>12156</v>
      </c>
      <c r="H2843" s="361">
        <v>43168</v>
      </c>
      <c r="I2843" s="343" t="s">
        <v>465</v>
      </c>
      <c r="J2843" s="343" t="s">
        <v>9614</v>
      </c>
      <c r="K2843" s="343" t="s">
        <v>168</v>
      </c>
    </row>
    <row r="2844" spans="1:11" ht="26.25" customHeight="1">
      <c r="A2844" s="343" t="s">
        <v>1641</v>
      </c>
      <c r="B2844" s="344" t="s">
        <v>162</v>
      </c>
      <c r="C2844" s="344">
        <v>9174</v>
      </c>
      <c r="D2844" s="343" t="s">
        <v>5558</v>
      </c>
      <c r="E2844" s="344">
        <v>6429748</v>
      </c>
      <c r="F2844" s="343" t="s">
        <v>5560</v>
      </c>
      <c r="G2844" s="360" t="s">
        <v>10475</v>
      </c>
      <c r="H2844" s="361">
        <v>43168</v>
      </c>
      <c r="I2844" s="343" t="s">
        <v>3575</v>
      </c>
      <c r="J2844" s="343" t="s">
        <v>12157</v>
      </c>
      <c r="K2844" s="343" t="s">
        <v>168</v>
      </c>
    </row>
    <row r="2845" spans="1:11" ht="26.25" customHeight="1">
      <c r="A2845" s="343" t="s">
        <v>1641</v>
      </c>
      <c r="B2845" s="344" t="s">
        <v>162</v>
      </c>
      <c r="C2845" s="344">
        <v>9174</v>
      </c>
      <c r="D2845" s="343" t="s">
        <v>5558</v>
      </c>
      <c r="E2845" s="344">
        <v>6023484</v>
      </c>
      <c r="F2845" s="343" t="s">
        <v>7944</v>
      </c>
      <c r="G2845" s="360" t="s">
        <v>9623</v>
      </c>
      <c r="H2845" s="361">
        <v>43168</v>
      </c>
      <c r="I2845" s="343" t="s">
        <v>166</v>
      </c>
      <c r="J2845" s="343" t="s">
        <v>327</v>
      </c>
      <c r="K2845" s="343" t="s">
        <v>168</v>
      </c>
    </row>
    <row r="2846" spans="1:11" ht="26.25" customHeight="1">
      <c r="A2846" s="343" t="s">
        <v>1641</v>
      </c>
      <c r="B2846" s="344" t="s">
        <v>162</v>
      </c>
      <c r="C2846" s="344">
        <v>6783</v>
      </c>
      <c r="D2846" s="343" t="s">
        <v>5521</v>
      </c>
      <c r="E2846" s="344">
        <v>6720463</v>
      </c>
      <c r="F2846" s="343" t="s">
        <v>7945</v>
      </c>
      <c r="G2846" s="360" t="s">
        <v>10433</v>
      </c>
      <c r="H2846" s="361">
        <v>43168</v>
      </c>
      <c r="I2846" s="343" t="s">
        <v>4073</v>
      </c>
      <c r="J2846" s="343" t="s">
        <v>10803</v>
      </c>
      <c r="K2846" s="343" t="s">
        <v>168</v>
      </c>
    </row>
    <row r="2847" spans="1:11" ht="26.25" customHeight="1">
      <c r="A2847" s="343" t="s">
        <v>1641</v>
      </c>
      <c r="B2847" s="344" t="s">
        <v>162</v>
      </c>
      <c r="C2847" s="344">
        <v>7597</v>
      </c>
      <c r="D2847" s="343" t="s">
        <v>5171</v>
      </c>
      <c r="E2847" s="344">
        <v>6448369</v>
      </c>
      <c r="F2847" s="343" t="s">
        <v>7946</v>
      </c>
      <c r="G2847" s="360" t="s">
        <v>12158</v>
      </c>
      <c r="H2847" s="361">
        <v>43171</v>
      </c>
      <c r="I2847" s="343" t="s">
        <v>1082</v>
      </c>
      <c r="J2847" s="343" t="s">
        <v>12159</v>
      </c>
      <c r="K2847" s="343" t="s">
        <v>173</v>
      </c>
    </row>
    <row r="2848" spans="1:11" ht="26.25" customHeight="1">
      <c r="A2848" s="343" t="s">
        <v>1641</v>
      </c>
      <c r="B2848" s="344" t="s">
        <v>162</v>
      </c>
      <c r="C2848" s="344">
        <v>7132</v>
      </c>
      <c r="D2848" s="343" t="s">
        <v>5310</v>
      </c>
      <c r="E2848" s="344">
        <v>4657825</v>
      </c>
      <c r="F2848" s="343" t="s">
        <v>7947</v>
      </c>
      <c r="G2848" s="360" t="s">
        <v>10291</v>
      </c>
      <c r="H2848" s="361">
        <v>43171</v>
      </c>
      <c r="I2848" s="343" t="s">
        <v>984</v>
      </c>
      <c r="J2848" s="343" t="s">
        <v>12160</v>
      </c>
      <c r="K2848" s="343" t="s">
        <v>168</v>
      </c>
    </row>
    <row r="2849" spans="1:11" ht="26.25" customHeight="1">
      <c r="A2849" s="343" t="s">
        <v>1641</v>
      </c>
      <c r="B2849" s="344" t="s">
        <v>162</v>
      </c>
      <c r="C2849" s="344">
        <v>6777</v>
      </c>
      <c r="D2849" s="343" t="s">
        <v>5439</v>
      </c>
      <c r="E2849" s="344">
        <v>5961235</v>
      </c>
      <c r="F2849" s="343" t="s">
        <v>7948</v>
      </c>
      <c r="G2849" s="360" t="s">
        <v>9734</v>
      </c>
      <c r="H2849" s="361">
        <v>43171</v>
      </c>
      <c r="I2849" s="343" t="s">
        <v>1082</v>
      </c>
      <c r="J2849" s="343" t="s">
        <v>12161</v>
      </c>
      <c r="K2849" s="343" t="s">
        <v>168</v>
      </c>
    </row>
    <row r="2850" spans="1:11" ht="26.25" customHeight="1">
      <c r="A2850" s="343" t="s">
        <v>1641</v>
      </c>
      <c r="B2850" s="344" t="s">
        <v>162</v>
      </c>
      <c r="C2850" s="344">
        <v>7139</v>
      </c>
      <c r="D2850" s="343" t="s">
        <v>5305</v>
      </c>
      <c r="E2850" s="344">
        <v>5629710</v>
      </c>
      <c r="F2850" s="343" t="s">
        <v>7949</v>
      </c>
      <c r="G2850" s="360" t="s">
        <v>1093</v>
      </c>
      <c r="H2850" s="361">
        <v>43171</v>
      </c>
      <c r="I2850" s="343" t="s">
        <v>271</v>
      </c>
      <c r="J2850" s="343" t="s">
        <v>12162</v>
      </c>
      <c r="K2850" s="343" t="s">
        <v>168</v>
      </c>
    </row>
    <row r="2851" spans="1:11" ht="26.25" customHeight="1">
      <c r="A2851" s="343" t="s">
        <v>1641</v>
      </c>
      <c r="B2851" s="344" t="s">
        <v>162</v>
      </c>
      <c r="C2851" s="344">
        <v>6768</v>
      </c>
      <c r="D2851" s="343" t="s">
        <v>5486</v>
      </c>
      <c r="E2851" s="344">
        <v>6960880</v>
      </c>
      <c r="F2851" s="343" t="s">
        <v>7950</v>
      </c>
      <c r="G2851" s="360" t="s">
        <v>11751</v>
      </c>
      <c r="H2851" s="361">
        <v>43171</v>
      </c>
      <c r="I2851" s="343" t="s">
        <v>7648</v>
      </c>
      <c r="J2851" s="343" t="s">
        <v>12163</v>
      </c>
      <c r="K2851" s="343" t="s">
        <v>168</v>
      </c>
    </row>
    <row r="2852" spans="1:11" ht="26.25" customHeight="1">
      <c r="A2852" s="343" t="s">
        <v>1641</v>
      </c>
      <c r="B2852" s="344" t="s">
        <v>162</v>
      </c>
      <c r="C2852" s="344">
        <v>8570</v>
      </c>
      <c r="D2852" s="343" t="s">
        <v>5517</v>
      </c>
      <c r="E2852" s="344">
        <v>6606582</v>
      </c>
      <c r="F2852" s="343" t="s">
        <v>7951</v>
      </c>
      <c r="G2852" s="360" t="s">
        <v>12164</v>
      </c>
      <c r="H2852" s="361">
        <v>43173</v>
      </c>
      <c r="I2852" s="343" t="s">
        <v>7952</v>
      </c>
      <c r="J2852" s="343" t="s">
        <v>12165</v>
      </c>
      <c r="K2852" s="343" t="s">
        <v>173</v>
      </c>
    </row>
    <row r="2853" spans="1:11" ht="26.25" customHeight="1">
      <c r="A2853" s="343" t="s">
        <v>1641</v>
      </c>
      <c r="B2853" s="344" t="s">
        <v>162</v>
      </c>
      <c r="C2853" s="344">
        <v>6777</v>
      </c>
      <c r="D2853" s="343" t="s">
        <v>5439</v>
      </c>
      <c r="E2853" s="344">
        <v>6126122</v>
      </c>
      <c r="F2853" s="343" t="s">
        <v>7953</v>
      </c>
      <c r="G2853" s="360" t="s">
        <v>10911</v>
      </c>
      <c r="H2853" s="361">
        <v>43173</v>
      </c>
      <c r="I2853" s="343" t="s">
        <v>193</v>
      </c>
      <c r="J2853" s="343" t="s">
        <v>9765</v>
      </c>
      <c r="K2853" s="343" t="s">
        <v>168</v>
      </c>
    </row>
    <row r="2854" spans="1:11" ht="26.25" customHeight="1">
      <c r="A2854" s="343" t="s">
        <v>1641</v>
      </c>
      <c r="B2854" s="344" t="s">
        <v>162</v>
      </c>
      <c r="C2854" s="344">
        <v>6774</v>
      </c>
      <c r="D2854" s="343" t="s">
        <v>5548</v>
      </c>
      <c r="E2854" s="344">
        <v>5964159</v>
      </c>
      <c r="F2854" s="343" t="s">
        <v>7954</v>
      </c>
      <c r="G2854" s="360" t="s">
        <v>12166</v>
      </c>
      <c r="H2854" s="361">
        <v>43175</v>
      </c>
      <c r="I2854" s="343" t="s">
        <v>4396</v>
      </c>
      <c r="J2854" s="343" t="s">
        <v>11799</v>
      </c>
      <c r="K2854" s="343" t="s">
        <v>168</v>
      </c>
    </row>
    <row r="2855" spans="1:11" ht="26.25" customHeight="1">
      <c r="A2855" s="343" t="s">
        <v>1641</v>
      </c>
      <c r="B2855" s="344" t="s">
        <v>162</v>
      </c>
      <c r="C2855" s="344">
        <v>7131</v>
      </c>
      <c r="D2855" s="343" t="s">
        <v>5296</v>
      </c>
      <c r="E2855" s="344">
        <v>4984416</v>
      </c>
      <c r="F2855" s="343" t="s">
        <v>7955</v>
      </c>
      <c r="G2855" s="360" t="s">
        <v>12167</v>
      </c>
      <c r="H2855" s="361">
        <v>43175</v>
      </c>
      <c r="I2855" s="343" t="s">
        <v>193</v>
      </c>
      <c r="J2855" s="343" t="s">
        <v>637</v>
      </c>
      <c r="K2855" s="343" t="s">
        <v>168</v>
      </c>
    </row>
    <row r="2856" spans="1:11" ht="26.25" customHeight="1">
      <c r="A2856" s="343" t="s">
        <v>1641</v>
      </c>
      <c r="B2856" s="344" t="s">
        <v>162</v>
      </c>
      <c r="C2856" s="344">
        <v>6787</v>
      </c>
      <c r="D2856" s="343" t="s">
        <v>7042</v>
      </c>
      <c r="E2856" s="344">
        <v>6103710</v>
      </c>
      <c r="F2856" s="343" t="s">
        <v>7956</v>
      </c>
      <c r="G2856" s="360" t="s">
        <v>11751</v>
      </c>
      <c r="H2856" s="361">
        <v>43175</v>
      </c>
      <c r="I2856" s="343" t="s">
        <v>198</v>
      </c>
      <c r="J2856" s="343" t="s">
        <v>198</v>
      </c>
      <c r="K2856" s="343" t="s">
        <v>168</v>
      </c>
    </row>
    <row r="2857" spans="1:11" ht="26.25" customHeight="1">
      <c r="A2857" s="343" t="s">
        <v>1641</v>
      </c>
      <c r="B2857" s="344" t="s">
        <v>162</v>
      </c>
      <c r="C2857" s="344">
        <v>6781</v>
      </c>
      <c r="D2857" s="343" t="s">
        <v>5484</v>
      </c>
      <c r="E2857" s="344">
        <v>5701466</v>
      </c>
      <c r="F2857" s="343" t="s">
        <v>7957</v>
      </c>
      <c r="G2857" s="360" t="s">
        <v>1448</v>
      </c>
      <c r="H2857" s="361">
        <v>43179</v>
      </c>
      <c r="I2857" s="343" t="s">
        <v>366</v>
      </c>
      <c r="J2857" s="343" t="s">
        <v>1095</v>
      </c>
      <c r="K2857" s="343" t="s">
        <v>168</v>
      </c>
    </row>
    <row r="2858" spans="1:11" ht="26.25" customHeight="1">
      <c r="A2858" s="343" t="s">
        <v>1641</v>
      </c>
      <c r="B2858" s="344" t="s">
        <v>162</v>
      </c>
      <c r="C2858" s="344">
        <v>6781</v>
      </c>
      <c r="D2858" s="343" t="s">
        <v>5484</v>
      </c>
      <c r="E2858" s="344">
        <v>6096479</v>
      </c>
      <c r="F2858" s="343" t="s">
        <v>8632</v>
      </c>
      <c r="G2858" s="360" t="s">
        <v>11782</v>
      </c>
      <c r="H2858" s="361">
        <v>43181</v>
      </c>
      <c r="I2858" s="343" t="s">
        <v>301</v>
      </c>
      <c r="J2858" s="343" t="s">
        <v>1113</v>
      </c>
      <c r="K2858" s="343" t="s">
        <v>168</v>
      </c>
    </row>
    <row r="2859" spans="1:11" ht="26.25" customHeight="1">
      <c r="A2859" s="343" t="s">
        <v>1641</v>
      </c>
      <c r="B2859" s="344" t="s">
        <v>162</v>
      </c>
      <c r="C2859" s="344">
        <v>6785</v>
      </c>
      <c r="D2859" s="343" t="s">
        <v>5450</v>
      </c>
      <c r="E2859" s="344">
        <v>5903077</v>
      </c>
      <c r="F2859" s="343" t="s">
        <v>8633</v>
      </c>
      <c r="G2859" s="360" t="s">
        <v>11171</v>
      </c>
      <c r="H2859" s="361">
        <v>43181</v>
      </c>
      <c r="I2859" s="343" t="s">
        <v>313</v>
      </c>
      <c r="J2859" s="343" t="s">
        <v>397</v>
      </c>
      <c r="K2859" s="343" t="s">
        <v>173</v>
      </c>
    </row>
    <row r="2860" spans="1:11" ht="26.25" customHeight="1">
      <c r="A2860" s="343" t="s">
        <v>1641</v>
      </c>
      <c r="B2860" s="344" t="s">
        <v>162</v>
      </c>
      <c r="C2860" s="344">
        <v>9463</v>
      </c>
      <c r="D2860" s="343" t="s">
        <v>5533</v>
      </c>
      <c r="E2860" s="344">
        <v>6195580</v>
      </c>
      <c r="F2860" s="343" t="s">
        <v>8634</v>
      </c>
      <c r="G2860" s="360" t="s">
        <v>11086</v>
      </c>
      <c r="H2860" s="361">
        <v>43181</v>
      </c>
      <c r="I2860" s="343" t="s">
        <v>198</v>
      </c>
      <c r="J2860" s="343" t="s">
        <v>198</v>
      </c>
      <c r="K2860" s="343" t="s">
        <v>168</v>
      </c>
    </row>
    <row r="2861" spans="1:11" ht="26.25" customHeight="1">
      <c r="A2861" s="343" t="s">
        <v>1641</v>
      </c>
      <c r="B2861" s="344" t="s">
        <v>162</v>
      </c>
      <c r="C2861" s="344">
        <v>7638</v>
      </c>
      <c r="D2861" s="343" t="s">
        <v>5235</v>
      </c>
      <c r="E2861" s="344">
        <v>6593544</v>
      </c>
      <c r="F2861" s="343" t="s">
        <v>8635</v>
      </c>
      <c r="G2861" s="360" t="s">
        <v>11111</v>
      </c>
      <c r="H2861" s="361">
        <v>43185</v>
      </c>
      <c r="I2861" s="343" t="s">
        <v>166</v>
      </c>
      <c r="J2861" s="343" t="s">
        <v>12130</v>
      </c>
      <c r="K2861" s="343" t="s">
        <v>168</v>
      </c>
    </row>
    <row r="2862" spans="1:11" ht="26.25" customHeight="1">
      <c r="A2862" s="343" t="s">
        <v>1641</v>
      </c>
      <c r="B2862" s="344" t="s">
        <v>162</v>
      </c>
      <c r="C2862" s="344">
        <v>6778</v>
      </c>
      <c r="D2862" s="343" t="s">
        <v>5499</v>
      </c>
      <c r="E2862" s="344">
        <v>6688233</v>
      </c>
      <c r="F2862" s="343" t="s">
        <v>8636</v>
      </c>
      <c r="G2862" s="360" t="s">
        <v>10915</v>
      </c>
      <c r="H2862" s="361">
        <v>43185</v>
      </c>
      <c r="I2862" s="343" t="s">
        <v>3681</v>
      </c>
      <c r="J2862" s="343" t="s">
        <v>12168</v>
      </c>
      <c r="K2862" s="343" t="s">
        <v>173</v>
      </c>
    </row>
    <row r="2863" spans="1:11" ht="26.25" customHeight="1">
      <c r="A2863" s="343" t="s">
        <v>1641</v>
      </c>
      <c r="B2863" s="344" t="s">
        <v>162</v>
      </c>
      <c r="C2863" s="344">
        <v>11096</v>
      </c>
      <c r="D2863" s="343" t="s">
        <v>5248</v>
      </c>
      <c r="E2863" s="344">
        <v>6800374</v>
      </c>
      <c r="F2863" s="343" t="s">
        <v>7928</v>
      </c>
      <c r="G2863" s="360" t="s">
        <v>11165</v>
      </c>
      <c r="H2863" s="361">
        <v>43185</v>
      </c>
      <c r="I2863" s="343" t="s">
        <v>8637</v>
      </c>
      <c r="J2863" s="343" t="s">
        <v>12169</v>
      </c>
      <c r="K2863" s="343" t="s">
        <v>248</v>
      </c>
    </row>
    <row r="2864" spans="1:11" ht="26.25" customHeight="1">
      <c r="A2864" s="343" t="s">
        <v>1641</v>
      </c>
      <c r="B2864" s="344" t="s">
        <v>162</v>
      </c>
      <c r="C2864" s="344">
        <v>6773</v>
      </c>
      <c r="D2864" s="343" t="s">
        <v>5573</v>
      </c>
      <c r="E2864" s="344">
        <v>5987881</v>
      </c>
      <c r="F2864" s="343" t="s">
        <v>8638</v>
      </c>
      <c r="G2864" s="360" t="s">
        <v>12170</v>
      </c>
      <c r="H2864" s="361">
        <v>43185</v>
      </c>
      <c r="I2864" s="343" t="s">
        <v>465</v>
      </c>
      <c r="J2864" s="343" t="s">
        <v>9614</v>
      </c>
      <c r="K2864" s="343" t="s">
        <v>168</v>
      </c>
    </row>
    <row r="2865" spans="1:11" ht="26.25" customHeight="1">
      <c r="A2865" s="343" t="s">
        <v>1641</v>
      </c>
      <c r="B2865" s="344" t="s">
        <v>162</v>
      </c>
      <c r="C2865" s="344">
        <v>6777</v>
      </c>
      <c r="D2865" s="343" t="s">
        <v>5439</v>
      </c>
      <c r="E2865" s="344">
        <v>6162063</v>
      </c>
      <c r="F2865" s="343" t="s">
        <v>8639</v>
      </c>
      <c r="G2865" s="360" t="s">
        <v>10278</v>
      </c>
      <c r="H2865" s="361">
        <v>43185</v>
      </c>
      <c r="I2865" s="343" t="s">
        <v>193</v>
      </c>
      <c r="J2865" s="343" t="s">
        <v>603</v>
      </c>
      <c r="K2865" s="343" t="s">
        <v>168</v>
      </c>
    </row>
    <row r="2866" spans="1:11" ht="26.25" customHeight="1">
      <c r="A2866" s="343" t="s">
        <v>1641</v>
      </c>
      <c r="B2866" s="344" t="s">
        <v>162</v>
      </c>
      <c r="C2866" s="344">
        <v>7130</v>
      </c>
      <c r="D2866" s="343" t="s">
        <v>5415</v>
      </c>
      <c r="E2866" s="344">
        <v>3157783</v>
      </c>
      <c r="F2866" s="343" t="s">
        <v>8640</v>
      </c>
      <c r="G2866" s="360" t="s">
        <v>12171</v>
      </c>
      <c r="H2866" s="361">
        <v>43185</v>
      </c>
      <c r="I2866" s="343" t="s">
        <v>211</v>
      </c>
      <c r="J2866" s="343" t="s">
        <v>211</v>
      </c>
      <c r="K2866" s="343" t="s">
        <v>168</v>
      </c>
    </row>
    <row r="2867" spans="1:11" ht="26.25" customHeight="1">
      <c r="A2867" s="343" t="s">
        <v>1641</v>
      </c>
      <c r="B2867" s="344" t="s">
        <v>162</v>
      </c>
      <c r="C2867" s="344">
        <v>9386</v>
      </c>
      <c r="D2867" s="343" t="s">
        <v>8641</v>
      </c>
      <c r="E2867" s="344">
        <v>4623623</v>
      </c>
      <c r="F2867" s="343" t="s">
        <v>8642</v>
      </c>
      <c r="G2867" s="360" t="s">
        <v>12172</v>
      </c>
      <c r="H2867" s="361">
        <v>43185</v>
      </c>
      <c r="I2867" s="343" t="s">
        <v>275</v>
      </c>
      <c r="J2867" s="343" t="s">
        <v>9392</v>
      </c>
      <c r="K2867" s="343" t="s">
        <v>173</v>
      </c>
    </row>
    <row r="2868" spans="1:11" ht="26.25" customHeight="1">
      <c r="A2868" s="343" t="s">
        <v>1641</v>
      </c>
      <c r="B2868" s="344" t="s">
        <v>162</v>
      </c>
      <c r="C2868" s="344">
        <v>6777</v>
      </c>
      <c r="D2868" s="343" t="s">
        <v>5439</v>
      </c>
      <c r="E2868" s="344">
        <v>6207108</v>
      </c>
      <c r="F2868" s="343" t="s">
        <v>8643</v>
      </c>
      <c r="G2868" s="360" t="s">
        <v>11741</v>
      </c>
      <c r="H2868" s="361">
        <v>43185</v>
      </c>
      <c r="I2868" s="343" t="s">
        <v>193</v>
      </c>
      <c r="J2868" s="343" t="s">
        <v>637</v>
      </c>
      <c r="K2868" s="343" t="s">
        <v>168</v>
      </c>
    </row>
    <row r="2869" spans="1:11" ht="26.25" customHeight="1">
      <c r="A2869" s="343" t="s">
        <v>1641</v>
      </c>
      <c r="B2869" s="344" t="s">
        <v>162</v>
      </c>
      <c r="C2869" s="344">
        <v>6769</v>
      </c>
      <c r="D2869" s="343" t="s">
        <v>5492</v>
      </c>
      <c r="E2869" s="344">
        <v>6952614</v>
      </c>
      <c r="F2869" s="343" t="s">
        <v>8644</v>
      </c>
      <c r="G2869" s="360" t="s">
        <v>10571</v>
      </c>
      <c r="H2869" s="361">
        <v>43192</v>
      </c>
      <c r="I2869" s="343" t="s">
        <v>784</v>
      </c>
      <c r="J2869" s="343" t="s">
        <v>12173</v>
      </c>
      <c r="K2869" s="343" t="s">
        <v>173</v>
      </c>
    </row>
    <row r="2870" spans="1:11" ht="26.25" customHeight="1">
      <c r="A2870" s="343" t="s">
        <v>1641</v>
      </c>
      <c r="B2870" s="344" t="s">
        <v>162</v>
      </c>
      <c r="C2870" s="344">
        <v>6771</v>
      </c>
      <c r="D2870" s="343" t="s">
        <v>5562</v>
      </c>
      <c r="E2870" s="344">
        <v>6138103</v>
      </c>
      <c r="F2870" s="343" t="s">
        <v>8645</v>
      </c>
      <c r="G2870" s="360" t="s">
        <v>312</v>
      </c>
      <c r="H2870" s="361">
        <v>43196</v>
      </c>
      <c r="I2870" s="343" t="s">
        <v>8646</v>
      </c>
      <c r="J2870" s="343" t="s">
        <v>8646</v>
      </c>
      <c r="K2870" s="343" t="s">
        <v>248</v>
      </c>
    </row>
    <row r="2871" spans="1:11" ht="26.25" customHeight="1">
      <c r="A2871" s="343" t="s">
        <v>1641</v>
      </c>
      <c r="B2871" s="344" t="s">
        <v>162</v>
      </c>
      <c r="C2871" s="344">
        <v>6771</v>
      </c>
      <c r="D2871" s="343" t="s">
        <v>5562</v>
      </c>
      <c r="E2871" s="344">
        <v>6193090</v>
      </c>
      <c r="F2871" s="343" t="s">
        <v>8647</v>
      </c>
      <c r="G2871" s="360" t="s">
        <v>10949</v>
      </c>
      <c r="H2871" s="361">
        <v>43196</v>
      </c>
      <c r="I2871" s="343" t="s">
        <v>193</v>
      </c>
      <c r="J2871" s="343" t="s">
        <v>637</v>
      </c>
      <c r="K2871" s="343" t="s">
        <v>168</v>
      </c>
    </row>
    <row r="2872" spans="1:11" ht="26.25" customHeight="1">
      <c r="A2872" s="343" t="s">
        <v>1641</v>
      </c>
      <c r="B2872" s="344" t="s">
        <v>162</v>
      </c>
      <c r="C2872" s="344">
        <v>9385</v>
      </c>
      <c r="D2872" s="343" t="s">
        <v>5544</v>
      </c>
      <c r="E2872" s="344">
        <v>6067974</v>
      </c>
      <c r="F2872" s="343" t="s">
        <v>8648</v>
      </c>
      <c r="G2872" s="360" t="s">
        <v>9668</v>
      </c>
      <c r="H2872" s="361">
        <v>43196</v>
      </c>
      <c r="I2872" s="343" t="s">
        <v>366</v>
      </c>
      <c r="J2872" s="343" t="s">
        <v>366</v>
      </c>
      <c r="K2872" s="343" t="s">
        <v>168</v>
      </c>
    </row>
    <row r="2873" spans="1:11" ht="26.25" customHeight="1">
      <c r="A2873" s="343" t="s">
        <v>1641</v>
      </c>
      <c r="B2873" s="344" t="s">
        <v>162</v>
      </c>
      <c r="C2873" s="344">
        <v>7604</v>
      </c>
      <c r="D2873" s="343" t="s">
        <v>5177</v>
      </c>
      <c r="E2873" s="344">
        <v>6827579</v>
      </c>
      <c r="F2873" s="343" t="s">
        <v>8649</v>
      </c>
      <c r="G2873" s="360" t="s">
        <v>12174</v>
      </c>
      <c r="H2873" s="361">
        <v>43196</v>
      </c>
      <c r="I2873" s="343" t="s">
        <v>349</v>
      </c>
      <c r="J2873" s="343" t="s">
        <v>12175</v>
      </c>
      <c r="K2873" s="343" t="s">
        <v>168</v>
      </c>
    </row>
    <row r="2874" spans="1:11" ht="26.25" customHeight="1">
      <c r="A2874" s="343" t="s">
        <v>1641</v>
      </c>
      <c r="B2874" s="344" t="s">
        <v>162</v>
      </c>
      <c r="C2874" s="344">
        <v>7636</v>
      </c>
      <c r="D2874" s="343" t="s">
        <v>5204</v>
      </c>
      <c r="E2874" s="344">
        <v>6591392</v>
      </c>
      <c r="F2874" s="343" t="s">
        <v>5163</v>
      </c>
      <c r="G2874" s="360" t="s">
        <v>11096</v>
      </c>
      <c r="H2874" s="361">
        <v>43196</v>
      </c>
      <c r="I2874" s="343" t="s">
        <v>193</v>
      </c>
      <c r="J2874" s="343" t="s">
        <v>637</v>
      </c>
      <c r="K2874" s="343" t="s">
        <v>168</v>
      </c>
    </row>
    <row r="2875" spans="1:11" ht="26.25" customHeight="1">
      <c r="A2875" s="343" t="s">
        <v>1641</v>
      </c>
      <c r="B2875" s="344" t="s">
        <v>162</v>
      </c>
      <c r="C2875" s="344">
        <v>7123</v>
      </c>
      <c r="D2875" s="343" t="s">
        <v>5345</v>
      </c>
      <c r="E2875" s="344">
        <v>6145864</v>
      </c>
      <c r="F2875" s="343" t="s">
        <v>8650</v>
      </c>
      <c r="G2875" s="360" t="s">
        <v>1383</v>
      </c>
      <c r="H2875" s="361">
        <v>43196</v>
      </c>
      <c r="I2875" s="343" t="s">
        <v>284</v>
      </c>
      <c r="J2875" s="343" t="s">
        <v>10432</v>
      </c>
      <c r="K2875" s="343" t="s">
        <v>168</v>
      </c>
    </row>
    <row r="2876" spans="1:11" ht="26.25" customHeight="1">
      <c r="A2876" s="343" t="s">
        <v>1641</v>
      </c>
      <c r="B2876" s="344" t="s">
        <v>162</v>
      </c>
      <c r="C2876" s="344">
        <v>6790</v>
      </c>
      <c r="D2876" s="343" t="s">
        <v>5507</v>
      </c>
      <c r="E2876" s="344">
        <v>6406411</v>
      </c>
      <c r="F2876" s="343" t="s">
        <v>8651</v>
      </c>
      <c r="G2876" s="360" t="s">
        <v>387</v>
      </c>
      <c r="H2876" s="361">
        <v>43196</v>
      </c>
      <c r="I2876" s="343" t="s">
        <v>301</v>
      </c>
      <c r="J2876" s="343" t="s">
        <v>530</v>
      </c>
      <c r="K2876" s="343" t="s">
        <v>168</v>
      </c>
    </row>
    <row r="2877" spans="1:11" ht="26.25" customHeight="1">
      <c r="A2877" s="343" t="s">
        <v>1641</v>
      </c>
      <c r="B2877" s="344" t="s">
        <v>162</v>
      </c>
      <c r="C2877" s="344">
        <v>6785</v>
      </c>
      <c r="D2877" s="343" t="s">
        <v>5450</v>
      </c>
      <c r="E2877" s="344">
        <v>6725229</v>
      </c>
      <c r="F2877" s="343" t="s">
        <v>8652</v>
      </c>
      <c r="G2877" s="360" t="s">
        <v>9374</v>
      </c>
      <c r="H2877" s="361">
        <v>43203</v>
      </c>
      <c r="I2877" s="343" t="s">
        <v>193</v>
      </c>
      <c r="J2877" s="343" t="s">
        <v>637</v>
      </c>
      <c r="K2877" s="343" t="s">
        <v>168</v>
      </c>
    </row>
    <row r="2878" spans="1:11" ht="26.25" customHeight="1">
      <c r="A2878" s="343" t="s">
        <v>1641</v>
      </c>
      <c r="B2878" s="344" t="s">
        <v>162</v>
      </c>
      <c r="C2878" s="344">
        <v>8570</v>
      </c>
      <c r="D2878" s="343" t="s">
        <v>5517</v>
      </c>
      <c r="E2878" s="344">
        <v>6423993</v>
      </c>
      <c r="F2878" s="343" t="s">
        <v>8654</v>
      </c>
      <c r="G2878" s="360" t="s">
        <v>12176</v>
      </c>
      <c r="H2878" s="361">
        <v>43203</v>
      </c>
      <c r="I2878" s="343" t="s">
        <v>166</v>
      </c>
      <c r="J2878" s="343" t="s">
        <v>296</v>
      </c>
      <c r="K2878" s="343" t="s">
        <v>168</v>
      </c>
    </row>
    <row r="2879" spans="1:11" ht="26.25" customHeight="1">
      <c r="A2879" s="343" t="s">
        <v>1641</v>
      </c>
      <c r="B2879" s="344" t="s">
        <v>162</v>
      </c>
      <c r="C2879" s="344">
        <v>7144</v>
      </c>
      <c r="D2879" s="343" t="s">
        <v>5368</v>
      </c>
      <c r="E2879" s="344">
        <v>4964485</v>
      </c>
      <c r="F2879" s="343" t="s">
        <v>8655</v>
      </c>
      <c r="G2879" s="360" t="s">
        <v>12177</v>
      </c>
      <c r="H2879" s="361">
        <v>43207</v>
      </c>
      <c r="I2879" s="343" t="s">
        <v>742</v>
      </c>
      <c r="J2879" s="343" t="s">
        <v>742</v>
      </c>
      <c r="K2879" s="343" t="s">
        <v>168</v>
      </c>
    </row>
    <row r="2880" spans="1:11" ht="26.25" customHeight="1">
      <c r="A2880" s="343" t="s">
        <v>1641</v>
      </c>
      <c r="B2880" s="344" t="s">
        <v>162</v>
      </c>
      <c r="C2880" s="344">
        <v>11095</v>
      </c>
      <c r="D2880" s="343" t="s">
        <v>5261</v>
      </c>
      <c r="E2880" s="344">
        <v>5714769</v>
      </c>
      <c r="F2880" s="343" t="s">
        <v>8656</v>
      </c>
      <c r="G2880" s="360" t="s">
        <v>1310</v>
      </c>
      <c r="H2880" s="361">
        <v>43207</v>
      </c>
      <c r="I2880" s="343" t="s">
        <v>193</v>
      </c>
      <c r="J2880" s="343" t="s">
        <v>509</v>
      </c>
      <c r="K2880" s="343" t="s">
        <v>168</v>
      </c>
    </row>
    <row r="2881" spans="1:11" ht="26.25" customHeight="1">
      <c r="A2881" s="343" t="s">
        <v>1641</v>
      </c>
      <c r="B2881" s="344" t="s">
        <v>162</v>
      </c>
      <c r="C2881" s="344">
        <v>9197</v>
      </c>
      <c r="D2881" s="343" t="s">
        <v>5511</v>
      </c>
      <c r="E2881" s="344">
        <v>5950373</v>
      </c>
      <c r="F2881" s="343" t="s">
        <v>5225</v>
      </c>
      <c r="G2881" s="360" t="s">
        <v>10002</v>
      </c>
      <c r="H2881" s="361">
        <v>43207</v>
      </c>
      <c r="I2881" s="343" t="s">
        <v>8657</v>
      </c>
      <c r="J2881" s="343" t="s">
        <v>12178</v>
      </c>
      <c r="K2881" s="343" t="s">
        <v>168</v>
      </c>
    </row>
    <row r="2882" spans="1:11" ht="26.25" customHeight="1">
      <c r="A2882" s="343" t="s">
        <v>1641</v>
      </c>
      <c r="B2882" s="344" t="s">
        <v>162</v>
      </c>
      <c r="C2882" s="344">
        <v>6787</v>
      </c>
      <c r="D2882" s="343" t="s">
        <v>7042</v>
      </c>
      <c r="E2882" s="344">
        <v>6167744</v>
      </c>
      <c r="F2882" s="343" t="s">
        <v>8658</v>
      </c>
      <c r="G2882" s="360" t="s">
        <v>9730</v>
      </c>
      <c r="H2882" s="361">
        <v>43207</v>
      </c>
      <c r="I2882" s="343" t="s">
        <v>198</v>
      </c>
      <c r="J2882" s="343" t="s">
        <v>198</v>
      </c>
      <c r="K2882" s="343" t="s">
        <v>168</v>
      </c>
    </row>
    <row r="2883" spans="1:11" ht="26.25" customHeight="1">
      <c r="A2883" s="343" t="s">
        <v>1641</v>
      </c>
      <c r="B2883" s="344" t="s">
        <v>162</v>
      </c>
      <c r="C2883" s="344">
        <v>7121</v>
      </c>
      <c r="D2883" s="343" t="s">
        <v>5365</v>
      </c>
      <c r="E2883" s="344">
        <v>5721155</v>
      </c>
      <c r="F2883" s="343" t="s">
        <v>8659</v>
      </c>
      <c r="G2883" s="360" t="s">
        <v>9411</v>
      </c>
      <c r="H2883" s="361">
        <v>43207</v>
      </c>
      <c r="I2883" s="343" t="s">
        <v>547</v>
      </c>
      <c r="J2883" s="343" t="s">
        <v>1028</v>
      </c>
      <c r="K2883" s="343" t="s">
        <v>248</v>
      </c>
    </row>
    <row r="2884" spans="1:11" ht="26.25" customHeight="1">
      <c r="A2884" s="343" t="s">
        <v>1641</v>
      </c>
      <c r="B2884" s="344" t="s">
        <v>162</v>
      </c>
      <c r="C2884" s="344">
        <v>9719</v>
      </c>
      <c r="D2884" s="343" t="s">
        <v>5192</v>
      </c>
      <c r="E2884" s="344">
        <v>6908023</v>
      </c>
      <c r="F2884" s="343" t="s">
        <v>8660</v>
      </c>
      <c r="G2884" s="360" t="s">
        <v>11798</v>
      </c>
      <c r="H2884" s="361">
        <v>43207</v>
      </c>
      <c r="I2884" s="343" t="s">
        <v>3629</v>
      </c>
      <c r="J2884" s="343" t="s">
        <v>12179</v>
      </c>
      <c r="K2884" s="343" t="s">
        <v>168</v>
      </c>
    </row>
    <row r="2885" spans="1:11" ht="26.25" customHeight="1">
      <c r="A2885" s="343" t="s">
        <v>1641</v>
      </c>
      <c r="B2885" s="344" t="s">
        <v>162</v>
      </c>
      <c r="C2885" s="344">
        <v>6779</v>
      </c>
      <c r="D2885" s="343" t="s">
        <v>5472</v>
      </c>
      <c r="E2885" s="344">
        <v>6259067</v>
      </c>
      <c r="F2885" s="343" t="s">
        <v>8661</v>
      </c>
      <c r="G2885" s="360" t="s">
        <v>365</v>
      </c>
      <c r="H2885" s="361">
        <v>43207</v>
      </c>
      <c r="I2885" s="343" t="s">
        <v>366</v>
      </c>
      <c r="J2885" s="343" t="s">
        <v>366</v>
      </c>
      <c r="K2885" s="343" t="s">
        <v>168</v>
      </c>
    </row>
    <row r="2886" spans="1:11" ht="26.25" customHeight="1">
      <c r="A2886" s="343" t="s">
        <v>1641</v>
      </c>
      <c r="B2886" s="344" t="s">
        <v>162</v>
      </c>
      <c r="C2886" s="344">
        <v>7635</v>
      </c>
      <c r="D2886" s="343" t="s">
        <v>5226</v>
      </c>
      <c r="E2886" s="344">
        <v>6788116</v>
      </c>
      <c r="F2886" s="343" t="s">
        <v>8662</v>
      </c>
      <c r="G2886" s="360" t="s">
        <v>12180</v>
      </c>
      <c r="H2886" s="361">
        <v>43207</v>
      </c>
      <c r="I2886" s="343" t="s">
        <v>7648</v>
      </c>
      <c r="J2886" s="343" t="s">
        <v>12181</v>
      </c>
      <c r="K2886" s="343" t="s">
        <v>248</v>
      </c>
    </row>
    <row r="2887" spans="1:11" ht="26.25" customHeight="1">
      <c r="A2887" s="343" t="s">
        <v>1641</v>
      </c>
      <c r="B2887" s="344" t="s">
        <v>162</v>
      </c>
      <c r="C2887" s="344">
        <v>7643</v>
      </c>
      <c r="D2887" s="343" t="s">
        <v>5161</v>
      </c>
      <c r="E2887" s="344">
        <v>6824054</v>
      </c>
      <c r="F2887" s="343" t="s">
        <v>8663</v>
      </c>
      <c r="G2887" s="360" t="s">
        <v>11298</v>
      </c>
      <c r="H2887" s="361">
        <v>43209</v>
      </c>
      <c r="I2887" s="343" t="s">
        <v>284</v>
      </c>
      <c r="J2887" s="343" t="s">
        <v>12182</v>
      </c>
      <c r="K2887" s="343" t="s">
        <v>168</v>
      </c>
    </row>
    <row r="2888" spans="1:11" ht="26.25" customHeight="1">
      <c r="A2888" s="343" t="s">
        <v>1641</v>
      </c>
      <c r="B2888" s="344" t="s">
        <v>162</v>
      </c>
      <c r="C2888" s="344">
        <v>9385</v>
      </c>
      <c r="D2888" s="343" t="s">
        <v>5544</v>
      </c>
      <c r="E2888" s="344">
        <v>6105005</v>
      </c>
      <c r="F2888" s="343" t="s">
        <v>8664</v>
      </c>
      <c r="G2888" s="360" t="s">
        <v>12183</v>
      </c>
      <c r="H2888" s="361">
        <v>43213</v>
      </c>
      <c r="I2888" s="343" t="s">
        <v>198</v>
      </c>
      <c r="J2888" s="343" t="s">
        <v>198</v>
      </c>
      <c r="K2888" s="343" t="s">
        <v>168</v>
      </c>
    </row>
    <row r="2889" spans="1:11" ht="26.25" customHeight="1">
      <c r="A2889" s="343" t="s">
        <v>1641</v>
      </c>
      <c r="B2889" s="344" t="s">
        <v>162</v>
      </c>
      <c r="C2889" s="344">
        <v>6772</v>
      </c>
      <c r="D2889" s="343" t="s">
        <v>5456</v>
      </c>
      <c r="E2889" s="344">
        <v>6843230</v>
      </c>
      <c r="F2889" s="343" t="s">
        <v>8665</v>
      </c>
      <c r="G2889" s="360" t="s">
        <v>9555</v>
      </c>
      <c r="H2889" s="361">
        <v>43214</v>
      </c>
      <c r="I2889" s="343" t="s">
        <v>8666</v>
      </c>
      <c r="J2889" s="343" t="s">
        <v>12184</v>
      </c>
      <c r="K2889" s="343" t="s">
        <v>248</v>
      </c>
    </row>
    <row r="2890" spans="1:11" ht="26.25" customHeight="1">
      <c r="A2890" s="343" t="s">
        <v>1641</v>
      </c>
      <c r="B2890" s="344" t="s">
        <v>162</v>
      </c>
      <c r="C2890" s="344">
        <v>6777</v>
      </c>
      <c r="D2890" s="343" t="s">
        <v>5439</v>
      </c>
      <c r="E2890" s="344">
        <v>6045899</v>
      </c>
      <c r="F2890" s="343" t="s">
        <v>8667</v>
      </c>
      <c r="G2890" s="360" t="s">
        <v>9743</v>
      </c>
      <c r="H2890" s="361">
        <v>43214</v>
      </c>
      <c r="I2890" s="343" t="s">
        <v>8668</v>
      </c>
      <c r="J2890" s="343" t="s">
        <v>12185</v>
      </c>
      <c r="K2890" s="343" t="s">
        <v>168</v>
      </c>
    </row>
    <row r="2891" spans="1:11" ht="26.25" customHeight="1">
      <c r="A2891" s="343" t="s">
        <v>1641</v>
      </c>
      <c r="B2891" s="344" t="s">
        <v>162</v>
      </c>
      <c r="C2891" s="344">
        <v>6778</v>
      </c>
      <c r="D2891" s="343" t="s">
        <v>5499</v>
      </c>
      <c r="E2891" s="344">
        <v>6309730</v>
      </c>
      <c r="F2891" s="343" t="s">
        <v>8669</v>
      </c>
      <c r="G2891" s="360" t="s">
        <v>9604</v>
      </c>
      <c r="H2891" s="361">
        <v>43217</v>
      </c>
      <c r="I2891" s="343" t="s">
        <v>349</v>
      </c>
      <c r="J2891" s="343" t="s">
        <v>9927</v>
      </c>
      <c r="K2891" s="343" t="s">
        <v>168</v>
      </c>
    </row>
    <row r="2892" spans="1:11" ht="26.25" customHeight="1">
      <c r="A2892" s="343" t="s">
        <v>1641</v>
      </c>
      <c r="B2892" s="344" t="s">
        <v>162</v>
      </c>
      <c r="C2892" s="344">
        <v>6772</v>
      </c>
      <c r="D2892" s="343" t="s">
        <v>5456</v>
      </c>
      <c r="E2892" s="344">
        <v>6867090</v>
      </c>
      <c r="F2892" s="343" t="s">
        <v>8670</v>
      </c>
      <c r="G2892" s="360" t="s">
        <v>12186</v>
      </c>
      <c r="H2892" s="361">
        <v>43217</v>
      </c>
      <c r="I2892" s="343" t="s">
        <v>7648</v>
      </c>
      <c r="J2892" s="343" t="s">
        <v>12187</v>
      </c>
      <c r="K2892" s="343" t="s">
        <v>248</v>
      </c>
    </row>
    <row r="2893" spans="1:11" ht="26.25" customHeight="1">
      <c r="A2893" s="343" t="s">
        <v>1641</v>
      </c>
      <c r="B2893" s="344" t="s">
        <v>162</v>
      </c>
      <c r="C2893" s="344">
        <v>7603</v>
      </c>
      <c r="D2893" s="343" t="s">
        <v>5246</v>
      </c>
      <c r="E2893" s="344">
        <v>6998729</v>
      </c>
      <c r="F2893" s="343" t="s">
        <v>8671</v>
      </c>
      <c r="G2893" s="360" t="s">
        <v>12188</v>
      </c>
      <c r="H2893" s="361">
        <v>43217</v>
      </c>
      <c r="I2893" s="343" t="s">
        <v>193</v>
      </c>
      <c r="J2893" s="343" t="s">
        <v>12189</v>
      </c>
      <c r="K2893" s="343" t="s">
        <v>168</v>
      </c>
    </row>
    <row r="2894" spans="1:11" ht="26.25" customHeight="1">
      <c r="A2894" s="343" t="s">
        <v>1641</v>
      </c>
      <c r="B2894" s="344" t="s">
        <v>162</v>
      </c>
      <c r="C2894" s="344">
        <v>6776</v>
      </c>
      <c r="D2894" s="343" t="s">
        <v>5431</v>
      </c>
      <c r="E2894" s="344">
        <v>4273760</v>
      </c>
      <c r="F2894" s="343" t="s">
        <v>8672</v>
      </c>
      <c r="G2894" s="360" t="s">
        <v>12190</v>
      </c>
      <c r="H2894" s="361">
        <v>43217</v>
      </c>
      <c r="I2894" s="343" t="s">
        <v>211</v>
      </c>
      <c r="J2894" s="343" t="s">
        <v>909</v>
      </c>
      <c r="K2894" s="343" t="s">
        <v>168</v>
      </c>
    </row>
    <row r="2895" spans="1:11" ht="26.25" customHeight="1">
      <c r="A2895" s="343" t="s">
        <v>1641</v>
      </c>
      <c r="B2895" s="344" t="s">
        <v>162</v>
      </c>
      <c r="C2895" s="344">
        <v>11096</v>
      </c>
      <c r="D2895" s="343" t="s">
        <v>5248</v>
      </c>
      <c r="E2895" s="344">
        <v>6666255</v>
      </c>
      <c r="F2895" s="343" t="s">
        <v>8673</v>
      </c>
      <c r="G2895" s="360" t="s">
        <v>12191</v>
      </c>
      <c r="H2895" s="361">
        <v>43222</v>
      </c>
      <c r="I2895" s="343" t="s">
        <v>514</v>
      </c>
      <c r="J2895" s="343" t="s">
        <v>12192</v>
      </c>
      <c r="K2895" s="343" t="s">
        <v>168</v>
      </c>
    </row>
    <row r="2896" spans="1:11" ht="26.25" customHeight="1">
      <c r="A2896" s="343" t="s">
        <v>1641</v>
      </c>
      <c r="B2896" s="344" t="s">
        <v>162</v>
      </c>
      <c r="C2896" s="344">
        <v>6781</v>
      </c>
      <c r="D2896" s="343" t="s">
        <v>5484</v>
      </c>
      <c r="E2896" s="344">
        <v>6255214</v>
      </c>
      <c r="F2896" s="343" t="s">
        <v>5485</v>
      </c>
      <c r="G2896" s="360" t="s">
        <v>11008</v>
      </c>
      <c r="H2896" s="361">
        <v>43222</v>
      </c>
      <c r="I2896" s="343" t="s">
        <v>166</v>
      </c>
      <c r="J2896" s="343" t="s">
        <v>327</v>
      </c>
      <c r="K2896" s="343" t="s">
        <v>168</v>
      </c>
    </row>
    <row r="2897" spans="1:11" ht="26.25" customHeight="1">
      <c r="A2897" s="343" t="s">
        <v>1641</v>
      </c>
      <c r="B2897" s="344" t="s">
        <v>162</v>
      </c>
      <c r="C2897" s="344">
        <v>7607</v>
      </c>
      <c r="D2897" s="343" t="s">
        <v>5198</v>
      </c>
      <c r="E2897" s="344">
        <v>6808571</v>
      </c>
      <c r="F2897" s="343" t="s">
        <v>8675</v>
      </c>
      <c r="G2897" s="360" t="s">
        <v>11645</v>
      </c>
      <c r="H2897" s="361">
        <v>43227</v>
      </c>
      <c r="I2897" s="343" t="s">
        <v>193</v>
      </c>
      <c r="J2897" s="343" t="s">
        <v>637</v>
      </c>
      <c r="K2897" s="343" t="s">
        <v>168</v>
      </c>
    </row>
    <row r="2898" spans="1:11" ht="26.25" customHeight="1">
      <c r="A2898" s="343" t="s">
        <v>1641</v>
      </c>
      <c r="B2898" s="344" t="s">
        <v>162</v>
      </c>
      <c r="C2898" s="344">
        <v>7135</v>
      </c>
      <c r="D2898" s="343" t="s">
        <v>5294</v>
      </c>
      <c r="E2898" s="344">
        <v>5755176</v>
      </c>
      <c r="F2898" s="343" t="s">
        <v>8676</v>
      </c>
      <c r="G2898" s="360" t="s">
        <v>12193</v>
      </c>
      <c r="H2898" s="361">
        <v>43227</v>
      </c>
      <c r="I2898" s="343" t="s">
        <v>784</v>
      </c>
      <c r="J2898" s="343" t="s">
        <v>12194</v>
      </c>
      <c r="K2898" s="343" t="s">
        <v>168</v>
      </c>
    </row>
    <row r="2899" spans="1:11" ht="26.25" customHeight="1">
      <c r="A2899" s="343" t="s">
        <v>1641</v>
      </c>
      <c r="B2899" s="344" t="s">
        <v>162</v>
      </c>
      <c r="C2899" s="344">
        <v>6772</v>
      </c>
      <c r="D2899" s="343" t="s">
        <v>5456</v>
      </c>
      <c r="E2899" s="344">
        <v>6295619</v>
      </c>
      <c r="F2899" s="343" t="s">
        <v>8677</v>
      </c>
      <c r="G2899" s="360" t="s">
        <v>11654</v>
      </c>
      <c r="H2899" s="361">
        <v>43227</v>
      </c>
      <c r="I2899" s="343" t="s">
        <v>301</v>
      </c>
      <c r="J2899" s="343" t="s">
        <v>12195</v>
      </c>
      <c r="K2899" s="343" t="s">
        <v>173</v>
      </c>
    </row>
    <row r="2900" spans="1:11" ht="26.25" customHeight="1">
      <c r="A2900" s="343" t="s">
        <v>1641</v>
      </c>
      <c r="B2900" s="344" t="s">
        <v>162</v>
      </c>
      <c r="C2900" s="344">
        <v>6772</v>
      </c>
      <c r="D2900" s="343" t="s">
        <v>5456</v>
      </c>
      <c r="E2900" s="344">
        <v>6295640</v>
      </c>
      <c r="F2900" s="343" t="s">
        <v>8678</v>
      </c>
      <c r="G2900" s="360" t="s">
        <v>11654</v>
      </c>
      <c r="H2900" s="361">
        <v>43227</v>
      </c>
      <c r="I2900" s="343" t="s">
        <v>301</v>
      </c>
      <c r="J2900" s="343" t="s">
        <v>12196</v>
      </c>
      <c r="K2900" s="343" t="s">
        <v>173</v>
      </c>
    </row>
    <row r="2901" spans="1:11" ht="26.25" customHeight="1">
      <c r="A2901" s="343" t="s">
        <v>1641</v>
      </c>
      <c r="B2901" s="344" t="s">
        <v>162</v>
      </c>
      <c r="C2901" s="344">
        <v>6789</v>
      </c>
      <c r="D2901" s="343" t="s">
        <v>5570</v>
      </c>
      <c r="E2901" s="344">
        <v>6031463</v>
      </c>
      <c r="F2901" s="343" t="s">
        <v>8679</v>
      </c>
      <c r="G2901" s="360" t="s">
        <v>9628</v>
      </c>
      <c r="H2901" s="361">
        <v>43227</v>
      </c>
      <c r="I2901" s="343" t="s">
        <v>261</v>
      </c>
      <c r="J2901" s="343" t="s">
        <v>631</v>
      </c>
      <c r="K2901" s="343" t="s">
        <v>168</v>
      </c>
    </row>
    <row r="2902" spans="1:11" ht="26.25" customHeight="1">
      <c r="A2902" s="343" t="s">
        <v>1641</v>
      </c>
      <c r="B2902" s="344" t="s">
        <v>162</v>
      </c>
      <c r="C2902" s="344">
        <v>6773</v>
      </c>
      <c r="D2902" s="343" t="s">
        <v>5573</v>
      </c>
      <c r="E2902" s="344">
        <v>6383806</v>
      </c>
      <c r="F2902" s="343" t="s">
        <v>7490</v>
      </c>
      <c r="G2902" s="360" t="s">
        <v>9925</v>
      </c>
      <c r="H2902" s="361">
        <v>43227</v>
      </c>
      <c r="I2902" s="343" t="s">
        <v>4428</v>
      </c>
      <c r="J2902" s="343" t="s">
        <v>12197</v>
      </c>
      <c r="K2902" s="343" t="s">
        <v>168</v>
      </c>
    </row>
    <row r="2903" spans="1:11" ht="26.25" customHeight="1">
      <c r="A2903" s="343" t="s">
        <v>1641</v>
      </c>
      <c r="B2903" s="344" t="s">
        <v>162</v>
      </c>
      <c r="C2903" s="344">
        <v>9385</v>
      </c>
      <c r="D2903" s="343" t="s">
        <v>5544</v>
      </c>
      <c r="E2903" s="344">
        <v>6995647</v>
      </c>
      <c r="F2903" s="343" t="s">
        <v>8680</v>
      </c>
      <c r="G2903" s="360" t="s">
        <v>10043</v>
      </c>
      <c r="H2903" s="361">
        <v>43227</v>
      </c>
      <c r="I2903" s="343" t="s">
        <v>180</v>
      </c>
      <c r="J2903" s="343" t="s">
        <v>12198</v>
      </c>
      <c r="K2903" s="343" t="s">
        <v>173</v>
      </c>
    </row>
    <row r="2904" spans="1:11" ht="26.25" customHeight="1">
      <c r="A2904" s="343" t="s">
        <v>1641</v>
      </c>
      <c r="B2904" s="344" t="s">
        <v>162</v>
      </c>
      <c r="C2904" s="344">
        <v>11095</v>
      </c>
      <c r="D2904" s="343" t="s">
        <v>5261</v>
      </c>
      <c r="E2904" s="344">
        <v>6135903</v>
      </c>
      <c r="F2904" s="343" t="s">
        <v>8681</v>
      </c>
      <c r="G2904" s="360" t="s">
        <v>10080</v>
      </c>
      <c r="H2904" s="361">
        <v>43230</v>
      </c>
      <c r="I2904" s="343" t="s">
        <v>784</v>
      </c>
      <c r="J2904" s="343" t="s">
        <v>12199</v>
      </c>
      <c r="K2904" s="343" t="s">
        <v>168</v>
      </c>
    </row>
    <row r="2905" spans="1:11" ht="26.25" customHeight="1">
      <c r="A2905" s="343" t="s">
        <v>1641</v>
      </c>
      <c r="B2905" s="344" t="s">
        <v>162</v>
      </c>
      <c r="C2905" s="344">
        <v>7601</v>
      </c>
      <c r="D2905" s="343" t="s">
        <v>5167</v>
      </c>
      <c r="E2905" s="344">
        <v>6424784</v>
      </c>
      <c r="F2905" s="343" t="s">
        <v>8682</v>
      </c>
      <c r="G2905" s="360" t="s">
        <v>12200</v>
      </c>
      <c r="H2905" s="361">
        <v>43234</v>
      </c>
      <c r="I2905" s="343" t="s">
        <v>3698</v>
      </c>
      <c r="J2905" s="343" t="s">
        <v>12201</v>
      </c>
      <c r="K2905" s="343" t="s">
        <v>168</v>
      </c>
    </row>
    <row r="2906" spans="1:11" ht="26.25" customHeight="1">
      <c r="A2906" s="343" t="s">
        <v>1641</v>
      </c>
      <c r="B2906" s="344" t="s">
        <v>162</v>
      </c>
      <c r="C2906" s="344">
        <v>9197</v>
      </c>
      <c r="D2906" s="343" t="s">
        <v>5511</v>
      </c>
      <c r="E2906" s="344">
        <v>5957553</v>
      </c>
      <c r="F2906" s="343" t="s">
        <v>5516</v>
      </c>
      <c r="G2906" s="360" t="s">
        <v>203</v>
      </c>
      <c r="H2906" s="361">
        <v>43235</v>
      </c>
      <c r="I2906" s="343" t="s">
        <v>166</v>
      </c>
      <c r="J2906" s="343" t="s">
        <v>296</v>
      </c>
      <c r="K2906" s="343" t="s">
        <v>168</v>
      </c>
    </row>
    <row r="2907" spans="1:11" ht="26.25" customHeight="1">
      <c r="A2907" s="343" t="s">
        <v>1641</v>
      </c>
      <c r="B2907" s="344" t="s">
        <v>162</v>
      </c>
      <c r="C2907" s="344">
        <v>9433</v>
      </c>
      <c r="D2907" s="343" t="s">
        <v>5410</v>
      </c>
      <c r="E2907" s="344">
        <v>5875910</v>
      </c>
      <c r="F2907" s="343" t="s">
        <v>8683</v>
      </c>
      <c r="G2907" s="360" t="s">
        <v>10007</v>
      </c>
      <c r="H2907" s="361">
        <v>43235</v>
      </c>
      <c r="I2907" s="343" t="s">
        <v>166</v>
      </c>
      <c r="J2907" s="343" t="s">
        <v>296</v>
      </c>
      <c r="K2907" s="343" t="s">
        <v>168</v>
      </c>
    </row>
    <row r="2908" spans="1:11" ht="26.25" customHeight="1">
      <c r="A2908" s="343" t="s">
        <v>1641</v>
      </c>
      <c r="B2908" s="344" t="s">
        <v>162</v>
      </c>
      <c r="C2908" s="344">
        <v>9197</v>
      </c>
      <c r="D2908" s="343" t="s">
        <v>5511</v>
      </c>
      <c r="E2908" s="344">
        <v>6845567</v>
      </c>
      <c r="F2908" s="343" t="s">
        <v>8684</v>
      </c>
      <c r="G2908" s="360" t="s">
        <v>12202</v>
      </c>
      <c r="H2908" s="361">
        <v>43236</v>
      </c>
      <c r="I2908" s="343" t="s">
        <v>7684</v>
      </c>
      <c r="J2908" s="343" t="s">
        <v>12203</v>
      </c>
      <c r="K2908" s="343" t="s">
        <v>168</v>
      </c>
    </row>
    <row r="2909" spans="1:11" ht="26.25" customHeight="1">
      <c r="A2909" s="343" t="s">
        <v>1641</v>
      </c>
      <c r="B2909" s="344" t="s">
        <v>162</v>
      </c>
      <c r="C2909" s="344">
        <v>6791</v>
      </c>
      <c r="D2909" s="343" t="s">
        <v>8685</v>
      </c>
      <c r="E2909" s="344">
        <v>5991553</v>
      </c>
      <c r="F2909" s="343" t="s">
        <v>8686</v>
      </c>
      <c r="G2909" s="360" t="s">
        <v>10981</v>
      </c>
      <c r="H2909" s="361">
        <v>43236</v>
      </c>
      <c r="I2909" s="343" t="s">
        <v>180</v>
      </c>
      <c r="J2909" s="343" t="s">
        <v>12204</v>
      </c>
      <c r="K2909" s="343" t="s">
        <v>168</v>
      </c>
    </row>
    <row r="2910" spans="1:11" ht="26.25" customHeight="1">
      <c r="A2910" s="343" t="s">
        <v>1641</v>
      </c>
      <c r="B2910" s="344" t="s">
        <v>162</v>
      </c>
      <c r="C2910" s="344">
        <v>7637</v>
      </c>
      <c r="D2910" s="343" t="s">
        <v>5186</v>
      </c>
      <c r="E2910" s="344">
        <v>6676653</v>
      </c>
      <c r="F2910" s="343" t="s">
        <v>8687</v>
      </c>
      <c r="G2910" s="360" t="s">
        <v>10510</v>
      </c>
      <c r="H2910" s="361">
        <v>43236</v>
      </c>
      <c r="I2910" s="343" t="s">
        <v>166</v>
      </c>
      <c r="J2910" s="343" t="s">
        <v>296</v>
      </c>
      <c r="K2910" s="343" t="s">
        <v>168</v>
      </c>
    </row>
    <row r="2911" spans="1:11" ht="26.25" customHeight="1">
      <c r="A2911" s="343" t="s">
        <v>1641</v>
      </c>
      <c r="B2911" s="344" t="s">
        <v>162</v>
      </c>
      <c r="C2911" s="344">
        <v>7637</v>
      </c>
      <c r="D2911" s="343" t="s">
        <v>5186</v>
      </c>
      <c r="E2911" s="344">
        <v>7069440</v>
      </c>
      <c r="F2911" s="343" t="s">
        <v>8688</v>
      </c>
      <c r="G2911" s="360" t="s">
        <v>12205</v>
      </c>
      <c r="H2911" s="361">
        <v>43236</v>
      </c>
      <c r="I2911" s="343" t="s">
        <v>166</v>
      </c>
      <c r="J2911" s="343" t="s">
        <v>296</v>
      </c>
      <c r="K2911" s="343" t="s">
        <v>168</v>
      </c>
    </row>
    <row r="2912" spans="1:11" ht="26.25" customHeight="1">
      <c r="A2912" s="343" t="s">
        <v>1641</v>
      </c>
      <c r="B2912" s="344" t="s">
        <v>162</v>
      </c>
      <c r="C2912" s="344">
        <v>7597</v>
      </c>
      <c r="D2912" s="343" t="s">
        <v>5171</v>
      </c>
      <c r="E2912" s="344">
        <v>6757802</v>
      </c>
      <c r="F2912" s="343" t="s">
        <v>8689</v>
      </c>
      <c r="G2912" s="360" t="s">
        <v>11367</v>
      </c>
      <c r="H2912" s="361">
        <v>43236</v>
      </c>
      <c r="I2912" s="343" t="s">
        <v>366</v>
      </c>
      <c r="J2912" s="343" t="s">
        <v>366</v>
      </c>
      <c r="K2912" s="343" t="s">
        <v>168</v>
      </c>
    </row>
    <row r="2913" spans="1:11" ht="26.25" customHeight="1">
      <c r="A2913" s="343" t="s">
        <v>1641</v>
      </c>
      <c r="B2913" s="344" t="s">
        <v>162</v>
      </c>
      <c r="C2913" s="344">
        <v>6777</v>
      </c>
      <c r="D2913" s="343" t="s">
        <v>5439</v>
      </c>
      <c r="E2913" s="344">
        <v>5998086</v>
      </c>
      <c r="F2913" s="343" t="s">
        <v>8690</v>
      </c>
      <c r="G2913" s="360" t="s">
        <v>10105</v>
      </c>
      <c r="H2913" s="361">
        <v>43236</v>
      </c>
      <c r="I2913" s="343" t="s">
        <v>366</v>
      </c>
      <c r="J2913" s="343" t="s">
        <v>366</v>
      </c>
      <c r="K2913" s="343" t="s">
        <v>168</v>
      </c>
    </row>
    <row r="2914" spans="1:11" ht="26.25" customHeight="1">
      <c r="A2914" s="343" t="s">
        <v>1641</v>
      </c>
      <c r="B2914" s="344" t="s">
        <v>162</v>
      </c>
      <c r="C2914" s="344">
        <v>7639</v>
      </c>
      <c r="D2914" s="343" t="s">
        <v>5189</v>
      </c>
      <c r="E2914" s="344">
        <v>6821162</v>
      </c>
      <c r="F2914" s="343" t="s">
        <v>8691</v>
      </c>
      <c r="G2914" s="360" t="s">
        <v>12206</v>
      </c>
      <c r="H2914" s="361">
        <v>43237</v>
      </c>
      <c r="I2914" s="343" t="s">
        <v>193</v>
      </c>
      <c r="J2914" s="343" t="s">
        <v>637</v>
      </c>
      <c r="K2914" s="343" t="s">
        <v>168</v>
      </c>
    </row>
    <row r="2915" spans="1:11" ht="26.25" customHeight="1">
      <c r="A2915" s="343" t="s">
        <v>1641</v>
      </c>
      <c r="B2915" s="344" t="s">
        <v>162</v>
      </c>
      <c r="C2915" s="344">
        <v>7144</v>
      </c>
      <c r="D2915" s="343" t="s">
        <v>5368</v>
      </c>
      <c r="E2915" s="344">
        <v>4739766</v>
      </c>
      <c r="F2915" s="343" t="s">
        <v>8692</v>
      </c>
      <c r="G2915" s="360" t="s">
        <v>12207</v>
      </c>
      <c r="H2915" s="361">
        <v>43241</v>
      </c>
      <c r="I2915" s="343" t="s">
        <v>742</v>
      </c>
      <c r="J2915" s="343" t="s">
        <v>742</v>
      </c>
      <c r="K2915" s="343" t="s">
        <v>168</v>
      </c>
    </row>
    <row r="2916" spans="1:11" ht="26.25" customHeight="1">
      <c r="A2916" s="343" t="s">
        <v>1641</v>
      </c>
      <c r="B2916" s="344" t="s">
        <v>162</v>
      </c>
      <c r="C2916" s="344">
        <v>8846</v>
      </c>
      <c r="D2916" s="343" t="s">
        <v>5475</v>
      </c>
      <c r="E2916" s="344">
        <v>6615651</v>
      </c>
      <c r="F2916" s="343" t="s">
        <v>8693</v>
      </c>
      <c r="G2916" s="360" t="s">
        <v>12208</v>
      </c>
      <c r="H2916" s="361">
        <v>43242</v>
      </c>
      <c r="I2916" s="343" t="s">
        <v>8694</v>
      </c>
      <c r="J2916" s="343" t="s">
        <v>12209</v>
      </c>
      <c r="K2916" s="343" t="s">
        <v>168</v>
      </c>
    </row>
    <row r="2917" spans="1:11" ht="26.25" customHeight="1">
      <c r="A2917" s="343" t="s">
        <v>1641</v>
      </c>
      <c r="B2917" s="344" t="s">
        <v>162</v>
      </c>
      <c r="C2917" s="344">
        <v>6788</v>
      </c>
      <c r="D2917" s="343" t="s">
        <v>7575</v>
      </c>
      <c r="E2917" s="344">
        <v>5727374</v>
      </c>
      <c r="F2917" s="343" t="s">
        <v>8695</v>
      </c>
      <c r="G2917" s="360" t="s">
        <v>9376</v>
      </c>
      <c r="H2917" s="361">
        <v>43243</v>
      </c>
      <c r="I2917" s="343" t="s">
        <v>198</v>
      </c>
      <c r="J2917" s="343" t="s">
        <v>198</v>
      </c>
      <c r="K2917" s="343" t="s">
        <v>168</v>
      </c>
    </row>
    <row r="2918" spans="1:11" ht="26.25" customHeight="1">
      <c r="A2918" s="343" t="s">
        <v>1641</v>
      </c>
      <c r="B2918" s="344" t="s">
        <v>162</v>
      </c>
      <c r="C2918" s="344">
        <v>6788</v>
      </c>
      <c r="D2918" s="343" t="s">
        <v>7575</v>
      </c>
      <c r="E2918" s="344">
        <v>5627826</v>
      </c>
      <c r="F2918" s="343" t="s">
        <v>8696</v>
      </c>
      <c r="G2918" s="360" t="s">
        <v>11652</v>
      </c>
      <c r="H2918" s="361">
        <v>43243</v>
      </c>
      <c r="I2918" s="343" t="s">
        <v>366</v>
      </c>
      <c r="J2918" s="343" t="s">
        <v>366</v>
      </c>
      <c r="K2918" s="343" t="s">
        <v>168</v>
      </c>
    </row>
    <row r="2919" spans="1:11" ht="26.25" customHeight="1">
      <c r="A2919" s="343" t="s">
        <v>1641</v>
      </c>
      <c r="B2919" s="344" t="s">
        <v>162</v>
      </c>
      <c r="C2919" s="344">
        <v>7142</v>
      </c>
      <c r="D2919" s="343" t="s">
        <v>5401</v>
      </c>
      <c r="E2919" s="344">
        <v>5671453</v>
      </c>
      <c r="F2919" s="343" t="s">
        <v>8697</v>
      </c>
      <c r="G2919" s="360" t="s">
        <v>12210</v>
      </c>
      <c r="H2919" s="361">
        <v>43243</v>
      </c>
      <c r="I2919" s="343" t="s">
        <v>3606</v>
      </c>
      <c r="J2919" s="343" t="s">
        <v>3606</v>
      </c>
      <c r="K2919" s="343" t="s">
        <v>168</v>
      </c>
    </row>
    <row r="2920" spans="1:11" ht="26.25" customHeight="1">
      <c r="A2920" s="343" t="s">
        <v>1641</v>
      </c>
      <c r="B2920" s="344" t="s">
        <v>162</v>
      </c>
      <c r="C2920" s="344">
        <v>7644</v>
      </c>
      <c r="D2920" s="343" t="s">
        <v>5210</v>
      </c>
      <c r="E2920" s="344">
        <v>6334221</v>
      </c>
      <c r="F2920" s="343" t="s">
        <v>5215</v>
      </c>
      <c r="G2920" s="360" t="s">
        <v>10419</v>
      </c>
      <c r="H2920" s="361">
        <v>43244</v>
      </c>
      <c r="I2920" s="343" t="s">
        <v>802</v>
      </c>
      <c r="J2920" s="343" t="s">
        <v>12211</v>
      </c>
      <c r="K2920" s="343" t="s">
        <v>168</v>
      </c>
    </row>
    <row r="2921" spans="1:11" ht="26.25" customHeight="1">
      <c r="A2921" s="343" t="s">
        <v>1641</v>
      </c>
      <c r="B2921" s="344" t="s">
        <v>162</v>
      </c>
      <c r="C2921" s="344">
        <v>7639</v>
      </c>
      <c r="D2921" s="343" t="s">
        <v>5189</v>
      </c>
      <c r="E2921" s="344">
        <v>6716172</v>
      </c>
      <c r="F2921" s="343" t="s">
        <v>7588</v>
      </c>
      <c r="G2921" s="360" t="s">
        <v>10935</v>
      </c>
      <c r="H2921" s="361">
        <v>43244</v>
      </c>
      <c r="I2921" s="343" t="s">
        <v>8698</v>
      </c>
      <c r="J2921" s="343" t="s">
        <v>12212</v>
      </c>
      <c r="K2921" s="343" t="s">
        <v>168</v>
      </c>
    </row>
    <row r="2922" spans="1:11" ht="26.25" customHeight="1">
      <c r="A2922" s="343" t="s">
        <v>1641</v>
      </c>
      <c r="B2922" s="344" t="s">
        <v>162</v>
      </c>
      <c r="C2922" s="344">
        <v>9197</v>
      </c>
      <c r="D2922" s="343" t="s">
        <v>5511</v>
      </c>
      <c r="E2922" s="344">
        <v>6691156</v>
      </c>
      <c r="F2922" s="343" t="s">
        <v>7132</v>
      </c>
      <c r="G2922" s="360" t="s">
        <v>12202</v>
      </c>
      <c r="H2922" s="361">
        <v>43244</v>
      </c>
      <c r="I2922" s="343" t="s">
        <v>193</v>
      </c>
      <c r="J2922" s="343" t="s">
        <v>637</v>
      </c>
      <c r="K2922" s="343" t="s">
        <v>168</v>
      </c>
    </row>
    <row r="2923" spans="1:11" ht="26.25" customHeight="1">
      <c r="A2923" s="343" t="s">
        <v>1641</v>
      </c>
      <c r="B2923" s="344" t="s">
        <v>162</v>
      </c>
      <c r="C2923" s="344">
        <v>6782</v>
      </c>
      <c r="D2923" s="343" t="s">
        <v>5568</v>
      </c>
      <c r="E2923" s="344">
        <v>7073511</v>
      </c>
      <c r="F2923" s="343" t="s">
        <v>8699</v>
      </c>
      <c r="G2923" s="360" t="s">
        <v>9577</v>
      </c>
      <c r="H2923" s="361">
        <v>43245</v>
      </c>
      <c r="I2923" s="343" t="s">
        <v>193</v>
      </c>
      <c r="J2923" s="343" t="s">
        <v>637</v>
      </c>
      <c r="K2923" s="343" t="s">
        <v>168</v>
      </c>
    </row>
    <row r="2924" spans="1:11" ht="26.25" customHeight="1">
      <c r="A2924" s="343" t="s">
        <v>1641</v>
      </c>
      <c r="B2924" s="344" t="s">
        <v>162</v>
      </c>
      <c r="C2924" s="344">
        <v>6782</v>
      </c>
      <c r="D2924" s="343" t="s">
        <v>5568</v>
      </c>
      <c r="E2924" s="344">
        <v>6385587</v>
      </c>
      <c r="F2924" s="343" t="s">
        <v>8700</v>
      </c>
      <c r="G2924" s="360" t="s">
        <v>10049</v>
      </c>
      <c r="H2924" s="361">
        <v>43245</v>
      </c>
      <c r="I2924" s="343" t="s">
        <v>366</v>
      </c>
      <c r="J2924" s="343" t="s">
        <v>366</v>
      </c>
      <c r="K2924" s="343" t="s">
        <v>168</v>
      </c>
    </row>
    <row r="2925" spans="1:11" ht="26.25" customHeight="1">
      <c r="A2925" s="343" t="s">
        <v>1641</v>
      </c>
      <c r="B2925" s="344" t="s">
        <v>162</v>
      </c>
      <c r="C2925" s="344">
        <v>6771</v>
      </c>
      <c r="D2925" s="343" t="s">
        <v>5562</v>
      </c>
      <c r="E2925" s="344">
        <v>6126107</v>
      </c>
      <c r="F2925" s="343" t="s">
        <v>5212</v>
      </c>
      <c r="G2925" s="360" t="s">
        <v>9772</v>
      </c>
      <c r="H2925" s="361">
        <v>43245</v>
      </c>
      <c r="I2925" s="343" t="s">
        <v>301</v>
      </c>
      <c r="J2925" s="343" t="s">
        <v>1113</v>
      </c>
      <c r="K2925" s="343" t="s">
        <v>168</v>
      </c>
    </row>
    <row r="2926" spans="1:11" ht="26.25" customHeight="1">
      <c r="A2926" s="343" t="s">
        <v>1641</v>
      </c>
      <c r="B2926" s="344" t="s">
        <v>162</v>
      </c>
      <c r="C2926" s="344">
        <v>6779</v>
      </c>
      <c r="D2926" s="343" t="s">
        <v>5472</v>
      </c>
      <c r="E2926" s="344">
        <v>6026233</v>
      </c>
      <c r="F2926" s="343" t="s">
        <v>5242</v>
      </c>
      <c r="G2926" s="360" t="s">
        <v>11093</v>
      </c>
      <c r="H2926" s="361">
        <v>43248</v>
      </c>
      <c r="I2926" s="343" t="s">
        <v>301</v>
      </c>
      <c r="J2926" s="343" t="s">
        <v>1113</v>
      </c>
      <c r="K2926" s="343" t="s">
        <v>168</v>
      </c>
    </row>
    <row r="2927" spans="1:11" ht="26.25" customHeight="1">
      <c r="A2927" s="343" t="s">
        <v>1641</v>
      </c>
      <c r="B2927" s="344" t="s">
        <v>162</v>
      </c>
      <c r="C2927" s="344">
        <v>6783</v>
      </c>
      <c r="D2927" s="343" t="s">
        <v>5521</v>
      </c>
      <c r="E2927" s="344">
        <v>6641709</v>
      </c>
      <c r="F2927" s="343" t="s">
        <v>8701</v>
      </c>
      <c r="G2927" s="360" t="s">
        <v>1079</v>
      </c>
      <c r="H2927" s="361">
        <v>43255</v>
      </c>
      <c r="I2927" s="343" t="s">
        <v>193</v>
      </c>
      <c r="J2927" s="343" t="s">
        <v>637</v>
      </c>
      <c r="K2927" s="343" t="s">
        <v>168</v>
      </c>
    </row>
    <row r="2928" spans="1:11" ht="26.25" customHeight="1">
      <c r="A2928" s="343" t="s">
        <v>1641</v>
      </c>
      <c r="B2928" s="344" t="s">
        <v>162</v>
      </c>
      <c r="C2928" s="344">
        <v>6793</v>
      </c>
      <c r="D2928" s="343" t="s">
        <v>8702</v>
      </c>
      <c r="E2928" s="344">
        <v>6811797</v>
      </c>
      <c r="F2928" s="343" t="s">
        <v>8703</v>
      </c>
      <c r="G2928" s="360" t="s">
        <v>10550</v>
      </c>
      <c r="H2928" s="361">
        <v>43255</v>
      </c>
      <c r="I2928" s="343" t="s">
        <v>193</v>
      </c>
      <c r="J2928" s="343" t="s">
        <v>637</v>
      </c>
      <c r="K2928" s="343" t="s">
        <v>168</v>
      </c>
    </row>
    <row r="2929" spans="1:11" ht="26.25" customHeight="1">
      <c r="A2929" s="343" t="s">
        <v>1641</v>
      </c>
      <c r="B2929" s="344" t="s">
        <v>162</v>
      </c>
      <c r="C2929" s="344">
        <v>6779</v>
      </c>
      <c r="D2929" s="343" t="s">
        <v>5472</v>
      </c>
      <c r="E2929" s="344">
        <v>6458064</v>
      </c>
      <c r="F2929" s="343" t="s">
        <v>8704</v>
      </c>
      <c r="G2929" s="360" t="s">
        <v>353</v>
      </c>
      <c r="H2929" s="361">
        <v>43255</v>
      </c>
      <c r="I2929" s="343" t="s">
        <v>166</v>
      </c>
      <c r="J2929" s="343" t="s">
        <v>296</v>
      </c>
      <c r="K2929" s="343" t="s">
        <v>168</v>
      </c>
    </row>
    <row r="2930" spans="1:11" ht="26.25" customHeight="1">
      <c r="A2930" s="343" t="s">
        <v>1641</v>
      </c>
      <c r="B2930" s="344" t="s">
        <v>162</v>
      </c>
      <c r="C2930" s="344">
        <v>7645</v>
      </c>
      <c r="D2930" s="343" t="s">
        <v>5222</v>
      </c>
      <c r="E2930" s="344">
        <v>6169941</v>
      </c>
      <c r="F2930" s="343" t="s">
        <v>8705</v>
      </c>
      <c r="G2930" s="360" t="s">
        <v>12213</v>
      </c>
      <c r="H2930" s="361">
        <v>43258</v>
      </c>
      <c r="I2930" s="343" t="s">
        <v>8706</v>
      </c>
      <c r="J2930" s="343" t="s">
        <v>12214</v>
      </c>
      <c r="K2930" s="343" t="s">
        <v>173</v>
      </c>
    </row>
    <row r="2931" spans="1:11" ht="26.25" customHeight="1">
      <c r="A2931" s="343" t="s">
        <v>1641</v>
      </c>
      <c r="B2931" s="344" t="s">
        <v>162</v>
      </c>
      <c r="C2931" s="344">
        <v>8995</v>
      </c>
      <c r="D2931" s="343" t="s">
        <v>5505</v>
      </c>
      <c r="E2931" s="344">
        <v>6250242</v>
      </c>
      <c r="F2931" s="343" t="s">
        <v>8707</v>
      </c>
      <c r="G2931" s="360" t="s">
        <v>10534</v>
      </c>
      <c r="H2931" s="361">
        <v>43258</v>
      </c>
      <c r="I2931" s="343" t="s">
        <v>193</v>
      </c>
      <c r="J2931" s="343" t="s">
        <v>509</v>
      </c>
      <c r="K2931" s="343" t="s">
        <v>168</v>
      </c>
    </row>
    <row r="2932" spans="1:11" ht="26.25" customHeight="1">
      <c r="A2932" s="343" t="s">
        <v>1641</v>
      </c>
      <c r="B2932" s="344" t="s">
        <v>162</v>
      </c>
      <c r="C2932" s="344">
        <v>7127</v>
      </c>
      <c r="D2932" s="343" t="s">
        <v>5289</v>
      </c>
      <c r="E2932" s="344">
        <v>5202096</v>
      </c>
      <c r="F2932" s="343" t="s">
        <v>5291</v>
      </c>
      <c r="G2932" s="360" t="s">
        <v>546</v>
      </c>
      <c r="H2932" s="361">
        <v>43258</v>
      </c>
      <c r="I2932" s="343" t="s">
        <v>211</v>
      </c>
      <c r="J2932" s="343" t="s">
        <v>909</v>
      </c>
      <c r="K2932" s="343" t="s">
        <v>168</v>
      </c>
    </row>
    <row r="2933" spans="1:11" ht="26.25" customHeight="1">
      <c r="A2933" s="343" t="s">
        <v>1641</v>
      </c>
      <c r="B2933" s="344" t="s">
        <v>162</v>
      </c>
      <c r="C2933" s="344">
        <v>7122</v>
      </c>
      <c r="D2933" s="343" t="s">
        <v>5303</v>
      </c>
      <c r="E2933" s="344">
        <v>6213045</v>
      </c>
      <c r="F2933" s="343" t="s">
        <v>8708</v>
      </c>
      <c r="G2933" s="360" t="s">
        <v>12215</v>
      </c>
      <c r="H2933" s="361">
        <v>43258</v>
      </c>
      <c r="I2933" s="343" t="s">
        <v>211</v>
      </c>
      <c r="J2933" s="343" t="s">
        <v>909</v>
      </c>
      <c r="K2933" s="343" t="s">
        <v>168</v>
      </c>
    </row>
    <row r="2934" spans="1:11" ht="26.25" customHeight="1">
      <c r="A2934" s="343" t="s">
        <v>1641</v>
      </c>
      <c r="B2934" s="344" t="s">
        <v>162</v>
      </c>
      <c r="C2934" s="344">
        <v>6790</v>
      </c>
      <c r="D2934" s="343" t="s">
        <v>5507</v>
      </c>
      <c r="E2934" s="344">
        <v>5744514</v>
      </c>
      <c r="F2934" s="343" t="s">
        <v>8709</v>
      </c>
      <c r="G2934" s="360" t="s">
        <v>10333</v>
      </c>
      <c r="H2934" s="361">
        <v>43259</v>
      </c>
      <c r="I2934" s="343" t="s">
        <v>166</v>
      </c>
      <c r="J2934" s="343" t="s">
        <v>11107</v>
      </c>
      <c r="K2934" s="343" t="s">
        <v>168</v>
      </c>
    </row>
    <row r="2935" spans="1:11" ht="26.25" customHeight="1">
      <c r="A2935" s="343" t="s">
        <v>1641</v>
      </c>
      <c r="B2935" s="344" t="s">
        <v>162</v>
      </c>
      <c r="C2935" s="344">
        <v>6779</v>
      </c>
      <c r="D2935" s="343" t="s">
        <v>5472</v>
      </c>
      <c r="E2935" s="344">
        <v>6851453</v>
      </c>
      <c r="F2935" s="343" t="s">
        <v>7590</v>
      </c>
      <c r="G2935" s="360" t="s">
        <v>11074</v>
      </c>
      <c r="H2935" s="361">
        <v>43262</v>
      </c>
      <c r="I2935" s="343" t="s">
        <v>180</v>
      </c>
      <c r="J2935" s="343" t="s">
        <v>12216</v>
      </c>
      <c r="K2935" s="343" t="s">
        <v>168</v>
      </c>
    </row>
    <row r="2936" spans="1:11" ht="26.25" customHeight="1">
      <c r="A2936" s="343" t="s">
        <v>1641</v>
      </c>
      <c r="B2936" s="344" t="s">
        <v>162</v>
      </c>
      <c r="C2936" s="344">
        <v>9386</v>
      </c>
      <c r="D2936" s="343" t="s">
        <v>8641</v>
      </c>
      <c r="E2936" s="344">
        <v>6305485</v>
      </c>
      <c r="F2936" s="343" t="s">
        <v>8710</v>
      </c>
      <c r="G2936" s="360" t="s">
        <v>11328</v>
      </c>
      <c r="H2936" s="361">
        <v>43262</v>
      </c>
      <c r="I2936" s="343" t="s">
        <v>193</v>
      </c>
      <c r="J2936" s="343" t="s">
        <v>637</v>
      </c>
      <c r="K2936" s="343" t="s">
        <v>168</v>
      </c>
    </row>
    <row r="2937" spans="1:11" ht="26.25" customHeight="1">
      <c r="A2937" s="343" t="s">
        <v>1641</v>
      </c>
      <c r="B2937" s="344" t="s">
        <v>162</v>
      </c>
      <c r="C2937" s="344">
        <v>7122</v>
      </c>
      <c r="D2937" s="343" t="s">
        <v>5303</v>
      </c>
      <c r="E2937" s="344">
        <v>4734302</v>
      </c>
      <c r="F2937" s="343" t="s">
        <v>8711</v>
      </c>
      <c r="G2937" s="360" t="s">
        <v>10770</v>
      </c>
      <c r="H2937" s="361">
        <v>43262</v>
      </c>
      <c r="I2937" s="343" t="s">
        <v>198</v>
      </c>
      <c r="J2937" s="343" t="s">
        <v>198</v>
      </c>
      <c r="K2937" s="343" t="s">
        <v>168</v>
      </c>
    </row>
    <row r="2938" spans="1:11" ht="26.25" customHeight="1">
      <c r="A2938" s="343" t="s">
        <v>1641</v>
      </c>
      <c r="B2938" s="344" t="s">
        <v>162</v>
      </c>
      <c r="C2938" s="344">
        <v>6773</v>
      </c>
      <c r="D2938" s="343" t="s">
        <v>5573</v>
      </c>
      <c r="E2938" s="344">
        <v>6116199</v>
      </c>
      <c r="F2938" s="343" t="s">
        <v>8712</v>
      </c>
      <c r="G2938" s="360" t="s">
        <v>9507</v>
      </c>
      <c r="H2938" s="361">
        <v>43262</v>
      </c>
      <c r="I2938" s="343" t="s">
        <v>166</v>
      </c>
      <c r="J2938" s="343" t="s">
        <v>296</v>
      </c>
      <c r="K2938" s="343" t="s">
        <v>168</v>
      </c>
    </row>
    <row r="2939" spans="1:11" ht="26.25" customHeight="1">
      <c r="A2939" s="343" t="s">
        <v>1641</v>
      </c>
      <c r="B2939" s="344" t="s">
        <v>162</v>
      </c>
      <c r="C2939" s="344">
        <v>6788</v>
      </c>
      <c r="D2939" s="343" t="s">
        <v>7575</v>
      </c>
      <c r="E2939" s="344">
        <v>7075468</v>
      </c>
      <c r="F2939" s="343" t="s">
        <v>8713</v>
      </c>
      <c r="G2939" s="360" t="s">
        <v>11076</v>
      </c>
      <c r="H2939" s="361">
        <v>43263</v>
      </c>
      <c r="I2939" s="343" t="s">
        <v>198</v>
      </c>
      <c r="J2939" s="343" t="s">
        <v>198</v>
      </c>
      <c r="K2939" s="343" t="s">
        <v>168</v>
      </c>
    </row>
    <row r="2940" spans="1:11" ht="26.25" customHeight="1">
      <c r="A2940" s="343" t="s">
        <v>1641</v>
      </c>
      <c r="B2940" s="344" t="s">
        <v>162</v>
      </c>
      <c r="C2940" s="344">
        <v>6788</v>
      </c>
      <c r="D2940" s="343" t="s">
        <v>7575</v>
      </c>
      <c r="E2940" s="344">
        <v>6083759</v>
      </c>
      <c r="F2940" s="343" t="s">
        <v>1099</v>
      </c>
      <c r="G2940" s="360" t="s">
        <v>9979</v>
      </c>
      <c r="H2940" s="361">
        <v>43263</v>
      </c>
      <c r="I2940" s="343" t="s">
        <v>198</v>
      </c>
      <c r="J2940" s="343" t="s">
        <v>198</v>
      </c>
      <c r="K2940" s="343" t="s">
        <v>168</v>
      </c>
    </row>
    <row r="2941" spans="1:11" ht="26.25" customHeight="1">
      <c r="A2941" s="343" t="s">
        <v>1641</v>
      </c>
      <c r="B2941" s="344" t="s">
        <v>162</v>
      </c>
      <c r="C2941" s="344">
        <v>7136</v>
      </c>
      <c r="D2941" s="343" t="s">
        <v>5328</v>
      </c>
      <c r="E2941" s="344">
        <v>4170708</v>
      </c>
      <c r="F2941" s="343" t="s">
        <v>8714</v>
      </c>
      <c r="G2941" s="360" t="s">
        <v>12217</v>
      </c>
      <c r="H2941" s="361">
        <v>43263</v>
      </c>
      <c r="I2941" s="343" t="s">
        <v>193</v>
      </c>
      <c r="J2941" s="343" t="s">
        <v>637</v>
      </c>
      <c r="K2941" s="343" t="s">
        <v>168</v>
      </c>
    </row>
    <row r="2942" spans="1:11" ht="26.25" customHeight="1">
      <c r="A2942" s="343" t="s">
        <v>1641</v>
      </c>
      <c r="B2942" s="344" t="s">
        <v>162</v>
      </c>
      <c r="C2942" s="344">
        <v>7599</v>
      </c>
      <c r="D2942" s="343" t="s">
        <v>5238</v>
      </c>
      <c r="E2942" s="344">
        <v>6506688</v>
      </c>
      <c r="F2942" s="343" t="s">
        <v>5244</v>
      </c>
      <c r="G2942" s="360" t="s">
        <v>12218</v>
      </c>
      <c r="H2942" s="361">
        <v>43263</v>
      </c>
      <c r="I2942" s="343" t="s">
        <v>4357</v>
      </c>
      <c r="J2942" s="343" t="s">
        <v>10928</v>
      </c>
      <c r="K2942" s="343" t="s">
        <v>168</v>
      </c>
    </row>
    <row r="2943" spans="1:11" ht="26.25" customHeight="1">
      <c r="A2943" s="343" t="s">
        <v>1641</v>
      </c>
      <c r="B2943" s="344" t="s">
        <v>162</v>
      </c>
      <c r="C2943" s="344">
        <v>8571</v>
      </c>
      <c r="D2943" s="343" t="s">
        <v>5526</v>
      </c>
      <c r="E2943" s="344">
        <v>5719279</v>
      </c>
      <c r="F2943" s="343" t="s">
        <v>8715</v>
      </c>
      <c r="G2943" s="360" t="s">
        <v>12219</v>
      </c>
      <c r="H2943" s="361">
        <v>43264</v>
      </c>
      <c r="I2943" s="343" t="s">
        <v>198</v>
      </c>
      <c r="J2943" s="343" t="s">
        <v>198</v>
      </c>
      <c r="K2943" s="343" t="s">
        <v>168</v>
      </c>
    </row>
    <row r="2944" spans="1:11" ht="26.25" customHeight="1">
      <c r="A2944" s="343" t="s">
        <v>1641</v>
      </c>
      <c r="B2944" s="344" t="s">
        <v>162</v>
      </c>
      <c r="C2944" s="344">
        <v>7592</v>
      </c>
      <c r="D2944" s="343" t="s">
        <v>5230</v>
      </c>
      <c r="E2944" s="344">
        <v>6234601</v>
      </c>
      <c r="F2944" s="343" t="s">
        <v>8716</v>
      </c>
      <c r="G2944" s="360" t="s">
        <v>9921</v>
      </c>
      <c r="H2944" s="361">
        <v>43269</v>
      </c>
      <c r="I2944" s="343" t="s">
        <v>193</v>
      </c>
      <c r="J2944" s="343" t="s">
        <v>637</v>
      </c>
      <c r="K2944" s="343" t="s">
        <v>168</v>
      </c>
    </row>
    <row r="2945" spans="1:11" ht="26.25" customHeight="1">
      <c r="A2945" s="343" t="s">
        <v>1641</v>
      </c>
      <c r="B2945" s="344" t="s">
        <v>162</v>
      </c>
      <c r="C2945" s="344">
        <v>7637</v>
      </c>
      <c r="D2945" s="343" t="s">
        <v>5186</v>
      </c>
      <c r="E2945" s="344">
        <v>6814772</v>
      </c>
      <c r="F2945" s="343" t="s">
        <v>8717</v>
      </c>
      <c r="G2945" s="360" t="s">
        <v>12220</v>
      </c>
      <c r="H2945" s="361">
        <v>43269</v>
      </c>
      <c r="I2945" s="343" t="s">
        <v>193</v>
      </c>
      <c r="J2945" s="343" t="s">
        <v>637</v>
      </c>
      <c r="K2945" s="343" t="s">
        <v>168</v>
      </c>
    </row>
    <row r="2946" spans="1:11" ht="26.25" customHeight="1">
      <c r="A2946" s="343" t="s">
        <v>1641</v>
      </c>
      <c r="B2946" s="344" t="s">
        <v>162</v>
      </c>
      <c r="C2946" s="344">
        <v>6783</v>
      </c>
      <c r="D2946" s="343" t="s">
        <v>5521</v>
      </c>
      <c r="E2946" s="344">
        <v>6451024</v>
      </c>
      <c r="F2946" s="343" t="s">
        <v>8718</v>
      </c>
      <c r="G2946" s="360" t="s">
        <v>10656</v>
      </c>
      <c r="H2946" s="361">
        <v>43270</v>
      </c>
      <c r="I2946" s="343" t="s">
        <v>198</v>
      </c>
      <c r="J2946" s="343" t="s">
        <v>198</v>
      </c>
      <c r="K2946" s="343" t="s">
        <v>168</v>
      </c>
    </row>
    <row r="2947" spans="1:11" ht="26.25" customHeight="1">
      <c r="A2947" s="343" t="s">
        <v>1641</v>
      </c>
      <c r="B2947" s="344" t="s">
        <v>162</v>
      </c>
      <c r="C2947" s="344">
        <v>7636</v>
      </c>
      <c r="D2947" s="343" t="s">
        <v>5204</v>
      </c>
      <c r="E2947" s="344">
        <v>6351051</v>
      </c>
      <c r="F2947" s="343" t="s">
        <v>9143</v>
      </c>
      <c r="G2947" s="360" t="s">
        <v>12221</v>
      </c>
      <c r="H2947" s="361">
        <v>43272</v>
      </c>
      <c r="I2947" s="343" t="s">
        <v>1082</v>
      </c>
      <c r="J2947" s="343" t="s">
        <v>12222</v>
      </c>
      <c r="K2947" s="343" t="s">
        <v>173</v>
      </c>
    </row>
    <row r="2948" spans="1:11" ht="26.25" customHeight="1">
      <c r="A2948" s="343" t="s">
        <v>1641</v>
      </c>
      <c r="B2948" s="344" t="s">
        <v>162</v>
      </c>
      <c r="C2948" s="344">
        <v>7605</v>
      </c>
      <c r="D2948" s="343" t="s">
        <v>5174</v>
      </c>
      <c r="E2948" s="344">
        <v>6577336</v>
      </c>
      <c r="F2948" s="343" t="s">
        <v>9144</v>
      </c>
      <c r="G2948" s="360" t="s">
        <v>11532</v>
      </c>
      <c r="H2948" s="361">
        <v>43280</v>
      </c>
      <c r="I2948" s="343" t="s">
        <v>193</v>
      </c>
      <c r="J2948" s="343" t="s">
        <v>637</v>
      </c>
      <c r="K2948" s="343" t="s">
        <v>168</v>
      </c>
    </row>
    <row r="2949" spans="1:11" ht="26.25" customHeight="1">
      <c r="A2949" s="343" t="s">
        <v>1641</v>
      </c>
      <c r="B2949" s="344" t="s">
        <v>162</v>
      </c>
      <c r="C2949" s="344">
        <v>7609</v>
      </c>
      <c r="D2949" s="343" t="s">
        <v>5201</v>
      </c>
      <c r="E2949" s="344">
        <v>6807943</v>
      </c>
      <c r="F2949" s="343" t="s">
        <v>9145</v>
      </c>
      <c r="G2949" s="360" t="s">
        <v>12223</v>
      </c>
      <c r="H2949" s="361">
        <v>43280</v>
      </c>
      <c r="I2949" s="343" t="s">
        <v>313</v>
      </c>
      <c r="J2949" s="343" t="s">
        <v>10246</v>
      </c>
      <c r="K2949" s="343" t="s">
        <v>173</v>
      </c>
    </row>
    <row r="2950" spans="1:11" ht="26.25" customHeight="1">
      <c r="A2950" s="343" t="s">
        <v>1641</v>
      </c>
      <c r="B2950" s="344" t="s">
        <v>162</v>
      </c>
      <c r="C2950" s="344">
        <v>6771</v>
      </c>
      <c r="D2950" s="343" t="s">
        <v>5562</v>
      </c>
      <c r="E2950" s="344">
        <v>6036037</v>
      </c>
      <c r="F2950" s="343" t="s">
        <v>9146</v>
      </c>
      <c r="G2950" s="360" t="s">
        <v>11694</v>
      </c>
      <c r="H2950" s="361">
        <v>43280</v>
      </c>
      <c r="I2950" s="343" t="s">
        <v>742</v>
      </c>
      <c r="J2950" s="343" t="s">
        <v>742</v>
      </c>
      <c r="K2950" s="343" t="s">
        <v>168</v>
      </c>
    </row>
    <row r="2951" spans="1:11" ht="26.25" customHeight="1">
      <c r="A2951" s="343" t="s">
        <v>1641</v>
      </c>
      <c r="B2951" s="344" t="s">
        <v>162</v>
      </c>
      <c r="C2951" s="344">
        <v>7599</v>
      </c>
      <c r="D2951" s="343" t="s">
        <v>5238</v>
      </c>
      <c r="E2951" s="344">
        <v>6729115</v>
      </c>
      <c r="F2951" s="343" t="s">
        <v>9147</v>
      </c>
      <c r="G2951" s="360" t="s">
        <v>11576</v>
      </c>
      <c r="H2951" s="361">
        <v>43280</v>
      </c>
      <c r="I2951" s="343" t="s">
        <v>166</v>
      </c>
      <c r="J2951" s="343" t="s">
        <v>296</v>
      </c>
      <c r="K2951" s="343" t="s">
        <v>168</v>
      </c>
    </row>
    <row r="2952" spans="1:11" ht="26.25" customHeight="1">
      <c r="A2952" s="343" t="s">
        <v>1641</v>
      </c>
      <c r="B2952" s="344" t="s">
        <v>162</v>
      </c>
      <c r="C2952" s="344">
        <v>7604</v>
      </c>
      <c r="D2952" s="343" t="s">
        <v>5177</v>
      </c>
      <c r="E2952" s="344">
        <v>6348400</v>
      </c>
      <c r="F2952" s="343" t="s">
        <v>9148</v>
      </c>
      <c r="G2952" s="360" t="s">
        <v>11497</v>
      </c>
      <c r="H2952" s="361">
        <v>43280</v>
      </c>
      <c r="I2952" s="343" t="s">
        <v>193</v>
      </c>
      <c r="J2952" s="343" t="s">
        <v>637</v>
      </c>
      <c r="K2952" s="343" t="s">
        <v>168</v>
      </c>
    </row>
    <row r="2953" spans="1:11" ht="26.25" customHeight="1">
      <c r="A2953" s="343" t="s">
        <v>1641</v>
      </c>
      <c r="B2953" s="344" t="s">
        <v>162</v>
      </c>
      <c r="C2953" s="344">
        <v>6767</v>
      </c>
      <c r="D2953" s="343" t="s">
        <v>5501</v>
      </c>
      <c r="E2953" s="344">
        <v>5993645</v>
      </c>
      <c r="F2953" s="343" t="s">
        <v>9149</v>
      </c>
      <c r="G2953" s="360" t="s">
        <v>9497</v>
      </c>
      <c r="H2953" s="361">
        <v>43280</v>
      </c>
      <c r="I2953" s="343" t="s">
        <v>465</v>
      </c>
      <c r="J2953" s="343" t="s">
        <v>9614</v>
      </c>
      <c r="K2953" s="343" t="s">
        <v>168</v>
      </c>
    </row>
    <row r="2954" spans="1:11" ht="26.25" customHeight="1">
      <c r="A2954" s="343" t="s">
        <v>1641</v>
      </c>
      <c r="B2954" s="344" t="s">
        <v>162</v>
      </c>
      <c r="C2954" s="344">
        <v>7597</v>
      </c>
      <c r="D2954" s="343" t="s">
        <v>5171</v>
      </c>
      <c r="E2954" s="344">
        <v>6503745</v>
      </c>
      <c r="F2954" s="343" t="s">
        <v>7499</v>
      </c>
      <c r="G2954" s="360" t="s">
        <v>12224</v>
      </c>
      <c r="H2954" s="361">
        <v>43280</v>
      </c>
      <c r="I2954" s="343" t="s">
        <v>271</v>
      </c>
      <c r="J2954" s="343" t="s">
        <v>12225</v>
      </c>
      <c r="K2954" s="343" t="s">
        <v>168</v>
      </c>
    </row>
    <row r="2955" spans="1:11" ht="26.25" customHeight="1">
      <c r="A2955" s="343" t="s">
        <v>1641</v>
      </c>
      <c r="B2955" s="344" t="s">
        <v>162</v>
      </c>
      <c r="C2955" s="344">
        <v>7144</v>
      </c>
      <c r="D2955" s="343" t="s">
        <v>5368</v>
      </c>
      <c r="E2955" s="344">
        <v>6359182</v>
      </c>
      <c r="F2955" s="343" t="s">
        <v>9151</v>
      </c>
      <c r="G2955" s="360" t="s">
        <v>12226</v>
      </c>
      <c r="H2955" s="361">
        <v>43284</v>
      </c>
      <c r="I2955" s="343" t="s">
        <v>3606</v>
      </c>
      <c r="J2955" s="343" t="s">
        <v>3606</v>
      </c>
      <c r="K2955" s="343" t="s">
        <v>168</v>
      </c>
    </row>
    <row r="2956" spans="1:11" ht="26.25" customHeight="1">
      <c r="A2956" s="343" t="s">
        <v>1641</v>
      </c>
      <c r="B2956" s="344" t="s">
        <v>162</v>
      </c>
      <c r="C2956" s="344">
        <v>7643</v>
      </c>
      <c r="D2956" s="343" t="s">
        <v>5161</v>
      </c>
      <c r="E2956" s="344">
        <v>7008195</v>
      </c>
      <c r="F2956" s="343" t="s">
        <v>9269</v>
      </c>
      <c r="G2956" s="360" t="s">
        <v>12227</v>
      </c>
      <c r="H2956" s="361">
        <v>43292</v>
      </c>
      <c r="I2956" s="343" t="s">
        <v>271</v>
      </c>
      <c r="J2956" s="343" t="s">
        <v>12228</v>
      </c>
      <c r="K2956" s="343" t="s">
        <v>168</v>
      </c>
    </row>
    <row r="2957" spans="1:11" ht="26.25" customHeight="1">
      <c r="A2957" s="343" t="s">
        <v>1641</v>
      </c>
      <c r="B2957" s="344" t="s">
        <v>162</v>
      </c>
      <c r="C2957" s="344">
        <v>6781</v>
      </c>
      <c r="D2957" s="343" t="s">
        <v>5484</v>
      </c>
      <c r="E2957" s="344">
        <v>6956696</v>
      </c>
      <c r="F2957" s="343" t="s">
        <v>9272</v>
      </c>
      <c r="G2957" s="360" t="s">
        <v>12229</v>
      </c>
      <c r="H2957" s="361">
        <v>43292</v>
      </c>
      <c r="I2957" s="343" t="s">
        <v>271</v>
      </c>
      <c r="J2957" s="343" t="s">
        <v>533</v>
      </c>
      <c r="K2957" s="343" t="s">
        <v>168</v>
      </c>
    </row>
    <row r="2958" spans="1:11" ht="26.25" customHeight="1">
      <c r="A2958" s="343" t="s">
        <v>1641</v>
      </c>
      <c r="B2958" s="344" t="s">
        <v>162</v>
      </c>
      <c r="C2958" s="344">
        <v>11096</v>
      </c>
      <c r="D2958" s="343" t="s">
        <v>5248</v>
      </c>
      <c r="E2958" s="344">
        <v>6288051</v>
      </c>
      <c r="F2958" s="343" t="s">
        <v>9285</v>
      </c>
      <c r="G2958" s="360" t="s">
        <v>12230</v>
      </c>
      <c r="H2958" s="361">
        <v>43292</v>
      </c>
      <c r="I2958" s="343" t="s">
        <v>193</v>
      </c>
      <c r="J2958" s="343" t="s">
        <v>637</v>
      </c>
      <c r="K2958" s="343" t="s">
        <v>168</v>
      </c>
    </row>
    <row r="2959" spans="1:11" ht="26.25" customHeight="1">
      <c r="A2959" s="343" t="s">
        <v>1641</v>
      </c>
      <c r="B2959" s="344" t="s">
        <v>162</v>
      </c>
      <c r="C2959" s="344">
        <v>8570</v>
      </c>
      <c r="D2959" s="343" t="s">
        <v>5517</v>
      </c>
      <c r="E2959" s="344">
        <v>6223500</v>
      </c>
      <c r="F2959" s="343" t="s">
        <v>9287</v>
      </c>
      <c r="G2959" s="360" t="s">
        <v>9569</v>
      </c>
      <c r="H2959" s="361">
        <v>43292</v>
      </c>
      <c r="I2959" s="343" t="s">
        <v>366</v>
      </c>
      <c r="J2959" s="343" t="s">
        <v>366</v>
      </c>
      <c r="K2959" s="343" t="s">
        <v>168</v>
      </c>
    </row>
    <row r="2960" spans="1:11" ht="26.25" customHeight="1">
      <c r="A2960" s="343" t="s">
        <v>1641</v>
      </c>
      <c r="B2960" s="344" t="s">
        <v>162</v>
      </c>
      <c r="C2960" s="344">
        <v>11095</v>
      </c>
      <c r="D2960" s="343" t="s">
        <v>5261</v>
      </c>
      <c r="E2960" s="344">
        <v>6984102</v>
      </c>
      <c r="F2960" s="343" t="s">
        <v>9274</v>
      </c>
      <c r="G2960" s="360" t="s">
        <v>12231</v>
      </c>
      <c r="H2960" s="361">
        <v>43307</v>
      </c>
      <c r="I2960" s="343" t="s">
        <v>180</v>
      </c>
      <c r="J2960" s="343" t="s">
        <v>12232</v>
      </c>
      <c r="K2960" s="343" t="s">
        <v>173</v>
      </c>
    </row>
    <row r="2961" spans="1:11" ht="26.25" customHeight="1">
      <c r="A2961" s="343" t="s">
        <v>1641</v>
      </c>
      <c r="B2961" s="344" t="s">
        <v>162</v>
      </c>
      <c r="C2961" s="344">
        <v>6771</v>
      </c>
      <c r="D2961" s="343" t="s">
        <v>5562</v>
      </c>
      <c r="E2961" s="344">
        <v>5969525</v>
      </c>
      <c r="F2961" s="343" t="s">
        <v>9283</v>
      </c>
      <c r="G2961" s="360" t="s">
        <v>12233</v>
      </c>
      <c r="H2961" s="361">
        <v>43312</v>
      </c>
      <c r="I2961" s="343" t="s">
        <v>9284</v>
      </c>
      <c r="J2961" s="343" t="s">
        <v>12234</v>
      </c>
      <c r="K2961" s="343" t="s">
        <v>168</v>
      </c>
    </row>
    <row r="2962" spans="1:11" ht="26.25" customHeight="1">
      <c r="A2962" s="343" t="s">
        <v>1641</v>
      </c>
      <c r="B2962" s="344" t="s">
        <v>162</v>
      </c>
      <c r="C2962" s="344">
        <v>9041</v>
      </c>
      <c r="D2962" s="343" t="s">
        <v>9280</v>
      </c>
      <c r="E2962" s="344">
        <v>6643893</v>
      </c>
      <c r="F2962" s="343" t="s">
        <v>9281</v>
      </c>
      <c r="G2962" s="360" t="s">
        <v>12154</v>
      </c>
      <c r="H2962" s="361">
        <v>43312</v>
      </c>
      <c r="I2962" s="343" t="s">
        <v>7922</v>
      </c>
      <c r="J2962" s="343" t="s">
        <v>12235</v>
      </c>
      <c r="K2962" s="343" t="s">
        <v>248</v>
      </c>
    </row>
    <row r="2963" spans="1:11" ht="26.25" customHeight="1">
      <c r="A2963" s="343" t="s">
        <v>1641</v>
      </c>
      <c r="B2963" s="344" t="s">
        <v>162</v>
      </c>
      <c r="C2963" s="344">
        <v>6793</v>
      </c>
      <c r="D2963" s="343" t="s">
        <v>8702</v>
      </c>
      <c r="E2963" s="344">
        <v>6432634</v>
      </c>
      <c r="F2963" s="343" t="s">
        <v>9270</v>
      </c>
      <c r="G2963" s="360" t="s">
        <v>11155</v>
      </c>
      <c r="H2963" s="361">
        <v>43312</v>
      </c>
      <c r="I2963" s="343" t="s">
        <v>166</v>
      </c>
      <c r="J2963" s="343" t="s">
        <v>296</v>
      </c>
      <c r="K2963" s="343" t="s">
        <v>168</v>
      </c>
    </row>
    <row r="2964" spans="1:11" ht="26.25" customHeight="1">
      <c r="A2964" s="343" t="s">
        <v>1641</v>
      </c>
      <c r="B2964" s="344" t="s">
        <v>162</v>
      </c>
      <c r="C2964" s="344">
        <v>7637</v>
      </c>
      <c r="D2964" s="343" t="s">
        <v>5186</v>
      </c>
      <c r="E2964" s="344">
        <v>6510509</v>
      </c>
      <c r="F2964" s="343" t="s">
        <v>9282</v>
      </c>
      <c r="G2964" s="360" t="s">
        <v>10997</v>
      </c>
      <c r="H2964" s="361">
        <v>43312</v>
      </c>
      <c r="I2964" s="343" t="s">
        <v>271</v>
      </c>
      <c r="J2964" s="343" t="s">
        <v>12236</v>
      </c>
      <c r="K2964" s="343" t="s">
        <v>168</v>
      </c>
    </row>
    <row r="2965" spans="1:11" ht="26.25" customHeight="1">
      <c r="A2965" s="343" t="s">
        <v>1641</v>
      </c>
      <c r="B2965" s="344" t="s">
        <v>162</v>
      </c>
      <c r="C2965" s="344">
        <v>6790</v>
      </c>
      <c r="D2965" s="343" t="s">
        <v>5507</v>
      </c>
      <c r="E2965" s="344">
        <v>6079439</v>
      </c>
      <c r="F2965" s="343" t="s">
        <v>9268</v>
      </c>
      <c r="G2965" s="360" t="s">
        <v>10112</v>
      </c>
      <c r="H2965" s="361">
        <v>43312</v>
      </c>
      <c r="I2965" s="343" t="s">
        <v>366</v>
      </c>
      <c r="J2965" s="343" t="s">
        <v>366</v>
      </c>
      <c r="K2965" s="343" t="s">
        <v>168</v>
      </c>
    </row>
    <row r="2966" spans="1:11" ht="26.25" customHeight="1">
      <c r="A2966" s="343" t="s">
        <v>1641</v>
      </c>
      <c r="B2966" s="344" t="s">
        <v>162</v>
      </c>
      <c r="C2966" s="344">
        <v>6785</v>
      </c>
      <c r="D2966" s="343" t="s">
        <v>5450</v>
      </c>
      <c r="E2966" s="344">
        <v>6249954</v>
      </c>
      <c r="F2966" s="343" t="s">
        <v>9273</v>
      </c>
      <c r="G2966" s="360" t="s">
        <v>12237</v>
      </c>
      <c r="H2966" s="361">
        <v>43315</v>
      </c>
      <c r="I2966" s="343" t="s">
        <v>180</v>
      </c>
      <c r="J2966" s="343" t="s">
        <v>12238</v>
      </c>
      <c r="K2966" s="343" t="s">
        <v>173</v>
      </c>
    </row>
    <row r="2967" spans="1:11" ht="26.25" customHeight="1">
      <c r="A2967" s="343" t="s">
        <v>1641</v>
      </c>
      <c r="B2967" s="344" t="s">
        <v>162</v>
      </c>
      <c r="C2967" s="344">
        <v>9719</v>
      </c>
      <c r="D2967" s="343" t="s">
        <v>5192</v>
      </c>
      <c r="E2967" s="344">
        <v>6889465</v>
      </c>
      <c r="F2967" s="343" t="s">
        <v>9271</v>
      </c>
      <c r="G2967" s="360" t="s">
        <v>12239</v>
      </c>
      <c r="H2967" s="361">
        <v>43319</v>
      </c>
      <c r="I2967" s="343" t="s">
        <v>193</v>
      </c>
      <c r="J2967" s="343" t="s">
        <v>637</v>
      </c>
      <c r="K2967" s="343" t="s">
        <v>168</v>
      </c>
    </row>
    <row r="2968" spans="1:11" ht="26.25" customHeight="1">
      <c r="A2968" s="343" t="s">
        <v>1641</v>
      </c>
      <c r="B2968" s="344" t="s">
        <v>162</v>
      </c>
      <c r="C2968" s="344">
        <v>6788</v>
      </c>
      <c r="D2968" s="343" t="s">
        <v>7575</v>
      </c>
      <c r="E2968" s="344">
        <v>6860142</v>
      </c>
      <c r="F2968" s="343" t="s">
        <v>9277</v>
      </c>
      <c r="G2968" s="360" t="s">
        <v>9603</v>
      </c>
      <c r="H2968" s="361">
        <v>43319</v>
      </c>
      <c r="I2968" s="343" t="s">
        <v>9278</v>
      </c>
      <c r="J2968" s="343" t="s">
        <v>12240</v>
      </c>
      <c r="K2968" s="343" t="s">
        <v>168</v>
      </c>
    </row>
    <row r="2969" spans="1:11" ht="26.25" customHeight="1">
      <c r="A2969" s="343" t="s">
        <v>1641</v>
      </c>
      <c r="B2969" s="344" t="s">
        <v>162</v>
      </c>
      <c r="C2969" s="344">
        <v>8846</v>
      </c>
      <c r="D2969" s="343" t="s">
        <v>5475</v>
      </c>
      <c r="E2969" s="344">
        <v>5877122</v>
      </c>
      <c r="F2969" s="343" t="s">
        <v>5479</v>
      </c>
      <c r="G2969" s="360" t="s">
        <v>11456</v>
      </c>
      <c r="H2969" s="361">
        <v>43325</v>
      </c>
      <c r="I2969" s="343" t="s">
        <v>9276</v>
      </c>
      <c r="J2969" s="343" t="s">
        <v>12241</v>
      </c>
      <c r="K2969" s="343" t="s">
        <v>168</v>
      </c>
    </row>
    <row r="2970" spans="1:11" ht="26.25" customHeight="1">
      <c r="A2970" s="343" t="s">
        <v>1641</v>
      </c>
      <c r="B2970" s="344" t="s">
        <v>162</v>
      </c>
      <c r="C2970" s="344">
        <v>8571</v>
      </c>
      <c r="D2970" s="343" t="s">
        <v>5526</v>
      </c>
      <c r="E2970" s="344">
        <v>6019103</v>
      </c>
      <c r="F2970" s="343" t="s">
        <v>9275</v>
      </c>
      <c r="G2970" s="360" t="s">
        <v>12242</v>
      </c>
      <c r="H2970" s="361">
        <v>43325</v>
      </c>
      <c r="I2970" s="343" t="s">
        <v>366</v>
      </c>
      <c r="J2970" s="343" t="s">
        <v>366</v>
      </c>
      <c r="K2970" s="343" t="s">
        <v>168</v>
      </c>
    </row>
    <row r="2971" spans="1:11" ht="26.25" customHeight="1">
      <c r="A2971" s="343" t="s">
        <v>1641</v>
      </c>
      <c r="B2971" s="344" t="s">
        <v>162</v>
      </c>
      <c r="C2971" s="344">
        <v>9174</v>
      </c>
      <c r="D2971" s="343" t="s">
        <v>5558</v>
      </c>
      <c r="E2971" s="344">
        <v>6218513</v>
      </c>
      <c r="F2971" s="343" t="s">
        <v>9279</v>
      </c>
      <c r="G2971" s="360" t="s">
        <v>11613</v>
      </c>
      <c r="H2971" s="361">
        <v>43326</v>
      </c>
      <c r="I2971" s="343" t="s">
        <v>4086</v>
      </c>
      <c r="J2971" s="343" t="s">
        <v>12243</v>
      </c>
      <c r="K2971" s="343" t="s">
        <v>248</v>
      </c>
    </row>
    <row r="2972" spans="1:11" ht="26.25" customHeight="1">
      <c r="A2972" s="343" t="s">
        <v>1641</v>
      </c>
      <c r="B2972" s="344" t="s">
        <v>162</v>
      </c>
      <c r="C2972" s="344">
        <v>6779</v>
      </c>
      <c r="D2972" s="343" t="s">
        <v>5472</v>
      </c>
      <c r="E2972" s="344">
        <v>6450864</v>
      </c>
      <c r="F2972" s="343" t="s">
        <v>9286</v>
      </c>
      <c r="G2972" s="360" t="s">
        <v>206</v>
      </c>
      <c r="H2972" s="361">
        <v>43327</v>
      </c>
      <c r="I2972" s="343" t="s">
        <v>198</v>
      </c>
      <c r="J2972" s="343" t="s">
        <v>198</v>
      </c>
      <c r="K2972" s="343" t="s">
        <v>168</v>
      </c>
    </row>
    <row r="2973" spans="1:11" ht="26.25" customHeight="1">
      <c r="A2973" s="343" t="s">
        <v>1641</v>
      </c>
      <c r="B2973" s="344" t="s">
        <v>162</v>
      </c>
      <c r="C2973" s="344">
        <v>7592</v>
      </c>
      <c r="D2973" s="343" t="s">
        <v>5230</v>
      </c>
      <c r="E2973" s="344">
        <v>6678636</v>
      </c>
      <c r="F2973" s="343" t="s">
        <v>12244</v>
      </c>
      <c r="G2973" s="360" t="s">
        <v>12245</v>
      </c>
      <c r="H2973" s="361">
        <v>43328</v>
      </c>
      <c r="I2973" s="343" t="s">
        <v>193</v>
      </c>
      <c r="J2973" s="343" t="s">
        <v>11623</v>
      </c>
      <c r="K2973" s="343" t="s">
        <v>168</v>
      </c>
    </row>
    <row r="2974" spans="1:11" ht="26.25" customHeight="1">
      <c r="A2974" s="343" t="s">
        <v>1641</v>
      </c>
      <c r="B2974" s="344" t="s">
        <v>162</v>
      </c>
      <c r="C2974" s="344">
        <v>7127</v>
      </c>
      <c r="D2974" s="343" t="s">
        <v>5289</v>
      </c>
      <c r="E2974" s="344">
        <v>5715404</v>
      </c>
      <c r="F2974" s="343" t="s">
        <v>12246</v>
      </c>
      <c r="G2974" s="360" t="s">
        <v>9534</v>
      </c>
      <c r="H2974" s="361">
        <v>43328</v>
      </c>
      <c r="I2974" s="343" t="s">
        <v>198</v>
      </c>
      <c r="J2974" s="343" t="s">
        <v>198</v>
      </c>
      <c r="K2974" s="343" t="s">
        <v>168</v>
      </c>
    </row>
    <row r="2975" spans="1:11" ht="26.25" customHeight="1">
      <c r="A2975" s="343" t="s">
        <v>1641</v>
      </c>
      <c r="B2975" s="344" t="s">
        <v>162</v>
      </c>
      <c r="C2975" s="344">
        <v>6773</v>
      </c>
      <c r="D2975" s="343" t="s">
        <v>5573</v>
      </c>
      <c r="E2975" s="344">
        <v>6706222</v>
      </c>
      <c r="F2975" s="343" t="s">
        <v>5576</v>
      </c>
      <c r="G2975" s="360" t="s">
        <v>1285</v>
      </c>
      <c r="H2975" s="361">
        <v>43328</v>
      </c>
      <c r="I2975" s="343" t="s">
        <v>301</v>
      </c>
      <c r="J2975" s="343" t="s">
        <v>1113</v>
      </c>
      <c r="K2975" s="343" t="s">
        <v>168</v>
      </c>
    </row>
    <row r="2976" spans="1:11" ht="26.25" customHeight="1">
      <c r="A2976" s="343" t="s">
        <v>1641</v>
      </c>
      <c r="B2976" s="344" t="s">
        <v>162</v>
      </c>
      <c r="C2976" s="344">
        <v>9197</v>
      </c>
      <c r="D2976" s="343" t="s">
        <v>5511</v>
      </c>
      <c r="E2976" s="344">
        <v>6286642</v>
      </c>
      <c r="F2976" s="343" t="s">
        <v>12247</v>
      </c>
      <c r="G2976" s="360" t="s">
        <v>1235</v>
      </c>
      <c r="H2976" s="361">
        <v>43329</v>
      </c>
      <c r="I2976" s="343" t="s">
        <v>12248</v>
      </c>
      <c r="J2976" s="343" t="s">
        <v>12249</v>
      </c>
      <c r="K2976" s="343" t="s">
        <v>168</v>
      </c>
    </row>
    <row r="2977" spans="1:11" ht="26.25" customHeight="1">
      <c r="A2977" s="343" t="s">
        <v>1641</v>
      </c>
      <c r="B2977" s="344" t="s">
        <v>162</v>
      </c>
      <c r="C2977" s="344">
        <v>7130</v>
      </c>
      <c r="D2977" s="343" t="s">
        <v>5415</v>
      </c>
      <c r="E2977" s="344">
        <v>6628368</v>
      </c>
      <c r="F2977" s="343" t="s">
        <v>12250</v>
      </c>
      <c r="G2977" s="360" t="s">
        <v>1408</v>
      </c>
      <c r="H2977" s="361">
        <v>43329</v>
      </c>
      <c r="I2977" s="343" t="s">
        <v>366</v>
      </c>
      <c r="J2977" s="343" t="s">
        <v>366</v>
      </c>
      <c r="K2977" s="343" t="s">
        <v>168</v>
      </c>
    </row>
    <row r="2978" spans="1:11" ht="26.25" customHeight="1">
      <c r="A2978" s="343" t="s">
        <v>1641</v>
      </c>
      <c r="B2978" s="344" t="s">
        <v>162</v>
      </c>
      <c r="C2978" s="344">
        <v>6773</v>
      </c>
      <c r="D2978" s="343" t="s">
        <v>5573</v>
      </c>
      <c r="E2978" s="344">
        <v>6445341</v>
      </c>
      <c r="F2978" s="343" t="s">
        <v>5579</v>
      </c>
      <c r="G2978" s="360" t="s">
        <v>9940</v>
      </c>
      <c r="H2978" s="361">
        <v>43329</v>
      </c>
      <c r="I2978" s="343" t="s">
        <v>366</v>
      </c>
      <c r="J2978" s="343" t="s">
        <v>366</v>
      </c>
      <c r="K2978" s="343" t="s">
        <v>168</v>
      </c>
    </row>
    <row r="2979" spans="1:11" ht="26.25" customHeight="1">
      <c r="A2979" s="343" t="s">
        <v>1641</v>
      </c>
      <c r="B2979" s="344" t="s">
        <v>162</v>
      </c>
      <c r="C2979" s="344">
        <v>7636</v>
      </c>
      <c r="D2979" s="343" t="s">
        <v>5204</v>
      </c>
      <c r="E2979" s="344">
        <v>6603118</v>
      </c>
      <c r="F2979" s="343" t="s">
        <v>12251</v>
      </c>
      <c r="G2979" s="360" t="s">
        <v>11471</v>
      </c>
      <c r="H2979" s="361">
        <v>43329</v>
      </c>
      <c r="I2979" s="343" t="s">
        <v>166</v>
      </c>
      <c r="J2979" s="343" t="s">
        <v>10044</v>
      </c>
      <c r="K2979" s="343" t="s">
        <v>168</v>
      </c>
    </row>
    <row r="2980" spans="1:11" ht="26.25" customHeight="1">
      <c r="A2980" s="343" t="s">
        <v>1641</v>
      </c>
      <c r="B2980" s="344" t="s">
        <v>162</v>
      </c>
      <c r="C2980" s="344">
        <v>6789</v>
      </c>
      <c r="D2980" s="343" t="s">
        <v>5570</v>
      </c>
      <c r="E2980" s="344">
        <v>6400222</v>
      </c>
      <c r="F2980" s="343" t="s">
        <v>8674</v>
      </c>
      <c r="G2980" s="360" t="s">
        <v>10112</v>
      </c>
      <c r="H2980" s="361">
        <v>43332</v>
      </c>
      <c r="I2980" s="343" t="s">
        <v>4646</v>
      </c>
      <c r="J2980" s="343" t="s">
        <v>12252</v>
      </c>
      <c r="K2980" s="343" t="s">
        <v>248</v>
      </c>
    </row>
    <row r="2981" spans="1:11" ht="26.25" customHeight="1">
      <c r="A2981" s="343" t="s">
        <v>1641</v>
      </c>
      <c r="B2981" s="344" t="s">
        <v>162</v>
      </c>
      <c r="C2981" s="344">
        <v>7592</v>
      </c>
      <c r="D2981" s="343" t="s">
        <v>5230</v>
      </c>
      <c r="E2981" s="344">
        <v>6636208</v>
      </c>
      <c r="F2981" s="343" t="s">
        <v>12253</v>
      </c>
      <c r="G2981" s="360" t="s">
        <v>12254</v>
      </c>
      <c r="H2981" s="361">
        <v>43332</v>
      </c>
      <c r="I2981" s="343" t="s">
        <v>166</v>
      </c>
      <c r="J2981" s="343" t="s">
        <v>327</v>
      </c>
      <c r="K2981" s="343" t="s">
        <v>168</v>
      </c>
    </row>
    <row r="2982" spans="1:11" ht="26.25" customHeight="1">
      <c r="A2982" s="343" t="s">
        <v>1641</v>
      </c>
      <c r="B2982" s="344" t="s">
        <v>162</v>
      </c>
      <c r="C2982" s="344">
        <v>6771</v>
      </c>
      <c r="D2982" s="343" t="s">
        <v>5562</v>
      </c>
      <c r="E2982" s="344">
        <v>6095058</v>
      </c>
      <c r="F2982" s="343" t="s">
        <v>12255</v>
      </c>
      <c r="G2982" s="360" t="s">
        <v>419</v>
      </c>
      <c r="H2982" s="361">
        <v>43332</v>
      </c>
      <c r="I2982" s="343" t="s">
        <v>193</v>
      </c>
      <c r="J2982" s="343" t="s">
        <v>637</v>
      </c>
      <c r="K2982" s="343" t="s">
        <v>168</v>
      </c>
    </row>
    <row r="2983" spans="1:11" ht="26.25" customHeight="1">
      <c r="A2983" s="343" t="s">
        <v>1641</v>
      </c>
      <c r="B2983" s="344" t="s">
        <v>162</v>
      </c>
      <c r="C2983" s="344">
        <v>7609</v>
      </c>
      <c r="D2983" s="343" t="s">
        <v>5201</v>
      </c>
      <c r="E2983" s="344">
        <v>6685826</v>
      </c>
      <c r="F2983" s="343" t="s">
        <v>9150</v>
      </c>
      <c r="G2983" s="360" t="s">
        <v>12256</v>
      </c>
      <c r="H2983" s="361">
        <v>43332</v>
      </c>
      <c r="I2983" s="343" t="s">
        <v>7251</v>
      </c>
      <c r="J2983" s="343" t="s">
        <v>12257</v>
      </c>
      <c r="K2983" s="343" t="s">
        <v>168</v>
      </c>
    </row>
    <row r="2984" spans="1:11" ht="26.25" customHeight="1">
      <c r="A2984" s="343" t="s">
        <v>1641</v>
      </c>
      <c r="B2984" s="344" t="s">
        <v>162</v>
      </c>
      <c r="C2984" s="344">
        <v>6794</v>
      </c>
      <c r="D2984" s="343" t="s">
        <v>5534</v>
      </c>
      <c r="E2984" s="344">
        <v>6247680</v>
      </c>
      <c r="F2984" s="343" t="s">
        <v>12258</v>
      </c>
      <c r="G2984" s="360" t="s">
        <v>9566</v>
      </c>
      <c r="H2984" s="361">
        <v>43335</v>
      </c>
      <c r="I2984" s="343" t="s">
        <v>301</v>
      </c>
      <c r="J2984" s="343" t="s">
        <v>530</v>
      </c>
      <c r="K2984" s="343" t="s">
        <v>168</v>
      </c>
    </row>
    <row r="2985" spans="1:11" ht="26.25" customHeight="1">
      <c r="A2985" s="343" t="s">
        <v>1641</v>
      </c>
      <c r="B2985" s="344" t="s">
        <v>162</v>
      </c>
      <c r="C2985" s="344">
        <v>6781</v>
      </c>
      <c r="D2985" s="343" t="s">
        <v>5484</v>
      </c>
      <c r="E2985" s="344">
        <v>5765597</v>
      </c>
      <c r="F2985" s="343" t="s">
        <v>12259</v>
      </c>
      <c r="G2985" s="360" t="s">
        <v>12046</v>
      </c>
      <c r="H2985" s="361">
        <v>43336</v>
      </c>
      <c r="I2985" s="343" t="s">
        <v>292</v>
      </c>
      <c r="J2985" s="343" t="s">
        <v>12260</v>
      </c>
      <c r="K2985" s="343" t="s">
        <v>168</v>
      </c>
    </row>
    <row r="2986" spans="1:11" ht="26.25" customHeight="1">
      <c r="A2986" s="343" t="s">
        <v>1641</v>
      </c>
      <c r="B2986" s="344" t="s">
        <v>162</v>
      </c>
      <c r="C2986" s="344">
        <v>7639</v>
      </c>
      <c r="D2986" s="343" t="s">
        <v>5189</v>
      </c>
      <c r="E2986" s="344">
        <v>6946441</v>
      </c>
      <c r="F2986" s="343" t="s">
        <v>12261</v>
      </c>
      <c r="G2986" s="360" t="s">
        <v>12262</v>
      </c>
      <c r="H2986" s="361">
        <v>43341</v>
      </c>
      <c r="I2986" s="343" t="s">
        <v>275</v>
      </c>
      <c r="J2986" s="343" t="s">
        <v>585</v>
      </c>
      <c r="K2986" s="343" t="s">
        <v>173</v>
      </c>
    </row>
    <row r="2987" spans="1:11" ht="26.25" customHeight="1">
      <c r="A2987" s="343" t="s">
        <v>1641</v>
      </c>
      <c r="B2987" s="344" t="s">
        <v>162</v>
      </c>
      <c r="C2987" s="344">
        <v>6789</v>
      </c>
      <c r="D2987" s="343" t="s">
        <v>5570</v>
      </c>
      <c r="E2987" s="344">
        <v>5999931</v>
      </c>
      <c r="F2987" s="343" t="s">
        <v>308</v>
      </c>
      <c r="G2987" s="360" t="s">
        <v>309</v>
      </c>
      <c r="H2987" s="361">
        <v>43341</v>
      </c>
      <c r="I2987" s="343" t="s">
        <v>193</v>
      </c>
      <c r="J2987" s="343" t="s">
        <v>637</v>
      </c>
      <c r="K2987" s="343" t="s">
        <v>168</v>
      </c>
    </row>
    <row r="2988" spans="1:11" ht="26.25" customHeight="1">
      <c r="A2988" s="343" t="s">
        <v>1641</v>
      </c>
      <c r="B2988" s="344" t="s">
        <v>162</v>
      </c>
      <c r="C2988" s="344">
        <v>8429</v>
      </c>
      <c r="D2988" s="343" t="s">
        <v>12263</v>
      </c>
      <c r="E2988" s="344">
        <v>5391148</v>
      </c>
      <c r="F2988" s="343" t="s">
        <v>12264</v>
      </c>
      <c r="G2988" s="360" t="s">
        <v>10371</v>
      </c>
      <c r="H2988" s="361">
        <v>43341</v>
      </c>
      <c r="I2988" s="343" t="s">
        <v>193</v>
      </c>
      <c r="J2988" s="343" t="s">
        <v>637</v>
      </c>
      <c r="K2988" s="343" t="s">
        <v>168</v>
      </c>
    </row>
    <row r="2989" spans="1:11" ht="26.25" customHeight="1">
      <c r="A2989" s="343" t="s">
        <v>1641</v>
      </c>
      <c r="B2989" s="344" t="s">
        <v>162</v>
      </c>
      <c r="C2989" s="344">
        <v>9345</v>
      </c>
      <c r="D2989" s="343" t="s">
        <v>5561</v>
      </c>
      <c r="E2989" s="344">
        <v>5933671</v>
      </c>
      <c r="F2989" s="343" t="s">
        <v>12265</v>
      </c>
      <c r="G2989" s="360" t="s">
        <v>12266</v>
      </c>
      <c r="H2989" s="361">
        <v>43342</v>
      </c>
      <c r="I2989" s="343" t="s">
        <v>547</v>
      </c>
      <c r="J2989" s="343" t="s">
        <v>1028</v>
      </c>
      <c r="K2989" s="343" t="s">
        <v>248</v>
      </c>
    </row>
    <row r="2990" spans="1:11" ht="26.25" customHeight="1">
      <c r="A2990" s="343" t="s">
        <v>1641</v>
      </c>
      <c r="B2990" s="344" t="s">
        <v>162</v>
      </c>
      <c r="C2990" s="344">
        <v>11094</v>
      </c>
      <c r="D2990" s="343" t="s">
        <v>5254</v>
      </c>
      <c r="E2990" s="344">
        <v>5735317</v>
      </c>
      <c r="F2990" s="343" t="s">
        <v>12267</v>
      </c>
      <c r="G2990" s="360" t="s">
        <v>11978</v>
      </c>
      <c r="H2990" s="361">
        <v>43342</v>
      </c>
      <c r="I2990" s="343" t="s">
        <v>180</v>
      </c>
      <c r="J2990" s="343" t="s">
        <v>12268</v>
      </c>
      <c r="K2990" s="343" t="s">
        <v>168</v>
      </c>
    </row>
    <row r="2991" spans="1:11" ht="26.25" customHeight="1">
      <c r="A2991" s="343" t="s">
        <v>1641</v>
      </c>
      <c r="B2991" s="344" t="s">
        <v>162</v>
      </c>
      <c r="C2991" s="344">
        <v>7599</v>
      </c>
      <c r="D2991" s="343" t="s">
        <v>5238</v>
      </c>
      <c r="E2991" s="344">
        <v>7025435</v>
      </c>
      <c r="F2991" s="343" t="s">
        <v>12269</v>
      </c>
      <c r="G2991" s="360" t="s">
        <v>11674</v>
      </c>
      <c r="H2991" s="361">
        <v>43343</v>
      </c>
      <c r="I2991" s="343" t="s">
        <v>193</v>
      </c>
      <c r="J2991" s="343" t="s">
        <v>637</v>
      </c>
      <c r="K2991" s="343" t="s">
        <v>168</v>
      </c>
    </row>
    <row r="2992" spans="1:11" ht="26.25" customHeight="1">
      <c r="A2992" s="343" t="s">
        <v>1641</v>
      </c>
      <c r="B2992" s="344" t="s">
        <v>162</v>
      </c>
      <c r="C2992" s="344">
        <v>7592</v>
      </c>
      <c r="D2992" s="343" t="s">
        <v>5230</v>
      </c>
      <c r="E2992" s="344">
        <v>6809397</v>
      </c>
      <c r="F2992" s="343" t="s">
        <v>8653</v>
      </c>
      <c r="G2992" s="360" t="s">
        <v>12112</v>
      </c>
      <c r="H2992" s="361">
        <v>43343</v>
      </c>
      <c r="I2992" s="343" t="s">
        <v>6973</v>
      </c>
      <c r="J2992" s="343" t="s">
        <v>11206</v>
      </c>
      <c r="K2992" s="343" t="s">
        <v>168</v>
      </c>
    </row>
    <row r="2993" spans="1:11" ht="26.25" customHeight="1">
      <c r="A2993" s="343" t="s">
        <v>1641</v>
      </c>
      <c r="B2993" s="344" t="s">
        <v>162</v>
      </c>
      <c r="C2993" s="344">
        <v>7638</v>
      </c>
      <c r="D2993" s="343" t="s">
        <v>5235</v>
      </c>
      <c r="E2993" s="344">
        <v>6577713</v>
      </c>
      <c r="F2993" s="343" t="s">
        <v>12270</v>
      </c>
      <c r="G2993" s="360" t="s">
        <v>9406</v>
      </c>
      <c r="H2993" s="361">
        <v>43343</v>
      </c>
      <c r="I2993" s="343" t="s">
        <v>271</v>
      </c>
      <c r="J2993" s="343" t="s">
        <v>12271</v>
      </c>
      <c r="K2993" s="343" t="s">
        <v>168</v>
      </c>
    </row>
    <row r="2994" spans="1:11" ht="26.25" customHeight="1">
      <c r="A2994" s="343" t="s">
        <v>1641</v>
      </c>
      <c r="B2994" s="344" t="s">
        <v>162</v>
      </c>
      <c r="C2994" s="344">
        <v>8571</v>
      </c>
      <c r="D2994" s="343" t="s">
        <v>5526</v>
      </c>
      <c r="E2994" s="344">
        <v>6104263</v>
      </c>
      <c r="F2994" s="343" t="s">
        <v>12272</v>
      </c>
      <c r="G2994" s="360" t="s">
        <v>10571</v>
      </c>
      <c r="H2994" s="361">
        <v>43343</v>
      </c>
      <c r="I2994" s="343" t="s">
        <v>166</v>
      </c>
      <c r="J2994" s="343" t="s">
        <v>12273</v>
      </c>
      <c r="K2994" s="343" t="s">
        <v>168</v>
      </c>
    </row>
    <row r="2995" spans="1:11" ht="26.25" customHeight="1">
      <c r="A2995" s="343" t="s">
        <v>1641</v>
      </c>
      <c r="B2995" s="344" t="s">
        <v>162</v>
      </c>
      <c r="C2995" s="344">
        <v>6791</v>
      </c>
      <c r="D2995" s="343" t="s">
        <v>8685</v>
      </c>
      <c r="E2995" s="344">
        <v>5835051</v>
      </c>
      <c r="F2995" s="343" t="s">
        <v>12274</v>
      </c>
      <c r="G2995" s="360" t="s">
        <v>9544</v>
      </c>
      <c r="H2995" s="361">
        <v>43343</v>
      </c>
      <c r="I2995" s="343" t="s">
        <v>4006</v>
      </c>
      <c r="J2995" s="343" t="s">
        <v>4006</v>
      </c>
      <c r="K2995" s="343" t="s">
        <v>173</v>
      </c>
    </row>
    <row r="2996" spans="1:11" ht="26.25" customHeight="1">
      <c r="A2996" s="343" t="s">
        <v>5582</v>
      </c>
      <c r="B2996" s="344" t="s">
        <v>162</v>
      </c>
      <c r="C2996" s="344">
        <v>7028</v>
      </c>
      <c r="D2996" s="343" t="s">
        <v>5851</v>
      </c>
      <c r="E2996" s="344">
        <v>5980254</v>
      </c>
      <c r="F2996" s="343" t="s">
        <v>5859</v>
      </c>
      <c r="G2996" s="360" t="s">
        <v>12275</v>
      </c>
      <c r="H2996" s="361">
        <v>42234</v>
      </c>
      <c r="I2996" s="343" t="s">
        <v>180</v>
      </c>
      <c r="J2996" s="343" t="s">
        <v>12276</v>
      </c>
      <c r="K2996" s="343" t="s">
        <v>168</v>
      </c>
    </row>
    <row r="2997" spans="1:11" ht="26.25" customHeight="1">
      <c r="A2997" s="343" t="s">
        <v>5582</v>
      </c>
      <c r="B2997" s="344" t="s">
        <v>162</v>
      </c>
      <c r="C2997" s="344">
        <v>7023</v>
      </c>
      <c r="D2997" s="343" t="s">
        <v>5967</v>
      </c>
      <c r="E2997" s="344">
        <v>4691945</v>
      </c>
      <c r="F2997" s="343" t="s">
        <v>5970</v>
      </c>
      <c r="G2997" s="360" t="s">
        <v>12277</v>
      </c>
      <c r="H2997" s="361">
        <v>42186</v>
      </c>
      <c r="I2997" s="343" t="s">
        <v>4252</v>
      </c>
      <c r="J2997" s="343" t="s">
        <v>12278</v>
      </c>
      <c r="K2997" s="343" t="s">
        <v>168</v>
      </c>
    </row>
    <row r="2998" spans="1:11" ht="26.25" customHeight="1">
      <c r="A2998" s="343" t="s">
        <v>5582</v>
      </c>
      <c r="B2998" s="344" t="s">
        <v>162</v>
      </c>
      <c r="C2998" s="344">
        <v>7010</v>
      </c>
      <c r="D2998" s="343" t="s">
        <v>5890</v>
      </c>
      <c r="E2998" s="344">
        <v>4408419</v>
      </c>
      <c r="F2998" s="343" t="s">
        <v>5893</v>
      </c>
      <c r="G2998" s="360" t="s">
        <v>9941</v>
      </c>
      <c r="H2998" s="361">
        <v>42326</v>
      </c>
      <c r="I2998" s="343" t="s">
        <v>366</v>
      </c>
      <c r="J2998" s="343" t="s">
        <v>12279</v>
      </c>
      <c r="K2998" s="343" t="s">
        <v>168</v>
      </c>
    </row>
    <row r="2999" spans="1:11" ht="26.25" customHeight="1">
      <c r="A2999" s="343" t="s">
        <v>5582</v>
      </c>
      <c r="B2999" s="344" t="s">
        <v>162</v>
      </c>
      <c r="C2999" s="344">
        <v>9451</v>
      </c>
      <c r="D2999" s="343" t="s">
        <v>5934</v>
      </c>
      <c r="E2999" s="344">
        <v>5215885</v>
      </c>
      <c r="F2999" s="343" t="s">
        <v>5936</v>
      </c>
      <c r="G2999" s="360" t="s">
        <v>12280</v>
      </c>
      <c r="H2999" s="361">
        <v>42145</v>
      </c>
      <c r="I2999" s="343" t="s">
        <v>709</v>
      </c>
      <c r="J2999" s="343" t="s">
        <v>709</v>
      </c>
      <c r="K2999" s="343" t="s">
        <v>173</v>
      </c>
    </row>
    <row r="3000" spans="1:11" ht="26.25" customHeight="1">
      <c r="A3000" s="343" t="s">
        <v>5582</v>
      </c>
      <c r="B3000" s="344" t="s">
        <v>162</v>
      </c>
      <c r="C3000" s="344">
        <v>7000</v>
      </c>
      <c r="D3000" s="343" t="s">
        <v>5840</v>
      </c>
      <c r="E3000" s="344">
        <v>5230087</v>
      </c>
      <c r="F3000" s="343" t="s">
        <v>5842</v>
      </c>
      <c r="G3000" s="360" t="s">
        <v>12281</v>
      </c>
      <c r="H3000" s="361">
        <v>42265</v>
      </c>
      <c r="I3000" s="343" t="s">
        <v>1339</v>
      </c>
      <c r="J3000" s="343" t="s">
        <v>12282</v>
      </c>
      <c r="K3000" s="343" t="s">
        <v>168</v>
      </c>
    </row>
    <row r="3001" spans="1:11" ht="26.25" customHeight="1">
      <c r="A3001" s="343" t="s">
        <v>5582</v>
      </c>
      <c r="B3001" s="344" t="s">
        <v>162</v>
      </c>
      <c r="C3001" s="344">
        <v>7015</v>
      </c>
      <c r="D3001" s="343" t="s">
        <v>5883</v>
      </c>
      <c r="E3001" s="344">
        <v>4455400</v>
      </c>
      <c r="F3001" s="343" t="s">
        <v>5854</v>
      </c>
      <c r="G3001" s="360" t="s">
        <v>12283</v>
      </c>
      <c r="H3001" s="361">
        <v>42263</v>
      </c>
      <c r="I3001" s="343" t="s">
        <v>198</v>
      </c>
      <c r="J3001" s="343" t="s">
        <v>12284</v>
      </c>
      <c r="K3001" s="343" t="s">
        <v>168</v>
      </c>
    </row>
    <row r="3002" spans="1:11" ht="26.25" customHeight="1">
      <c r="A3002" s="343" t="s">
        <v>5582</v>
      </c>
      <c r="B3002" s="344" t="s">
        <v>162</v>
      </c>
      <c r="C3002" s="344">
        <v>11730</v>
      </c>
      <c r="D3002" s="343" t="s">
        <v>5729</v>
      </c>
      <c r="E3002" s="344">
        <v>6045846</v>
      </c>
      <c r="F3002" s="343" t="s">
        <v>5733</v>
      </c>
      <c r="G3002" s="360" t="s">
        <v>11534</v>
      </c>
      <c r="H3002" s="361">
        <v>42263</v>
      </c>
      <c r="I3002" s="343" t="s">
        <v>166</v>
      </c>
      <c r="J3002" s="343" t="s">
        <v>184</v>
      </c>
      <c r="K3002" s="343" t="s">
        <v>168</v>
      </c>
    </row>
    <row r="3003" spans="1:11" ht="26.25" customHeight="1">
      <c r="A3003" s="343" t="s">
        <v>5582</v>
      </c>
      <c r="B3003" s="344" t="s">
        <v>162</v>
      </c>
      <c r="C3003" s="344">
        <v>7006</v>
      </c>
      <c r="D3003" s="343" t="s">
        <v>5819</v>
      </c>
      <c r="E3003" s="344">
        <v>4011898</v>
      </c>
      <c r="F3003" s="343" t="s">
        <v>5820</v>
      </c>
      <c r="G3003" s="360" t="s">
        <v>12285</v>
      </c>
      <c r="H3003" s="361">
        <v>42297</v>
      </c>
      <c r="I3003" s="343" t="s">
        <v>4412</v>
      </c>
      <c r="J3003" s="343" t="s">
        <v>12286</v>
      </c>
      <c r="K3003" s="343" t="s">
        <v>168</v>
      </c>
    </row>
    <row r="3004" spans="1:11" ht="26.25" customHeight="1">
      <c r="A3004" s="343" t="s">
        <v>5582</v>
      </c>
      <c r="B3004" s="344" t="s">
        <v>162</v>
      </c>
      <c r="C3004" s="344">
        <v>9487</v>
      </c>
      <c r="D3004" s="343" t="s">
        <v>5734</v>
      </c>
      <c r="E3004" s="344">
        <v>4856654</v>
      </c>
      <c r="F3004" s="343" t="s">
        <v>5736</v>
      </c>
      <c r="G3004" s="360" t="s">
        <v>12287</v>
      </c>
      <c r="H3004" s="361">
        <v>42240</v>
      </c>
      <c r="I3004" s="343" t="s">
        <v>366</v>
      </c>
      <c r="J3004" s="343" t="s">
        <v>366</v>
      </c>
      <c r="K3004" s="343" t="s">
        <v>168</v>
      </c>
    </row>
    <row r="3005" spans="1:11" ht="26.25" customHeight="1">
      <c r="A3005" s="343" t="s">
        <v>5582</v>
      </c>
      <c r="B3005" s="344" t="s">
        <v>162</v>
      </c>
      <c r="C3005" s="344">
        <v>12160</v>
      </c>
      <c r="D3005" s="343" t="s">
        <v>5926</v>
      </c>
      <c r="E3005" s="344">
        <v>4684997</v>
      </c>
      <c r="F3005" s="343" t="s">
        <v>5928</v>
      </c>
      <c r="G3005" s="360" t="s">
        <v>12288</v>
      </c>
      <c r="H3005" s="361">
        <v>42317</v>
      </c>
      <c r="I3005" s="343" t="s">
        <v>301</v>
      </c>
      <c r="J3005" s="343" t="s">
        <v>12289</v>
      </c>
      <c r="K3005" s="343" t="s">
        <v>168</v>
      </c>
    </row>
    <row r="3006" spans="1:11" ht="26.25" customHeight="1">
      <c r="A3006" s="343" t="s">
        <v>5582</v>
      </c>
      <c r="B3006" s="344" t="s">
        <v>162</v>
      </c>
      <c r="C3006" s="344">
        <v>12163</v>
      </c>
      <c r="D3006" s="343" t="s">
        <v>5912</v>
      </c>
      <c r="E3006" s="344">
        <v>4692416</v>
      </c>
      <c r="F3006" s="343" t="s">
        <v>5918</v>
      </c>
      <c r="G3006" s="360" t="s">
        <v>12290</v>
      </c>
      <c r="H3006" s="361">
        <v>42303</v>
      </c>
      <c r="I3006" s="343" t="s">
        <v>187</v>
      </c>
      <c r="J3006" s="343" t="s">
        <v>12291</v>
      </c>
      <c r="K3006" s="343" t="s">
        <v>168</v>
      </c>
    </row>
    <row r="3007" spans="1:11" ht="26.25" customHeight="1">
      <c r="A3007" s="343" t="s">
        <v>5582</v>
      </c>
      <c r="B3007" s="344" t="s">
        <v>162</v>
      </c>
      <c r="C3007" s="344">
        <v>8802</v>
      </c>
      <c r="D3007" s="343" t="s">
        <v>5832</v>
      </c>
      <c r="E3007" s="344">
        <v>3872345</v>
      </c>
      <c r="F3007" s="343" t="s">
        <v>5836</v>
      </c>
      <c r="G3007" s="360" t="s">
        <v>12292</v>
      </c>
      <c r="H3007" s="361">
        <v>42300</v>
      </c>
      <c r="I3007" s="343" t="s">
        <v>366</v>
      </c>
      <c r="J3007" s="343" t="s">
        <v>366</v>
      </c>
      <c r="K3007" s="343" t="s">
        <v>168</v>
      </c>
    </row>
    <row r="3008" spans="1:11" ht="26.25" customHeight="1">
      <c r="A3008" s="343" t="s">
        <v>5582</v>
      </c>
      <c r="B3008" s="344" t="s">
        <v>162</v>
      </c>
      <c r="C3008" s="344">
        <v>7006</v>
      </c>
      <c r="D3008" s="343" t="s">
        <v>5819</v>
      </c>
      <c r="E3008" s="344">
        <v>4683290</v>
      </c>
      <c r="F3008" s="343" t="s">
        <v>5825</v>
      </c>
      <c r="G3008" s="360" t="s">
        <v>895</v>
      </c>
      <c r="H3008" s="361">
        <v>42306</v>
      </c>
      <c r="I3008" s="343" t="s">
        <v>1463</v>
      </c>
      <c r="J3008" s="343" t="s">
        <v>12293</v>
      </c>
      <c r="K3008" s="343" t="s">
        <v>248</v>
      </c>
    </row>
    <row r="3009" spans="1:11" ht="26.25" customHeight="1">
      <c r="A3009" s="343" t="s">
        <v>5582</v>
      </c>
      <c r="B3009" s="344" t="s">
        <v>162</v>
      </c>
      <c r="C3009" s="344">
        <v>7023</v>
      </c>
      <c r="D3009" s="343" t="s">
        <v>5967</v>
      </c>
      <c r="E3009" s="344">
        <v>5166930</v>
      </c>
      <c r="F3009" s="343" t="s">
        <v>5969</v>
      </c>
      <c r="G3009" s="360" t="s">
        <v>12294</v>
      </c>
      <c r="H3009" s="361">
        <v>42185</v>
      </c>
      <c r="I3009" s="343" t="s">
        <v>366</v>
      </c>
      <c r="J3009" s="343" t="s">
        <v>366</v>
      </c>
      <c r="K3009" s="343" t="s">
        <v>168</v>
      </c>
    </row>
    <row r="3010" spans="1:11" ht="26.25" customHeight="1">
      <c r="A3010" s="343" t="s">
        <v>5582</v>
      </c>
      <c r="B3010" s="344" t="s">
        <v>162</v>
      </c>
      <c r="C3010" s="344">
        <v>12161</v>
      </c>
      <c r="D3010" s="343" t="s">
        <v>5920</v>
      </c>
      <c r="E3010" s="344">
        <v>4996690</v>
      </c>
      <c r="F3010" s="343" t="s">
        <v>5925</v>
      </c>
      <c r="G3010" s="360" t="s">
        <v>12295</v>
      </c>
      <c r="H3010" s="361">
        <v>42178</v>
      </c>
      <c r="I3010" s="343" t="s">
        <v>709</v>
      </c>
      <c r="J3010" s="343" t="s">
        <v>9426</v>
      </c>
      <c r="K3010" s="343" t="s">
        <v>173</v>
      </c>
    </row>
    <row r="3011" spans="1:11" ht="26.25" customHeight="1">
      <c r="A3011" s="343" t="s">
        <v>5582</v>
      </c>
      <c r="B3011" s="344" t="s">
        <v>162</v>
      </c>
      <c r="C3011" s="344">
        <v>12160</v>
      </c>
      <c r="D3011" s="343" t="s">
        <v>5926</v>
      </c>
      <c r="E3011" s="344">
        <v>5757495</v>
      </c>
      <c r="F3011" s="343" t="s">
        <v>5933</v>
      </c>
      <c r="G3011" s="360" t="s">
        <v>12296</v>
      </c>
      <c r="H3011" s="361">
        <v>42158</v>
      </c>
      <c r="I3011" s="343" t="s">
        <v>301</v>
      </c>
      <c r="J3011" s="343" t="s">
        <v>302</v>
      </c>
      <c r="K3011" s="343" t="s">
        <v>168</v>
      </c>
    </row>
    <row r="3012" spans="1:11" ht="26.25" customHeight="1">
      <c r="A3012" s="343" t="s">
        <v>5582</v>
      </c>
      <c r="B3012" s="344" t="s">
        <v>162</v>
      </c>
      <c r="C3012" s="344">
        <v>7024</v>
      </c>
      <c r="D3012" s="343" t="s">
        <v>5862</v>
      </c>
      <c r="E3012" s="344">
        <v>4912508</v>
      </c>
      <c r="F3012" s="343" t="s">
        <v>5866</v>
      </c>
      <c r="G3012" s="360" t="s">
        <v>10860</v>
      </c>
      <c r="H3012" s="361">
        <v>42158</v>
      </c>
      <c r="I3012" s="343" t="s">
        <v>806</v>
      </c>
      <c r="J3012" s="343" t="s">
        <v>12297</v>
      </c>
      <c r="K3012" s="343" t="s">
        <v>168</v>
      </c>
    </row>
    <row r="3013" spans="1:11" ht="26.25" customHeight="1">
      <c r="A3013" s="343" t="s">
        <v>5582</v>
      </c>
      <c r="B3013" s="344" t="s">
        <v>162</v>
      </c>
      <c r="C3013" s="344">
        <v>12164</v>
      </c>
      <c r="D3013" s="343" t="s">
        <v>5804</v>
      </c>
      <c r="E3013" s="344">
        <v>4344807</v>
      </c>
      <c r="F3013" s="343" t="s">
        <v>5806</v>
      </c>
      <c r="G3013" s="360" t="s">
        <v>12298</v>
      </c>
      <c r="H3013" s="361">
        <v>42158</v>
      </c>
      <c r="I3013" s="343" t="s">
        <v>211</v>
      </c>
      <c r="J3013" s="343" t="s">
        <v>948</v>
      </c>
      <c r="K3013" s="343" t="s">
        <v>168</v>
      </c>
    </row>
    <row r="3014" spans="1:11" ht="26.25" customHeight="1">
      <c r="A3014" s="343" t="s">
        <v>5582</v>
      </c>
      <c r="B3014" s="344" t="s">
        <v>162</v>
      </c>
      <c r="C3014" s="344">
        <v>7501</v>
      </c>
      <c r="D3014" s="343" t="s">
        <v>5614</v>
      </c>
      <c r="E3014" s="344">
        <v>6040525</v>
      </c>
      <c r="F3014" s="343" t="s">
        <v>5624</v>
      </c>
      <c r="G3014" s="360" t="s">
        <v>499</v>
      </c>
      <c r="H3014" s="361">
        <v>42047</v>
      </c>
      <c r="I3014" s="343" t="s">
        <v>271</v>
      </c>
      <c r="J3014" s="343" t="s">
        <v>12299</v>
      </c>
      <c r="K3014" s="343" t="s">
        <v>168</v>
      </c>
    </row>
    <row r="3015" spans="1:11" ht="26.25" customHeight="1">
      <c r="A3015" s="343" t="s">
        <v>5582</v>
      </c>
      <c r="B3015" s="344" t="s">
        <v>162</v>
      </c>
      <c r="C3015" s="344">
        <v>7008</v>
      </c>
      <c r="D3015" s="343" t="s">
        <v>5826</v>
      </c>
      <c r="E3015" s="344">
        <v>4481065</v>
      </c>
      <c r="F3015" s="343" t="s">
        <v>5831</v>
      </c>
      <c r="G3015" s="360" t="s">
        <v>12300</v>
      </c>
      <c r="H3015" s="361">
        <v>42046</v>
      </c>
      <c r="I3015" s="343" t="s">
        <v>5619</v>
      </c>
      <c r="J3015" s="343" t="s">
        <v>12301</v>
      </c>
      <c r="K3015" s="343" t="s">
        <v>173</v>
      </c>
    </row>
    <row r="3016" spans="1:11" ht="26.25" customHeight="1">
      <c r="A3016" s="343" t="s">
        <v>5582</v>
      </c>
      <c r="B3016" s="344" t="s">
        <v>162</v>
      </c>
      <c r="C3016" s="344">
        <v>7509</v>
      </c>
      <c r="D3016" s="343" t="s">
        <v>5634</v>
      </c>
      <c r="E3016" s="344">
        <v>6200154</v>
      </c>
      <c r="F3016" s="343" t="s">
        <v>5635</v>
      </c>
      <c r="G3016" s="360" t="s">
        <v>12302</v>
      </c>
      <c r="H3016" s="361">
        <v>42167</v>
      </c>
      <c r="I3016" s="343" t="s">
        <v>193</v>
      </c>
      <c r="J3016" s="343" t="s">
        <v>637</v>
      </c>
      <c r="K3016" s="343" t="s">
        <v>168</v>
      </c>
    </row>
    <row r="3017" spans="1:11" ht="26.25" customHeight="1">
      <c r="A3017" s="343" t="s">
        <v>5582</v>
      </c>
      <c r="B3017" s="344" t="s">
        <v>162</v>
      </c>
      <c r="C3017" s="344">
        <v>9301</v>
      </c>
      <c r="D3017" s="343" t="s">
        <v>5810</v>
      </c>
      <c r="E3017" s="344">
        <v>5668845</v>
      </c>
      <c r="F3017" s="343" t="s">
        <v>5813</v>
      </c>
      <c r="G3017" s="360" t="s">
        <v>12303</v>
      </c>
      <c r="H3017" s="361">
        <v>42145</v>
      </c>
      <c r="I3017" s="343" t="s">
        <v>166</v>
      </c>
      <c r="J3017" s="343" t="s">
        <v>12304</v>
      </c>
      <c r="K3017" s="343" t="s">
        <v>168</v>
      </c>
    </row>
    <row r="3018" spans="1:11" ht="26.25" customHeight="1">
      <c r="A3018" s="343" t="s">
        <v>5582</v>
      </c>
      <c r="B3018" s="344" t="s">
        <v>162</v>
      </c>
      <c r="C3018" s="344">
        <v>7008</v>
      </c>
      <c r="D3018" s="343" t="s">
        <v>5826</v>
      </c>
      <c r="E3018" s="344">
        <v>5785756</v>
      </c>
      <c r="F3018" s="343" t="s">
        <v>5829</v>
      </c>
      <c r="G3018" s="360" t="s">
        <v>552</v>
      </c>
      <c r="H3018" s="361">
        <v>42136</v>
      </c>
      <c r="I3018" s="343" t="s">
        <v>5830</v>
      </c>
      <c r="J3018" s="343" t="s">
        <v>12305</v>
      </c>
      <c r="K3018" s="343" t="s">
        <v>168</v>
      </c>
    </row>
    <row r="3019" spans="1:11" ht="26.25" customHeight="1">
      <c r="A3019" s="343" t="s">
        <v>5582</v>
      </c>
      <c r="B3019" s="344" t="s">
        <v>162</v>
      </c>
      <c r="C3019" s="344">
        <v>7025</v>
      </c>
      <c r="D3019" s="343" t="s">
        <v>5947</v>
      </c>
      <c r="E3019" s="344">
        <v>4181204</v>
      </c>
      <c r="F3019" s="343" t="s">
        <v>5951</v>
      </c>
      <c r="G3019" s="360" t="s">
        <v>12306</v>
      </c>
      <c r="H3019" s="361">
        <v>42193</v>
      </c>
      <c r="I3019" s="343" t="s">
        <v>806</v>
      </c>
      <c r="J3019" s="343" t="s">
        <v>807</v>
      </c>
      <c r="K3019" s="343" t="s">
        <v>168</v>
      </c>
    </row>
    <row r="3020" spans="1:11" ht="26.25" customHeight="1">
      <c r="A3020" s="343" t="s">
        <v>5582</v>
      </c>
      <c r="B3020" s="344" t="s">
        <v>162</v>
      </c>
      <c r="C3020" s="344">
        <v>7501</v>
      </c>
      <c r="D3020" s="343" t="s">
        <v>5614</v>
      </c>
      <c r="E3020" s="344">
        <v>6014480</v>
      </c>
      <c r="F3020" s="343" t="s">
        <v>5627</v>
      </c>
      <c r="G3020" s="360" t="s">
        <v>10418</v>
      </c>
      <c r="H3020" s="361">
        <v>42405</v>
      </c>
      <c r="I3020" s="343" t="s">
        <v>198</v>
      </c>
      <c r="J3020" s="343" t="s">
        <v>12307</v>
      </c>
      <c r="K3020" s="343" t="s">
        <v>168</v>
      </c>
    </row>
    <row r="3021" spans="1:11" ht="26.25" customHeight="1">
      <c r="A3021" s="343" t="s">
        <v>5582</v>
      </c>
      <c r="B3021" s="344" t="s">
        <v>162</v>
      </c>
      <c r="C3021" s="344">
        <v>8468</v>
      </c>
      <c r="D3021" s="343" t="s">
        <v>5596</v>
      </c>
      <c r="E3021" s="344">
        <v>6230055</v>
      </c>
      <c r="F3021" s="343" t="s">
        <v>5600</v>
      </c>
      <c r="G3021" s="360" t="s">
        <v>12023</v>
      </c>
      <c r="H3021" s="361">
        <v>42405</v>
      </c>
      <c r="I3021" s="343" t="s">
        <v>166</v>
      </c>
      <c r="J3021" s="343" t="s">
        <v>12308</v>
      </c>
      <c r="K3021" s="343" t="s">
        <v>168</v>
      </c>
    </row>
    <row r="3022" spans="1:11" ht="26.25" customHeight="1">
      <c r="A3022" s="343" t="s">
        <v>5582</v>
      </c>
      <c r="B3022" s="344" t="s">
        <v>162</v>
      </c>
      <c r="C3022" s="344">
        <v>7000</v>
      </c>
      <c r="D3022" s="343" t="s">
        <v>5840</v>
      </c>
      <c r="E3022" s="344">
        <v>5128994</v>
      </c>
      <c r="F3022" s="343" t="s">
        <v>5847</v>
      </c>
      <c r="G3022" s="360" t="s">
        <v>12309</v>
      </c>
      <c r="H3022" s="361">
        <v>42410</v>
      </c>
      <c r="I3022" s="343" t="s">
        <v>193</v>
      </c>
      <c r="J3022" s="343" t="s">
        <v>12310</v>
      </c>
      <c r="K3022" s="343" t="s">
        <v>168</v>
      </c>
    </row>
    <row r="3023" spans="1:11" ht="26.25" customHeight="1">
      <c r="A3023" s="343" t="s">
        <v>5582</v>
      </c>
      <c r="B3023" s="344" t="s">
        <v>162</v>
      </c>
      <c r="C3023" s="344">
        <v>6693</v>
      </c>
      <c r="D3023" s="343" t="s">
        <v>5992</v>
      </c>
      <c r="E3023" s="344">
        <v>5949718</v>
      </c>
      <c r="F3023" s="343" t="s">
        <v>5993</v>
      </c>
      <c r="G3023" s="360" t="s">
        <v>12311</v>
      </c>
      <c r="H3023" s="361">
        <v>42433</v>
      </c>
      <c r="I3023" s="343" t="s">
        <v>193</v>
      </c>
      <c r="J3023" s="343" t="s">
        <v>341</v>
      </c>
      <c r="K3023" s="343" t="s">
        <v>168</v>
      </c>
    </row>
    <row r="3024" spans="1:11" ht="26.25" customHeight="1">
      <c r="A3024" s="343" t="s">
        <v>5582</v>
      </c>
      <c r="B3024" s="344" t="s">
        <v>162</v>
      </c>
      <c r="C3024" s="344">
        <v>9525</v>
      </c>
      <c r="D3024" s="343" t="s">
        <v>5684</v>
      </c>
      <c r="E3024" s="344">
        <v>6313895</v>
      </c>
      <c r="F3024" s="343" t="s">
        <v>5687</v>
      </c>
      <c r="G3024" s="360" t="s">
        <v>11463</v>
      </c>
      <c r="H3024" s="361">
        <v>42432</v>
      </c>
      <c r="I3024" s="343" t="s">
        <v>166</v>
      </c>
      <c r="J3024" s="343" t="s">
        <v>344</v>
      </c>
      <c r="K3024" s="343" t="s">
        <v>168</v>
      </c>
    </row>
    <row r="3025" spans="1:11" ht="26.25" customHeight="1">
      <c r="A3025" s="343" t="s">
        <v>5582</v>
      </c>
      <c r="B3025" s="344" t="s">
        <v>162</v>
      </c>
      <c r="C3025" s="344">
        <v>7504</v>
      </c>
      <c r="D3025" s="343" t="s">
        <v>5631</v>
      </c>
      <c r="E3025" s="344">
        <v>6466050</v>
      </c>
      <c r="F3025" s="343" t="s">
        <v>5632</v>
      </c>
      <c r="G3025" s="360" t="s">
        <v>12312</v>
      </c>
      <c r="H3025" s="361">
        <v>42433</v>
      </c>
      <c r="I3025" s="343" t="s">
        <v>284</v>
      </c>
      <c r="J3025" s="343" t="s">
        <v>12313</v>
      </c>
      <c r="K3025" s="343" t="s">
        <v>168</v>
      </c>
    </row>
    <row r="3026" spans="1:11" ht="26.25" customHeight="1">
      <c r="A3026" s="343" t="s">
        <v>5582</v>
      </c>
      <c r="B3026" s="344" t="s">
        <v>162</v>
      </c>
      <c r="C3026" s="344">
        <v>9880</v>
      </c>
      <c r="D3026" s="343" t="s">
        <v>5714</v>
      </c>
      <c r="E3026" s="344">
        <v>6450384</v>
      </c>
      <c r="F3026" s="343" t="s">
        <v>5715</v>
      </c>
      <c r="G3026" s="360" t="s">
        <v>12314</v>
      </c>
      <c r="H3026" s="361">
        <v>42433</v>
      </c>
      <c r="I3026" s="343" t="s">
        <v>271</v>
      </c>
      <c r="J3026" s="343" t="s">
        <v>12315</v>
      </c>
      <c r="K3026" s="343" t="s">
        <v>168</v>
      </c>
    </row>
    <row r="3027" spans="1:11" ht="26.25" customHeight="1">
      <c r="A3027" s="343" t="s">
        <v>5582</v>
      </c>
      <c r="B3027" s="344" t="s">
        <v>162</v>
      </c>
      <c r="C3027" s="344">
        <v>7522</v>
      </c>
      <c r="D3027" s="343" t="s">
        <v>5694</v>
      </c>
      <c r="E3027" s="344">
        <v>6476623</v>
      </c>
      <c r="F3027" s="343" t="s">
        <v>5695</v>
      </c>
      <c r="G3027" s="360" t="s">
        <v>12316</v>
      </c>
      <c r="H3027" s="361">
        <v>42433</v>
      </c>
      <c r="I3027" s="343" t="s">
        <v>166</v>
      </c>
      <c r="J3027" s="343" t="s">
        <v>344</v>
      </c>
      <c r="K3027" s="343" t="s">
        <v>168</v>
      </c>
    </row>
    <row r="3028" spans="1:11" ht="26.25" customHeight="1">
      <c r="A3028" s="343" t="s">
        <v>5582</v>
      </c>
      <c r="B3028" s="344" t="s">
        <v>162</v>
      </c>
      <c r="C3028" s="344">
        <v>6689</v>
      </c>
      <c r="D3028" s="343" t="s">
        <v>6046</v>
      </c>
      <c r="E3028" s="344">
        <v>5597994</v>
      </c>
      <c r="F3028" s="343" t="s">
        <v>6048</v>
      </c>
      <c r="G3028" s="360" t="s">
        <v>12317</v>
      </c>
      <c r="H3028" s="361">
        <v>42439</v>
      </c>
      <c r="I3028" s="343" t="s">
        <v>6049</v>
      </c>
      <c r="J3028" s="343" t="s">
        <v>12318</v>
      </c>
      <c r="K3028" s="343" t="s">
        <v>168</v>
      </c>
    </row>
    <row r="3029" spans="1:11" ht="26.25" customHeight="1">
      <c r="A3029" s="343" t="s">
        <v>5582</v>
      </c>
      <c r="B3029" s="344" t="s">
        <v>162</v>
      </c>
      <c r="C3029" s="344">
        <v>7506</v>
      </c>
      <c r="D3029" s="343" t="s">
        <v>5666</v>
      </c>
      <c r="E3029" s="344">
        <v>6355417</v>
      </c>
      <c r="F3029" s="343" t="s">
        <v>5668</v>
      </c>
      <c r="G3029" s="360" t="s">
        <v>12319</v>
      </c>
      <c r="H3029" s="361">
        <v>42440</v>
      </c>
      <c r="I3029" s="343" t="s">
        <v>284</v>
      </c>
      <c r="J3029" s="343" t="s">
        <v>12320</v>
      </c>
      <c r="K3029" s="343" t="s">
        <v>168</v>
      </c>
    </row>
    <row r="3030" spans="1:11" ht="26.25" customHeight="1">
      <c r="A3030" s="343" t="s">
        <v>5582</v>
      </c>
      <c r="B3030" s="344" t="s">
        <v>162</v>
      </c>
      <c r="C3030" s="344">
        <v>9842</v>
      </c>
      <c r="D3030" s="343" t="s">
        <v>5759</v>
      </c>
      <c r="E3030" s="344">
        <v>6176189</v>
      </c>
      <c r="F3030" s="343" t="s">
        <v>5767</v>
      </c>
      <c r="G3030" s="360" t="s">
        <v>12321</v>
      </c>
      <c r="H3030" s="361">
        <v>42440</v>
      </c>
      <c r="I3030" s="343" t="s">
        <v>802</v>
      </c>
      <c r="J3030" s="343" t="s">
        <v>12322</v>
      </c>
      <c r="K3030" s="343" t="s">
        <v>168</v>
      </c>
    </row>
    <row r="3031" spans="1:11" ht="26.25" customHeight="1">
      <c r="A3031" s="343" t="s">
        <v>5582</v>
      </c>
      <c r="B3031" s="344" t="s">
        <v>162</v>
      </c>
      <c r="C3031" s="344">
        <v>7528</v>
      </c>
      <c r="D3031" s="343" t="s">
        <v>5676</v>
      </c>
      <c r="E3031" s="344">
        <v>6159878</v>
      </c>
      <c r="F3031" s="343" t="s">
        <v>5678</v>
      </c>
      <c r="G3031" s="360" t="s">
        <v>11353</v>
      </c>
      <c r="H3031" s="361">
        <v>42464</v>
      </c>
      <c r="I3031" s="343" t="s">
        <v>166</v>
      </c>
      <c r="J3031" s="343" t="s">
        <v>344</v>
      </c>
      <c r="K3031" s="343" t="s">
        <v>168</v>
      </c>
    </row>
    <row r="3032" spans="1:11" ht="26.25" customHeight="1">
      <c r="A3032" s="343" t="s">
        <v>5582</v>
      </c>
      <c r="B3032" s="344" t="s">
        <v>162</v>
      </c>
      <c r="C3032" s="344">
        <v>7025</v>
      </c>
      <c r="D3032" s="343" t="s">
        <v>5947</v>
      </c>
      <c r="E3032" s="344">
        <v>4618690</v>
      </c>
      <c r="F3032" s="343" t="s">
        <v>5955</v>
      </c>
      <c r="G3032" s="360" t="s">
        <v>12323</v>
      </c>
      <c r="H3032" s="361">
        <v>42453</v>
      </c>
      <c r="I3032" s="343" t="s">
        <v>984</v>
      </c>
      <c r="J3032" s="343" t="s">
        <v>12324</v>
      </c>
      <c r="K3032" s="343" t="s">
        <v>168</v>
      </c>
    </row>
    <row r="3033" spans="1:11" ht="26.25" customHeight="1">
      <c r="A3033" s="343" t="s">
        <v>5582</v>
      </c>
      <c r="B3033" s="344" t="s">
        <v>162</v>
      </c>
      <c r="C3033" s="344">
        <v>11692</v>
      </c>
      <c r="D3033" s="343" t="s">
        <v>5772</v>
      </c>
      <c r="E3033" s="344">
        <v>5854634</v>
      </c>
      <c r="F3033" s="343" t="s">
        <v>5775</v>
      </c>
      <c r="G3033" s="360" t="s">
        <v>12311</v>
      </c>
      <c r="H3033" s="361">
        <v>42457</v>
      </c>
      <c r="I3033" s="343" t="s">
        <v>7378</v>
      </c>
      <c r="J3033" s="343" t="s">
        <v>12325</v>
      </c>
      <c r="K3033" s="343" t="s">
        <v>173</v>
      </c>
    </row>
    <row r="3034" spans="1:11" ht="26.25" customHeight="1">
      <c r="A3034" s="343" t="s">
        <v>5582</v>
      </c>
      <c r="B3034" s="344" t="s">
        <v>162</v>
      </c>
      <c r="C3034" s="344">
        <v>7501</v>
      </c>
      <c r="D3034" s="343" t="s">
        <v>5614</v>
      </c>
      <c r="E3034" s="344">
        <v>6367330</v>
      </c>
      <c r="F3034" s="343" t="s">
        <v>5616</v>
      </c>
      <c r="G3034" s="360" t="s">
        <v>10149</v>
      </c>
      <c r="H3034" s="361">
        <v>42452</v>
      </c>
      <c r="I3034" s="343" t="s">
        <v>193</v>
      </c>
      <c r="J3034" s="343" t="s">
        <v>536</v>
      </c>
      <c r="K3034" s="343" t="s">
        <v>168</v>
      </c>
    </row>
    <row r="3035" spans="1:11" ht="26.25" customHeight="1">
      <c r="A3035" s="343" t="s">
        <v>5582</v>
      </c>
      <c r="B3035" s="344" t="s">
        <v>162</v>
      </c>
      <c r="C3035" s="344">
        <v>12179</v>
      </c>
      <c r="D3035" s="343" t="s">
        <v>5873</v>
      </c>
      <c r="E3035" s="344">
        <v>5673197</v>
      </c>
      <c r="F3035" s="343" t="s">
        <v>5875</v>
      </c>
      <c r="G3035" s="360" t="s">
        <v>12326</v>
      </c>
      <c r="H3035" s="361">
        <v>42457</v>
      </c>
      <c r="I3035" s="343" t="s">
        <v>1082</v>
      </c>
      <c r="J3035" s="343" t="s">
        <v>12327</v>
      </c>
      <c r="K3035" s="343" t="s">
        <v>248</v>
      </c>
    </row>
    <row r="3036" spans="1:11" ht="26.25" customHeight="1">
      <c r="A3036" s="343" t="s">
        <v>5582</v>
      </c>
      <c r="B3036" s="344" t="s">
        <v>162</v>
      </c>
      <c r="C3036" s="344">
        <v>9922</v>
      </c>
      <c r="D3036" s="343" t="s">
        <v>5748</v>
      </c>
      <c r="E3036" s="344">
        <v>4217107</v>
      </c>
      <c r="F3036" s="343" t="s">
        <v>5756</v>
      </c>
      <c r="G3036" s="360" t="s">
        <v>12328</v>
      </c>
      <c r="H3036" s="361">
        <v>42452</v>
      </c>
      <c r="I3036" s="343" t="s">
        <v>193</v>
      </c>
      <c r="J3036" s="343" t="s">
        <v>341</v>
      </c>
      <c r="K3036" s="343" t="s">
        <v>168</v>
      </c>
    </row>
    <row r="3037" spans="1:11" ht="26.25" customHeight="1">
      <c r="A3037" s="343" t="s">
        <v>5582</v>
      </c>
      <c r="B3037" s="344" t="s">
        <v>162</v>
      </c>
      <c r="C3037" s="344">
        <v>7527</v>
      </c>
      <c r="D3037" s="343" t="s">
        <v>5711</v>
      </c>
      <c r="E3037" s="344">
        <v>6217828</v>
      </c>
      <c r="F3037" s="343" t="s">
        <v>5712</v>
      </c>
      <c r="G3037" s="360" t="s">
        <v>12329</v>
      </c>
      <c r="H3037" s="361">
        <v>42452</v>
      </c>
      <c r="I3037" s="343" t="s">
        <v>193</v>
      </c>
      <c r="J3037" s="343" t="s">
        <v>536</v>
      </c>
      <c r="K3037" s="343" t="s">
        <v>168</v>
      </c>
    </row>
    <row r="3038" spans="1:11" ht="26.25" customHeight="1">
      <c r="A3038" s="343" t="s">
        <v>5582</v>
      </c>
      <c r="B3038" s="344" t="s">
        <v>162</v>
      </c>
      <c r="C3038" s="344">
        <v>7006</v>
      </c>
      <c r="D3038" s="343" t="s">
        <v>5819</v>
      </c>
      <c r="E3038" s="344">
        <v>5722478</v>
      </c>
      <c r="F3038" s="343" t="s">
        <v>5824</v>
      </c>
      <c r="G3038" s="360" t="s">
        <v>12330</v>
      </c>
      <c r="H3038" s="361">
        <v>42458</v>
      </c>
      <c r="I3038" s="343" t="s">
        <v>3857</v>
      </c>
      <c r="J3038" s="343" t="s">
        <v>12331</v>
      </c>
      <c r="K3038" s="343" t="s">
        <v>168</v>
      </c>
    </row>
    <row r="3039" spans="1:11" ht="26.25" customHeight="1">
      <c r="A3039" s="343" t="s">
        <v>5582</v>
      </c>
      <c r="B3039" s="344" t="s">
        <v>162</v>
      </c>
      <c r="C3039" s="344">
        <v>12160</v>
      </c>
      <c r="D3039" s="343" t="s">
        <v>5926</v>
      </c>
      <c r="E3039" s="344">
        <v>5162330</v>
      </c>
      <c r="F3039" s="343" t="s">
        <v>5931</v>
      </c>
      <c r="G3039" s="360" t="s">
        <v>12332</v>
      </c>
      <c r="H3039" s="361">
        <v>42468</v>
      </c>
      <c r="I3039" s="343" t="s">
        <v>301</v>
      </c>
      <c r="J3039" s="343" t="s">
        <v>302</v>
      </c>
      <c r="K3039" s="343" t="s">
        <v>168</v>
      </c>
    </row>
    <row r="3040" spans="1:11" ht="26.25" customHeight="1">
      <c r="A3040" s="343" t="s">
        <v>5582</v>
      </c>
      <c r="B3040" s="344" t="s">
        <v>162</v>
      </c>
      <c r="C3040" s="344">
        <v>7533</v>
      </c>
      <c r="D3040" s="343" t="s">
        <v>5655</v>
      </c>
      <c r="E3040" s="344">
        <v>6309632</v>
      </c>
      <c r="F3040" s="343" t="s">
        <v>5660</v>
      </c>
      <c r="G3040" s="360" t="s">
        <v>12333</v>
      </c>
      <c r="H3040" s="361">
        <v>42471</v>
      </c>
      <c r="I3040" s="343" t="s">
        <v>271</v>
      </c>
      <c r="J3040" s="343" t="s">
        <v>12334</v>
      </c>
      <c r="K3040" s="343" t="s">
        <v>168</v>
      </c>
    </row>
    <row r="3041" spans="1:11" ht="26.25" customHeight="1">
      <c r="A3041" s="343" t="s">
        <v>5582</v>
      </c>
      <c r="B3041" s="344" t="s">
        <v>162</v>
      </c>
      <c r="C3041" s="344">
        <v>12867</v>
      </c>
      <c r="D3041" s="343" t="s">
        <v>7044</v>
      </c>
      <c r="E3041" s="344">
        <v>4241312</v>
      </c>
      <c r="F3041" s="343" t="s">
        <v>5963</v>
      </c>
      <c r="G3041" s="360" t="s">
        <v>12335</v>
      </c>
      <c r="H3041" s="361">
        <v>42464</v>
      </c>
      <c r="I3041" s="343" t="s">
        <v>198</v>
      </c>
      <c r="J3041" s="343" t="s">
        <v>12336</v>
      </c>
      <c r="K3041" s="343" t="s">
        <v>168</v>
      </c>
    </row>
    <row r="3042" spans="1:11" ht="26.25" customHeight="1">
      <c r="A3042" s="343" t="s">
        <v>5582</v>
      </c>
      <c r="B3042" s="344" t="s">
        <v>162</v>
      </c>
      <c r="C3042" s="344">
        <v>7003</v>
      </c>
      <c r="D3042" s="343" t="s">
        <v>5896</v>
      </c>
      <c r="E3042" s="344">
        <v>4180144</v>
      </c>
      <c r="F3042" s="343" t="s">
        <v>5897</v>
      </c>
      <c r="G3042" s="360" t="s">
        <v>12337</v>
      </c>
      <c r="H3042" s="361">
        <v>42468</v>
      </c>
      <c r="I3042" s="343" t="s">
        <v>211</v>
      </c>
      <c r="J3042" s="343" t="s">
        <v>948</v>
      </c>
      <c r="K3042" s="343" t="s">
        <v>168</v>
      </c>
    </row>
    <row r="3043" spans="1:11" ht="26.25" customHeight="1">
      <c r="A3043" s="343" t="s">
        <v>5582</v>
      </c>
      <c r="B3043" s="344" t="s">
        <v>162</v>
      </c>
      <c r="C3043" s="344">
        <v>11730</v>
      </c>
      <c r="D3043" s="343" t="s">
        <v>5729</v>
      </c>
      <c r="E3043" s="344">
        <v>6235097</v>
      </c>
      <c r="F3043" s="343" t="s">
        <v>5732</v>
      </c>
      <c r="G3043" s="360" t="s">
        <v>12338</v>
      </c>
      <c r="H3043" s="361">
        <v>42468</v>
      </c>
      <c r="I3043" s="343" t="s">
        <v>193</v>
      </c>
      <c r="J3043" s="343" t="s">
        <v>1429</v>
      </c>
      <c r="K3043" s="343" t="s">
        <v>168</v>
      </c>
    </row>
    <row r="3044" spans="1:11" ht="26.25" customHeight="1">
      <c r="A3044" s="343" t="s">
        <v>5582</v>
      </c>
      <c r="B3044" s="344" t="s">
        <v>162</v>
      </c>
      <c r="C3044" s="344">
        <v>9301</v>
      </c>
      <c r="D3044" s="343" t="s">
        <v>5810</v>
      </c>
      <c r="E3044" s="344">
        <v>4927713</v>
      </c>
      <c r="F3044" s="343" t="s">
        <v>5811</v>
      </c>
      <c r="G3044" s="360" t="s">
        <v>10961</v>
      </c>
      <c r="H3044" s="361">
        <v>42471</v>
      </c>
      <c r="I3044" s="343" t="s">
        <v>3850</v>
      </c>
      <c r="J3044" s="343" t="s">
        <v>11369</v>
      </c>
      <c r="K3044" s="343" t="s">
        <v>168</v>
      </c>
    </row>
    <row r="3045" spans="1:11" ht="26.25" customHeight="1">
      <c r="A3045" s="343" t="s">
        <v>5582</v>
      </c>
      <c r="B3045" s="344" t="s">
        <v>162</v>
      </c>
      <c r="C3045" s="344">
        <v>6692</v>
      </c>
      <c r="D3045" s="343" t="s">
        <v>6052</v>
      </c>
      <c r="E3045" s="344">
        <v>5674346</v>
      </c>
      <c r="F3045" s="343" t="s">
        <v>6054</v>
      </c>
      <c r="G3045" s="360" t="s">
        <v>11091</v>
      </c>
      <c r="H3045" s="361">
        <v>42471</v>
      </c>
      <c r="I3045" s="343" t="s">
        <v>709</v>
      </c>
      <c r="J3045" s="343" t="s">
        <v>978</v>
      </c>
      <c r="K3045" s="343" t="s">
        <v>173</v>
      </c>
    </row>
    <row r="3046" spans="1:11" ht="26.25" customHeight="1">
      <c r="A3046" s="343" t="s">
        <v>5582</v>
      </c>
      <c r="B3046" s="344" t="s">
        <v>162</v>
      </c>
      <c r="C3046" s="344">
        <v>7501</v>
      </c>
      <c r="D3046" s="343" t="s">
        <v>5614</v>
      </c>
      <c r="E3046" s="344">
        <v>6101920</v>
      </c>
      <c r="F3046" s="343" t="s">
        <v>5618</v>
      </c>
      <c r="G3046" s="360" t="s">
        <v>10151</v>
      </c>
      <c r="H3046" s="361">
        <v>42472</v>
      </c>
      <c r="I3046" s="343" t="s">
        <v>5619</v>
      </c>
      <c r="J3046" s="343" t="s">
        <v>12301</v>
      </c>
      <c r="K3046" s="343" t="s">
        <v>173</v>
      </c>
    </row>
    <row r="3047" spans="1:11" ht="26.25" customHeight="1">
      <c r="A3047" s="343" t="s">
        <v>5582</v>
      </c>
      <c r="B3047" s="344" t="s">
        <v>162</v>
      </c>
      <c r="C3047" s="344">
        <v>7532</v>
      </c>
      <c r="D3047" s="343" t="s">
        <v>5649</v>
      </c>
      <c r="E3047" s="344">
        <v>6367920</v>
      </c>
      <c r="F3047" s="343" t="s">
        <v>5650</v>
      </c>
      <c r="G3047" s="360" t="s">
        <v>12339</v>
      </c>
      <c r="H3047" s="361">
        <v>42474</v>
      </c>
      <c r="I3047" s="343" t="s">
        <v>271</v>
      </c>
      <c r="J3047" s="343" t="s">
        <v>12340</v>
      </c>
      <c r="K3047" s="343" t="s">
        <v>168</v>
      </c>
    </row>
    <row r="3048" spans="1:11" ht="26.25" customHeight="1">
      <c r="A3048" s="343" t="s">
        <v>5582</v>
      </c>
      <c r="B3048" s="344" t="s">
        <v>162</v>
      </c>
      <c r="C3048" s="344">
        <v>6700</v>
      </c>
      <c r="D3048" s="343" t="s">
        <v>6091</v>
      </c>
      <c r="E3048" s="344">
        <v>5715531</v>
      </c>
      <c r="F3048" s="343" t="s">
        <v>6092</v>
      </c>
      <c r="G3048" s="360" t="s">
        <v>10030</v>
      </c>
      <c r="H3048" s="361">
        <v>42489</v>
      </c>
      <c r="I3048" s="343" t="s">
        <v>4048</v>
      </c>
      <c r="J3048" s="343" t="s">
        <v>12341</v>
      </c>
      <c r="K3048" s="343" t="s">
        <v>168</v>
      </c>
    </row>
    <row r="3049" spans="1:11" ht="26.25" customHeight="1">
      <c r="A3049" s="343" t="s">
        <v>5582</v>
      </c>
      <c r="B3049" s="344" t="s">
        <v>162</v>
      </c>
      <c r="C3049" s="344">
        <v>7010</v>
      </c>
      <c r="D3049" s="343" t="s">
        <v>5890</v>
      </c>
      <c r="E3049" s="344">
        <v>6003095</v>
      </c>
      <c r="F3049" s="343" t="s">
        <v>5894</v>
      </c>
      <c r="G3049" s="360" t="s">
        <v>12342</v>
      </c>
      <c r="H3049" s="361">
        <v>42474</v>
      </c>
      <c r="I3049" s="343" t="s">
        <v>5895</v>
      </c>
      <c r="J3049" s="343" t="s">
        <v>12343</v>
      </c>
      <c r="K3049" s="343" t="s">
        <v>168</v>
      </c>
    </row>
    <row r="3050" spans="1:11" ht="26.25" customHeight="1">
      <c r="A3050" s="343" t="s">
        <v>5582</v>
      </c>
      <c r="B3050" s="344" t="s">
        <v>162</v>
      </c>
      <c r="C3050" s="344">
        <v>9044</v>
      </c>
      <c r="D3050" s="343" t="s">
        <v>5971</v>
      </c>
      <c r="E3050" s="344">
        <v>5096203</v>
      </c>
      <c r="F3050" s="343" t="s">
        <v>5973</v>
      </c>
      <c r="G3050" s="360" t="s">
        <v>12344</v>
      </c>
      <c r="H3050" s="361">
        <v>42486</v>
      </c>
      <c r="I3050" s="343" t="s">
        <v>211</v>
      </c>
      <c r="J3050" s="343" t="s">
        <v>12345</v>
      </c>
      <c r="K3050" s="343" t="s">
        <v>168</v>
      </c>
    </row>
    <row r="3051" spans="1:11" ht="26.25" customHeight="1">
      <c r="A3051" s="343" t="s">
        <v>5582</v>
      </c>
      <c r="B3051" s="344" t="s">
        <v>162</v>
      </c>
      <c r="C3051" s="344">
        <v>6684</v>
      </c>
      <c r="D3051" s="343" t="s">
        <v>6030</v>
      </c>
      <c r="E3051" s="344">
        <v>5879887</v>
      </c>
      <c r="F3051" s="343" t="s">
        <v>6037</v>
      </c>
      <c r="G3051" s="360" t="s">
        <v>9909</v>
      </c>
      <c r="H3051" s="361">
        <v>42486</v>
      </c>
      <c r="I3051" s="343" t="s">
        <v>193</v>
      </c>
      <c r="J3051" s="343" t="s">
        <v>12346</v>
      </c>
      <c r="K3051" s="343" t="s">
        <v>168</v>
      </c>
    </row>
    <row r="3052" spans="1:11" ht="26.25" customHeight="1">
      <c r="A3052" s="343" t="s">
        <v>5582</v>
      </c>
      <c r="B3052" s="344" t="s">
        <v>162</v>
      </c>
      <c r="C3052" s="344">
        <v>12164</v>
      </c>
      <c r="D3052" s="343" t="s">
        <v>5804</v>
      </c>
      <c r="E3052" s="344">
        <v>3593637</v>
      </c>
      <c r="F3052" s="343" t="s">
        <v>5809</v>
      </c>
      <c r="G3052" s="360" t="s">
        <v>12347</v>
      </c>
      <c r="H3052" s="361">
        <v>42486</v>
      </c>
      <c r="I3052" s="343" t="s">
        <v>211</v>
      </c>
      <c r="J3052" s="343" t="s">
        <v>12348</v>
      </c>
      <c r="K3052" s="343" t="s">
        <v>168</v>
      </c>
    </row>
    <row r="3053" spans="1:11" ht="26.25" customHeight="1">
      <c r="A3053" s="343" t="s">
        <v>5582</v>
      </c>
      <c r="B3053" s="344" t="s">
        <v>162</v>
      </c>
      <c r="C3053" s="344">
        <v>7011</v>
      </c>
      <c r="D3053" s="343" t="s">
        <v>5793</v>
      </c>
      <c r="E3053" s="344">
        <v>4722153</v>
      </c>
      <c r="F3053" s="343" t="s">
        <v>5794</v>
      </c>
      <c r="G3053" s="360" t="s">
        <v>12349</v>
      </c>
      <c r="H3053" s="361">
        <v>42486</v>
      </c>
      <c r="I3053" s="343" t="s">
        <v>193</v>
      </c>
      <c r="J3053" s="343" t="s">
        <v>429</v>
      </c>
      <c r="K3053" s="343" t="s">
        <v>168</v>
      </c>
    </row>
    <row r="3054" spans="1:11" ht="26.25" customHeight="1">
      <c r="A3054" s="343" t="s">
        <v>5582</v>
      </c>
      <c r="B3054" s="344" t="s">
        <v>162</v>
      </c>
      <c r="C3054" s="344">
        <v>10394</v>
      </c>
      <c r="D3054" s="343" t="s">
        <v>5593</v>
      </c>
      <c r="E3054" s="344">
        <v>6399039</v>
      </c>
      <c r="F3054" s="343" t="s">
        <v>5595</v>
      </c>
      <c r="G3054" s="360" t="s">
        <v>11002</v>
      </c>
      <c r="H3054" s="361">
        <v>42493</v>
      </c>
      <c r="I3054" s="343" t="s">
        <v>802</v>
      </c>
      <c r="J3054" s="343" t="s">
        <v>12350</v>
      </c>
      <c r="K3054" s="343" t="s">
        <v>168</v>
      </c>
    </row>
    <row r="3055" spans="1:11" ht="26.25" customHeight="1">
      <c r="A3055" s="343" t="s">
        <v>5582</v>
      </c>
      <c r="B3055" s="344" t="s">
        <v>162</v>
      </c>
      <c r="C3055" s="344">
        <v>9922</v>
      </c>
      <c r="D3055" s="343" t="s">
        <v>5748</v>
      </c>
      <c r="E3055" s="344">
        <v>5176760</v>
      </c>
      <c r="F3055" s="343" t="s">
        <v>5750</v>
      </c>
      <c r="G3055" s="360" t="s">
        <v>12351</v>
      </c>
      <c r="H3055" s="361">
        <v>42500</v>
      </c>
      <c r="I3055" s="343" t="s">
        <v>198</v>
      </c>
      <c r="J3055" s="343" t="s">
        <v>10321</v>
      </c>
      <c r="K3055" s="343" t="s">
        <v>168</v>
      </c>
    </row>
    <row r="3056" spans="1:11" ht="26.25" customHeight="1">
      <c r="A3056" s="343" t="s">
        <v>5582</v>
      </c>
      <c r="B3056" s="344" t="s">
        <v>162</v>
      </c>
      <c r="C3056" s="344">
        <v>7512</v>
      </c>
      <c r="D3056" s="343" t="s">
        <v>5680</v>
      </c>
      <c r="E3056" s="344">
        <v>6479987</v>
      </c>
      <c r="F3056" s="343" t="s">
        <v>5682</v>
      </c>
      <c r="G3056" s="360" t="s">
        <v>10977</v>
      </c>
      <c r="H3056" s="361">
        <v>42500</v>
      </c>
      <c r="I3056" s="343" t="s">
        <v>193</v>
      </c>
      <c r="J3056" s="343" t="s">
        <v>1384</v>
      </c>
      <c r="K3056" s="343" t="s">
        <v>168</v>
      </c>
    </row>
    <row r="3057" spans="1:11" ht="26.25" customHeight="1">
      <c r="A3057" s="343" t="s">
        <v>5582</v>
      </c>
      <c r="B3057" s="344" t="s">
        <v>162</v>
      </c>
      <c r="C3057" s="344">
        <v>7003</v>
      </c>
      <c r="D3057" s="343" t="s">
        <v>5896</v>
      </c>
      <c r="E3057" s="344">
        <v>4689188</v>
      </c>
      <c r="F3057" s="343" t="s">
        <v>5899</v>
      </c>
      <c r="G3057" s="360" t="s">
        <v>12352</v>
      </c>
      <c r="H3057" s="361">
        <v>42478</v>
      </c>
      <c r="I3057" s="343" t="s">
        <v>5900</v>
      </c>
      <c r="J3057" s="343" t="s">
        <v>12353</v>
      </c>
      <c r="K3057" s="343" t="s">
        <v>168</v>
      </c>
    </row>
    <row r="3058" spans="1:11" ht="26.25" customHeight="1">
      <c r="A3058" s="343" t="s">
        <v>5582</v>
      </c>
      <c r="B3058" s="344" t="s">
        <v>162</v>
      </c>
      <c r="C3058" s="344">
        <v>10494</v>
      </c>
      <c r="D3058" s="343" t="s">
        <v>6073</v>
      </c>
      <c r="E3058" s="344">
        <v>6338004</v>
      </c>
      <c r="F3058" s="343" t="s">
        <v>6075</v>
      </c>
      <c r="G3058" s="360" t="s">
        <v>10168</v>
      </c>
      <c r="H3058" s="361">
        <v>42486</v>
      </c>
      <c r="I3058" s="343" t="s">
        <v>465</v>
      </c>
      <c r="J3058" s="343" t="s">
        <v>553</v>
      </c>
      <c r="K3058" s="343" t="s">
        <v>168</v>
      </c>
    </row>
    <row r="3059" spans="1:11" ht="26.25" customHeight="1">
      <c r="A3059" s="343" t="s">
        <v>5582</v>
      </c>
      <c r="B3059" s="344" t="s">
        <v>162</v>
      </c>
      <c r="C3059" s="344">
        <v>9457</v>
      </c>
      <c r="D3059" s="343" t="s">
        <v>5985</v>
      </c>
      <c r="E3059" s="344">
        <v>5803363</v>
      </c>
      <c r="F3059" s="343" t="s">
        <v>5986</v>
      </c>
      <c r="G3059" s="360" t="s">
        <v>9954</v>
      </c>
      <c r="H3059" s="361">
        <v>42527</v>
      </c>
      <c r="I3059" s="343" t="s">
        <v>180</v>
      </c>
      <c r="J3059" s="343" t="s">
        <v>12354</v>
      </c>
      <c r="K3059" s="343" t="s">
        <v>173</v>
      </c>
    </row>
    <row r="3060" spans="1:11" ht="26.25" customHeight="1">
      <c r="A3060" s="343" t="s">
        <v>5582</v>
      </c>
      <c r="B3060" s="344" t="s">
        <v>162</v>
      </c>
      <c r="C3060" s="344">
        <v>7008</v>
      </c>
      <c r="D3060" s="343" t="s">
        <v>5826</v>
      </c>
      <c r="E3060" s="344">
        <v>5278657</v>
      </c>
      <c r="F3060" s="343" t="s">
        <v>5827</v>
      </c>
      <c r="G3060" s="360" t="s">
        <v>12355</v>
      </c>
      <c r="H3060" s="361">
        <v>42507</v>
      </c>
      <c r="I3060" s="343" t="s">
        <v>5828</v>
      </c>
      <c r="J3060" s="343" t="s">
        <v>12356</v>
      </c>
      <c r="K3060" s="343" t="s">
        <v>168</v>
      </c>
    </row>
    <row r="3061" spans="1:11" ht="26.25" customHeight="1">
      <c r="A3061" s="343" t="s">
        <v>5582</v>
      </c>
      <c r="B3061" s="344" t="s">
        <v>162</v>
      </c>
      <c r="C3061" s="344">
        <v>12867</v>
      </c>
      <c r="D3061" s="343" t="s">
        <v>7044</v>
      </c>
      <c r="E3061" s="344">
        <v>5074974</v>
      </c>
      <c r="F3061" s="343" t="s">
        <v>5964</v>
      </c>
      <c r="G3061" s="360" t="s">
        <v>12357</v>
      </c>
      <c r="H3061" s="361">
        <v>42508</v>
      </c>
      <c r="I3061" s="343" t="s">
        <v>5965</v>
      </c>
      <c r="J3061" s="343" t="s">
        <v>12358</v>
      </c>
      <c r="K3061" s="343" t="s">
        <v>168</v>
      </c>
    </row>
    <row r="3062" spans="1:11" ht="26.25" customHeight="1">
      <c r="A3062" s="343" t="s">
        <v>5582</v>
      </c>
      <c r="B3062" s="344" t="s">
        <v>162</v>
      </c>
      <c r="C3062" s="344">
        <v>7025</v>
      </c>
      <c r="D3062" s="343" t="s">
        <v>5947</v>
      </c>
      <c r="E3062" s="344">
        <v>4921275</v>
      </c>
      <c r="F3062" s="343" t="s">
        <v>5950</v>
      </c>
      <c r="G3062" s="360" t="s">
        <v>10871</v>
      </c>
      <c r="H3062" s="361">
        <v>42508</v>
      </c>
      <c r="I3062" s="343" t="s">
        <v>198</v>
      </c>
      <c r="J3062" s="343" t="s">
        <v>198</v>
      </c>
      <c r="K3062" s="343" t="s">
        <v>168</v>
      </c>
    </row>
    <row r="3063" spans="1:11" ht="26.25" customHeight="1">
      <c r="A3063" s="343" t="s">
        <v>5582</v>
      </c>
      <c r="B3063" s="344" t="s">
        <v>162</v>
      </c>
      <c r="C3063" s="344">
        <v>7501</v>
      </c>
      <c r="D3063" s="343" t="s">
        <v>5614</v>
      </c>
      <c r="E3063" s="344">
        <v>6322780</v>
      </c>
      <c r="F3063" s="343" t="s">
        <v>5617</v>
      </c>
      <c r="G3063" s="360" t="s">
        <v>10043</v>
      </c>
      <c r="H3063" s="361">
        <v>42508</v>
      </c>
      <c r="I3063" s="343" t="s">
        <v>802</v>
      </c>
      <c r="J3063" s="343" t="s">
        <v>10301</v>
      </c>
      <c r="K3063" s="343" t="s">
        <v>168</v>
      </c>
    </row>
    <row r="3064" spans="1:11" ht="26.25" customHeight="1">
      <c r="A3064" s="343" t="s">
        <v>5582</v>
      </c>
      <c r="B3064" s="344" t="s">
        <v>162</v>
      </c>
      <c r="C3064" s="344">
        <v>9087</v>
      </c>
      <c r="D3064" s="343" t="s">
        <v>5956</v>
      </c>
      <c r="E3064" s="344">
        <v>3781420</v>
      </c>
      <c r="F3064" s="343" t="s">
        <v>5957</v>
      </c>
      <c r="G3064" s="360" t="s">
        <v>12359</v>
      </c>
      <c r="H3064" s="361">
        <v>42509</v>
      </c>
      <c r="I3064" s="343" t="s">
        <v>780</v>
      </c>
      <c r="J3064" s="343" t="s">
        <v>780</v>
      </c>
      <c r="K3064" s="343" t="s">
        <v>168</v>
      </c>
    </row>
    <row r="3065" spans="1:11" ht="26.25" customHeight="1">
      <c r="A3065" s="343" t="s">
        <v>5582</v>
      </c>
      <c r="B3065" s="344" t="s">
        <v>162</v>
      </c>
      <c r="C3065" s="344">
        <v>7025</v>
      </c>
      <c r="D3065" s="343" t="s">
        <v>5947</v>
      </c>
      <c r="E3065" s="344">
        <v>5286260</v>
      </c>
      <c r="F3065" s="343" t="s">
        <v>5952</v>
      </c>
      <c r="G3065" s="360" t="s">
        <v>12360</v>
      </c>
      <c r="H3065" s="361">
        <v>42509</v>
      </c>
      <c r="I3065" s="343" t="s">
        <v>366</v>
      </c>
      <c r="J3065" s="343" t="s">
        <v>366</v>
      </c>
      <c r="K3065" s="343" t="s">
        <v>168</v>
      </c>
    </row>
    <row r="3066" spans="1:11" ht="26.25" customHeight="1">
      <c r="A3066" s="343" t="s">
        <v>5582</v>
      </c>
      <c r="B3066" s="344" t="s">
        <v>162</v>
      </c>
      <c r="C3066" s="344">
        <v>9487</v>
      </c>
      <c r="D3066" s="343" t="s">
        <v>5734</v>
      </c>
      <c r="E3066" s="344">
        <v>5760679</v>
      </c>
      <c r="F3066" s="343" t="s">
        <v>5738</v>
      </c>
      <c r="G3066" s="360" t="s">
        <v>12361</v>
      </c>
      <c r="H3066" s="361">
        <v>42521</v>
      </c>
      <c r="I3066" s="343" t="s">
        <v>3583</v>
      </c>
      <c r="J3066" s="343" t="s">
        <v>12362</v>
      </c>
      <c r="K3066" s="343" t="s">
        <v>173</v>
      </c>
    </row>
    <row r="3067" spans="1:11" ht="26.25" customHeight="1">
      <c r="A3067" s="343" t="s">
        <v>5582</v>
      </c>
      <c r="B3067" s="344" t="s">
        <v>162</v>
      </c>
      <c r="C3067" s="344">
        <v>9655</v>
      </c>
      <c r="D3067" s="343" t="s">
        <v>6020</v>
      </c>
      <c r="E3067" s="344">
        <v>5916506</v>
      </c>
      <c r="F3067" s="343" t="s">
        <v>6021</v>
      </c>
      <c r="G3067" s="360" t="s">
        <v>9495</v>
      </c>
      <c r="H3067" s="361">
        <v>42543</v>
      </c>
      <c r="I3067" s="343" t="s">
        <v>802</v>
      </c>
      <c r="J3067" s="343" t="s">
        <v>12363</v>
      </c>
      <c r="K3067" s="343" t="s">
        <v>168</v>
      </c>
    </row>
    <row r="3068" spans="1:11" ht="26.25" customHeight="1">
      <c r="A3068" s="343" t="s">
        <v>5582</v>
      </c>
      <c r="B3068" s="344" t="s">
        <v>162</v>
      </c>
      <c r="C3068" s="344">
        <v>7017</v>
      </c>
      <c r="D3068" s="343" t="s">
        <v>5869</v>
      </c>
      <c r="E3068" s="344">
        <v>6512957</v>
      </c>
      <c r="F3068" s="343" t="s">
        <v>5870</v>
      </c>
      <c r="G3068" s="360" t="s">
        <v>12364</v>
      </c>
      <c r="H3068" s="361">
        <v>42542</v>
      </c>
      <c r="I3068" s="343" t="s">
        <v>211</v>
      </c>
      <c r="J3068" s="343" t="s">
        <v>948</v>
      </c>
      <c r="K3068" s="343" t="s">
        <v>168</v>
      </c>
    </row>
    <row r="3069" spans="1:11" ht="26.25" customHeight="1">
      <c r="A3069" s="343" t="s">
        <v>5582</v>
      </c>
      <c r="B3069" s="344" t="s">
        <v>162</v>
      </c>
      <c r="C3069" s="344">
        <v>9487</v>
      </c>
      <c r="D3069" s="343" t="s">
        <v>5734</v>
      </c>
      <c r="E3069" s="344">
        <v>4688472</v>
      </c>
      <c r="F3069" s="343" t="s">
        <v>5742</v>
      </c>
      <c r="G3069" s="360" t="s">
        <v>12365</v>
      </c>
      <c r="H3069" s="361">
        <v>42543</v>
      </c>
      <c r="I3069" s="343" t="s">
        <v>211</v>
      </c>
      <c r="J3069" s="343" t="s">
        <v>12366</v>
      </c>
      <c r="K3069" s="343" t="s">
        <v>168</v>
      </c>
    </row>
    <row r="3070" spans="1:11" ht="26.25" customHeight="1">
      <c r="A3070" s="343" t="s">
        <v>5582</v>
      </c>
      <c r="B3070" s="344" t="s">
        <v>162</v>
      </c>
      <c r="C3070" s="344">
        <v>7000</v>
      </c>
      <c r="D3070" s="343" t="s">
        <v>5840</v>
      </c>
      <c r="E3070" s="344">
        <v>4822550</v>
      </c>
      <c r="F3070" s="343" t="s">
        <v>5841</v>
      </c>
      <c r="G3070" s="360" t="s">
        <v>12367</v>
      </c>
      <c r="H3070" s="361">
        <v>42583</v>
      </c>
      <c r="I3070" s="343" t="s">
        <v>709</v>
      </c>
      <c r="J3070" s="343" t="s">
        <v>12368</v>
      </c>
      <c r="K3070" s="343" t="s">
        <v>168</v>
      </c>
    </row>
    <row r="3071" spans="1:11" ht="26.25" customHeight="1">
      <c r="A3071" s="343" t="s">
        <v>5582</v>
      </c>
      <c r="B3071" s="344" t="s">
        <v>162</v>
      </c>
      <c r="C3071" s="344">
        <v>12865</v>
      </c>
      <c r="D3071" s="343" t="s">
        <v>5937</v>
      </c>
      <c r="E3071" s="344">
        <v>5282387</v>
      </c>
      <c r="F3071" s="343" t="s">
        <v>5938</v>
      </c>
      <c r="G3071" s="360" t="s">
        <v>12369</v>
      </c>
      <c r="H3071" s="361">
        <v>42573</v>
      </c>
      <c r="I3071" s="343" t="s">
        <v>709</v>
      </c>
      <c r="J3071" s="343" t="s">
        <v>978</v>
      </c>
      <c r="K3071" s="343" t="s">
        <v>173</v>
      </c>
    </row>
    <row r="3072" spans="1:11" ht="26.25" customHeight="1">
      <c r="A3072" s="343" t="s">
        <v>5582</v>
      </c>
      <c r="B3072" s="344" t="s">
        <v>162</v>
      </c>
      <c r="C3072" s="344">
        <v>8468</v>
      </c>
      <c r="D3072" s="343" t="s">
        <v>5596</v>
      </c>
      <c r="E3072" s="344">
        <v>6364714</v>
      </c>
      <c r="F3072" s="343" t="s">
        <v>5598</v>
      </c>
      <c r="G3072" s="360" t="s">
        <v>9571</v>
      </c>
      <c r="H3072" s="361">
        <v>42594</v>
      </c>
      <c r="I3072" s="343" t="s">
        <v>193</v>
      </c>
      <c r="J3072" s="343" t="s">
        <v>536</v>
      </c>
      <c r="K3072" s="343" t="s">
        <v>168</v>
      </c>
    </row>
    <row r="3073" spans="1:11" ht="26.25" customHeight="1">
      <c r="A3073" s="343" t="s">
        <v>5582</v>
      </c>
      <c r="B3073" s="344" t="s">
        <v>162</v>
      </c>
      <c r="C3073" s="344">
        <v>7014</v>
      </c>
      <c r="D3073" s="343" t="s">
        <v>5902</v>
      </c>
      <c r="E3073" s="344">
        <v>4446815</v>
      </c>
      <c r="F3073" s="343" t="s">
        <v>5904</v>
      </c>
      <c r="G3073" s="360" t="s">
        <v>11981</v>
      </c>
      <c r="H3073" s="361">
        <v>42599</v>
      </c>
      <c r="I3073" s="343" t="s">
        <v>780</v>
      </c>
      <c r="J3073" s="343" t="s">
        <v>780</v>
      </c>
      <c r="K3073" s="343" t="s">
        <v>168</v>
      </c>
    </row>
    <row r="3074" spans="1:11" ht="26.25" customHeight="1">
      <c r="A3074" s="343" t="s">
        <v>5582</v>
      </c>
      <c r="B3074" s="344" t="s">
        <v>162</v>
      </c>
      <c r="C3074" s="344">
        <v>12868</v>
      </c>
      <c r="D3074" s="343" t="s">
        <v>5860</v>
      </c>
      <c r="E3074" s="344">
        <v>5682425</v>
      </c>
      <c r="F3074" s="343" t="s">
        <v>5861</v>
      </c>
      <c r="G3074" s="360" t="s">
        <v>12370</v>
      </c>
      <c r="H3074" s="361">
        <v>42612</v>
      </c>
      <c r="I3074" s="343" t="s">
        <v>366</v>
      </c>
      <c r="J3074" s="343" t="s">
        <v>366</v>
      </c>
      <c r="K3074" s="343" t="s">
        <v>168</v>
      </c>
    </row>
    <row r="3075" spans="1:11" ht="26.25" customHeight="1">
      <c r="A3075" s="343" t="s">
        <v>5582</v>
      </c>
      <c r="B3075" s="344" t="s">
        <v>162</v>
      </c>
      <c r="C3075" s="344">
        <v>9487</v>
      </c>
      <c r="D3075" s="343" t="s">
        <v>5734</v>
      </c>
      <c r="E3075" s="344">
        <v>5228898</v>
      </c>
      <c r="F3075" s="343" t="s">
        <v>5739</v>
      </c>
      <c r="G3075" s="360" t="s">
        <v>12371</v>
      </c>
      <c r="H3075" s="361">
        <v>42619</v>
      </c>
      <c r="I3075" s="343" t="s">
        <v>193</v>
      </c>
      <c r="J3075" s="343" t="s">
        <v>377</v>
      </c>
      <c r="K3075" s="343" t="s">
        <v>168</v>
      </c>
    </row>
    <row r="3076" spans="1:11" ht="26.25" customHeight="1">
      <c r="A3076" s="343" t="s">
        <v>5582</v>
      </c>
      <c r="B3076" s="344" t="s">
        <v>162</v>
      </c>
      <c r="C3076" s="344">
        <v>7013</v>
      </c>
      <c r="D3076" s="343" t="s">
        <v>5781</v>
      </c>
      <c r="E3076" s="344">
        <v>4052945</v>
      </c>
      <c r="F3076" s="343" t="s">
        <v>5782</v>
      </c>
      <c r="G3076" s="360" t="s">
        <v>12054</v>
      </c>
      <c r="H3076" s="361">
        <v>42612</v>
      </c>
      <c r="I3076" s="343" t="s">
        <v>211</v>
      </c>
      <c r="J3076" s="343" t="s">
        <v>211</v>
      </c>
      <c r="K3076" s="343" t="s">
        <v>168</v>
      </c>
    </row>
    <row r="3077" spans="1:11" ht="26.25" customHeight="1">
      <c r="A3077" s="343" t="s">
        <v>5582</v>
      </c>
      <c r="B3077" s="344" t="s">
        <v>162</v>
      </c>
      <c r="C3077" s="344">
        <v>7530</v>
      </c>
      <c r="D3077" s="343" t="s">
        <v>5645</v>
      </c>
      <c r="E3077" s="344">
        <v>6226815</v>
      </c>
      <c r="F3077" s="343" t="s">
        <v>5646</v>
      </c>
      <c r="G3077" s="360" t="s">
        <v>11772</v>
      </c>
      <c r="H3077" s="361">
        <v>42619</v>
      </c>
      <c r="I3077" s="343" t="s">
        <v>5647</v>
      </c>
      <c r="J3077" s="343" t="s">
        <v>12372</v>
      </c>
      <c r="K3077" s="343" t="s">
        <v>173</v>
      </c>
    </row>
    <row r="3078" spans="1:11" ht="26.25" customHeight="1">
      <c r="A3078" s="343" t="s">
        <v>5582</v>
      </c>
      <c r="B3078" s="344" t="s">
        <v>162</v>
      </c>
      <c r="C3078" s="344">
        <v>9842</v>
      </c>
      <c r="D3078" s="343" t="s">
        <v>5759</v>
      </c>
      <c r="E3078" s="344">
        <v>6443141</v>
      </c>
      <c r="F3078" s="343" t="s">
        <v>5766</v>
      </c>
      <c r="G3078" s="360" t="s">
        <v>1424</v>
      </c>
      <c r="H3078" s="361">
        <v>42619</v>
      </c>
      <c r="I3078" s="343" t="s">
        <v>1024</v>
      </c>
      <c r="J3078" s="343" t="s">
        <v>12373</v>
      </c>
      <c r="K3078" s="343" t="s">
        <v>168</v>
      </c>
    </row>
    <row r="3079" spans="1:11" ht="26.25" customHeight="1">
      <c r="A3079" s="343" t="s">
        <v>5582</v>
      </c>
      <c r="B3079" s="344" t="s">
        <v>162</v>
      </c>
      <c r="C3079" s="344">
        <v>7028</v>
      </c>
      <c r="D3079" s="343" t="s">
        <v>5851</v>
      </c>
      <c r="E3079" s="344">
        <v>6556559</v>
      </c>
      <c r="F3079" s="343" t="s">
        <v>5858</v>
      </c>
      <c r="G3079" s="360" t="s">
        <v>12374</v>
      </c>
      <c r="H3079" s="361">
        <v>42613</v>
      </c>
      <c r="I3079" s="343" t="s">
        <v>211</v>
      </c>
      <c r="J3079" s="343" t="s">
        <v>211</v>
      </c>
      <c r="K3079" s="343" t="s">
        <v>168</v>
      </c>
    </row>
    <row r="3080" spans="1:11" ht="26.25" customHeight="1">
      <c r="A3080" s="343" t="s">
        <v>5582</v>
      </c>
      <c r="B3080" s="344" t="s">
        <v>162</v>
      </c>
      <c r="C3080" s="344">
        <v>6999</v>
      </c>
      <c r="D3080" s="343" t="s">
        <v>5784</v>
      </c>
      <c r="E3080" s="344">
        <v>4683357</v>
      </c>
      <c r="F3080" s="343" t="s">
        <v>5785</v>
      </c>
      <c r="G3080" s="360" t="s">
        <v>12375</v>
      </c>
      <c r="H3080" s="361">
        <v>42613</v>
      </c>
      <c r="I3080" s="343" t="s">
        <v>211</v>
      </c>
      <c r="J3080" s="343" t="s">
        <v>211</v>
      </c>
      <c r="K3080" s="343" t="s">
        <v>168</v>
      </c>
    </row>
    <row r="3081" spans="1:11" ht="26.25" customHeight="1">
      <c r="A3081" s="343" t="s">
        <v>5582</v>
      </c>
      <c r="B3081" s="344" t="s">
        <v>162</v>
      </c>
      <c r="C3081" s="344">
        <v>7028</v>
      </c>
      <c r="D3081" s="343" t="s">
        <v>5851</v>
      </c>
      <c r="E3081" s="344">
        <v>4921408</v>
      </c>
      <c r="F3081" s="343" t="s">
        <v>5857</v>
      </c>
      <c r="G3081" s="360" t="s">
        <v>12376</v>
      </c>
      <c r="H3081" s="361">
        <v>42613</v>
      </c>
      <c r="I3081" s="343" t="s">
        <v>211</v>
      </c>
      <c r="J3081" s="343" t="s">
        <v>211</v>
      </c>
      <c r="K3081" s="343" t="s">
        <v>168</v>
      </c>
    </row>
    <row r="3082" spans="1:11" ht="26.25" customHeight="1">
      <c r="A3082" s="343" t="s">
        <v>5582</v>
      </c>
      <c r="B3082" s="344" t="s">
        <v>162</v>
      </c>
      <c r="C3082" s="344">
        <v>7017</v>
      </c>
      <c r="D3082" s="343" t="s">
        <v>5869</v>
      </c>
      <c r="E3082" s="344">
        <v>4917298</v>
      </c>
      <c r="F3082" s="343" t="s">
        <v>5871</v>
      </c>
      <c r="G3082" s="360" t="s">
        <v>10855</v>
      </c>
      <c r="H3082" s="361">
        <v>42626</v>
      </c>
      <c r="I3082" s="343" t="s">
        <v>166</v>
      </c>
      <c r="J3082" s="343" t="s">
        <v>344</v>
      </c>
      <c r="K3082" s="343" t="s">
        <v>168</v>
      </c>
    </row>
    <row r="3083" spans="1:11" ht="26.25" customHeight="1">
      <c r="A3083" s="343" t="s">
        <v>5582</v>
      </c>
      <c r="B3083" s="344" t="s">
        <v>162</v>
      </c>
      <c r="C3083" s="344">
        <v>9457</v>
      </c>
      <c r="D3083" s="343" t="s">
        <v>5985</v>
      </c>
      <c r="E3083" s="344">
        <v>5914151</v>
      </c>
      <c r="F3083" s="343" t="s">
        <v>5988</v>
      </c>
      <c r="G3083" s="360" t="s">
        <v>12377</v>
      </c>
      <c r="H3083" s="361">
        <v>42639</v>
      </c>
      <c r="I3083" s="343" t="s">
        <v>465</v>
      </c>
      <c r="J3083" s="343" t="s">
        <v>9697</v>
      </c>
      <c r="K3083" s="343" t="s">
        <v>168</v>
      </c>
    </row>
    <row r="3084" spans="1:11" ht="26.25" customHeight="1">
      <c r="A3084" s="343" t="s">
        <v>5582</v>
      </c>
      <c r="B3084" s="344" t="s">
        <v>162</v>
      </c>
      <c r="C3084" s="344">
        <v>7014</v>
      </c>
      <c r="D3084" s="343" t="s">
        <v>5902</v>
      </c>
      <c r="E3084" s="344">
        <v>4973372</v>
      </c>
      <c r="F3084" s="343" t="s">
        <v>5905</v>
      </c>
      <c r="G3084" s="360" t="s">
        <v>12378</v>
      </c>
      <c r="H3084" s="361">
        <v>42642</v>
      </c>
      <c r="I3084" s="343" t="s">
        <v>198</v>
      </c>
      <c r="J3084" s="343" t="s">
        <v>1327</v>
      </c>
      <c r="K3084" s="343" t="s">
        <v>168</v>
      </c>
    </row>
    <row r="3085" spans="1:11" ht="26.25" customHeight="1">
      <c r="A3085" s="343" t="s">
        <v>5582</v>
      </c>
      <c r="B3085" s="344" t="s">
        <v>162</v>
      </c>
      <c r="C3085" s="344">
        <v>9457</v>
      </c>
      <c r="D3085" s="343" t="s">
        <v>5985</v>
      </c>
      <c r="E3085" s="344">
        <v>6146245</v>
      </c>
      <c r="F3085" s="343" t="s">
        <v>5990</v>
      </c>
      <c r="G3085" s="360" t="s">
        <v>11447</v>
      </c>
      <c r="H3085" s="361">
        <v>42643</v>
      </c>
      <c r="I3085" s="343" t="s">
        <v>193</v>
      </c>
      <c r="J3085" s="343" t="s">
        <v>536</v>
      </c>
      <c r="K3085" s="343" t="s">
        <v>168</v>
      </c>
    </row>
    <row r="3086" spans="1:11" ht="26.25" customHeight="1">
      <c r="A3086" s="343" t="s">
        <v>5582</v>
      </c>
      <c r="B3086" s="344" t="s">
        <v>162</v>
      </c>
      <c r="C3086" s="344">
        <v>8802</v>
      </c>
      <c r="D3086" s="343" t="s">
        <v>5832</v>
      </c>
      <c r="E3086" s="344">
        <v>4684926</v>
      </c>
      <c r="F3086" s="343" t="s">
        <v>5833</v>
      </c>
      <c r="G3086" s="360" t="s">
        <v>12379</v>
      </c>
      <c r="H3086" s="361">
        <v>42643</v>
      </c>
      <c r="I3086" s="343" t="s">
        <v>211</v>
      </c>
      <c r="J3086" s="343" t="s">
        <v>211</v>
      </c>
      <c r="K3086" s="343" t="s">
        <v>168</v>
      </c>
    </row>
    <row r="3087" spans="1:11" ht="26.25" customHeight="1">
      <c r="A3087" s="343" t="s">
        <v>5582</v>
      </c>
      <c r="B3087" s="344" t="s">
        <v>162</v>
      </c>
      <c r="C3087" s="344">
        <v>9921</v>
      </c>
      <c r="D3087" s="343" t="s">
        <v>7651</v>
      </c>
      <c r="E3087" s="344">
        <v>6527688</v>
      </c>
      <c r="F3087" s="343" t="s">
        <v>5776</v>
      </c>
      <c r="G3087" s="360" t="s">
        <v>11978</v>
      </c>
      <c r="H3087" s="361">
        <v>42657</v>
      </c>
      <c r="I3087" s="343" t="s">
        <v>1182</v>
      </c>
      <c r="J3087" s="343" t="s">
        <v>1183</v>
      </c>
      <c r="K3087" s="343" t="s">
        <v>173</v>
      </c>
    </row>
    <row r="3088" spans="1:11" ht="26.25" customHeight="1">
      <c r="A3088" s="343" t="s">
        <v>5582</v>
      </c>
      <c r="B3088" s="344" t="s">
        <v>162</v>
      </c>
      <c r="C3088" s="344">
        <v>7505</v>
      </c>
      <c r="D3088" s="343" t="s">
        <v>5587</v>
      </c>
      <c r="E3088" s="344">
        <v>6484960</v>
      </c>
      <c r="F3088" s="343" t="s">
        <v>5589</v>
      </c>
      <c r="G3088" s="360" t="s">
        <v>10837</v>
      </c>
      <c r="H3088" s="361">
        <v>42660</v>
      </c>
      <c r="I3088" s="343" t="s">
        <v>496</v>
      </c>
      <c r="J3088" s="343" t="s">
        <v>10742</v>
      </c>
      <c r="K3088" s="343" t="s">
        <v>173</v>
      </c>
    </row>
    <row r="3089" spans="1:11" ht="26.25" customHeight="1">
      <c r="A3089" s="343" t="s">
        <v>5582</v>
      </c>
      <c r="B3089" s="344" t="s">
        <v>162</v>
      </c>
      <c r="C3089" s="344">
        <v>9301</v>
      </c>
      <c r="D3089" s="343" t="s">
        <v>5810</v>
      </c>
      <c r="E3089" s="344">
        <v>5218234</v>
      </c>
      <c r="F3089" s="343" t="s">
        <v>5816</v>
      </c>
      <c r="G3089" s="360" t="s">
        <v>11589</v>
      </c>
      <c r="H3089" s="361">
        <v>42660</v>
      </c>
      <c r="I3089" s="343" t="s">
        <v>211</v>
      </c>
      <c r="J3089" s="343" t="s">
        <v>211</v>
      </c>
      <c r="K3089" s="343" t="s">
        <v>168</v>
      </c>
    </row>
    <row r="3090" spans="1:11" ht="26.25" customHeight="1">
      <c r="A3090" s="343" t="s">
        <v>5582</v>
      </c>
      <c r="B3090" s="344" t="s">
        <v>162</v>
      </c>
      <c r="C3090" s="344">
        <v>6694</v>
      </c>
      <c r="D3090" s="343" t="s">
        <v>6062</v>
      </c>
      <c r="E3090" s="344">
        <v>5877821</v>
      </c>
      <c r="F3090" s="343" t="s">
        <v>6065</v>
      </c>
      <c r="G3090" s="360" t="s">
        <v>12380</v>
      </c>
      <c r="H3090" s="361">
        <v>42668</v>
      </c>
      <c r="I3090" s="343" t="s">
        <v>366</v>
      </c>
      <c r="J3090" s="343" t="s">
        <v>366</v>
      </c>
      <c r="K3090" s="343" t="s">
        <v>168</v>
      </c>
    </row>
    <row r="3091" spans="1:11" ht="26.25" customHeight="1">
      <c r="A3091" s="343" t="s">
        <v>5582</v>
      </c>
      <c r="B3091" s="344" t="s">
        <v>162</v>
      </c>
      <c r="C3091" s="344">
        <v>12162</v>
      </c>
      <c r="D3091" s="343" t="s">
        <v>5876</v>
      </c>
      <c r="E3091" s="344">
        <v>4243048</v>
      </c>
      <c r="F3091" s="343" t="s">
        <v>5879</v>
      </c>
      <c r="G3091" s="360" t="s">
        <v>12381</v>
      </c>
      <c r="H3091" s="361">
        <v>42668</v>
      </c>
      <c r="I3091" s="343" t="s">
        <v>193</v>
      </c>
      <c r="J3091" s="343" t="s">
        <v>536</v>
      </c>
      <c r="K3091" s="343" t="s">
        <v>168</v>
      </c>
    </row>
    <row r="3092" spans="1:11" ht="26.25" customHeight="1">
      <c r="A3092" s="343" t="s">
        <v>5582</v>
      </c>
      <c r="B3092" s="344" t="s">
        <v>162</v>
      </c>
      <c r="C3092" s="344">
        <v>7028</v>
      </c>
      <c r="D3092" s="343" t="s">
        <v>5851</v>
      </c>
      <c r="E3092" s="344">
        <v>4918920</v>
      </c>
      <c r="F3092" s="343" t="s">
        <v>5852</v>
      </c>
      <c r="G3092" s="360" t="s">
        <v>12382</v>
      </c>
      <c r="H3092" s="361">
        <v>42670</v>
      </c>
      <c r="I3092" s="343" t="s">
        <v>366</v>
      </c>
      <c r="J3092" s="343" t="s">
        <v>366</v>
      </c>
      <c r="K3092" s="343" t="s">
        <v>168</v>
      </c>
    </row>
    <row r="3093" spans="1:11" ht="26.25" customHeight="1">
      <c r="A3093" s="343" t="s">
        <v>5582</v>
      </c>
      <c r="B3093" s="344" t="s">
        <v>162</v>
      </c>
      <c r="C3093" s="344">
        <v>9841</v>
      </c>
      <c r="D3093" s="343" t="s">
        <v>5719</v>
      </c>
      <c r="E3093" s="344">
        <v>6461415</v>
      </c>
      <c r="F3093" s="343" t="s">
        <v>5727</v>
      </c>
      <c r="G3093" s="360" t="s">
        <v>12383</v>
      </c>
      <c r="H3093" s="361">
        <v>42670</v>
      </c>
      <c r="I3093" s="343" t="s">
        <v>193</v>
      </c>
      <c r="J3093" s="343" t="s">
        <v>637</v>
      </c>
      <c r="K3093" s="343" t="s">
        <v>168</v>
      </c>
    </row>
    <row r="3094" spans="1:11" ht="26.25" customHeight="1">
      <c r="A3094" s="343" t="s">
        <v>5582</v>
      </c>
      <c r="B3094" s="344" t="s">
        <v>162</v>
      </c>
      <c r="C3094" s="344">
        <v>7515</v>
      </c>
      <c r="D3094" s="343" t="s">
        <v>5638</v>
      </c>
      <c r="E3094" s="344">
        <v>6444788</v>
      </c>
      <c r="F3094" s="343" t="s">
        <v>5640</v>
      </c>
      <c r="G3094" s="360" t="s">
        <v>12384</v>
      </c>
      <c r="H3094" s="361">
        <v>42696</v>
      </c>
      <c r="I3094" s="343" t="s">
        <v>193</v>
      </c>
      <c r="J3094" s="343" t="s">
        <v>637</v>
      </c>
      <c r="K3094" s="343" t="s">
        <v>168</v>
      </c>
    </row>
    <row r="3095" spans="1:11" ht="26.25" customHeight="1">
      <c r="A3095" s="343" t="s">
        <v>5582</v>
      </c>
      <c r="B3095" s="344" t="s">
        <v>162</v>
      </c>
      <c r="C3095" s="344">
        <v>7014</v>
      </c>
      <c r="D3095" s="343" t="s">
        <v>5902</v>
      </c>
      <c r="E3095" s="344">
        <v>5571267</v>
      </c>
      <c r="F3095" s="343" t="s">
        <v>5903</v>
      </c>
      <c r="G3095" s="360" t="s">
        <v>12385</v>
      </c>
      <c r="H3095" s="361">
        <v>42697</v>
      </c>
      <c r="I3095" s="343" t="s">
        <v>580</v>
      </c>
      <c r="J3095" s="343" t="s">
        <v>12386</v>
      </c>
      <c r="K3095" s="343" t="s">
        <v>248</v>
      </c>
    </row>
    <row r="3096" spans="1:11" ht="26.25" customHeight="1">
      <c r="A3096" s="343" t="s">
        <v>5582</v>
      </c>
      <c r="B3096" s="344" t="s">
        <v>162</v>
      </c>
      <c r="C3096" s="344">
        <v>9841</v>
      </c>
      <c r="D3096" s="343" t="s">
        <v>5719</v>
      </c>
      <c r="E3096" s="344">
        <v>6201685</v>
      </c>
      <c r="F3096" s="343" t="s">
        <v>5720</v>
      </c>
      <c r="G3096" s="360" t="s">
        <v>9703</v>
      </c>
      <c r="H3096" s="361">
        <v>42698</v>
      </c>
      <c r="I3096" s="343" t="s">
        <v>301</v>
      </c>
      <c r="J3096" s="343" t="s">
        <v>302</v>
      </c>
      <c r="K3096" s="343" t="s">
        <v>168</v>
      </c>
    </row>
    <row r="3097" spans="1:11" ht="26.25" customHeight="1">
      <c r="A3097" s="343" t="s">
        <v>5582</v>
      </c>
      <c r="B3097" s="344" t="s">
        <v>162</v>
      </c>
      <c r="C3097" s="344">
        <v>9487</v>
      </c>
      <c r="D3097" s="343" t="s">
        <v>5734</v>
      </c>
      <c r="E3097" s="344">
        <v>4595032</v>
      </c>
      <c r="F3097" s="343" t="s">
        <v>5743</v>
      </c>
      <c r="G3097" s="360" t="s">
        <v>713</v>
      </c>
      <c r="H3097" s="361">
        <v>42698</v>
      </c>
      <c r="I3097" s="343" t="s">
        <v>366</v>
      </c>
      <c r="J3097" s="343" t="s">
        <v>366</v>
      </c>
      <c r="K3097" s="343" t="s">
        <v>168</v>
      </c>
    </row>
    <row r="3098" spans="1:11" ht="26.25" customHeight="1">
      <c r="A3098" s="343" t="s">
        <v>5582</v>
      </c>
      <c r="B3098" s="344" t="s">
        <v>162</v>
      </c>
      <c r="C3098" s="344">
        <v>7518</v>
      </c>
      <c r="D3098" s="343" t="s">
        <v>5661</v>
      </c>
      <c r="E3098" s="344">
        <v>6308253</v>
      </c>
      <c r="F3098" s="343" t="s">
        <v>5662</v>
      </c>
      <c r="G3098" s="360" t="s">
        <v>10991</v>
      </c>
      <c r="H3098" s="361">
        <v>42703</v>
      </c>
      <c r="I3098" s="343" t="s">
        <v>465</v>
      </c>
      <c r="J3098" s="343" t="s">
        <v>553</v>
      </c>
      <c r="K3098" s="343" t="s">
        <v>168</v>
      </c>
    </row>
    <row r="3099" spans="1:11" ht="26.25" customHeight="1">
      <c r="A3099" s="343" t="s">
        <v>5582</v>
      </c>
      <c r="B3099" s="344" t="s">
        <v>162</v>
      </c>
      <c r="C3099" s="344">
        <v>7501</v>
      </c>
      <c r="D3099" s="343" t="s">
        <v>5614</v>
      </c>
      <c r="E3099" s="344">
        <v>5812187</v>
      </c>
      <c r="F3099" s="343" t="s">
        <v>5625</v>
      </c>
      <c r="G3099" s="360" t="s">
        <v>12387</v>
      </c>
      <c r="H3099" s="361">
        <v>42703</v>
      </c>
      <c r="I3099" s="343" t="s">
        <v>366</v>
      </c>
      <c r="J3099" s="343" t="s">
        <v>366</v>
      </c>
      <c r="K3099" s="343" t="s">
        <v>168</v>
      </c>
    </row>
    <row r="3100" spans="1:11" ht="26.25" customHeight="1">
      <c r="A3100" s="343" t="s">
        <v>5582</v>
      </c>
      <c r="B3100" s="344" t="s">
        <v>162</v>
      </c>
      <c r="C3100" s="344">
        <v>7024</v>
      </c>
      <c r="D3100" s="343" t="s">
        <v>5862</v>
      </c>
      <c r="E3100" s="344">
        <v>4801662</v>
      </c>
      <c r="F3100" s="343" t="s">
        <v>5863</v>
      </c>
      <c r="G3100" s="360" t="s">
        <v>991</v>
      </c>
      <c r="H3100" s="361">
        <v>40592</v>
      </c>
      <c r="I3100" s="343" t="s">
        <v>5864</v>
      </c>
      <c r="J3100" s="343" t="s">
        <v>12388</v>
      </c>
      <c r="K3100" s="343" t="s">
        <v>168</v>
      </c>
    </row>
    <row r="3101" spans="1:11" ht="26.25" customHeight="1">
      <c r="A3101" s="343" t="s">
        <v>5582</v>
      </c>
      <c r="B3101" s="344" t="s">
        <v>162</v>
      </c>
      <c r="C3101" s="344">
        <v>7018</v>
      </c>
      <c r="D3101" s="343" t="s">
        <v>5939</v>
      </c>
      <c r="E3101" s="344">
        <v>4178897</v>
      </c>
      <c r="F3101" s="343" t="s">
        <v>5941</v>
      </c>
      <c r="G3101" s="360" t="s">
        <v>10402</v>
      </c>
      <c r="H3101" s="361">
        <v>40464</v>
      </c>
      <c r="I3101" s="343" t="s">
        <v>211</v>
      </c>
      <c r="J3101" s="343" t="s">
        <v>909</v>
      </c>
      <c r="K3101" s="343" t="s">
        <v>168</v>
      </c>
    </row>
    <row r="3102" spans="1:11" ht="26.25" customHeight="1">
      <c r="A3102" s="343" t="s">
        <v>5582</v>
      </c>
      <c r="B3102" s="344" t="s">
        <v>162</v>
      </c>
      <c r="C3102" s="344">
        <v>12160</v>
      </c>
      <c r="D3102" s="343" t="s">
        <v>5926</v>
      </c>
      <c r="E3102" s="344">
        <v>4684683</v>
      </c>
      <c r="F3102" s="343" t="s">
        <v>5930</v>
      </c>
      <c r="G3102" s="360" t="s">
        <v>12389</v>
      </c>
      <c r="H3102" s="361">
        <v>41948</v>
      </c>
      <c r="I3102" s="343" t="s">
        <v>709</v>
      </c>
      <c r="J3102" s="343" t="s">
        <v>12390</v>
      </c>
      <c r="K3102" s="343" t="s">
        <v>168</v>
      </c>
    </row>
    <row r="3103" spans="1:11" ht="26.25" customHeight="1">
      <c r="A3103" s="343" t="s">
        <v>5582</v>
      </c>
      <c r="B3103" s="344" t="s">
        <v>162</v>
      </c>
      <c r="C3103" s="344">
        <v>12160</v>
      </c>
      <c r="D3103" s="343" t="s">
        <v>5926</v>
      </c>
      <c r="E3103" s="344">
        <v>4389784</v>
      </c>
      <c r="F3103" s="343" t="s">
        <v>5927</v>
      </c>
      <c r="G3103" s="360" t="s">
        <v>12391</v>
      </c>
      <c r="H3103" s="361">
        <v>41948</v>
      </c>
      <c r="I3103" s="343" t="s">
        <v>742</v>
      </c>
      <c r="J3103" s="343" t="s">
        <v>12392</v>
      </c>
      <c r="K3103" s="343" t="s">
        <v>168</v>
      </c>
    </row>
    <row r="3104" spans="1:11" ht="26.25" customHeight="1">
      <c r="A3104" s="343" t="s">
        <v>5582</v>
      </c>
      <c r="B3104" s="344" t="s">
        <v>162</v>
      </c>
      <c r="C3104" s="344">
        <v>9044</v>
      </c>
      <c r="D3104" s="343" t="s">
        <v>5971</v>
      </c>
      <c r="E3104" s="344">
        <v>4455436</v>
      </c>
      <c r="F3104" s="343" t="s">
        <v>5978</v>
      </c>
      <c r="G3104" s="360" t="s">
        <v>12393</v>
      </c>
      <c r="H3104" s="361">
        <v>40624</v>
      </c>
      <c r="I3104" s="343" t="s">
        <v>5979</v>
      </c>
      <c r="J3104" s="343" t="s">
        <v>12394</v>
      </c>
      <c r="K3104" s="343" t="s">
        <v>168</v>
      </c>
    </row>
    <row r="3105" spans="1:11" ht="26.25" customHeight="1">
      <c r="A3105" s="343" t="s">
        <v>5582</v>
      </c>
      <c r="B3105" s="344" t="s">
        <v>162</v>
      </c>
      <c r="C3105" s="344">
        <v>12163</v>
      </c>
      <c r="D3105" s="343" t="s">
        <v>5912</v>
      </c>
      <c r="E3105" s="344">
        <v>4477994</v>
      </c>
      <c r="F3105" s="343" t="s">
        <v>5919</v>
      </c>
      <c r="G3105" s="360" t="s">
        <v>12395</v>
      </c>
      <c r="H3105" s="361">
        <v>41935</v>
      </c>
      <c r="I3105" s="343" t="s">
        <v>211</v>
      </c>
      <c r="J3105" s="343" t="s">
        <v>12396</v>
      </c>
      <c r="K3105" s="343" t="s">
        <v>168</v>
      </c>
    </row>
    <row r="3106" spans="1:11" ht="26.25" customHeight="1">
      <c r="A3106" s="343" t="s">
        <v>5582</v>
      </c>
      <c r="B3106" s="344" t="s">
        <v>162</v>
      </c>
      <c r="C3106" s="344">
        <v>7006</v>
      </c>
      <c r="D3106" s="343" t="s">
        <v>5819</v>
      </c>
      <c r="E3106" s="344">
        <v>4175978</v>
      </c>
      <c r="F3106" s="343" t="s">
        <v>5823</v>
      </c>
      <c r="G3106" s="360" t="s">
        <v>12397</v>
      </c>
      <c r="H3106" s="361">
        <v>40311</v>
      </c>
      <c r="I3106" s="343" t="s">
        <v>166</v>
      </c>
      <c r="J3106" s="343" t="s">
        <v>799</v>
      </c>
      <c r="K3106" s="343" t="s">
        <v>168</v>
      </c>
    </row>
    <row r="3107" spans="1:11" ht="26.25" customHeight="1">
      <c r="A3107" s="343" t="s">
        <v>5582</v>
      </c>
      <c r="B3107" s="344" t="s">
        <v>162</v>
      </c>
      <c r="C3107" s="344">
        <v>9044</v>
      </c>
      <c r="D3107" s="343" t="s">
        <v>5971</v>
      </c>
      <c r="E3107" s="344">
        <v>3565516</v>
      </c>
      <c r="F3107" s="343" t="s">
        <v>5972</v>
      </c>
      <c r="G3107" s="360" t="s">
        <v>12398</v>
      </c>
      <c r="H3107" s="361">
        <v>40644</v>
      </c>
      <c r="I3107" s="343" t="s">
        <v>211</v>
      </c>
      <c r="J3107" s="343" t="s">
        <v>909</v>
      </c>
      <c r="K3107" s="343" t="s">
        <v>168</v>
      </c>
    </row>
    <row r="3108" spans="1:11" ht="26.25" customHeight="1">
      <c r="A3108" s="343" t="s">
        <v>5582</v>
      </c>
      <c r="B3108" s="344" t="s">
        <v>162</v>
      </c>
      <c r="C3108" s="344">
        <v>7024</v>
      </c>
      <c r="D3108" s="343" t="s">
        <v>5862</v>
      </c>
      <c r="E3108" s="344">
        <v>4093650</v>
      </c>
      <c r="F3108" s="343" t="s">
        <v>5865</v>
      </c>
      <c r="G3108" s="360" t="s">
        <v>12399</v>
      </c>
      <c r="H3108" s="361">
        <v>40876</v>
      </c>
      <c r="I3108" s="343" t="s">
        <v>198</v>
      </c>
      <c r="J3108" s="343" t="s">
        <v>198</v>
      </c>
      <c r="K3108" s="343" t="s">
        <v>168</v>
      </c>
    </row>
    <row r="3109" spans="1:11" ht="26.25" customHeight="1">
      <c r="A3109" s="343" t="s">
        <v>5582</v>
      </c>
      <c r="B3109" s="344" t="s">
        <v>162</v>
      </c>
      <c r="C3109" s="344">
        <v>9044</v>
      </c>
      <c r="D3109" s="343" t="s">
        <v>5971</v>
      </c>
      <c r="E3109" s="344">
        <v>4196765</v>
      </c>
      <c r="F3109" s="343" t="s">
        <v>5974</v>
      </c>
      <c r="G3109" s="360" t="s">
        <v>12400</v>
      </c>
      <c r="H3109" s="361">
        <v>40865</v>
      </c>
      <c r="I3109" s="343" t="s">
        <v>366</v>
      </c>
      <c r="J3109" s="343" t="s">
        <v>366</v>
      </c>
      <c r="K3109" s="343" t="s">
        <v>168</v>
      </c>
    </row>
    <row r="3110" spans="1:11" ht="26.25" customHeight="1">
      <c r="A3110" s="343" t="s">
        <v>5582</v>
      </c>
      <c r="B3110" s="344" t="s">
        <v>162</v>
      </c>
      <c r="C3110" s="344">
        <v>9044</v>
      </c>
      <c r="D3110" s="343" t="s">
        <v>5971</v>
      </c>
      <c r="E3110" s="344">
        <v>4005678</v>
      </c>
      <c r="F3110" s="343" t="s">
        <v>5977</v>
      </c>
      <c r="G3110" s="360" t="s">
        <v>12401</v>
      </c>
      <c r="H3110" s="361">
        <v>40648</v>
      </c>
      <c r="I3110" s="343" t="s">
        <v>366</v>
      </c>
      <c r="J3110" s="343" t="s">
        <v>366</v>
      </c>
      <c r="K3110" s="343" t="s">
        <v>168</v>
      </c>
    </row>
    <row r="3111" spans="1:11" ht="26.25" customHeight="1">
      <c r="A3111" s="343" t="s">
        <v>5582</v>
      </c>
      <c r="B3111" s="344" t="s">
        <v>162</v>
      </c>
      <c r="C3111" s="344">
        <v>9487</v>
      </c>
      <c r="D3111" s="343" t="s">
        <v>5734</v>
      </c>
      <c r="E3111" s="344">
        <v>4248500</v>
      </c>
      <c r="F3111" s="343" t="s">
        <v>5741</v>
      </c>
      <c r="G3111" s="360" t="s">
        <v>12402</v>
      </c>
      <c r="H3111" s="361">
        <v>40688</v>
      </c>
      <c r="I3111" s="343" t="s">
        <v>261</v>
      </c>
      <c r="J3111" s="343" t="s">
        <v>12403</v>
      </c>
      <c r="K3111" s="343" t="s">
        <v>168</v>
      </c>
    </row>
    <row r="3112" spans="1:11" ht="26.25" customHeight="1">
      <c r="A3112" s="343" t="s">
        <v>5582</v>
      </c>
      <c r="B3112" s="344" t="s">
        <v>162</v>
      </c>
      <c r="C3112" s="344">
        <v>7001</v>
      </c>
      <c r="D3112" s="343" t="s">
        <v>5787</v>
      </c>
      <c r="E3112" s="344">
        <v>4921807</v>
      </c>
      <c r="F3112" s="343" t="s">
        <v>5788</v>
      </c>
      <c r="G3112" s="360" t="s">
        <v>12404</v>
      </c>
      <c r="H3112" s="361">
        <v>40980</v>
      </c>
      <c r="I3112" s="343" t="s">
        <v>211</v>
      </c>
      <c r="J3112" s="343" t="s">
        <v>909</v>
      </c>
      <c r="K3112" s="343" t="s">
        <v>168</v>
      </c>
    </row>
    <row r="3113" spans="1:11" ht="26.25" customHeight="1">
      <c r="A3113" s="343" t="s">
        <v>5582</v>
      </c>
      <c r="B3113" s="344" t="s">
        <v>162</v>
      </c>
      <c r="C3113" s="344">
        <v>7000</v>
      </c>
      <c r="D3113" s="343" t="s">
        <v>5840</v>
      </c>
      <c r="E3113" s="344">
        <v>4382421</v>
      </c>
      <c r="F3113" s="343" t="s">
        <v>5846</v>
      </c>
      <c r="G3113" s="360" t="s">
        <v>12405</v>
      </c>
      <c r="H3113" s="361">
        <v>40981</v>
      </c>
      <c r="I3113" s="343" t="s">
        <v>366</v>
      </c>
      <c r="J3113" s="343" t="s">
        <v>366</v>
      </c>
      <c r="K3113" s="343" t="s">
        <v>168</v>
      </c>
    </row>
    <row r="3114" spans="1:11" ht="26.25" customHeight="1">
      <c r="A3114" s="343" t="s">
        <v>5582</v>
      </c>
      <c r="B3114" s="344" t="s">
        <v>162</v>
      </c>
      <c r="C3114" s="344">
        <v>9087</v>
      </c>
      <c r="D3114" s="343" t="s">
        <v>5956</v>
      </c>
      <c r="E3114" s="344">
        <v>4435014</v>
      </c>
      <c r="F3114" s="343" t="s">
        <v>5959</v>
      </c>
      <c r="G3114" s="360" t="s">
        <v>12406</v>
      </c>
      <c r="H3114" s="361">
        <v>40997</v>
      </c>
      <c r="I3114" s="343" t="s">
        <v>709</v>
      </c>
      <c r="J3114" s="343" t="s">
        <v>710</v>
      </c>
      <c r="K3114" s="343" t="s">
        <v>168</v>
      </c>
    </row>
    <row r="3115" spans="1:11" ht="26.25" customHeight="1">
      <c r="A3115" s="343" t="s">
        <v>5582</v>
      </c>
      <c r="B3115" s="344" t="s">
        <v>162</v>
      </c>
      <c r="C3115" s="344">
        <v>7000</v>
      </c>
      <c r="D3115" s="343" t="s">
        <v>5840</v>
      </c>
      <c r="E3115" s="344">
        <v>3773491</v>
      </c>
      <c r="F3115" s="343" t="s">
        <v>5844</v>
      </c>
      <c r="G3115" s="360" t="s">
        <v>12407</v>
      </c>
      <c r="H3115" s="361">
        <v>41001</v>
      </c>
      <c r="I3115" s="343" t="s">
        <v>366</v>
      </c>
      <c r="J3115" s="343" t="s">
        <v>366</v>
      </c>
      <c r="K3115" s="343" t="s">
        <v>168</v>
      </c>
    </row>
    <row r="3116" spans="1:11" ht="26.25" customHeight="1">
      <c r="A3116" s="343" t="s">
        <v>5582</v>
      </c>
      <c r="B3116" s="344" t="s">
        <v>162</v>
      </c>
      <c r="C3116" s="344">
        <v>7024</v>
      </c>
      <c r="D3116" s="343" t="s">
        <v>5862</v>
      </c>
      <c r="E3116" s="344">
        <v>4615343</v>
      </c>
      <c r="F3116" s="343" t="s">
        <v>5868</v>
      </c>
      <c r="G3116" s="360" t="s">
        <v>12408</v>
      </c>
      <c r="H3116" s="361">
        <v>41235</v>
      </c>
      <c r="I3116" s="343" t="s">
        <v>198</v>
      </c>
      <c r="J3116" s="343" t="s">
        <v>198</v>
      </c>
      <c r="K3116" s="343" t="s">
        <v>168</v>
      </c>
    </row>
    <row r="3117" spans="1:11" ht="26.25" customHeight="1">
      <c r="A3117" s="343" t="s">
        <v>5582</v>
      </c>
      <c r="B3117" s="344" t="s">
        <v>162</v>
      </c>
      <c r="C3117" s="344">
        <v>8880</v>
      </c>
      <c r="D3117" s="343" t="s">
        <v>5797</v>
      </c>
      <c r="E3117" s="344">
        <v>4604359</v>
      </c>
      <c r="F3117" s="343" t="s">
        <v>5798</v>
      </c>
      <c r="G3117" s="360" t="s">
        <v>12409</v>
      </c>
      <c r="H3117" s="361">
        <v>41011</v>
      </c>
      <c r="I3117" s="343" t="s">
        <v>984</v>
      </c>
      <c r="J3117" s="343" t="s">
        <v>11974</v>
      </c>
      <c r="K3117" s="343" t="s">
        <v>168</v>
      </c>
    </row>
    <row r="3118" spans="1:11" ht="26.25" customHeight="1">
      <c r="A3118" s="343" t="s">
        <v>5582</v>
      </c>
      <c r="B3118" s="344" t="s">
        <v>162</v>
      </c>
      <c r="C3118" s="344">
        <v>7017</v>
      </c>
      <c r="D3118" s="343" t="s">
        <v>5869</v>
      </c>
      <c r="E3118" s="344">
        <v>5209273</v>
      </c>
      <c r="F3118" s="343" t="s">
        <v>5872</v>
      </c>
      <c r="G3118" s="360" t="s">
        <v>12410</v>
      </c>
      <c r="H3118" s="361">
        <v>41148</v>
      </c>
      <c r="I3118" s="343" t="s">
        <v>211</v>
      </c>
      <c r="J3118" s="343" t="s">
        <v>211</v>
      </c>
      <c r="K3118" s="343" t="s">
        <v>168</v>
      </c>
    </row>
    <row r="3119" spans="1:11" ht="26.25" customHeight="1">
      <c r="A3119" s="343" t="s">
        <v>5582</v>
      </c>
      <c r="B3119" s="344" t="s">
        <v>162</v>
      </c>
      <c r="C3119" s="344">
        <v>9301</v>
      </c>
      <c r="D3119" s="343" t="s">
        <v>5810</v>
      </c>
      <c r="E3119" s="344">
        <v>4226696</v>
      </c>
      <c r="F3119" s="343" t="s">
        <v>5814</v>
      </c>
      <c r="G3119" s="360" t="s">
        <v>10857</v>
      </c>
      <c r="H3119" s="361">
        <v>41148</v>
      </c>
      <c r="I3119" s="343" t="s">
        <v>166</v>
      </c>
      <c r="J3119" s="343" t="s">
        <v>943</v>
      </c>
      <c r="K3119" s="343" t="s">
        <v>168</v>
      </c>
    </row>
    <row r="3120" spans="1:11" ht="26.25" customHeight="1">
      <c r="A3120" s="343" t="s">
        <v>5582</v>
      </c>
      <c r="B3120" s="344" t="s">
        <v>162</v>
      </c>
      <c r="C3120" s="344">
        <v>12179</v>
      </c>
      <c r="D3120" s="343" t="s">
        <v>5873</v>
      </c>
      <c r="E3120" s="344">
        <v>4440130</v>
      </c>
      <c r="F3120" s="343" t="s">
        <v>5874</v>
      </c>
      <c r="G3120" s="360" t="s">
        <v>10735</v>
      </c>
      <c r="H3120" s="361">
        <v>41142</v>
      </c>
      <c r="I3120" s="343" t="s">
        <v>719</v>
      </c>
      <c r="J3120" s="343" t="s">
        <v>12411</v>
      </c>
      <c r="K3120" s="343" t="s">
        <v>168</v>
      </c>
    </row>
    <row r="3121" spans="1:11" ht="26.25" customHeight="1">
      <c r="A3121" s="343" t="s">
        <v>5582</v>
      </c>
      <c r="B3121" s="344" t="s">
        <v>162</v>
      </c>
      <c r="C3121" s="344">
        <v>7001</v>
      </c>
      <c r="D3121" s="343" t="s">
        <v>5787</v>
      </c>
      <c r="E3121" s="344">
        <v>5907435</v>
      </c>
      <c r="F3121" s="343" t="s">
        <v>5792</v>
      </c>
      <c r="G3121" s="360" t="s">
        <v>12412</v>
      </c>
      <c r="H3121" s="361">
        <v>41912</v>
      </c>
      <c r="I3121" s="343" t="s">
        <v>3805</v>
      </c>
      <c r="J3121" s="343" t="s">
        <v>12413</v>
      </c>
      <c r="K3121" s="343" t="s">
        <v>173</v>
      </c>
    </row>
    <row r="3122" spans="1:11" ht="26.25" customHeight="1">
      <c r="A3122" s="343" t="s">
        <v>5582</v>
      </c>
      <c r="B3122" s="344" t="s">
        <v>162</v>
      </c>
      <c r="C3122" s="344">
        <v>11693</v>
      </c>
      <c r="D3122" s="343" t="s">
        <v>5744</v>
      </c>
      <c r="E3122" s="344">
        <v>4858366</v>
      </c>
      <c r="F3122" s="343" t="s">
        <v>5747</v>
      </c>
      <c r="G3122" s="360" t="s">
        <v>12414</v>
      </c>
      <c r="H3122" s="361">
        <v>42717</v>
      </c>
      <c r="I3122" s="343" t="s">
        <v>198</v>
      </c>
      <c r="J3122" s="343" t="s">
        <v>198</v>
      </c>
      <c r="K3122" s="343" t="s">
        <v>168</v>
      </c>
    </row>
    <row r="3123" spans="1:11" ht="26.25" customHeight="1">
      <c r="A3123" s="343" t="s">
        <v>5582</v>
      </c>
      <c r="B3123" s="344" t="s">
        <v>162</v>
      </c>
      <c r="C3123" s="344">
        <v>11693</v>
      </c>
      <c r="D3123" s="343" t="s">
        <v>5744</v>
      </c>
      <c r="E3123" s="344">
        <v>5169311</v>
      </c>
      <c r="F3123" s="343" t="s">
        <v>5746</v>
      </c>
      <c r="G3123" s="360" t="s">
        <v>968</v>
      </c>
      <c r="H3123" s="361">
        <v>42717</v>
      </c>
      <c r="I3123" s="343" t="s">
        <v>198</v>
      </c>
      <c r="J3123" s="343" t="s">
        <v>198</v>
      </c>
      <c r="K3123" s="343" t="s">
        <v>168</v>
      </c>
    </row>
    <row r="3124" spans="1:11" ht="26.25" customHeight="1">
      <c r="A3124" s="343" t="s">
        <v>5582</v>
      </c>
      <c r="B3124" s="344" t="s">
        <v>162</v>
      </c>
      <c r="C3124" s="344">
        <v>11693</v>
      </c>
      <c r="D3124" s="343" t="s">
        <v>5744</v>
      </c>
      <c r="E3124" s="344">
        <v>5724825</v>
      </c>
      <c r="F3124" s="343" t="s">
        <v>5745</v>
      </c>
      <c r="G3124" s="360" t="s">
        <v>12415</v>
      </c>
      <c r="H3124" s="361">
        <v>42717</v>
      </c>
      <c r="I3124" s="343" t="s">
        <v>211</v>
      </c>
      <c r="J3124" s="343" t="s">
        <v>211</v>
      </c>
      <c r="K3124" s="343" t="s">
        <v>168</v>
      </c>
    </row>
    <row r="3125" spans="1:11" ht="26.25" customHeight="1">
      <c r="A3125" s="343" t="s">
        <v>5582</v>
      </c>
      <c r="B3125" s="344" t="s">
        <v>162</v>
      </c>
      <c r="C3125" s="344">
        <v>9487</v>
      </c>
      <c r="D3125" s="343" t="s">
        <v>5734</v>
      </c>
      <c r="E3125" s="344">
        <v>4688247</v>
      </c>
      <c r="F3125" s="343" t="s">
        <v>5735</v>
      </c>
      <c r="G3125" s="360" t="s">
        <v>12416</v>
      </c>
      <c r="H3125" s="361">
        <v>41313</v>
      </c>
      <c r="I3125" s="343" t="s">
        <v>366</v>
      </c>
      <c r="J3125" s="343" t="s">
        <v>366</v>
      </c>
      <c r="K3125" s="343" t="s">
        <v>168</v>
      </c>
    </row>
    <row r="3126" spans="1:11" ht="26.25" customHeight="1">
      <c r="A3126" s="343" t="s">
        <v>5582</v>
      </c>
      <c r="B3126" s="344" t="s">
        <v>162</v>
      </c>
      <c r="C3126" s="344">
        <v>9922</v>
      </c>
      <c r="D3126" s="343" t="s">
        <v>5748</v>
      </c>
      <c r="E3126" s="344">
        <v>4422725</v>
      </c>
      <c r="F3126" s="343" t="s">
        <v>5752</v>
      </c>
      <c r="G3126" s="360" t="s">
        <v>12108</v>
      </c>
      <c r="H3126" s="361">
        <v>41605</v>
      </c>
      <c r="I3126" s="343" t="s">
        <v>4026</v>
      </c>
      <c r="J3126" s="343" t="s">
        <v>12417</v>
      </c>
      <c r="K3126" s="343" t="s">
        <v>168</v>
      </c>
    </row>
    <row r="3127" spans="1:11" ht="26.25" customHeight="1">
      <c r="A3127" s="343" t="s">
        <v>5582</v>
      </c>
      <c r="B3127" s="344" t="s">
        <v>162</v>
      </c>
      <c r="C3127" s="344">
        <v>7000</v>
      </c>
      <c r="D3127" s="343" t="s">
        <v>5840</v>
      </c>
      <c r="E3127" s="344">
        <v>5176780</v>
      </c>
      <c r="F3127" s="343" t="s">
        <v>5845</v>
      </c>
      <c r="G3127" s="360" t="s">
        <v>12418</v>
      </c>
      <c r="H3127" s="361">
        <v>41326</v>
      </c>
      <c r="I3127" s="343" t="s">
        <v>3805</v>
      </c>
      <c r="J3127" s="343" t="s">
        <v>11962</v>
      </c>
      <c r="K3127" s="343" t="s">
        <v>173</v>
      </c>
    </row>
    <row r="3128" spans="1:11" ht="26.25" customHeight="1">
      <c r="A3128" s="343" t="s">
        <v>5582</v>
      </c>
      <c r="B3128" s="344" t="s">
        <v>162</v>
      </c>
      <c r="C3128" s="344">
        <v>12159</v>
      </c>
      <c r="D3128" s="343" t="s">
        <v>9290</v>
      </c>
      <c r="E3128" s="344">
        <v>4878537</v>
      </c>
      <c r="F3128" s="343" t="s">
        <v>5778</v>
      </c>
      <c r="G3128" s="360" t="s">
        <v>12081</v>
      </c>
      <c r="H3128" s="361">
        <v>41892</v>
      </c>
      <c r="I3128" s="343" t="s">
        <v>211</v>
      </c>
      <c r="J3128" s="343" t="s">
        <v>12419</v>
      </c>
      <c r="K3128" s="343" t="s">
        <v>168</v>
      </c>
    </row>
    <row r="3129" spans="1:11" ht="26.25" customHeight="1">
      <c r="A3129" s="343" t="s">
        <v>5582</v>
      </c>
      <c r="B3129" s="344" t="s">
        <v>162</v>
      </c>
      <c r="C3129" s="344">
        <v>12162</v>
      </c>
      <c r="D3129" s="343" t="s">
        <v>5876</v>
      </c>
      <c r="E3129" s="344">
        <v>4401850</v>
      </c>
      <c r="F3129" s="343" t="s">
        <v>5880</v>
      </c>
      <c r="G3129" s="360" t="s">
        <v>12420</v>
      </c>
      <c r="H3129" s="361">
        <v>41579</v>
      </c>
      <c r="I3129" s="343" t="s">
        <v>166</v>
      </c>
      <c r="J3129" s="343" t="s">
        <v>943</v>
      </c>
      <c r="K3129" s="343" t="s">
        <v>168</v>
      </c>
    </row>
    <row r="3130" spans="1:11" ht="26.25" customHeight="1">
      <c r="A3130" s="343" t="s">
        <v>5582</v>
      </c>
      <c r="B3130" s="344" t="s">
        <v>162</v>
      </c>
      <c r="C3130" s="344">
        <v>12164</v>
      </c>
      <c r="D3130" s="343" t="s">
        <v>5804</v>
      </c>
      <c r="E3130" s="344">
        <v>4404431</v>
      </c>
      <c r="F3130" s="343" t="s">
        <v>5808</v>
      </c>
      <c r="G3130" s="360" t="s">
        <v>12421</v>
      </c>
      <c r="H3130" s="361">
        <v>41339</v>
      </c>
      <c r="I3130" s="343" t="s">
        <v>366</v>
      </c>
      <c r="J3130" s="343" t="s">
        <v>366</v>
      </c>
      <c r="K3130" s="343" t="s">
        <v>168</v>
      </c>
    </row>
    <row r="3131" spans="1:11" ht="26.25" customHeight="1">
      <c r="A3131" s="343" t="s">
        <v>5582</v>
      </c>
      <c r="B3131" s="344" t="s">
        <v>162</v>
      </c>
      <c r="C3131" s="344">
        <v>7012</v>
      </c>
      <c r="D3131" s="343" t="s">
        <v>5800</v>
      </c>
      <c r="E3131" s="344">
        <v>3630853</v>
      </c>
      <c r="F3131" s="343" t="s">
        <v>5803</v>
      </c>
      <c r="G3131" s="360" t="s">
        <v>12422</v>
      </c>
      <c r="H3131" s="361">
        <v>41572</v>
      </c>
      <c r="I3131" s="343" t="s">
        <v>211</v>
      </c>
      <c r="J3131" s="343" t="s">
        <v>211</v>
      </c>
      <c r="K3131" s="343" t="s">
        <v>168</v>
      </c>
    </row>
    <row r="3132" spans="1:11" ht="26.25" customHeight="1">
      <c r="A3132" s="343" t="s">
        <v>5582</v>
      </c>
      <c r="B3132" s="344" t="s">
        <v>162</v>
      </c>
      <c r="C3132" s="344">
        <v>9922</v>
      </c>
      <c r="D3132" s="343" t="s">
        <v>5748</v>
      </c>
      <c r="E3132" s="344">
        <v>4099204</v>
      </c>
      <c r="F3132" s="343" t="s">
        <v>5755</v>
      </c>
      <c r="G3132" s="360" t="s">
        <v>12423</v>
      </c>
      <c r="H3132" s="361">
        <v>41346</v>
      </c>
      <c r="I3132" s="343" t="s">
        <v>193</v>
      </c>
      <c r="J3132" s="343" t="s">
        <v>228</v>
      </c>
      <c r="K3132" s="343" t="s">
        <v>168</v>
      </c>
    </row>
    <row r="3133" spans="1:11" ht="26.25" customHeight="1">
      <c r="A3133" s="343" t="s">
        <v>5582</v>
      </c>
      <c r="B3133" s="344" t="s">
        <v>162</v>
      </c>
      <c r="C3133" s="344">
        <v>7028</v>
      </c>
      <c r="D3133" s="343" t="s">
        <v>5851</v>
      </c>
      <c r="E3133" s="344">
        <v>4691646</v>
      </c>
      <c r="F3133" s="343" t="s">
        <v>5853</v>
      </c>
      <c r="G3133" s="360" t="s">
        <v>12332</v>
      </c>
      <c r="H3133" s="361">
        <v>41352</v>
      </c>
      <c r="I3133" s="343" t="s">
        <v>193</v>
      </c>
      <c r="J3133" s="343" t="s">
        <v>12424</v>
      </c>
      <c r="K3133" s="343" t="s">
        <v>168</v>
      </c>
    </row>
    <row r="3134" spans="1:11" ht="26.25" customHeight="1">
      <c r="A3134" s="343" t="s">
        <v>5582</v>
      </c>
      <c r="B3134" s="344" t="s">
        <v>162</v>
      </c>
      <c r="C3134" s="344">
        <v>8802</v>
      </c>
      <c r="D3134" s="343" t="s">
        <v>5832</v>
      </c>
      <c r="E3134" s="344">
        <v>5005648</v>
      </c>
      <c r="F3134" s="343" t="s">
        <v>5834</v>
      </c>
      <c r="G3134" s="360" t="s">
        <v>10191</v>
      </c>
      <c r="H3134" s="361">
        <v>41358</v>
      </c>
      <c r="I3134" s="343" t="s">
        <v>5835</v>
      </c>
      <c r="J3134" s="343" t="s">
        <v>12425</v>
      </c>
      <c r="K3134" s="343" t="s">
        <v>168</v>
      </c>
    </row>
    <row r="3135" spans="1:11" ht="26.25" customHeight="1">
      <c r="A3135" s="343" t="s">
        <v>5582</v>
      </c>
      <c r="B3135" s="344" t="s">
        <v>162</v>
      </c>
      <c r="C3135" s="344">
        <v>9922</v>
      </c>
      <c r="D3135" s="343" t="s">
        <v>5748</v>
      </c>
      <c r="E3135" s="344">
        <v>3595958</v>
      </c>
      <c r="F3135" s="343" t="s">
        <v>5751</v>
      </c>
      <c r="G3135" s="360" t="s">
        <v>12426</v>
      </c>
      <c r="H3135" s="361">
        <v>41527</v>
      </c>
      <c r="I3135" s="343" t="s">
        <v>211</v>
      </c>
      <c r="J3135" s="343" t="s">
        <v>211</v>
      </c>
      <c r="K3135" s="343" t="s">
        <v>168</v>
      </c>
    </row>
    <row r="3136" spans="1:11" ht="26.25" customHeight="1">
      <c r="A3136" s="343" t="s">
        <v>5582</v>
      </c>
      <c r="B3136" s="344" t="s">
        <v>162</v>
      </c>
      <c r="C3136" s="344">
        <v>6999</v>
      </c>
      <c r="D3136" s="343" t="s">
        <v>5784</v>
      </c>
      <c r="E3136" s="344">
        <v>4615602</v>
      </c>
      <c r="F3136" s="343" t="s">
        <v>5786</v>
      </c>
      <c r="G3136" s="360" t="s">
        <v>10389</v>
      </c>
      <c r="H3136" s="361">
        <v>41698</v>
      </c>
      <c r="I3136" s="343" t="s">
        <v>193</v>
      </c>
      <c r="J3136" s="343" t="s">
        <v>10877</v>
      </c>
      <c r="K3136" s="343" t="s">
        <v>168</v>
      </c>
    </row>
    <row r="3137" spans="1:11" ht="26.25" customHeight="1">
      <c r="A3137" s="343" t="s">
        <v>5582</v>
      </c>
      <c r="B3137" s="344" t="s">
        <v>162</v>
      </c>
      <c r="C3137" s="344">
        <v>12163</v>
      </c>
      <c r="D3137" s="343" t="s">
        <v>5912</v>
      </c>
      <c r="E3137" s="344">
        <v>4318005</v>
      </c>
      <c r="F3137" s="343" t="s">
        <v>5914</v>
      </c>
      <c r="G3137" s="360" t="s">
        <v>12427</v>
      </c>
      <c r="H3137" s="361">
        <v>41361</v>
      </c>
      <c r="I3137" s="343" t="s">
        <v>211</v>
      </c>
      <c r="J3137" s="343" t="s">
        <v>212</v>
      </c>
      <c r="K3137" s="343" t="s">
        <v>168</v>
      </c>
    </row>
    <row r="3138" spans="1:11" ht="26.25" customHeight="1">
      <c r="A3138" s="343" t="s">
        <v>5582</v>
      </c>
      <c r="B3138" s="344" t="s">
        <v>162</v>
      </c>
      <c r="C3138" s="344">
        <v>12164</v>
      </c>
      <c r="D3138" s="343" t="s">
        <v>5804</v>
      </c>
      <c r="E3138" s="344">
        <v>3448294</v>
      </c>
      <c r="F3138" s="343" t="s">
        <v>5807</v>
      </c>
      <c r="G3138" s="360" t="s">
        <v>12428</v>
      </c>
      <c r="H3138" s="361">
        <v>41708</v>
      </c>
      <c r="I3138" s="343" t="s">
        <v>5318</v>
      </c>
      <c r="J3138" s="343" t="s">
        <v>12429</v>
      </c>
      <c r="K3138" s="343" t="s">
        <v>173</v>
      </c>
    </row>
    <row r="3139" spans="1:11" ht="26.25" customHeight="1">
      <c r="A3139" s="343" t="s">
        <v>5582</v>
      </c>
      <c r="B3139" s="344" t="s">
        <v>162</v>
      </c>
      <c r="C3139" s="344">
        <v>12160</v>
      </c>
      <c r="D3139" s="343" t="s">
        <v>5926</v>
      </c>
      <c r="E3139" s="344">
        <v>4348927</v>
      </c>
      <c r="F3139" s="343" t="s">
        <v>5929</v>
      </c>
      <c r="G3139" s="360" t="s">
        <v>12430</v>
      </c>
      <c r="H3139" s="361">
        <v>42158</v>
      </c>
      <c r="I3139" s="343" t="s">
        <v>193</v>
      </c>
      <c r="J3139" s="343" t="s">
        <v>377</v>
      </c>
      <c r="K3139" s="343" t="s">
        <v>168</v>
      </c>
    </row>
    <row r="3140" spans="1:11" ht="26.25" customHeight="1">
      <c r="A3140" s="343" t="s">
        <v>5582</v>
      </c>
      <c r="B3140" s="344" t="s">
        <v>162</v>
      </c>
      <c r="C3140" s="344">
        <v>7000</v>
      </c>
      <c r="D3140" s="343" t="s">
        <v>5840</v>
      </c>
      <c r="E3140" s="344">
        <v>4935831</v>
      </c>
      <c r="F3140" s="343" t="s">
        <v>4525</v>
      </c>
      <c r="G3140" s="360" t="s">
        <v>12431</v>
      </c>
      <c r="H3140" s="361">
        <v>41505</v>
      </c>
      <c r="I3140" s="343" t="s">
        <v>547</v>
      </c>
      <c r="J3140" s="343" t="s">
        <v>1028</v>
      </c>
      <c r="K3140" s="343" t="s">
        <v>248</v>
      </c>
    </row>
    <row r="3141" spans="1:11" ht="26.25" customHeight="1">
      <c r="A3141" s="343" t="s">
        <v>5582</v>
      </c>
      <c r="B3141" s="344" t="s">
        <v>162</v>
      </c>
      <c r="C3141" s="344">
        <v>7016</v>
      </c>
      <c r="D3141" s="343" t="s">
        <v>5817</v>
      </c>
      <c r="E3141" s="344">
        <v>4181649</v>
      </c>
      <c r="F3141" s="343" t="s">
        <v>5818</v>
      </c>
      <c r="G3141" s="360" t="s">
        <v>12365</v>
      </c>
      <c r="H3141" s="361">
        <v>41375</v>
      </c>
      <c r="I3141" s="343" t="s">
        <v>198</v>
      </c>
      <c r="J3141" s="343" t="s">
        <v>198</v>
      </c>
      <c r="K3141" s="343" t="s">
        <v>168</v>
      </c>
    </row>
    <row r="3142" spans="1:11" ht="26.25" customHeight="1">
      <c r="A3142" s="343" t="s">
        <v>5582</v>
      </c>
      <c r="B3142" s="344" t="s">
        <v>162</v>
      </c>
      <c r="C3142" s="344">
        <v>9301</v>
      </c>
      <c r="D3142" s="343" t="s">
        <v>5810</v>
      </c>
      <c r="E3142" s="344">
        <v>4683467</v>
      </c>
      <c r="F3142" s="343" t="s">
        <v>5815</v>
      </c>
      <c r="G3142" s="360" t="s">
        <v>12432</v>
      </c>
      <c r="H3142" s="361">
        <v>41380</v>
      </c>
      <c r="I3142" s="343" t="s">
        <v>366</v>
      </c>
      <c r="J3142" s="343" t="s">
        <v>366</v>
      </c>
      <c r="K3142" s="343" t="s">
        <v>168</v>
      </c>
    </row>
    <row r="3143" spans="1:11" ht="26.25" customHeight="1">
      <c r="A3143" s="343" t="s">
        <v>5582</v>
      </c>
      <c r="B3143" s="344" t="s">
        <v>162</v>
      </c>
      <c r="C3143" s="344">
        <v>12159</v>
      </c>
      <c r="D3143" s="343" t="s">
        <v>9290</v>
      </c>
      <c r="E3143" s="344">
        <v>4415672</v>
      </c>
      <c r="F3143" s="343" t="s">
        <v>5779</v>
      </c>
      <c r="G3143" s="360" t="s">
        <v>12433</v>
      </c>
      <c r="H3143" s="361">
        <v>41389</v>
      </c>
      <c r="I3143" s="343" t="s">
        <v>5043</v>
      </c>
      <c r="J3143" s="343" t="s">
        <v>12434</v>
      </c>
      <c r="K3143" s="343" t="s">
        <v>248</v>
      </c>
    </row>
    <row r="3144" spans="1:11" ht="26.25" customHeight="1">
      <c r="A3144" s="343" t="s">
        <v>5582</v>
      </c>
      <c r="B3144" s="344" t="s">
        <v>162</v>
      </c>
      <c r="C3144" s="344">
        <v>7025</v>
      </c>
      <c r="D3144" s="343" t="s">
        <v>5947</v>
      </c>
      <c r="E3144" s="344">
        <v>4390409</v>
      </c>
      <c r="F3144" s="343" t="s">
        <v>5953</v>
      </c>
      <c r="G3144" s="360" t="s">
        <v>12435</v>
      </c>
      <c r="H3144" s="361">
        <v>41421</v>
      </c>
      <c r="I3144" s="343" t="s">
        <v>198</v>
      </c>
      <c r="J3144" s="343" t="s">
        <v>577</v>
      </c>
      <c r="K3144" s="343" t="s">
        <v>168</v>
      </c>
    </row>
    <row r="3145" spans="1:11" ht="26.25" customHeight="1">
      <c r="A3145" s="343" t="s">
        <v>5582</v>
      </c>
      <c r="B3145" s="344" t="s">
        <v>162</v>
      </c>
      <c r="C3145" s="344">
        <v>8802</v>
      </c>
      <c r="D3145" s="343" t="s">
        <v>5832</v>
      </c>
      <c r="E3145" s="344">
        <v>4365766</v>
      </c>
      <c r="F3145" s="343" t="s">
        <v>5837</v>
      </c>
      <c r="G3145" s="360" t="s">
        <v>12418</v>
      </c>
      <c r="H3145" s="361">
        <v>41446</v>
      </c>
      <c r="I3145" s="343" t="s">
        <v>5838</v>
      </c>
      <c r="J3145" s="343" t="s">
        <v>12436</v>
      </c>
      <c r="K3145" s="343" t="s">
        <v>168</v>
      </c>
    </row>
    <row r="3146" spans="1:11" ht="26.25" customHeight="1">
      <c r="A3146" s="343" t="s">
        <v>5582</v>
      </c>
      <c r="B3146" s="344" t="s">
        <v>162</v>
      </c>
      <c r="C3146" s="344">
        <v>7015</v>
      </c>
      <c r="D3146" s="343" t="s">
        <v>5883</v>
      </c>
      <c r="E3146" s="344">
        <v>4437324</v>
      </c>
      <c r="F3146" s="343" t="s">
        <v>5884</v>
      </c>
      <c r="G3146" s="360" t="s">
        <v>12437</v>
      </c>
      <c r="H3146" s="361">
        <v>41709</v>
      </c>
      <c r="I3146" s="343" t="s">
        <v>709</v>
      </c>
      <c r="J3146" s="343" t="s">
        <v>12438</v>
      </c>
      <c r="K3146" s="343" t="s">
        <v>168</v>
      </c>
    </row>
    <row r="3147" spans="1:11" ht="26.25" customHeight="1">
      <c r="A3147" s="343" t="s">
        <v>5582</v>
      </c>
      <c r="B3147" s="344" t="s">
        <v>162</v>
      </c>
      <c r="C3147" s="344">
        <v>7009</v>
      </c>
      <c r="D3147" s="343" t="s">
        <v>5943</v>
      </c>
      <c r="E3147" s="344">
        <v>4882677</v>
      </c>
      <c r="F3147" s="343" t="s">
        <v>5944</v>
      </c>
      <c r="G3147" s="360" t="s">
        <v>12439</v>
      </c>
      <c r="H3147" s="361">
        <v>41717</v>
      </c>
      <c r="I3147" s="343" t="s">
        <v>180</v>
      </c>
      <c r="J3147" s="343" t="s">
        <v>12440</v>
      </c>
      <c r="K3147" s="343" t="s">
        <v>173</v>
      </c>
    </row>
    <row r="3148" spans="1:11" ht="26.25" customHeight="1">
      <c r="A3148" s="343" t="s">
        <v>5582</v>
      </c>
      <c r="B3148" s="344" t="s">
        <v>162</v>
      </c>
      <c r="C3148" s="344">
        <v>12164</v>
      </c>
      <c r="D3148" s="343" t="s">
        <v>5804</v>
      </c>
      <c r="E3148" s="344">
        <v>5834510</v>
      </c>
      <c r="F3148" s="343" t="s">
        <v>5805</v>
      </c>
      <c r="G3148" s="360" t="s">
        <v>12441</v>
      </c>
      <c r="H3148" s="361">
        <v>41718</v>
      </c>
      <c r="I3148" s="343" t="s">
        <v>3596</v>
      </c>
      <c r="J3148" s="343" t="s">
        <v>12442</v>
      </c>
      <c r="K3148" s="343" t="s">
        <v>168</v>
      </c>
    </row>
    <row r="3149" spans="1:11" ht="26.25" customHeight="1">
      <c r="A3149" s="343" t="s">
        <v>5582</v>
      </c>
      <c r="B3149" s="344" t="s">
        <v>162</v>
      </c>
      <c r="C3149" s="344">
        <v>7003</v>
      </c>
      <c r="D3149" s="343" t="s">
        <v>5896</v>
      </c>
      <c r="E3149" s="344">
        <v>5066500</v>
      </c>
      <c r="F3149" s="343" t="s">
        <v>5898</v>
      </c>
      <c r="G3149" s="360" t="s">
        <v>12443</v>
      </c>
      <c r="H3149" s="361">
        <v>41718</v>
      </c>
      <c r="I3149" s="343" t="s">
        <v>211</v>
      </c>
      <c r="J3149" s="343" t="s">
        <v>212</v>
      </c>
      <c r="K3149" s="343" t="s">
        <v>168</v>
      </c>
    </row>
    <row r="3150" spans="1:11" ht="26.25" customHeight="1">
      <c r="A3150" s="343" t="s">
        <v>5582</v>
      </c>
      <c r="B3150" s="344" t="s">
        <v>162</v>
      </c>
      <c r="C3150" s="344">
        <v>8880</v>
      </c>
      <c r="D3150" s="343" t="s">
        <v>5797</v>
      </c>
      <c r="E3150" s="344">
        <v>4101975</v>
      </c>
      <c r="F3150" s="343" t="s">
        <v>5799</v>
      </c>
      <c r="G3150" s="360" t="s">
        <v>10374</v>
      </c>
      <c r="H3150" s="361">
        <v>41785</v>
      </c>
      <c r="I3150" s="343" t="s">
        <v>490</v>
      </c>
      <c r="J3150" s="343" t="s">
        <v>12444</v>
      </c>
      <c r="K3150" s="343" t="s">
        <v>168</v>
      </c>
    </row>
    <row r="3151" spans="1:11" ht="26.25" customHeight="1">
      <c r="A3151" s="343" t="s">
        <v>5582</v>
      </c>
      <c r="B3151" s="344" t="s">
        <v>162</v>
      </c>
      <c r="C3151" s="344">
        <v>7024</v>
      </c>
      <c r="D3151" s="343" t="s">
        <v>5862</v>
      </c>
      <c r="E3151" s="344">
        <v>3634263</v>
      </c>
      <c r="F3151" s="343" t="s">
        <v>5867</v>
      </c>
      <c r="G3151" s="360" t="s">
        <v>11309</v>
      </c>
      <c r="H3151" s="361">
        <v>41780</v>
      </c>
      <c r="I3151" s="343" t="s">
        <v>742</v>
      </c>
      <c r="J3151" s="343" t="s">
        <v>742</v>
      </c>
      <c r="K3151" s="343" t="s">
        <v>168</v>
      </c>
    </row>
    <row r="3152" spans="1:11" ht="26.25" customHeight="1">
      <c r="A3152" s="343" t="s">
        <v>5582</v>
      </c>
      <c r="B3152" s="344" t="s">
        <v>162</v>
      </c>
      <c r="C3152" s="344">
        <v>7025</v>
      </c>
      <c r="D3152" s="343" t="s">
        <v>5947</v>
      </c>
      <c r="E3152" s="344">
        <v>3873875</v>
      </c>
      <c r="F3152" s="343" t="s">
        <v>5954</v>
      </c>
      <c r="G3152" s="360" t="s">
        <v>12445</v>
      </c>
      <c r="H3152" s="361">
        <v>41723</v>
      </c>
      <c r="I3152" s="343" t="s">
        <v>366</v>
      </c>
      <c r="J3152" s="343" t="s">
        <v>852</v>
      </c>
      <c r="K3152" s="343" t="s">
        <v>168</v>
      </c>
    </row>
    <row r="3153" spans="1:11" ht="26.25" customHeight="1">
      <c r="A3153" s="343" t="s">
        <v>5582</v>
      </c>
      <c r="B3153" s="344" t="s">
        <v>162</v>
      </c>
      <c r="C3153" s="344">
        <v>8802</v>
      </c>
      <c r="D3153" s="343" t="s">
        <v>5832</v>
      </c>
      <c r="E3153" s="344">
        <v>5005671</v>
      </c>
      <c r="F3153" s="343" t="s">
        <v>5839</v>
      </c>
      <c r="G3153" s="360" t="s">
        <v>12406</v>
      </c>
      <c r="H3153" s="361">
        <v>41758</v>
      </c>
      <c r="I3153" s="343" t="s">
        <v>766</v>
      </c>
      <c r="J3153" s="343" t="s">
        <v>12446</v>
      </c>
      <c r="K3153" s="343" t="s">
        <v>168</v>
      </c>
    </row>
    <row r="3154" spans="1:11" ht="26.25" customHeight="1">
      <c r="A3154" s="343" t="s">
        <v>5582</v>
      </c>
      <c r="B3154" s="344" t="s">
        <v>162</v>
      </c>
      <c r="C3154" s="344">
        <v>7005</v>
      </c>
      <c r="D3154" s="343" t="s">
        <v>5960</v>
      </c>
      <c r="E3154" s="344">
        <v>4985395</v>
      </c>
      <c r="F3154" s="343" t="s">
        <v>5961</v>
      </c>
      <c r="G3154" s="360" t="s">
        <v>12447</v>
      </c>
      <c r="H3154" s="361">
        <v>41724</v>
      </c>
      <c r="I3154" s="343" t="s">
        <v>211</v>
      </c>
      <c r="J3154" s="343" t="s">
        <v>211</v>
      </c>
      <c r="K3154" s="343" t="s">
        <v>168</v>
      </c>
    </row>
    <row r="3155" spans="1:11" ht="26.25" customHeight="1">
      <c r="A3155" s="343" t="s">
        <v>5582</v>
      </c>
      <c r="B3155" s="344" t="s">
        <v>162</v>
      </c>
      <c r="C3155" s="344">
        <v>12163</v>
      </c>
      <c r="D3155" s="343" t="s">
        <v>5912</v>
      </c>
      <c r="E3155" s="344">
        <v>4118126</v>
      </c>
      <c r="F3155" s="343" t="s">
        <v>5917</v>
      </c>
      <c r="G3155" s="360" t="s">
        <v>12448</v>
      </c>
      <c r="H3155" s="361">
        <v>41746</v>
      </c>
      <c r="I3155" s="343" t="s">
        <v>3859</v>
      </c>
      <c r="J3155" s="343" t="s">
        <v>12449</v>
      </c>
      <c r="K3155" s="343" t="s">
        <v>168</v>
      </c>
    </row>
    <row r="3156" spans="1:11" ht="26.25" customHeight="1">
      <c r="A3156" s="343" t="s">
        <v>5582</v>
      </c>
      <c r="B3156" s="344" t="s">
        <v>162</v>
      </c>
      <c r="C3156" s="344">
        <v>7022</v>
      </c>
      <c r="D3156" s="343" t="s">
        <v>5909</v>
      </c>
      <c r="E3156" s="344">
        <v>2799087</v>
      </c>
      <c r="F3156" s="343" t="s">
        <v>5910</v>
      </c>
      <c r="G3156" s="360" t="s">
        <v>12450</v>
      </c>
      <c r="H3156" s="361">
        <v>41743</v>
      </c>
      <c r="I3156" s="343" t="s">
        <v>5911</v>
      </c>
      <c r="J3156" s="343" t="s">
        <v>12451</v>
      </c>
      <c r="K3156" s="343" t="s">
        <v>168</v>
      </c>
    </row>
    <row r="3157" spans="1:11" ht="26.25" customHeight="1">
      <c r="A3157" s="343" t="s">
        <v>5582</v>
      </c>
      <c r="B3157" s="344" t="s">
        <v>162</v>
      </c>
      <c r="C3157" s="344">
        <v>7005</v>
      </c>
      <c r="D3157" s="343" t="s">
        <v>5960</v>
      </c>
      <c r="E3157" s="344">
        <v>5380152</v>
      </c>
      <c r="F3157" s="343" t="s">
        <v>5962</v>
      </c>
      <c r="G3157" s="360" t="s">
        <v>12452</v>
      </c>
      <c r="H3157" s="361">
        <v>41740</v>
      </c>
      <c r="I3157" s="343" t="s">
        <v>180</v>
      </c>
      <c r="J3157" s="343" t="s">
        <v>12453</v>
      </c>
      <c r="K3157" s="343" t="s">
        <v>173</v>
      </c>
    </row>
    <row r="3158" spans="1:11" ht="26.25" customHeight="1">
      <c r="A3158" s="343" t="s">
        <v>5582</v>
      </c>
      <c r="B3158" s="344" t="s">
        <v>162</v>
      </c>
      <c r="C3158" s="344">
        <v>9451</v>
      </c>
      <c r="D3158" s="343" t="s">
        <v>5934</v>
      </c>
      <c r="E3158" s="344">
        <v>4894457</v>
      </c>
      <c r="F3158" s="343" t="s">
        <v>5935</v>
      </c>
      <c r="G3158" s="360" t="s">
        <v>12081</v>
      </c>
      <c r="H3158" s="361">
        <v>41731</v>
      </c>
      <c r="I3158" s="343" t="s">
        <v>3606</v>
      </c>
      <c r="J3158" s="343" t="s">
        <v>3606</v>
      </c>
      <c r="K3158" s="343" t="s">
        <v>168</v>
      </c>
    </row>
    <row r="3159" spans="1:11" ht="26.25" customHeight="1">
      <c r="A3159" s="343" t="s">
        <v>5582</v>
      </c>
      <c r="B3159" s="344" t="s">
        <v>162</v>
      </c>
      <c r="C3159" s="344">
        <v>12163</v>
      </c>
      <c r="D3159" s="343" t="s">
        <v>5912</v>
      </c>
      <c r="E3159" s="344">
        <v>5762873</v>
      </c>
      <c r="F3159" s="343" t="s">
        <v>5915</v>
      </c>
      <c r="G3159" s="360" t="s">
        <v>12454</v>
      </c>
      <c r="H3159" s="361">
        <v>41733</v>
      </c>
      <c r="I3159" s="343" t="s">
        <v>166</v>
      </c>
      <c r="J3159" s="343" t="s">
        <v>167</v>
      </c>
      <c r="K3159" s="343" t="s">
        <v>168</v>
      </c>
    </row>
    <row r="3160" spans="1:11" ht="26.25" customHeight="1">
      <c r="A3160" s="343" t="s">
        <v>5582</v>
      </c>
      <c r="B3160" s="344" t="s">
        <v>162</v>
      </c>
      <c r="C3160" s="344">
        <v>9922</v>
      </c>
      <c r="D3160" s="343" t="s">
        <v>5748</v>
      </c>
      <c r="E3160" s="344">
        <v>5087754</v>
      </c>
      <c r="F3160" s="343" t="s">
        <v>5753</v>
      </c>
      <c r="G3160" s="360" t="s">
        <v>12455</v>
      </c>
      <c r="H3160" s="361">
        <v>41737</v>
      </c>
      <c r="I3160" s="343" t="s">
        <v>366</v>
      </c>
      <c r="J3160" s="343" t="s">
        <v>12456</v>
      </c>
      <c r="K3160" s="343" t="s">
        <v>168</v>
      </c>
    </row>
    <row r="3161" spans="1:11" ht="26.25" customHeight="1">
      <c r="A3161" s="343" t="s">
        <v>5582</v>
      </c>
      <c r="B3161" s="344" t="s">
        <v>162</v>
      </c>
      <c r="C3161" s="344">
        <v>9044</v>
      </c>
      <c r="D3161" s="343" t="s">
        <v>5971</v>
      </c>
      <c r="E3161" s="344">
        <v>4835346</v>
      </c>
      <c r="F3161" s="343" t="s">
        <v>5975</v>
      </c>
      <c r="G3161" s="360" t="s">
        <v>12457</v>
      </c>
      <c r="H3161" s="361">
        <v>41495</v>
      </c>
      <c r="I3161" s="343" t="s">
        <v>5976</v>
      </c>
      <c r="J3161" s="343" t="s">
        <v>12458</v>
      </c>
      <c r="K3161" s="343" t="s">
        <v>168</v>
      </c>
    </row>
    <row r="3162" spans="1:11" ht="26.25" customHeight="1">
      <c r="A3162" s="343" t="s">
        <v>5582</v>
      </c>
      <c r="B3162" s="344" t="s">
        <v>162</v>
      </c>
      <c r="C3162" s="344">
        <v>7000</v>
      </c>
      <c r="D3162" s="343" t="s">
        <v>5840</v>
      </c>
      <c r="E3162" s="344">
        <v>4445649</v>
      </c>
      <c r="F3162" s="343" t="s">
        <v>5848</v>
      </c>
      <c r="G3162" s="360" t="s">
        <v>12459</v>
      </c>
      <c r="H3162" s="361">
        <v>41488</v>
      </c>
      <c r="I3162" s="343" t="s">
        <v>709</v>
      </c>
      <c r="J3162" s="343" t="s">
        <v>12460</v>
      </c>
      <c r="K3162" s="343" t="s">
        <v>168</v>
      </c>
    </row>
    <row r="3163" spans="1:11" ht="26.25" customHeight="1">
      <c r="A3163" s="343" t="s">
        <v>5582</v>
      </c>
      <c r="B3163" s="344" t="s">
        <v>162</v>
      </c>
      <c r="C3163" s="344">
        <v>9842</v>
      </c>
      <c r="D3163" s="343" t="s">
        <v>5759</v>
      </c>
      <c r="E3163" s="344">
        <v>5730475</v>
      </c>
      <c r="F3163" s="343" t="s">
        <v>5765</v>
      </c>
      <c r="G3163" s="360" t="s">
        <v>1424</v>
      </c>
      <c r="H3163" s="361">
        <v>42741</v>
      </c>
      <c r="I3163" s="343" t="s">
        <v>166</v>
      </c>
      <c r="J3163" s="343" t="s">
        <v>296</v>
      </c>
      <c r="K3163" s="343" t="s">
        <v>168</v>
      </c>
    </row>
    <row r="3164" spans="1:11" ht="26.25" customHeight="1">
      <c r="A3164" s="343" t="s">
        <v>5582</v>
      </c>
      <c r="B3164" s="344" t="s">
        <v>162</v>
      </c>
      <c r="C3164" s="344">
        <v>9087</v>
      </c>
      <c r="D3164" s="343" t="s">
        <v>5956</v>
      </c>
      <c r="E3164" s="344">
        <v>5085307</v>
      </c>
      <c r="F3164" s="343" t="s">
        <v>5958</v>
      </c>
      <c r="G3164" s="360" t="s">
        <v>12275</v>
      </c>
      <c r="H3164" s="361">
        <v>42745</v>
      </c>
      <c r="I3164" s="343" t="s">
        <v>166</v>
      </c>
      <c r="J3164" s="343" t="s">
        <v>296</v>
      </c>
      <c r="K3164" s="343" t="s">
        <v>168</v>
      </c>
    </row>
    <row r="3165" spans="1:11" ht="26.25" customHeight="1">
      <c r="A3165" s="343" t="s">
        <v>5582</v>
      </c>
      <c r="B3165" s="344" t="s">
        <v>162</v>
      </c>
      <c r="C3165" s="344">
        <v>11692</v>
      </c>
      <c r="D3165" s="343" t="s">
        <v>5772</v>
      </c>
      <c r="E3165" s="344">
        <v>6104231</v>
      </c>
      <c r="F3165" s="343" t="s">
        <v>5773</v>
      </c>
      <c r="G3165" s="360" t="s">
        <v>12461</v>
      </c>
      <c r="H3165" s="361">
        <v>42754</v>
      </c>
      <c r="I3165" s="343" t="s">
        <v>193</v>
      </c>
      <c r="J3165" s="343" t="s">
        <v>603</v>
      </c>
      <c r="K3165" s="343" t="s">
        <v>168</v>
      </c>
    </row>
    <row r="3166" spans="1:11" ht="26.25" customHeight="1">
      <c r="A3166" s="343" t="s">
        <v>5582</v>
      </c>
      <c r="B3166" s="344" t="s">
        <v>162</v>
      </c>
      <c r="C3166" s="344">
        <v>9525</v>
      </c>
      <c r="D3166" s="343" t="s">
        <v>5684</v>
      </c>
      <c r="E3166" s="344">
        <v>6225460</v>
      </c>
      <c r="F3166" s="343" t="s">
        <v>5688</v>
      </c>
      <c r="G3166" s="360" t="s">
        <v>12462</v>
      </c>
      <c r="H3166" s="361">
        <v>42752</v>
      </c>
      <c r="I3166" s="343" t="s">
        <v>166</v>
      </c>
      <c r="J3166" s="343" t="s">
        <v>327</v>
      </c>
      <c r="K3166" s="343" t="s">
        <v>168</v>
      </c>
    </row>
    <row r="3167" spans="1:11" ht="26.25" customHeight="1">
      <c r="A3167" s="343" t="s">
        <v>5582</v>
      </c>
      <c r="B3167" s="344" t="s">
        <v>162</v>
      </c>
      <c r="C3167" s="344">
        <v>7501</v>
      </c>
      <c r="D3167" s="343" t="s">
        <v>5614</v>
      </c>
      <c r="E3167" s="344">
        <v>5791670</v>
      </c>
      <c r="F3167" s="343" t="s">
        <v>5621</v>
      </c>
      <c r="G3167" s="360" t="s">
        <v>623</v>
      </c>
      <c r="H3167" s="361">
        <v>42759</v>
      </c>
      <c r="I3167" s="343" t="s">
        <v>5622</v>
      </c>
      <c r="J3167" s="343" t="s">
        <v>12463</v>
      </c>
      <c r="K3167" s="343" t="s">
        <v>168</v>
      </c>
    </row>
    <row r="3168" spans="1:11" ht="26.25" customHeight="1">
      <c r="A3168" s="343" t="s">
        <v>5582</v>
      </c>
      <c r="B3168" s="344" t="s">
        <v>162</v>
      </c>
      <c r="C3168" s="344">
        <v>6685</v>
      </c>
      <c r="D3168" s="343" t="s">
        <v>6017</v>
      </c>
      <c r="E3168" s="344">
        <v>6058504</v>
      </c>
      <c r="F3168" s="343" t="s">
        <v>6018</v>
      </c>
      <c r="G3168" s="360" t="s">
        <v>12001</v>
      </c>
      <c r="H3168" s="361">
        <v>42759</v>
      </c>
      <c r="I3168" s="343" t="s">
        <v>211</v>
      </c>
      <c r="J3168" s="343" t="s">
        <v>211</v>
      </c>
      <c r="K3168" s="343" t="s">
        <v>168</v>
      </c>
    </row>
    <row r="3169" spans="1:11" ht="26.25" customHeight="1">
      <c r="A3169" s="343" t="s">
        <v>5582</v>
      </c>
      <c r="B3169" s="344" t="s">
        <v>162</v>
      </c>
      <c r="C3169" s="344">
        <v>7515</v>
      </c>
      <c r="D3169" s="343" t="s">
        <v>5638</v>
      </c>
      <c r="E3169" s="344">
        <v>6595953</v>
      </c>
      <c r="F3169" s="343" t="s">
        <v>5639</v>
      </c>
      <c r="G3169" s="360" t="s">
        <v>9551</v>
      </c>
      <c r="H3169" s="361">
        <v>42759</v>
      </c>
      <c r="I3169" s="343" t="s">
        <v>802</v>
      </c>
      <c r="J3169" s="343" t="s">
        <v>12464</v>
      </c>
      <c r="K3169" s="343" t="s">
        <v>168</v>
      </c>
    </row>
    <row r="3170" spans="1:11" ht="26.25" customHeight="1">
      <c r="A3170" s="343" t="s">
        <v>5582</v>
      </c>
      <c r="B3170" s="344" t="s">
        <v>162</v>
      </c>
      <c r="C3170" s="344">
        <v>6694</v>
      </c>
      <c r="D3170" s="343" t="s">
        <v>6062</v>
      </c>
      <c r="E3170" s="344">
        <v>6011537</v>
      </c>
      <c r="F3170" s="343" t="s">
        <v>6063</v>
      </c>
      <c r="G3170" s="360" t="s">
        <v>9423</v>
      </c>
      <c r="H3170" s="361">
        <v>42766</v>
      </c>
      <c r="I3170" s="343" t="s">
        <v>802</v>
      </c>
      <c r="J3170" s="343" t="s">
        <v>1075</v>
      </c>
      <c r="K3170" s="343" t="s">
        <v>168</v>
      </c>
    </row>
    <row r="3171" spans="1:11" ht="26.25" customHeight="1">
      <c r="A3171" s="343" t="s">
        <v>5582</v>
      </c>
      <c r="B3171" s="344" t="s">
        <v>162</v>
      </c>
      <c r="C3171" s="344">
        <v>7537</v>
      </c>
      <c r="D3171" s="343" t="s">
        <v>5689</v>
      </c>
      <c r="E3171" s="344">
        <v>6471733</v>
      </c>
      <c r="F3171" s="343" t="s">
        <v>5692</v>
      </c>
      <c r="G3171" s="360" t="s">
        <v>9832</v>
      </c>
      <c r="H3171" s="361">
        <v>42766</v>
      </c>
      <c r="I3171" s="343" t="s">
        <v>271</v>
      </c>
      <c r="J3171" s="343" t="s">
        <v>333</v>
      </c>
      <c r="K3171" s="343" t="s">
        <v>168</v>
      </c>
    </row>
    <row r="3172" spans="1:11" ht="26.25" customHeight="1">
      <c r="A3172" s="343" t="s">
        <v>5582</v>
      </c>
      <c r="B3172" s="344" t="s">
        <v>162</v>
      </c>
      <c r="C3172" s="344">
        <v>9851</v>
      </c>
      <c r="D3172" s="343" t="s">
        <v>5696</v>
      </c>
      <c r="E3172" s="344">
        <v>6142332</v>
      </c>
      <c r="F3172" s="343" t="s">
        <v>5699</v>
      </c>
      <c r="G3172" s="360" t="s">
        <v>12465</v>
      </c>
      <c r="H3172" s="361">
        <v>42766</v>
      </c>
      <c r="I3172" s="343" t="s">
        <v>166</v>
      </c>
      <c r="J3172" s="343" t="s">
        <v>9775</v>
      </c>
      <c r="K3172" s="343" t="s">
        <v>248</v>
      </c>
    </row>
    <row r="3173" spans="1:11" ht="26.25" customHeight="1">
      <c r="A3173" s="343" t="s">
        <v>5582</v>
      </c>
      <c r="B3173" s="344" t="s">
        <v>162</v>
      </c>
      <c r="C3173" s="344">
        <v>8551</v>
      </c>
      <c r="D3173" s="343" t="s">
        <v>6078</v>
      </c>
      <c r="E3173" s="344">
        <v>5736267</v>
      </c>
      <c r="F3173" s="343" t="s">
        <v>6079</v>
      </c>
      <c r="G3173" s="360" t="s">
        <v>11475</v>
      </c>
      <c r="H3173" s="361">
        <v>42773</v>
      </c>
      <c r="I3173" s="343" t="s">
        <v>166</v>
      </c>
      <c r="J3173" s="343" t="s">
        <v>327</v>
      </c>
      <c r="K3173" s="343" t="s">
        <v>168</v>
      </c>
    </row>
    <row r="3174" spans="1:11" ht="26.25" customHeight="1">
      <c r="A3174" s="343" t="s">
        <v>5582</v>
      </c>
      <c r="B3174" s="344" t="s">
        <v>162</v>
      </c>
      <c r="C3174" s="344">
        <v>12383</v>
      </c>
      <c r="D3174" s="343" t="s">
        <v>6100</v>
      </c>
      <c r="E3174" s="344">
        <v>5808908</v>
      </c>
      <c r="F3174" s="343" t="s">
        <v>6101</v>
      </c>
      <c r="G3174" s="360" t="s">
        <v>9443</v>
      </c>
      <c r="H3174" s="361">
        <v>42773</v>
      </c>
      <c r="I3174" s="343" t="s">
        <v>198</v>
      </c>
      <c r="J3174" s="343" t="s">
        <v>12466</v>
      </c>
      <c r="K3174" s="343" t="s">
        <v>168</v>
      </c>
    </row>
    <row r="3175" spans="1:11" ht="26.25" customHeight="1">
      <c r="A3175" s="343" t="s">
        <v>5582</v>
      </c>
      <c r="B3175" s="344" t="s">
        <v>162</v>
      </c>
      <c r="C3175" s="344">
        <v>7000</v>
      </c>
      <c r="D3175" s="343" t="s">
        <v>5840</v>
      </c>
      <c r="E3175" s="344">
        <v>5118084</v>
      </c>
      <c r="F3175" s="343" t="s">
        <v>5849</v>
      </c>
      <c r="G3175" s="360" t="s">
        <v>10011</v>
      </c>
      <c r="H3175" s="361">
        <v>42774</v>
      </c>
      <c r="I3175" s="343" t="s">
        <v>3687</v>
      </c>
      <c r="J3175" s="343" t="s">
        <v>3687</v>
      </c>
      <c r="K3175" s="343" t="s">
        <v>168</v>
      </c>
    </row>
    <row r="3176" spans="1:11" ht="26.25" customHeight="1">
      <c r="A3176" s="343" t="s">
        <v>5582</v>
      </c>
      <c r="B3176" s="344" t="s">
        <v>162</v>
      </c>
      <c r="C3176" s="344">
        <v>11730</v>
      </c>
      <c r="D3176" s="343" t="s">
        <v>5729</v>
      </c>
      <c r="E3176" s="344">
        <v>6637463</v>
      </c>
      <c r="F3176" s="343" t="s">
        <v>5730</v>
      </c>
      <c r="G3176" s="360" t="s">
        <v>11620</v>
      </c>
      <c r="H3176" s="361">
        <v>42774</v>
      </c>
      <c r="I3176" s="343" t="s">
        <v>166</v>
      </c>
      <c r="J3176" s="343" t="s">
        <v>265</v>
      </c>
      <c r="K3176" s="343" t="s">
        <v>168</v>
      </c>
    </row>
    <row r="3177" spans="1:11" ht="26.25" customHeight="1">
      <c r="A3177" s="343" t="s">
        <v>5582</v>
      </c>
      <c r="B3177" s="344" t="s">
        <v>162</v>
      </c>
      <c r="C3177" s="344">
        <v>6694</v>
      </c>
      <c r="D3177" s="343" t="s">
        <v>6062</v>
      </c>
      <c r="E3177" s="344">
        <v>6339522</v>
      </c>
      <c r="F3177" s="343" t="s">
        <v>6066</v>
      </c>
      <c r="G3177" s="360" t="s">
        <v>1279</v>
      </c>
      <c r="H3177" s="361">
        <v>42774</v>
      </c>
      <c r="I3177" s="343" t="s">
        <v>193</v>
      </c>
      <c r="J3177" s="343" t="s">
        <v>603</v>
      </c>
      <c r="K3177" s="343" t="s">
        <v>168</v>
      </c>
    </row>
    <row r="3178" spans="1:11" ht="26.25" customHeight="1">
      <c r="A3178" s="343" t="s">
        <v>5582</v>
      </c>
      <c r="B3178" s="344" t="s">
        <v>162</v>
      </c>
      <c r="C3178" s="344">
        <v>9455</v>
      </c>
      <c r="D3178" s="343" t="s">
        <v>5996</v>
      </c>
      <c r="E3178" s="344">
        <v>5701929</v>
      </c>
      <c r="F3178" s="343" t="s">
        <v>5999</v>
      </c>
      <c r="G3178" s="360" t="s">
        <v>11493</v>
      </c>
      <c r="H3178" s="361">
        <v>42788</v>
      </c>
      <c r="I3178" s="343" t="s">
        <v>180</v>
      </c>
      <c r="J3178" s="343" t="s">
        <v>12467</v>
      </c>
      <c r="K3178" s="343" t="s">
        <v>168</v>
      </c>
    </row>
    <row r="3179" spans="1:11" ht="26.25" customHeight="1">
      <c r="A3179" s="343" t="s">
        <v>5582</v>
      </c>
      <c r="B3179" s="344" t="s">
        <v>162</v>
      </c>
      <c r="C3179" s="344">
        <v>6685</v>
      </c>
      <c r="D3179" s="343" t="s">
        <v>6017</v>
      </c>
      <c r="E3179" s="344">
        <v>6046693</v>
      </c>
      <c r="F3179" s="343" t="s">
        <v>6019</v>
      </c>
      <c r="G3179" s="360" t="s">
        <v>12468</v>
      </c>
      <c r="H3179" s="361">
        <v>42782</v>
      </c>
      <c r="I3179" s="343" t="s">
        <v>1038</v>
      </c>
      <c r="J3179" s="343" t="s">
        <v>9369</v>
      </c>
      <c r="K3179" s="343" t="s">
        <v>168</v>
      </c>
    </row>
    <row r="3180" spans="1:11" ht="26.25" customHeight="1">
      <c r="A3180" s="343" t="s">
        <v>5582</v>
      </c>
      <c r="B3180" s="344" t="s">
        <v>162</v>
      </c>
      <c r="C3180" s="344">
        <v>7511</v>
      </c>
      <c r="D3180" s="343" t="s">
        <v>5610</v>
      </c>
      <c r="E3180" s="344">
        <v>6476201</v>
      </c>
      <c r="F3180" s="343" t="s">
        <v>5611</v>
      </c>
      <c r="G3180" s="360" t="s">
        <v>12469</v>
      </c>
      <c r="H3180" s="361">
        <v>42782</v>
      </c>
      <c r="I3180" s="343" t="s">
        <v>301</v>
      </c>
      <c r="J3180" s="343" t="s">
        <v>1113</v>
      </c>
      <c r="K3180" s="343" t="s">
        <v>168</v>
      </c>
    </row>
    <row r="3181" spans="1:11" ht="26.25" customHeight="1">
      <c r="A3181" s="343" t="s">
        <v>5582</v>
      </c>
      <c r="B3181" s="344" t="s">
        <v>162</v>
      </c>
      <c r="C3181" s="344">
        <v>7012</v>
      </c>
      <c r="D3181" s="343" t="s">
        <v>5800</v>
      </c>
      <c r="E3181" s="344">
        <v>5237488</v>
      </c>
      <c r="F3181" s="343" t="s">
        <v>5801</v>
      </c>
      <c r="G3181" s="360" t="s">
        <v>12470</v>
      </c>
      <c r="H3181" s="361">
        <v>42782</v>
      </c>
      <c r="I3181" s="343" t="s">
        <v>166</v>
      </c>
      <c r="J3181" s="343" t="s">
        <v>327</v>
      </c>
      <c r="K3181" s="343" t="s">
        <v>168</v>
      </c>
    </row>
    <row r="3182" spans="1:11" ht="26.25" customHeight="1">
      <c r="A3182" s="343" t="s">
        <v>5582</v>
      </c>
      <c r="B3182" s="344" t="s">
        <v>162</v>
      </c>
      <c r="C3182" s="344">
        <v>7000</v>
      </c>
      <c r="D3182" s="343" t="s">
        <v>5840</v>
      </c>
      <c r="E3182" s="344">
        <v>4686795</v>
      </c>
      <c r="F3182" s="343" t="s">
        <v>5843</v>
      </c>
      <c r="G3182" s="360" t="s">
        <v>12471</v>
      </c>
      <c r="H3182" s="361">
        <v>42782</v>
      </c>
      <c r="I3182" s="343" t="s">
        <v>349</v>
      </c>
      <c r="J3182" s="343" t="s">
        <v>1248</v>
      </c>
      <c r="K3182" s="343" t="s">
        <v>168</v>
      </c>
    </row>
    <row r="3183" spans="1:11" ht="26.25" customHeight="1">
      <c r="A3183" s="343" t="s">
        <v>5582</v>
      </c>
      <c r="B3183" s="344" t="s">
        <v>162</v>
      </c>
      <c r="C3183" s="344">
        <v>7502</v>
      </c>
      <c r="D3183" s="343" t="s">
        <v>5628</v>
      </c>
      <c r="E3183" s="344">
        <v>6611271</v>
      </c>
      <c r="F3183" s="343" t="s">
        <v>5630</v>
      </c>
      <c r="G3183" s="360" t="s">
        <v>11246</v>
      </c>
      <c r="H3183" s="361">
        <v>42782</v>
      </c>
      <c r="I3183" s="343" t="s">
        <v>284</v>
      </c>
      <c r="J3183" s="343" t="s">
        <v>9963</v>
      </c>
      <c r="K3183" s="343" t="s">
        <v>168</v>
      </c>
    </row>
    <row r="3184" spans="1:11" ht="26.25" customHeight="1">
      <c r="A3184" s="343" t="s">
        <v>5582</v>
      </c>
      <c r="B3184" s="344" t="s">
        <v>162</v>
      </c>
      <c r="C3184" s="344">
        <v>9880</v>
      </c>
      <c r="D3184" s="343" t="s">
        <v>5714</v>
      </c>
      <c r="E3184" s="344">
        <v>6647703</v>
      </c>
      <c r="F3184" s="343" t="s">
        <v>5717</v>
      </c>
      <c r="G3184" s="360" t="s">
        <v>11140</v>
      </c>
      <c r="H3184" s="361">
        <v>42789</v>
      </c>
      <c r="I3184" s="343" t="s">
        <v>271</v>
      </c>
      <c r="J3184" s="343" t="s">
        <v>12472</v>
      </c>
      <c r="K3184" s="343" t="s">
        <v>168</v>
      </c>
    </row>
    <row r="3185" spans="1:11" ht="26.25" customHeight="1">
      <c r="A3185" s="343" t="s">
        <v>5582</v>
      </c>
      <c r="B3185" s="344" t="s">
        <v>162</v>
      </c>
      <c r="C3185" s="344">
        <v>7028</v>
      </c>
      <c r="D3185" s="343" t="s">
        <v>5851</v>
      </c>
      <c r="E3185" s="344">
        <v>5190759</v>
      </c>
      <c r="F3185" s="343" t="s">
        <v>5856</v>
      </c>
      <c r="G3185" s="360" t="s">
        <v>12473</v>
      </c>
      <c r="H3185" s="361">
        <v>42790</v>
      </c>
      <c r="I3185" s="343" t="s">
        <v>187</v>
      </c>
      <c r="J3185" s="343" t="s">
        <v>187</v>
      </c>
      <c r="K3185" s="343" t="s">
        <v>168</v>
      </c>
    </row>
    <row r="3186" spans="1:11" ht="26.25" customHeight="1">
      <c r="A3186" s="343" t="s">
        <v>5582</v>
      </c>
      <c r="B3186" s="344" t="s">
        <v>162</v>
      </c>
      <c r="C3186" s="344">
        <v>12522</v>
      </c>
      <c r="D3186" s="343" t="s">
        <v>6044</v>
      </c>
      <c r="E3186" s="344">
        <v>6770369</v>
      </c>
      <c r="F3186" s="343" t="s">
        <v>6045</v>
      </c>
      <c r="G3186" s="360" t="s">
        <v>11008</v>
      </c>
      <c r="H3186" s="361">
        <v>42790</v>
      </c>
      <c r="I3186" s="343" t="s">
        <v>802</v>
      </c>
      <c r="J3186" s="343" t="s">
        <v>1172</v>
      </c>
      <c r="K3186" s="343" t="s">
        <v>168</v>
      </c>
    </row>
    <row r="3187" spans="1:11" ht="26.25" customHeight="1">
      <c r="A3187" s="343" t="s">
        <v>5582</v>
      </c>
      <c r="B3187" s="344" t="s">
        <v>162</v>
      </c>
      <c r="C3187" s="344">
        <v>6684</v>
      </c>
      <c r="D3187" s="343" t="s">
        <v>6030</v>
      </c>
      <c r="E3187" s="344">
        <v>6167889</v>
      </c>
      <c r="F3187" s="343" t="s">
        <v>6034</v>
      </c>
      <c r="G3187" s="360" t="s">
        <v>11612</v>
      </c>
      <c r="H3187" s="361">
        <v>42789</v>
      </c>
      <c r="I3187" s="343" t="s">
        <v>6035</v>
      </c>
      <c r="J3187" s="343" t="s">
        <v>12474</v>
      </c>
      <c r="K3187" s="343" t="s">
        <v>168</v>
      </c>
    </row>
    <row r="3188" spans="1:11" ht="26.25" customHeight="1">
      <c r="A3188" s="343" t="s">
        <v>5582</v>
      </c>
      <c r="B3188" s="344" t="s">
        <v>162</v>
      </c>
      <c r="C3188" s="344">
        <v>7501</v>
      </c>
      <c r="D3188" s="343" t="s">
        <v>5614</v>
      </c>
      <c r="E3188" s="344">
        <v>6425234</v>
      </c>
      <c r="F3188" s="343" t="s">
        <v>5623</v>
      </c>
      <c r="G3188" s="360" t="s">
        <v>10080</v>
      </c>
      <c r="H3188" s="361">
        <v>42790</v>
      </c>
      <c r="I3188" s="343" t="s">
        <v>465</v>
      </c>
      <c r="J3188" s="343" t="s">
        <v>466</v>
      </c>
      <c r="K3188" s="343" t="s">
        <v>168</v>
      </c>
    </row>
    <row r="3189" spans="1:11" ht="26.25" customHeight="1">
      <c r="A3189" s="343" t="s">
        <v>5582</v>
      </c>
      <c r="B3189" s="344" t="s">
        <v>162</v>
      </c>
      <c r="C3189" s="344">
        <v>7501</v>
      </c>
      <c r="D3189" s="343" t="s">
        <v>5614</v>
      </c>
      <c r="E3189" s="344">
        <v>6068350</v>
      </c>
      <c r="F3189" s="343" t="s">
        <v>5615</v>
      </c>
      <c r="G3189" s="360" t="s">
        <v>687</v>
      </c>
      <c r="H3189" s="361">
        <v>42790</v>
      </c>
      <c r="I3189" s="343" t="s">
        <v>193</v>
      </c>
      <c r="J3189" s="343" t="s">
        <v>194</v>
      </c>
      <c r="K3189" s="343" t="s">
        <v>168</v>
      </c>
    </row>
    <row r="3190" spans="1:11" ht="26.25" customHeight="1">
      <c r="A3190" s="343" t="s">
        <v>5582</v>
      </c>
      <c r="B3190" s="344" t="s">
        <v>162</v>
      </c>
      <c r="C3190" s="344">
        <v>6698</v>
      </c>
      <c r="D3190" s="343" t="s">
        <v>6000</v>
      </c>
      <c r="E3190" s="344">
        <v>5918984</v>
      </c>
      <c r="F3190" s="343" t="s">
        <v>5886</v>
      </c>
      <c r="G3190" s="360" t="s">
        <v>639</v>
      </c>
      <c r="H3190" s="361">
        <v>42790</v>
      </c>
      <c r="I3190" s="343" t="s">
        <v>198</v>
      </c>
      <c r="J3190" s="343" t="s">
        <v>198</v>
      </c>
      <c r="K3190" s="343" t="s">
        <v>168</v>
      </c>
    </row>
    <row r="3191" spans="1:11" ht="26.25" customHeight="1">
      <c r="A3191" s="343" t="s">
        <v>5582</v>
      </c>
      <c r="B3191" s="344" t="s">
        <v>162</v>
      </c>
      <c r="C3191" s="344">
        <v>9487</v>
      </c>
      <c r="D3191" s="343" t="s">
        <v>5734</v>
      </c>
      <c r="E3191" s="344">
        <v>4846652</v>
      </c>
      <c r="F3191" s="343" t="s">
        <v>5740</v>
      </c>
      <c r="G3191" s="360" t="s">
        <v>12475</v>
      </c>
      <c r="H3191" s="361">
        <v>42790</v>
      </c>
      <c r="I3191" s="343" t="s">
        <v>709</v>
      </c>
      <c r="J3191" s="343" t="s">
        <v>9388</v>
      </c>
      <c r="K3191" s="343" t="s">
        <v>168</v>
      </c>
    </row>
    <row r="3192" spans="1:11" ht="26.25" customHeight="1">
      <c r="A3192" s="343" t="s">
        <v>5582</v>
      </c>
      <c r="B3192" s="344" t="s">
        <v>162</v>
      </c>
      <c r="C3192" s="344">
        <v>9487</v>
      </c>
      <c r="D3192" s="343" t="s">
        <v>5734</v>
      </c>
      <c r="E3192" s="344">
        <v>4851769</v>
      </c>
      <c r="F3192" s="343" t="s">
        <v>5737</v>
      </c>
      <c r="G3192" s="360" t="s">
        <v>741</v>
      </c>
      <c r="H3192" s="361">
        <v>42790</v>
      </c>
      <c r="I3192" s="343" t="s">
        <v>366</v>
      </c>
      <c r="J3192" s="343" t="s">
        <v>366</v>
      </c>
      <c r="K3192" s="343" t="s">
        <v>168</v>
      </c>
    </row>
    <row r="3193" spans="1:11" ht="26.25" customHeight="1">
      <c r="A3193" s="343" t="s">
        <v>5582</v>
      </c>
      <c r="B3193" s="344" t="s">
        <v>162</v>
      </c>
      <c r="C3193" s="344">
        <v>12799</v>
      </c>
      <c r="D3193" s="343" t="s">
        <v>6067</v>
      </c>
      <c r="E3193" s="344">
        <v>5758523</v>
      </c>
      <c r="F3193" s="343" t="s">
        <v>6068</v>
      </c>
      <c r="G3193" s="360" t="s">
        <v>203</v>
      </c>
      <c r="H3193" s="361">
        <v>42789</v>
      </c>
      <c r="I3193" s="343" t="s">
        <v>198</v>
      </c>
      <c r="J3193" s="343" t="s">
        <v>198</v>
      </c>
      <c r="K3193" s="343" t="s">
        <v>168</v>
      </c>
    </row>
    <row r="3194" spans="1:11" ht="26.25" customHeight="1">
      <c r="A3194" s="343" t="s">
        <v>5582</v>
      </c>
      <c r="B3194" s="344" t="s">
        <v>162</v>
      </c>
      <c r="C3194" s="344">
        <v>7023</v>
      </c>
      <c r="D3194" s="343" t="s">
        <v>5967</v>
      </c>
      <c r="E3194" s="344">
        <v>4851584</v>
      </c>
      <c r="F3194" s="343" t="s">
        <v>5968</v>
      </c>
      <c r="G3194" s="360" t="s">
        <v>11061</v>
      </c>
      <c r="H3194" s="361">
        <v>42789</v>
      </c>
      <c r="I3194" s="343" t="s">
        <v>3850</v>
      </c>
      <c r="J3194" s="343" t="s">
        <v>9605</v>
      </c>
      <c r="K3194" s="343" t="s">
        <v>168</v>
      </c>
    </row>
    <row r="3195" spans="1:11" ht="26.25" customHeight="1">
      <c r="A3195" s="343" t="s">
        <v>5582</v>
      </c>
      <c r="B3195" s="344" t="s">
        <v>162</v>
      </c>
      <c r="C3195" s="344">
        <v>12867</v>
      </c>
      <c r="D3195" s="343" t="s">
        <v>7044</v>
      </c>
      <c r="E3195" s="344">
        <v>5011879</v>
      </c>
      <c r="F3195" s="343" t="s">
        <v>5966</v>
      </c>
      <c r="G3195" s="360" t="s">
        <v>12476</v>
      </c>
      <c r="H3195" s="361">
        <v>42789</v>
      </c>
      <c r="I3195" s="343" t="s">
        <v>198</v>
      </c>
      <c r="J3195" s="343" t="s">
        <v>198</v>
      </c>
      <c r="K3195" s="343" t="s">
        <v>168</v>
      </c>
    </row>
    <row r="3196" spans="1:11" ht="26.25" customHeight="1">
      <c r="A3196" s="343" t="s">
        <v>5582</v>
      </c>
      <c r="B3196" s="344" t="s">
        <v>162</v>
      </c>
      <c r="C3196" s="344">
        <v>12161</v>
      </c>
      <c r="D3196" s="343" t="s">
        <v>5920</v>
      </c>
      <c r="E3196" s="344">
        <v>4116213</v>
      </c>
      <c r="F3196" s="343" t="s">
        <v>5921</v>
      </c>
      <c r="G3196" s="360" t="s">
        <v>11405</v>
      </c>
      <c r="H3196" s="361">
        <v>42789</v>
      </c>
      <c r="I3196" s="343" t="s">
        <v>780</v>
      </c>
      <c r="J3196" s="343" t="s">
        <v>780</v>
      </c>
      <c r="K3196" s="343" t="s">
        <v>168</v>
      </c>
    </row>
    <row r="3197" spans="1:11" ht="26.25" customHeight="1">
      <c r="A3197" s="343" t="s">
        <v>5582</v>
      </c>
      <c r="B3197" s="344" t="s">
        <v>162</v>
      </c>
      <c r="C3197" s="344">
        <v>7537</v>
      </c>
      <c r="D3197" s="343" t="s">
        <v>5689</v>
      </c>
      <c r="E3197" s="344">
        <v>6529013</v>
      </c>
      <c r="F3197" s="343" t="s">
        <v>5691</v>
      </c>
      <c r="G3197" s="360" t="s">
        <v>11362</v>
      </c>
      <c r="H3197" s="361">
        <v>42789</v>
      </c>
      <c r="I3197" s="343" t="s">
        <v>366</v>
      </c>
      <c r="J3197" s="343" t="s">
        <v>366</v>
      </c>
      <c r="K3197" s="343" t="s">
        <v>168</v>
      </c>
    </row>
    <row r="3198" spans="1:11" ht="26.25" customHeight="1">
      <c r="A3198" s="343" t="s">
        <v>5582</v>
      </c>
      <c r="B3198" s="344" t="s">
        <v>162</v>
      </c>
      <c r="C3198" s="344">
        <v>7526</v>
      </c>
      <c r="D3198" s="343" t="s">
        <v>5602</v>
      </c>
      <c r="E3198" s="344">
        <v>6627527</v>
      </c>
      <c r="F3198" s="343" t="s">
        <v>5604</v>
      </c>
      <c r="G3198" s="360" t="s">
        <v>12112</v>
      </c>
      <c r="H3198" s="361">
        <v>42789</v>
      </c>
      <c r="I3198" s="343" t="s">
        <v>670</v>
      </c>
      <c r="J3198" s="343" t="s">
        <v>671</v>
      </c>
      <c r="K3198" s="343" t="s">
        <v>173</v>
      </c>
    </row>
    <row r="3199" spans="1:11" ht="26.25" customHeight="1">
      <c r="A3199" s="343" t="s">
        <v>5582</v>
      </c>
      <c r="B3199" s="344" t="s">
        <v>162</v>
      </c>
      <c r="C3199" s="344">
        <v>7003</v>
      </c>
      <c r="D3199" s="343" t="s">
        <v>5896</v>
      </c>
      <c r="E3199" s="344">
        <v>5549079</v>
      </c>
      <c r="F3199" s="343" t="s">
        <v>5901</v>
      </c>
      <c r="G3199" s="360" t="s">
        <v>12477</v>
      </c>
      <c r="H3199" s="361">
        <v>42789</v>
      </c>
      <c r="I3199" s="343" t="s">
        <v>166</v>
      </c>
      <c r="J3199" s="343" t="s">
        <v>296</v>
      </c>
      <c r="K3199" s="343" t="s">
        <v>168</v>
      </c>
    </row>
    <row r="3200" spans="1:11" ht="26.25" customHeight="1">
      <c r="A3200" s="343" t="s">
        <v>5582</v>
      </c>
      <c r="B3200" s="344" t="s">
        <v>162</v>
      </c>
      <c r="C3200" s="344">
        <v>9525</v>
      </c>
      <c r="D3200" s="343" t="s">
        <v>5684</v>
      </c>
      <c r="E3200" s="344">
        <v>6567935</v>
      </c>
      <c r="F3200" s="343" t="s">
        <v>5685</v>
      </c>
      <c r="G3200" s="360" t="s">
        <v>11025</v>
      </c>
      <c r="H3200" s="361">
        <v>42790</v>
      </c>
      <c r="I3200" s="343" t="s">
        <v>802</v>
      </c>
      <c r="J3200" s="343" t="s">
        <v>1075</v>
      </c>
      <c r="K3200" s="343" t="s">
        <v>168</v>
      </c>
    </row>
    <row r="3201" spans="1:11" ht="26.25" customHeight="1">
      <c r="A3201" s="343" t="s">
        <v>5582</v>
      </c>
      <c r="B3201" s="344" t="s">
        <v>162</v>
      </c>
      <c r="C3201" s="344">
        <v>6699</v>
      </c>
      <c r="D3201" s="343" t="s">
        <v>6058</v>
      </c>
      <c r="E3201" s="344">
        <v>6125020</v>
      </c>
      <c r="F3201" s="343" t="s">
        <v>6061</v>
      </c>
      <c r="G3201" s="360" t="s">
        <v>9554</v>
      </c>
      <c r="H3201" s="361">
        <v>42789</v>
      </c>
      <c r="I3201" s="343" t="s">
        <v>271</v>
      </c>
      <c r="J3201" s="343" t="s">
        <v>1442</v>
      </c>
      <c r="K3201" s="343" t="s">
        <v>168</v>
      </c>
    </row>
    <row r="3202" spans="1:11" ht="26.25" customHeight="1">
      <c r="A3202" s="343" t="s">
        <v>5582</v>
      </c>
      <c r="B3202" s="344" t="s">
        <v>162</v>
      </c>
      <c r="C3202" s="344">
        <v>6699</v>
      </c>
      <c r="D3202" s="343" t="s">
        <v>6058</v>
      </c>
      <c r="E3202" s="344">
        <v>6107406</v>
      </c>
      <c r="F3202" s="343" t="s">
        <v>6059</v>
      </c>
      <c r="G3202" s="360" t="s">
        <v>12478</v>
      </c>
      <c r="H3202" s="361">
        <v>42789</v>
      </c>
      <c r="I3202" s="343" t="s">
        <v>198</v>
      </c>
      <c r="J3202" s="343" t="s">
        <v>198</v>
      </c>
      <c r="K3202" s="343" t="s">
        <v>168</v>
      </c>
    </row>
    <row r="3203" spans="1:11" ht="26.25" customHeight="1">
      <c r="A3203" s="343" t="s">
        <v>5582</v>
      </c>
      <c r="B3203" s="344" t="s">
        <v>162</v>
      </c>
      <c r="C3203" s="344">
        <v>10394</v>
      </c>
      <c r="D3203" s="343" t="s">
        <v>5593</v>
      </c>
      <c r="E3203" s="344">
        <v>6465467</v>
      </c>
      <c r="F3203" s="343" t="s">
        <v>5594</v>
      </c>
      <c r="G3203" s="360" t="s">
        <v>12479</v>
      </c>
      <c r="H3203" s="361">
        <v>42789</v>
      </c>
      <c r="I3203" s="343" t="s">
        <v>166</v>
      </c>
      <c r="J3203" s="343" t="s">
        <v>327</v>
      </c>
      <c r="K3203" s="343" t="s">
        <v>168</v>
      </c>
    </row>
    <row r="3204" spans="1:11" ht="26.25" customHeight="1">
      <c r="A3204" s="343" t="s">
        <v>5582</v>
      </c>
      <c r="B3204" s="344" t="s">
        <v>162</v>
      </c>
      <c r="C3204" s="344">
        <v>6684</v>
      </c>
      <c r="D3204" s="343" t="s">
        <v>6030</v>
      </c>
      <c r="E3204" s="344">
        <v>6762389</v>
      </c>
      <c r="F3204" s="343" t="s">
        <v>6033</v>
      </c>
      <c r="G3204" s="360" t="s">
        <v>11693</v>
      </c>
      <c r="H3204" s="361">
        <v>42789</v>
      </c>
      <c r="I3204" s="343" t="s">
        <v>5268</v>
      </c>
      <c r="J3204" s="343" t="s">
        <v>12480</v>
      </c>
      <c r="K3204" s="343" t="s">
        <v>248</v>
      </c>
    </row>
    <row r="3205" spans="1:11" ht="26.25" customHeight="1">
      <c r="A3205" s="343" t="s">
        <v>5582</v>
      </c>
      <c r="B3205" s="344" t="s">
        <v>162</v>
      </c>
      <c r="C3205" s="344">
        <v>6684</v>
      </c>
      <c r="D3205" s="343" t="s">
        <v>6030</v>
      </c>
      <c r="E3205" s="344">
        <v>6689583</v>
      </c>
      <c r="F3205" s="343" t="s">
        <v>6036</v>
      </c>
      <c r="G3205" s="360" t="s">
        <v>9743</v>
      </c>
      <c r="H3205" s="361">
        <v>42789</v>
      </c>
      <c r="I3205" s="343" t="s">
        <v>166</v>
      </c>
      <c r="J3205" s="343" t="s">
        <v>296</v>
      </c>
      <c r="K3205" s="343" t="s">
        <v>168</v>
      </c>
    </row>
    <row r="3206" spans="1:11" ht="26.25" customHeight="1">
      <c r="A3206" s="343" t="s">
        <v>5582</v>
      </c>
      <c r="B3206" s="344" t="s">
        <v>162</v>
      </c>
      <c r="C3206" s="344">
        <v>7518</v>
      </c>
      <c r="D3206" s="343" t="s">
        <v>5661</v>
      </c>
      <c r="E3206" s="344">
        <v>6635898</v>
      </c>
      <c r="F3206" s="343" t="s">
        <v>5663</v>
      </c>
      <c r="G3206" s="360" t="s">
        <v>12481</v>
      </c>
      <c r="H3206" s="361">
        <v>42789</v>
      </c>
      <c r="I3206" s="343" t="s">
        <v>166</v>
      </c>
      <c r="J3206" s="343" t="s">
        <v>9752</v>
      </c>
      <c r="K3206" s="343" t="s">
        <v>248</v>
      </c>
    </row>
    <row r="3207" spans="1:11" ht="26.25" customHeight="1">
      <c r="A3207" s="343" t="s">
        <v>5582</v>
      </c>
      <c r="B3207" s="344" t="s">
        <v>162</v>
      </c>
      <c r="C3207" s="344">
        <v>9455</v>
      </c>
      <c r="D3207" s="343" t="s">
        <v>5996</v>
      </c>
      <c r="E3207" s="344">
        <v>6281644</v>
      </c>
      <c r="F3207" s="343" t="s">
        <v>5997</v>
      </c>
      <c r="G3207" s="360" t="s">
        <v>11182</v>
      </c>
      <c r="H3207" s="361">
        <v>42796</v>
      </c>
      <c r="I3207" s="343" t="s">
        <v>5998</v>
      </c>
      <c r="J3207" s="343" t="s">
        <v>12482</v>
      </c>
      <c r="K3207" s="343" t="s">
        <v>168</v>
      </c>
    </row>
    <row r="3208" spans="1:11" ht="26.25" customHeight="1">
      <c r="A3208" s="343" t="s">
        <v>5582</v>
      </c>
      <c r="B3208" s="344" t="s">
        <v>162</v>
      </c>
      <c r="C3208" s="344">
        <v>6703</v>
      </c>
      <c r="D3208" s="343" t="s">
        <v>6005</v>
      </c>
      <c r="E3208" s="344">
        <v>6351077</v>
      </c>
      <c r="F3208" s="343" t="s">
        <v>6008</v>
      </c>
      <c r="G3208" s="360" t="s">
        <v>12483</v>
      </c>
      <c r="H3208" s="361">
        <v>42797</v>
      </c>
      <c r="I3208" s="343" t="s">
        <v>301</v>
      </c>
      <c r="J3208" s="343" t="s">
        <v>1113</v>
      </c>
      <c r="K3208" s="343" t="s">
        <v>168</v>
      </c>
    </row>
    <row r="3209" spans="1:11" ht="26.25" customHeight="1">
      <c r="A3209" s="343" t="s">
        <v>5582</v>
      </c>
      <c r="B3209" s="344" t="s">
        <v>162</v>
      </c>
      <c r="C3209" s="344">
        <v>9842</v>
      </c>
      <c r="D3209" s="343" t="s">
        <v>5759</v>
      </c>
      <c r="E3209" s="344">
        <v>6304183</v>
      </c>
      <c r="F3209" s="343" t="s">
        <v>5761</v>
      </c>
      <c r="G3209" s="360" t="s">
        <v>1348</v>
      </c>
      <c r="H3209" s="361">
        <v>42797</v>
      </c>
      <c r="I3209" s="343" t="s">
        <v>301</v>
      </c>
      <c r="J3209" s="343" t="s">
        <v>1113</v>
      </c>
      <c r="K3209" s="343" t="s">
        <v>168</v>
      </c>
    </row>
    <row r="3210" spans="1:11" ht="26.25" customHeight="1">
      <c r="A3210" s="343" t="s">
        <v>5582</v>
      </c>
      <c r="B3210" s="344" t="s">
        <v>162</v>
      </c>
      <c r="C3210" s="344">
        <v>7540</v>
      </c>
      <c r="D3210" s="343" t="s">
        <v>5672</v>
      </c>
      <c r="E3210" s="344">
        <v>6720507</v>
      </c>
      <c r="F3210" s="343" t="s">
        <v>5673</v>
      </c>
      <c r="G3210" s="360" t="s">
        <v>11510</v>
      </c>
      <c r="H3210" s="361">
        <v>42797</v>
      </c>
      <c r="I3210" s="343" t="s">
        <v>284</v>
      </c>
      <c r="J3210" s="343" t="s">
        <v>12484</v>
      </c>
      <c r="K3210" s="343" t="s">
        <v>168</v>
      </c>
    </row>
    <row r="3211" spans="1:11" ht="26.25" customHeight="1">
      <c r="A3211" s="343" t="s">
        <v>5582</v>
      </c>
      <c r="B3211" s="344" t="s">
        <v>162</v>
      </c>
      <c r="C3211" s="344">
        <v>7540</v>
      </c>
      <c r="D3211" s="343" t="s">
        <v>5672</v>
      </c>
      <c r="E3211" s="344">
        <v>6205046</v>
      </c>
      <c r="F3211" s="343" t="s">
        <v>5675</v>
      </c>
      <c r="G3211" s="360" t="s">
        <v>12485</v>
      </c>
      <c r="H3211" s="361">
        <v>42797</v>
      </c>
      <c r="I3211" s="343" t="s">
        <v>193</v>
      </c>
      <c r="J3211" s="343" t="s">
        <v>194</v>
      </c>
      <c r="K3211" s="343" t="s">
        <v>168</v>
      </c>
    </row>
    <row r="3212" spans="1:11" ht="26.25" customHeight="1">
      <c r="A3212" s="343" t="s">
        <v>5582</v>
      </c>
      <c r="B3212" s="344" t="s">
        <v>162</v>
      </c>
      <c r="C3212" s="344">
        <v>7519</v>
      </c>
      <c r="D3212" s="343" t="s">
        <v>5703</v>
      </c>
      <c r="E3212" s="344">
        <v>6420961</v>
      </c>
      <c r="F3212" s="343" t="s">
        <v>5705</v>
      </c>
      <c r="G3212" s="360" t="s">
        <v>11722</v>
      </c>
      <c r="H3212" s="361">
        <v>42797</v>
      </c>
      <c r="I3212" s="343" t="s">
        <v>166</v>
      </c>
      <c r="J3212" s="343" t="s">
        <v>327</v>
      </c>
      <c r="K3212" s="343" t="s">
        <v>168</v>
      </c>
    </row>
    <row r="3213" spans="1:11" ht="26.25" customHeight="1">
      <c r="A3213" s="343" t="s">
        <v>5582</v>
      </c>
      <c r="B3213" s="344" t="s">
        <v>162</v>
      </c>
      <c r="C3213" s="344">
        <v>7027</v>
      </c>
      <c r="D3213" s="343" t="s">
        <v>5885</v>
      </c>
      <c r="E3213" s="344">
        <v>4802602</v>
      </c>
      <c r="F3213" s="343" t="s">
        <v>5886</v>
      </c>
      <c r="G3213" s="360" t="s">
        <v>12486</v>
      </c>
      <c r="H3213" s="361">
        <v>42797</v>
      </c>
      <c r="I3213" s="343" t="s">
        <v>193</v>
      </c>
      <c r="J3213" s="343" t="s">
        <v>11512</v>
      </c>
      <c r="K3213" s="343" t="s">
        <v>168</v>
      </c>
    </row>
    <row r="3214" spans="1:11" ht="26.25" customHeight="1">
      <c r="A3214" s="343" t="s">
        <v>5582</v>
      </c>
      <c r="B3214" s="344" t="s">
        <v>162</v>
      </c>
      <c r="C3214" s="344">
        <v>9842</v>
      </c>
      <c r="D3214" s="343" t="s">
        <v>5759</v>
      </c>
      <c r="E3214" s="344">
        <v>5918328</v>
      </c>
      <c r="F3214" s="343" t="s">
        <v>5770</v>
      </c>
      <c r="G3214" s="360" t="s">
        <v>12487</v>
      </c>
      <c r="H3214" s="361">
        <v>42797</v>
      </c>
      <c r="I3214" s="343" t="s">
        <v>366</v>
      </c>
      <c r="J3214" s="343" t="s">
        <v>366</v>
      </c>
      <c r="K3214" s="343" t="s">
        <v>168</v>
      </c>
    </row>
    <row r="3215" spans="1:11" ht="26.25" customHeight="1">
      <c r="A3215" s="343" t="s">
        <v>5582</v>
      </c>
      <c r="B3215" s="344" t="s">
        <v>162</v>
      </c>
      <c r="C3215" s="344">
        <v>6701</v>
      </c>
      <c r="D3215" s="343" t="s">
        <v>6024</v>
      </c>
      <c r="E3215" s="344">
        <v>6289320</v>
      </c>
      <c r="F3215" s="343" t="s">
        <v>6025</v>
      </c>
      <c r="G3215" s="360" t="s">
        <v>10337</v>
      </c>
      <c r="H3215" s="361">
        <v>42797</v>
      </c>
      <c r="I3215" s="343" t="s">
        <v>193</v>
      </c>
      <c r="J3215" s="343" t="s">
        <v>1089</v>
      </c>
      <c r="K3215" s="343" t="s">
        <v>168</v>
      </c>
    </row>
    <row r="3216" spans="1:11" ht="26.25" customHeight="1">
      <c r="A3216" s="343" t="s">
        <v>5582</v>
      </c>
      <c r="B3216" s="344" t="s">
        <v>162</v>
      </c>
      <c r="C3216" s="344">
        <v>7538</v>
      </c>
      <c r="D3216" s="343" t="s">
        <v>5669</v>
      </c>
      <c r="E3216" s="344">
        <v>6707199</v>
      </c>
      <c r="F3216" s="343" t="s">
        <v>5670</v>
      </c>
      <c r="G3216" s="360" t="s">
        <v>12488</v>
      </c>
      <c r="H3216" s="361">
        <v>42797</v>
      </c>
      <c r="I3216" s="343" t="s">
        <v>5671</v>
      </c>
      <c r="J3216" s="343" t="s">
        <v>12489</v>
      </c>
      <c r="K3216" s="343" t="s">
        <v>173</v>
      </c>
    </row>
    <row r="3217" spans="1:11" ht="26.25" customHeight="1">
      <c r="A3217" s="343" t="s">
        <v>5582</v>
      </c>
      <c r="B3217" s="344" t="s">
        <v>162</v>
      </c>
      <c r="C3217" s="344">
        <v>12383</v>
      </c>
      <c r="D3217" s="343" t="s">
        <v>6100</v>
      </c>
      <c r="E3217" s="344">
        <v>6175176</v>
      </c>
      <c r="F3217" s="343" t="s">
        <v>6102</v>
      </c>
      <c r="G3217" s="360" t="s">
        <v>10478</v>
      </c>
      <c r="H3217" s="361">
        <v>42797</v>
      </c>
      <c r="I3217" s="343" t="s">
        <v>1038</v>
      </c>
      <c r="J3217" s="343" t="s">
        <v>9369</v>
      </c>
      <c r="K3217" s="343" t="s">
        <v>168</v>
      </c>
    </row>
    <row r="3218" spans="1:11" ht="26.25" customHeight="1">
      <c r="A3218" s="343" t="s">
        <v>5582</v>
      </c>
      <c r="B3218" s="344" t="s">
        <v>162</v>
      </c>
      <c r="C3218" s="344">
        <v>6702</v>
      </c>
      <c r="D3218" s="343" t="s">
        <v>6001</v>
      </c>
      <c r="E3218" s="344">
        <v>6015270</v>
      </c>
      <c r="F3218" s="343" t="s">
        <v>6004</v>
      </c>
      <c r="G3218" s="360" t="s">
        <v>9374</v>
      </c>
      <c r="H3218" s="361">
        <v>42797</v>
      </c>
      <c r="I3218" s="343" t="s">
        <v>166</v>
      </c>
      <c r="J3218" s="343" t="s">
        <v>682</v>
      </c>
      <c r="K3218" s="343" t="s">
        <v>168</v>
      </c>
    </row>
    <row r="3219" spans="1:11" ht="26.25" customHeight="1">
      <c r="A3219" s="343" t="s">
        <v>5582</v>
      </c>
      <c r="B3219" s="344" t="s">
        <v>162</v>
      </c>
      <c r="C3219" s="344">
        <v>6686</v>
      </c>
      <c r="D3219" s="343" t="s">
        <v>5980</v>
      </c>
      <c r="E3219" s="344">
        <v>5874659</v>
      </c>
      <c r="F3219" s="343" t="s">
        <v>5983</v>
      </c>
      <c r="G3219" s="360" t="s">
        <v>12490</v>
      </c>
      <c r="H3219" s="361">
        <v>42800</v>
      </c>
      <c r="I3219" s="343" t="s">
        <v>5480</v>
      </c>
      <c r="J3219" s="343" t="s">
        <v>12491</v>
      </c>
      <c r="K3219" s="343" t="s">
        <v>168</v>
      </c>
    </row>
    <row r="3220" spans="1:11" ht="26.25" customHeight="1">
      <c r="A3220" s="343" t="s">
        <v>5582</v>
      </c>
      <c r="B3220" s="344" t="s">
        <v>162</v>
      </c>
      <c r="C3220" s="344">
        <v>7026</v>
      </c>
      <c r="D3220" s="343" t="s">
        <v>5881</v>
      </c>
      <c r="E3220" s="344">
        <v>5520759</v>
      </c>
      <c r="F3220" s="343" t="s">
        <v>5882</v>
      </c>
      <c r="G3220" s="360" t="s">
        <v>12492</v>
      </c>
      <c r="H3220" s="361">
        <v>42818</v>
      </c>
      <c r="I3220" s="343" t="s">
        <v>180</v>
      </c>
      <c r="J3220" s="343" t="s">
        <v>12493</v>
      </c>
      <c r="K3220" s="343" t="s">
        <v>173</v>
      </c>
    </row>
    <row r="3221" spans="1:11" ht="26.25" customHeight="1">
      <c r="A3221" s="343" t="s">
        <v>5582</v>
      </c>
      <c r="B3221" s="344" t="s">
        <v>162</v>
      </c>
      <c r="C3221" s="344">
        <v>7526</v>
      </c>
      <c r="D3221" s="343" t="s">
        <v>5602</v>
      </c>
      <c r="E3221" s="344">
        <v>6358561</v>
      </c>
      <c r="F3221" s="343" t="s">
        <v>5605</v>
      </c>
      <c r="G3221" s="360" t="s">
        <v>12494</v>
      </c>
      <c r="H3221" s="361">
        <v>42821</v>
      </c>
      <c r="I3221" s="343" t="s">
        <v>180</v>
      </c>
      <c r="J3221" s="343" t="s">
        <v>12495</v>
      </c>
      <c r="K3221" s="343" t="s">
        <v>173</v>
      </c>
    </row>
    <row r="3222" spans="1:11" ht="26.25" customHeight="1">
      <c r="A3222" s="343" t="s">
        <v>5582</v>
      </c>
      <c r="B3222" s="344" t="s">
        <v>162</v>
      </c>
      <c r="C3222" s="344">
        <v>9353</v>
      </c>
      <c r="D3222" s="343" t="s">
        <v>6010</v>
      </c>
      <c r="E3222" s="344">
        <v>6474116</v>
      </c>
      <c r="F3222" s="343" t="s">
        <v>6014</v>
      </c>
      <c r="G3222" s="360" t="s">
        <v>12496</v>
      </c>
      <c r="H3222" s="361">
        <v>42803</v>
      </c>
      <c r="I3222" s="343" t="s">
        <v>6015</v>
      </c>
      <c r="J3222" s="343" t="s">
        <v>12497</v>
      </c>
      <c r="K3222" s="343" t="s">
        <v>248</v>
      </c>
    </row>
    <row r="3223" spans="1:11" ht="26.25" customHeight="1">
      <c r="A3223" s="343" t="s">
        <v>5582</v>
      </c>
      <c r="B3223" s="344" t="s">
        <v>162</v>
      </c>
      <c r="C3223" s="344">
        <v>10494</v>
      </c>
      <c r="D3223" s="343" t="s">
        <v>6073</v>
      </c>
      <c r="E3223" s="344">
        <v>5876986</v>
      </c>
      <c r="F3223" s="343" t="s">
        <v>6076</v>
      </c>
      <c r="G3223" s="360" t="s">
        <v>222</v>
      </c>
      <c r="H3223" s="361">
        <v>42802</v>
      </c>
      <c r="I3223" s="343" t="s">
        <v>6077</v>
      </c>
      <c r="J3223" s="343" t="s">
        <v>12498</v>
      </c>
      <c r="K3223" s="343" t="s">
        <v>248</v>
      </c>
    </row>
    <row r="3224" spans="1:11" ht="26.25" customHeight="1">
      <c r="A3224" s="343" t="s">
        <v>5582</v>
      </c>
      <c r="B3224" s="344" t="s">
        <v>162</v>
      </c>
      <c r="C3224" s="344">
        <v>7001</v>
      </c>
      <c r="D3224" s="343" t="s">
        <v>5787</v>
      </c>
      <c r="E3224" s="344">
        <v>5281373</v>
      </c>
      <c r="F3224" s="343" t="s">
        <v>5789</v>
      </c>
      <c r="G3224" s="360" t="s">
        <v>12499</v>
      </c>
      <c r="H3224" s="361">
        <v>42810</v>
      </c>
      <c r="I3224" s="343" t="s">
        <v>5790</v>
      </c>
      <c r="J3224" s="343" t="s">
        <v>10542</v>
      </c>
      <c r="K3224" s="343" t="s">
        <v>248</v>
      </c>
    </row>
    <row r="3225" spans="1:11" ht="26.25" customHeight="1">
      <c r="A3225" s="343" t="s">
        <v>5582</v>
      </c>
      <c r="B3225" s="344" t="s">
        <v>162</v>
      </c>
      <c r="C3225" s="344">
        <v>7010</v>
      </c>
      <c r="D3225" s="343" t="s">
        <v>5890</v>
      </c>
      <c r="E3225" s="344">
        <v>4688457</v>
      </c>
      <c r="F3225" s="343" t="s">
        <v>5891</v>
      </c>
      <c r="G3225" s="360" t="s">
        <v>12500</v>
      </c>
      <c r="H3225" s="361">
        <v>42811</v>
      </c>
      <c r="I3225" s="343" t="s">
        <v>3850</v>
      </c>
      <c r="J3225" s="343" t="s">
        <v>9605</v>
      </c>
      <c r="K3225" s="343" t="s">
        <v>168</v>
      </c>
    </row>
    <row r="3226" spans="1:11" ht="26.25" customHeight="1">
      <c r="A3226" s="343" t="s">
        <v>5582</v>
      </c>
      <c r="B3226" s="344" t="s">
        <v>162</v>
      </c>
      <c r="C3226" s="344">
        <v>7508</v>
      </c>
      <c r="D3226" s="343" t="s">
        <v>5664</v>
      </c>
      <c r="E3226" s="344">
        <v>6699206</v>
      </c>
      <c r="F3226" s="343" t="s">
        <v>5665</v>
      </c>
      <c r="G3226" s="360" t="s">
        <v>10965</v>
      </c>
      <c r="H3226" s="361">
        <v>42810</v>
      </c>
      <c r="I3226" s="343" t="s">
        <v>3629</v>
      </c>
      <c r="J3226" s="343" t="s">
        <v>12501</v>
      </c>
      <c r="K3226" s="343" t="s">
        <v>168</v>
      </c>
    </row>
    <row r="3227" spans="1:11" ht="26.25" customHeight="1">
      <c r="A3227" s="343" t="s">
        <v>5582</v>
      </c>
      <c r="B3227" s="344" t="s">
        <v>162</v>
      </c>
      <c r="C3227" s="344">
        <v>9456</v>
      </c>
      <c r="D3227" s="343" t="s">
        <v>6093</v>
      </c>
      <c r="E3227" s="344">
        <v>5712156</v>
      </c>
      <c r="F3227" s="343" t="s">
        <v>6094</v>
      </c>
      <c r="G3227" s="360" t="s">
        <v>12502</v>
      </c>
      <c r="H3227" s="361">
        <v>42808</v>
      </c>
      <c r="I3227" s="343" t="s">
        <v>166</v>
      </c>
      <c r="J3227" s="343" t="s">
        <v>327</v>
      </c>
      <c r="K3227" s="343" t="s">
        <v>168</v>
      </c>
    </row>
    <row r="3228" spans="1:11" ht="26.25" customHeight="1">
      <c r="A3228" s="343" t="s">
        <v>5582</v>
      </c>
      <c r="B3228" s="344" t="s">
        <v>162</v>
      </c>
      <c r="C3228" s="344">
        <v>7001</v>
      </c>
      <c r="D3228" s="343" t="s">
        <v>5787</v>
      </c>
      <c r="E3228" s="344">
        <v>5148392</v>
      </c>
      <c r="F3228" s="343" t="s">
        <v>5791</v>
      </c>
      <c r="G3228" s="360" t="s">
        <v>11848</v>
      </c>
      <c r="H3228" s="361">
        <v>42811</v>
      </c>
      <c r="I3228" s="343" t="s">
        <v>193</v>
      </c>
      <c r="J3228" s="343" t="s">
        <v>194</v>
      </c>
      <c r="K3228" s="343" t="s">
        <v>168</v>
      </c>
    </row>
    <row r="3229" spans="1:11" ht="26.25" customHeight="1">
      <c r="A3229" s="343" t="s">
        <v>5582</v>
      </c>
      <c r="B3229" s="344" t="s">
        <v>162</v>
      </c>
      <c r="C3229" s="344">
        <v>6696</v>
      </c>
      <c r="D3229" s="343" t="s">
        <v>6042</v>
      </c>
      <c r="E3229" s="344">
        <v>5991129</v>
      </c>
      <c r="F3229" s="343" t="s">
        <v>6043</v>
      </c>
      <c r="G3229" s="360" t="s">
        <v>10060</v>
      </c>
      <c r="H3229" s="361">
        <v>42811</v>
      </c>
      <c r="I3229" s="343" t="s">
        <v>211</v>
      </c>
      <c r="J3229" s="343" t="s">
        <v>909</v>
      </c>
      <c r="K3229" s="343" t="s">
        <v>168</v>
      </c>
    </row>
    <row r="3230" spans="1:11" ht="26.25" customHeight="1">
      <c r="A3230" s="343" t="s">
        <v>5582</v>
      </c>
      <c r="B3230" s="344" t="s">
        <v>162</v>
      </c>
      <c r="C3230" s="344">
        <v>7536</v>
      </c>
      <c r="D3230" s="343" t="s">
        <v>5641</v>
      </c>
      <c r="E3230" s="344">
        <v>6576698</v>
      </c>
      <c r="F3230" s="343" t="s">
        <v>5642</v>
      </c>
      <c r="G3230" s="360" t="s">
        <v>12503</v>
      </c>
      <c r="H3230" s="361">
        <v>42814</v>
      </c>
      <c r="I3230" s="343" t="s">
        <v>271</v>
      </c>
      <c r="J3230" s="343" t="s">
        <v>9983</v>
      </c>
      <c r="K3230" s="343" t="s">
        <v>168</v>
      </c>
    </row>
    <row r="3231" spans="1:11" ht="26.25" customHeight="1">
      <c r="A3231" s="343" t="s">
        <v>5582</v>
      </c>
      <c r="B3231" s="344" t="s">
        <v>162</v>
      </c>
      <c r="C3231" s="344">
        <v>7006</v>
      </c>
      <c r="D3231" s="343" t="s">
        <v>5819</v>
      </c>
      <c r="E3231" s="344">
        <v>5602717</v>
      </c>
      <c r="F3231" s="343" t="s">
        <v>5821</v>
      </c>
      <c r="G3231" s="360" t="s">
        <v>10430</v>
      </c>
      <c r="H3231" s="361">
        <v>42811</v>
      </c>
      <c r="I3231" s="343" t="s">
        <v>5822</v>
      </c>
      <c r="J3231" s="343" t="s">
        <v>12504</v>
      </c>
      <c r="K3231" s="343" t="s">
        <v>168</v>
      </c>
    </row>
    <row r="3232" spans="1:11" ht="26.25" customHeight="1">
      <c r="A3232" s="343" t="s">
        <v>5582</v>
      </c>
      <c r="B3232" s="344" t="s">
        <v>162</v>
      </c>
      <c r="C3232" s="344">
        <v>6699</v>
      </c>
      <c r="D3232" s="343" t="s">
        <v>6058</v>
      </c>
      <c r="E3232" s="344">
        <v>5783417</v>
      </c>
      <c r="F3232" s="343" t="s">
        <v>6060</v>
      </c>
      <c r="G3232" s="360" t="s">
        <v>291</v>
      </c>
      <c r="H3232" s="361">
        <v>42811</v>
      </c>
      <c r="I3232" s="343" t="s">
        <v>193</v>
      </c>
      <c r="J3232" s="343" t="s">
        <v>194</v>
      </c>
      <c r="K3232" s="343" t="s">
        <v>168</v>
      </c>
    </row>
    <row r="3233" spans="1:11" ht="26.25" customHeight="1">
      <c r="A3233" s="343" t="s">
        <v>5582</v>
      </c>
      <c r="B3233" s="344" t="s">
        <v>162</v>
      </c>
      <c r="C3233" s="344">
        <v>12159</v>
      </c>
      <c r="D3233" s="343" t="s">
        <v>9290</v>
      </c>
      <c r="E3233" s="344">
        <v>5968893</v>
      </c>
      <c r="F3233" s="343" t="s">
        <v>5780</v>
      </c>
      <c r="G3233" s="360" t="s">
        <v>11541</v>
      </c>
      <c r="H3233" s="361">
        <v>42811</v>
      </c>
      <c r="I3233" s="343" t="s">
        <v>198</v>
      </c>
      <c r="J3233" s="343" t="s">
        <v>12505</v>
      </c>
      <c r="K3233" s="343" t="s">
        <v>168</v>
      </c>
    </row>
    <row r="3234" spans="1:11" ht="26.25" customHeight="1">
      <c r="A3234" s="343" t="s">
        <v>5582</v>
      </c>
      <c r="B3234" s="344" t="s">
        <v>162</v>
      </c>
      <c r="C3234" s="344">
        <v>9842</v>
      </c>
      <c r="D3234" s="343" t="s">
        <v>5759</v>
      </c>
      <c r="E3234" s="344">
        <v>6437003</v>
      </c>
      <c r="F3234" s="343" t="s">
        <v>5762</v>
      </c>
      <c r="G3234" s="360" t="s">
        <v>12506</v>
      </c>
      <c r="H3234" s="361">
        <v>42811</v>
      </c>
      <c r="I3234" s="343" t="s">
        <v>301</v>
      </c>
      <c r="J3234" s="343" t="s">
        <v>1113</v>
      </c>
      <c r="K3234" s="343" t="s">
        <v>168</v>
      </c>
    </row>
    <row r="3235" spans="1:11" ht="26.25" customHeight="1">
      <c r="A3235" s="343" t="s">
        <v>5582</v>
      </c>
      <c r="B3235" s="344" t="s">
        <v>162</v>
      </c>
      <c r="C3235" s="344">
        <v>6690</v>
      </c>
      <c r="D3235" s="343" t="s">
        <v>6038</v>
      </c>
      <c r="E3235" s="344">
        <v>6091640</v>
      </c>
      <c r="F3235" s="343" t="s">
        <v>6041</v>
      </c>
      <c r="G3235" s="360" t="s">
        <v>12266</v>
      </c>
      <c r="H3235" s="361">
        <v>42808</v>
      </c>
      <c r="I3235" s="343" t="s">
        <v>166</v>
      </c>
      <c r="J3235" s="343" t="s">
        <v>327</v>
      </c>
      <c r="K3235" s="343" t="s">
        <v>168</v>
      </c>
    </row>
    <row r="3236" spans="1:11" ht="26.25" customHeight="1">
      <c r="A3236" s="343" t="s">
        <v>5582</v>
      </c>
      <c r="B3236" s="344" t="s">
        <v>162</v>
      </c>
      <c r="C3236" s="344">
        <v>6701</v>
      </c>
      <c r="D3236" s="343" t="s">
        <v>6024</v>
      </c>
      <c r="E3236" s="344">
        <v>6103636</v>
      </c>
      <c r="F3236" s="343" t="s">
        <v>6026</v>
      </c>
      <c r="G3236" s="360" t="s">
        <v>12507</v>
      </c>
      <c r="H3236" s="361">
        <v>42808</v>
      </c>
      <c r="I3236" s="343" t="s">
        <v>6027</v>
      </c>
      <c r="J3236" s="343" t="s">
        <v>12508</v>
      </c>
      <c r="K3236" s="343" t="s">
        <v>168</v>
      </c>
    </row>
    <row r="3237" spans="1:11" ht="26.25" customHeight="1">
      <c r="A3237" s="343" t="s">
        <v>5582</v>
      </c>
      <c r="B3237" s="344" t="s">
        <v>162</v>
      </c>
      <c r="C3237" s="344">
        <v>7533</v>
      </c>
      <c r="D3237" s="343" t="s">
        <v>5655</v>
      </c>
      <c r="E3237" s="344">
        <v>6308986</v>
      </c>
      <c r="F3237" s="343" t="s">
        <v>5657</v>
      </c>
      <c r="G3237" s="360" t="s">
        <v>335</v>
      </c>
      <c r="H3237" s="361">
        <v>42808</v>
      </c>
      <c r="I3237" s="343" t="s">
        <v>193</v>
      </c>
      <c r="J3237" s="343" t="s">
        <v>966</v>
      </c>
      <c r="K3237" s="343" t="s">
        <v>168</v>
      </c>
    </row>
    <row r="3238" spans="1:11" ht="26.25" customHeight="1">
      <c r="A3238" s="343" t="s">
        <v>5582</v>
      </c>
      <c r="B3238" s="344" t="s">
        <v>162</v>
      </c>
      <c r="C3238" s="344">
        <v>7012</v>
      </c>
      <c r="D3238" s="343" t="s">
        <v>5800</v>
      </c>
      <c r="E3238" s="344">
        <v>5746974</v>
      </c>
      <c r="F3238" s="343" t="s">
        <v>5802</v>
      </c>
      <c r="G3238" s="360" t="s">
        <v>12509</v>
      </c>
      <c r="H3238" s="361">
        <v>42808</v>
      </c>
      <c r="I3238" s="343" t="s">
        <v>198</v>
      </c>
      <c r="J3238" s="343" t="s">
        <v>198</v>
      </c>
      <c r="K3238" s="343" t="s">
        <v>168</v>
      </c>
    </row>
    <row r="3239" spans="1:11" ht="26.25" customHeight="1">
      <c r="A3239" s="343" t="s">
        <v>5582</v>
      </c>
      <c r="B3239" s="344" t="s">
        <v>162</v>
      </c>
      <c r="C3239" s="344">
        <v>6684</v>
      </c>
      <c r="D3239" s="343" t="s">
        <v>6030</v>
      </c>
      <c r="E3239" s="344">
        <v>6488937</v>
      </c>
      <c r="F3239" s="343" t="s">
        <v>6031</v>
      </c>
      <c r="G3239" s="360" t="s">
        <v>10648</v>
      </c>
      <c r="H3239" s="361">
        <v>42808</v>
      </c>
      <c r="I3239" s="343" t="s">
        <v>261</v>
      </c>
      <c r="J3239" s="343" t="s">
        <v>631</v>
      </c>
      <c r="K3239" s="343" t="s">
        <v>168</v>
      </c>
    </row>
    <row r="3240" spans="1:11" ht="26.25" customHeight="1">
      <c r="A3240" s="343" t="s">
        <v>5582</v>
      </c>
      <c r="B3240" s="344" t="s">
        <v>162</v>
      </c>
      <c r="C3240" s="344">
        <v>7501</v>
      </c>
      <c r="D3240" s="343" t="s">
        <v>5614</v>
      </c>
      <c r="E3240" s="344">
        <v>6370160</v>
      </c>
      <c r="F3240" s="343" t="s">
        <v>5626</v>
      </c>
      <c r="G3240" s="360" t="s">
        <v>10579</v>
      </c>
      <c r="H3240" s="361">
        <v>42818</v>
      </c>
      <c r="I3240" s="343" t="s">
        <v>514</v>
      </c>
      <c r="J3240" s="343" t="s">
        <v>10950</v>
      </c>
      <c r="K3240" s="343" t="s">
        <v>168</v>
      </c>
    </row>
    <row r="3241" spans="1:11" ht="26.25" customHeight="1">
      <c r="A3241" s="343" t="s">
        <v>5582</v>
      </c>
      <c r="B3241" s="344" t="s">
        <v>162</v>
      </c>
      <c r="C3241" s="344">
        <v>7528</v>
      </c>
      <c r="D3241" s="343" t="s">
        <v>5676</v>
      </c>
      <c r="E3241" s="344">
        <v>6640937</v>
      </c>
      <c r="F3241" s="343" t="s">
        <v>5677</v>
      </c>
      <c r="G3241" s="360" t="s">
        <v>9441</v>
      </c>
      <c r="H3241" s="361">
        <v>42817</v>
      </c>
      <c r="I3241" s="343" t="s">
        <v>305</v>
      </c>
      <c r="J3241" s="343" t="s">
        <v>306</v>
      </c>
      <c r="K3241" s="343" t="s">
        <v>168</v>
      </c>
    </row>
    <row r="3242" spans="1:11" ht="26.25" customHeight="1">
      <c r="A3242" s="343" t="s">
        <v>5582</v>
      </c>
      <c r="B3242" s="344" t="s">
        <v>162</v>
      </c>
      <c r="C3242" s="344">
        <v>7009</v>
      </c>
      <c r="D3242" s="343" t="s">
        <v>5943</v>
      </c>
      <c r="E3242" s="344">
        <v>5278969</v>
      </c>
      <c r="F3242" s="343" t="s">
        <v>5945</v>
      </c>
      <c r="G3242" s="360" t="s">
        <v>10358</v>
      </c>
      <c r="H3242" s="361">
        <v>42817</v>
      </c>
      <c r="I3242" s="343" t="s">
        <v>465</v>
      </c>
      <c r="J3242" s="343" t="s">
        <v>466</v>
      </c>
      <c r="K3242" s="343" t="s">
        <v>168</v>
      </c>
    </row>
    <row r="3243" spans="1:11" ht="26.25" customHeight="1">
      <c r="A3243" s="343" t="s">
        <v>5582</v>
      </c>
      <c r="B3243" s="344" t="s">
        <v>162</v>
      </c>
      <c r="C3243" s="344">
        <v>7528</v>
      </c>
      <c r="D3243" s="343" t="s">
        <v>5676</v>
      </c>
      <c r="E3243" s="344">
        <v>6404931</v>
      </c>
      <c r="F3243" s="343" t="s">
        <v>5679</v>
      </c>
      <c r="G3243" s="360" t="s">
        <v>12510</v>
      </c>
      <c r="H3243" s="361">
        <v>42817</v>
      </c>
      <c r="I3243" s="343" t="s">
        <v>193</v>
      </c>
      <c r="J3243" s="343" t="s">
        <v>194</v>
      </c>
      <c r="K3243" s="343" t="s">
        <v>168</v>
      </c>
    </row>
    <row r="3244" spans="1:11" ht="26.25" customHeight="1">
      <c r="A3244" s="343" t="s">
        <v>5582</v>
      </c>
      <c r="B3244" s="344" t="s">
        <v>162</v>
      </c>
      <c r="C3244" s="344">
        <v>9841</v>
      </c>
      <c r="D3244" s="343" t="s">
        <v>5719</v>
      </c>
      <c r="E3244" s="344">
        <v>6377734</v>
      </c>
      <c r="F3244" s="343" t="s">
        <v>5728</v>
      </c>
      <c r="G3244" s="360" t="s">
        <v>9481</v>
      </c>
      <c r="H3244" s="361">
        <v>42817</v>
      </c>
      <c r="I3244" s="343" t="s">
        <v>193</v>
      </c>
      <c r="J3244" s="343" t="s">
        <v>194</v>
      </c>
      <c r="K3244" s="343" t="s">
        <v>168</v>
      </c>
    </row>
    <row r="3245" spans="1:11" ht="26.25" customHeight="1">
      <c r="A3245" s="343" t="s">
        <v>5582</v>
      </c>
      <c r="B3245" s="344" t="s">
        <v>162</v>
      </c>
      <c r="C3245" s="344">
        <v>9922</v>
      </c>
      <c r="D3245" s="343" t="s">
        <v>5748</v>
      </c>
      <c r="E3245" s="344">
        <v>6752149</v>
      </c>
      <c r="F3245" s="343" t="s">
        <v>5754</v>
      </c>
      <c r="G3245" s="360" t="s">
        <v>12511</v>
      </c>
      <c r="H3245" s="361">
        <v>42817</v>
      </c>
      <c r="I3245" s="343" t="s">
        <v>193</v>
      </c>
      <c r="J3245" s="343" t="s">
        <v>194</v>
      </c>
      <c r="K3245" s="343" t="s">
        <v>168</v>
      </c>
    </row>
    <row r="3246" spans="1:11" ht="26.25" customHeight="1">
      <c r="A3246" s="343" t="s">
        <v>5582</v>
      </c>
      <c r="B3246" s="344" t="s">
        <v>162</v>
      </c>
      <c r="C3246" s="344">
        <v>12163</v>
      </c>
      <c r="D3246" s="343" t="s">
        <v>5912</v>
      </c>
      <c r="E3246" s="344">
        <v>5679316</v>
      </c>
      <c r="F3246" s="343" t="s">
        <v>5913</v>
      </c>
      <c r="G3246" s="360" t="s">
        <v>11692</v>
      </c>
      <c r="H3246" s="361">
        <v>42832</v>
      </c>
      <c r="I3246" s="343" t="s">
        <v>166</v>
      </c>
      <c r="J3246" s="343" t="s">
        <v>296</v>
      </c>
      <c r="K3246" s="343" t="s">
        <v>168</v>
      </c>
    </row>
    <row r="3247" spans="1:11" ht="26.25" customHeight="1">
      <c r="A3247" s="343" t="s">
        <v>5582</v>
      </c>
      <c r="B3247" s="344" t="s">
        <v>162</v>
      </c>
      <c r="C3247" s="344">
        <v>6688</v>
      </c>
      <c r="D3247" s="343" t="s">
        <v>6022</v>
      </c>
      <c r="E3247" s="344">
        <v>6542768</v>
      </c>
      <c r="F3247" s="343" t="s">
        <v>6023</v>
      </c>
      <c r="G3247" s="360" t="s">
        <v>9507</v>
      </c>
      <c r="H3247" s="361">
        <v>42837</v>
      </c>
      <c r="I3247" s="343" t="s">
        <v>246</v>
      </c>
      <c r="J3247" s="343" t="s">
        <v>247</v>
      </c>
      <c r="K3247" s="343" t="s">
        <v>248</v>
      </c>
    </row>
    <row r="3248" spans="1:11" ht="26.25" customHeight="1">
      <c r="A3248" s="343" t="s">
        <v>5582</v>
      </c>
      <c r="B3248" s="344" t="s">
        <v>162</v>
      </c>
      <c r="C3248" s="344">
        <v>7517</v>
      </c>
      <c r="D3248" s="343" t="s">
        <v>5701</v>
      </c>
      <c r="E3248" s="344">
        <v>6658311</v>
      </c>
      <c r="F3248" s="343" t="s">
        <v>5702</v>
      </c>
      <c r="G3248" s="360" t="s">
        <v>12512</v>
      </c>
      <c r="H3248" s="361">
        <v>42843</v>
      </c>
      <c r="I3248" s="343" t="s">
        <v>193</v>
      </c>
      <c r="J3248" s="343" t="s">
        <v>194</v>
      </c>
      <c r="K3248" s="343" t="s">
        <v>168</v>
      </c>
    </row>
    <row r="3249" spans="1:11" ht="26.25" customHeight="1">
      <c r="A3249" s="343" t="s">
        <v>5582</v>
      </c>
      <c r="B3249" s="344" t="s">
        <v>162</v>
      </c>
      <c r="C3249" s="344">
        <v>9353</v>
      </c>
      <c r="D3249" s="343" t="s">
        <v>6010</v>
      </c>
      <c r="E3249" s="344">
        <v>6351447</v>
      </c>
      <c r="F3249" s="343" t="s">
        <v>6012</v>
      </c>
      <c r="G3249" s="360" t="s">
        <v>10086</v>
      </c>
      <c r="H3249" s="361">
        <v>42844</v>
      </c>
      <c r="I3249" s="343" t="s">
        <v>6013</v>
      </c>
      <c r="J3249" s="343" t="s">
        <v>12513</v>
      </c>
      <c r="K3249" s="343" t="s">
        <v>248</v>
      </c>
    </row>
    <row r="3250" spans="1:11" ht="26.25" customHeight="1">
      <c r="A3250" s="343" t="s">
        <v>5582</v>
      </c>
      <c r="B3250" s="344" t="s">
        <v>162</v>
      </c>
      <c r="C3250" s="344">
        <v>9841</v>
      </c>
      <c r="D3250" s="343" t="s">
        <v>5719</v>
      </c>
      <c r="E3250" s="344">
        <v>6264113</v>
      </c>
      <c r="F3250" s="343" t="s">
        <v>5722</v>
      </c>
      <c r="G3250" s="360" t="s">
        <v>9468</v>
      </c>
      <c r="H3250" s="361">
        <v>42844</v>
      </c>
      <c r="I3250" s="343" t="s">
        <v>5723</v>
      </c>
      <c r="J3250" s="343" t="s">
        <v>12514</v>
      </c>
      <c r="K3250" s="343" t="s">
        <v>168</v>
      </c>
    </row>
    <row r="3251" spans="1:11" ht="26.25" customHeight="1">
      <c r="A3251" s="343" t="s">
        <v>5582</v>
      </c>
      <c r="B3251" s="344" t="s">
        <v>162</v>
      </c>
      <c r="C3251" s="344">
        <v>7009</v>
      </c>
      <c r="D3251" s="343" t="s">
        <v>5943</v>
      </c>
      <c r="E3251" s="344">
        <v>5648404</v>
      </c>
      <c r="F3251" s="343" t="s">
        <v>5946</v>
      </c>
      <c r="G3251" s="360" t="s">
        <v>12215</v>
      </c>
      <c r="H3251" s="361">
        <v>42849</v>
      </c>
      <c r="I3251" s="343" t="s">
        <v>423</v>
      </c>
      <c r="J3251" s="343" t="s">
        <v>12515</v>
      </c>
      <c r="K3251" s="343" t="s">
        <v>168</v>
      </c>
    </row>
    <row r="3252" spans="1:11" ht="26.25" customHeight="1">
      <c r="A3252" s="343" t="s">
        <v>5582</v>
      </c>
      <c r="B3252" s="344" t="s">
        <v>162</v>
      </c>
      <c r="C3252" s="344">
        <v>12866</v>
      </c>
      <c r="D3252" s="343" t="s">
        <v>5887</v>
      </c>
      <c r="E3252" s="344">
        <v>5152923</v>
      </c>
      <c r="F3252" s="343" t="s">
        <v>5888</v>
      </c>
      <c r="G3252" s="360" t="s">
        <v>12516</v>
      </c>
      <c r="H3252" s="361">
        <v>42850</v>
      </c>
      <c r="I3252" s="343" t="s">
        <v>5889</v>
      </c>
      <c r="J3252" s="343" t="s">
        <v>12517</v>
      </c>
      <c r="K3252" s="343" t="s">
        <v>168</v>
      </c>
    </row>
    <row r="3253" spans="1:11" ht="26.25" customHeight="1">
      <c r="A3253" s="343" t="s">
        <v>5582</v>
      </c>
      <c r="B3253" s="344" t="s">
        <v>162</v>
      </c>
      <c r="C3253" s="344">
        <v>6701</v>
      </c>
      <c r="D3253" s="343" t="s">
        <v>6024</v>
      </c>
      <c r="E3253" s="344">
        <v>6704098</v>
      </c>
      <c r="F3253" s="343" t="s">
        <v>6029</v>
      </c>
      <c r="G3253" s="360" t="s">
        <v>12156</v>
      </c>
      <c r="H3253" s="361">
        <v>42850</v>
      </c>
      <c r="I3253" s="343" t="s">
        <v>166</v>
      </c>
      <c r="J3253" s="343" t="s">
        <v>327</v>
      </c>
      <c r="K3253" s="343" t="s">
        <v>168</v>
      </c>
    </row>
    <row r="3254" spans="1:11" ht="26.25" customHeight="1">
      <c r="A3254" s="343" t="s">
        <v>5582</v>
      </c>
      <c r="B3254" s="344" t="s">
        <v>162</v>
      </c>
      <c r="C3254" s="344">
        <v>7506</v>
      </c>
      <c r="D3254" s="343" t="s">
        <v>5666</v>
      </c>
      <c r="E3254" s="344">
        <v>6312979</v>
      </c>
      <c r="F3254" s="343" t="s">
        <v>5667</v>
      </c>
      <c r="G3254" s="360" t="s">
        <v>12518</v>
      </c>
      <c r="H3254" s="361">
        <v>42857</v>
      </c>
      <c r="I3254" s="343" t="s">
        <v>5268</v>
      </c>
      <c r="J3254" s="343" t="s">
        <v>12519</v>
      </c>
      <c r="K3254" s="343" t="s">
        <v>248</v>
      </c>
    </row>
    <row r="3255" spans="1:11" ht="26.25" customHeight="1">
      <c r="A3255" s="343" t="s">
        <v>5582</v>
      </c>
      <c r="B3255" s="344" t="s">
        <v>162</v>
      </c>
      <c r="C3255" s="344">
        <v>9756</v>
      </c>
      <c r="D3255" s="343" t="s">
        <v>6087</v>
      </c>
      <c r="E3255" s="344">
        <v>5903558</v>
      </c>
      <c r="F3255" s="343" t="s">
        <v>6088</v>
      </c>
      <c r="G3255" s="360" t="s">
        <v>9919</v>
      </c>
      <c r="H3255" s="361">
        <v>42863</v>
      </c>
      <c r="I3255" s="343" t="s">
        <v>366</v>
      </c>
      <c r="J3255" s="343" t="s">
        <v>366</v>
      </c>
      <c r="K3255" s="343" t="s">
        <v>168</v>
      </c>
    </row>
    <row r="3256" spans="1:11" ht="26.25" customHeight="1">
      <c r="A3256" s="343" t="s">
        <v>5582</v>
      </c>
      <c r="B3256" s="344" t="s">
        <v>162</v>
      </c>
      <c r="C3256" s="344">
        <v>7525</v>
      </c>
      <c r="D3256" s="343" t="s">
        <v>5643</v>
      </c>
      <c r="E3256" s="344">
        <v>6450400</v>
      </c>
      <c r="F3256" s="343" t="s">
        <v>5644</v>
      </c>
      <c r="G3256" s="360" t="s">
        <v>12520</v>
      </c>
      <c r="H3256" s="361">
        <v>42863</v>
      </c>
      <c r="I3256" s="343" t="s">
        <v>198</v>
      </c>
      <c r="J3256" s="343" t="s">
        <v>198</v>
      </c>
      <c r="K3256" s="343" t="s">
        <v>168</v>
      </c>
    </row>
    <row r="3257" spans="1:11" ht="26.25" customHeight="1">
      <c r="A3257" s="343" t="s">
        <v>5582</v>
      </c>
      <c r="B3257" s="344" t="s">
        <v>162</v>
      </c>
      <c r="C3257" s="344">
        <v>7018</v>
      </c>
      <c r="D3257" s="343" t="s">
        <v>5939</v>
      </c>
      <c r="E3257" s="344">
        <v>4688242</v>
      </c>
      <c r="F3257" s="343" t="s">
        <v>5942</v>
      </c>
      <c r="G3257" s="360" t="s">
        <v>12521</v>
      </c>
      <c r="H3257" s="361">
        <v>42863</v>
      </c>
      <c r="I3257" s="343" t="s">
        <v>211</v>
      </c>
      <c r="J3257" s="343" t="s">
        <v>909</v>
      </c>
      <c r="K3257" s="343" t="s">
        <v>168</v>
      </c>
    </row>
    <row r="3258" spans="1:11" ht="26.25" customHeight="1">
      <c r="A3258" s="343" t="s">
        <v>5582</v>
      </c>
      <c r="B3258" s="344" t="s">
        <v>162</v>
      </c>
      <c r="C3258" s="344">
        <v>7018</v>
      </c>
      <c r="D3258" s="343" t="s">
        <v>5939</v>
      </c>
      <c r="E3258" s="344">
        <v>6074268</v>
      </c>
      <c r="F3258" s="343" t="s">
        <v>5940</v>
      </c>
      <c r="G3258" s="360" t="s">
        <v>10429</v>
      </c>
      <c r="H3258" s="361">
        <v>42863</v>
      </c>
      <c r="I3258" s="343" t="s">
        <v>742</v>
      </c>
      <c r="J3258" s="343" t="s">
        <v>742</v>
      </c>
      <c r="K3258" s="343" t="s">
        <v>168</v>
      </c>
    </row>
    <row r="3259" spans="1:11" ht="26.25" customHeight="1">
      <c r="A3259" s="343" t="s">
        <v>5582</v>
      </c>
      <c r="B3259" s="344" t="s">
        <v>162</v>
      </c>
      <c r="C3259" s="344">
        <v>7028</v>
      </c>
      <c r="D3259" s="343" t="s">
        <v>5851</v>
      </c>
      <c r="E3259" s="344">
        <v>4871413</v>
      </c>
      <c r="F3259" s="343" t="s">
        <v>5854</v>
      </c>
      <c r="G3259" s="360" t="s">
        <v>12522</v>
      </c>
      <c r="H3259" s="361">
        <v>42863</v>
      </c>
      <c r="I3259" s="343" t="s">
        <v>709</v>
      </c>
      <c r="J3259" s="343" t="s">
        <v>12523</v>
      </c>
      <c r="K3259" s="343" t="s">
        <v>168</v>
      </c>
    </row>
    <row r="3260" spans="1:11" ht="26.25" customHeight="1">
      <c r="A3260" s="343" t="s">
        <v>5582</v>
      </c>
      <c r="B3260" s="344" t="s">
        <v>162</v>
      </c>
      <c r="C3260" s="344">
        <v>6693</v>
      </c>
      <c r="D3260" s="343" t="s">
        <v>5992</v>
      </c>
      <c r="E3260" s="344">
        <v>6674070</v>
      </c>
      <c r="F3260" s="343" t="s">
        <v>5995</v>
      </c>
      <c r="G3260" s="360" t="s">
        <v>1123</v>
      </c>
      <c r="H3260" s="361">
        <v>42865</v>
      </c>
      <c r="I3260" s="343" t="s">
        <v>275</v>
      </c>
      <c r="J3260" s="343" t="s">
        <v>12524</v>
      </c>
      <c r="K3260" s="343" t="s">
        <v>173</v>
      </c>
    </row>
    <row r="3261" spans="1:11" ht="26.25" customHeight="1">
      <c r="A3261" s="343" t="s">
        <v>5582</v>
      </c>
      <c r="B3261" s="344" t="s">
        <v>162</v>
      </c>
      <c r="C3261" s="344">
        <v>9842</v>
      </c>
      <c r="D3261" s="343" t="s">
        <v>5759</v>
      </c>
      <c r="E3261" s="344">
        <v>6190864</v>
      </c>
      <c r="F3261" s="343" t="s">
        <v>5760</v>
      </c>
      <c r="G3261" s="360" t="s">
        <v>12525</v>
      </c>
      <c r="H3261" s="361">
        <v>42865</v>
      </c>
      <c r="I3261" s="343" t="s">
        <v>198</v>
      </c>
      <c r="J3261" s="343" t="s">
        <v>12526</v>
      </c>
      <c r="K3261" s="343" t="s">
        <v>168</v>
      </c>
    </row>
    <row r="3262" spans="1:11" ht="26.25" customHeight="1">
      <c r="A3262" s="343" t="s">
        <v>5582</v>
      </c>
      <c r="B3262" s="344" t="s">
        <v>162</v>
      </c>
      <c r="C3262" s="344">
        <v>9525</v>
      </c>
      <c r="D3262" s="343" t="s">
        <v>5684</v>
      </c>
      <c r="E3262" s="344">
        <v>6370039</v>
      </c>
      <c r="F3262" s="343" t="s">
        <v>5686</v>
      </c>
      <c r="G3262" s="360" t="s">
        <v>517</v>
      </c>
      <c r="H3262" s="361">
        <v>42863</v>
      </c>
      <c r="I3262" s="343" t="s">
        <v>193</v>
      </c>
      <c r="J3262" s="343" t="s">
        <v>612</v>
      </c>
      <c r="K3262" s="343" t="s">
        <v>168</v>
      </c>
    </row>
    <row r="3263" spans="1:11" ht="26.25" customHeight="1">
      <c r="A3263" s="343" t="s">
        <v>5582</v>
      </c>
      <c r="B3263" s="344" t="s">
        <v>162</v>
      </c>
      <c r="C3263" s="344">
        <v>7532</v>
      </c>
      <c r="D3263" s="343" t="s">
        <v>5649</v>
      </c>
      <c r="E3263" s="344">
        <v>6635170</v>
      </c>
      <c r="F3263" s="343" t="s">
        <v>5654</v>
      </c>
      <c r="G3263" s="360" t="s">
        <v>12527</v>
      </c>
      <c r="H3263" s="361">
        <v>42865</v>
      </c>
      <c r="I3263" s="343" t="s">
        <v>1016</v>
      </c>
      <c r="J3263" s="343" t="s">
        <v>12528</v>
      </c>
      <c r="K3263" s="343" t="s">
        <v>168</v>
      </c>
    </row>
    <row r="3264" spans="1:11" ht="26.25" customHeight="1">
      <c r="A3264" s="343" t="s">
        <v>5582</v>
      </c>
      <c r="B3264" s="344" t="s">
        <v>162</v>
      </c>
      <c r="C3264" s="344">
        <v>7532</v>
      </c>
      <c r="D3264" s="343" t="s">
        <v>5649</v>
      </c>
      <c r="E3264" s="344">
        <v>6654565</v>
      </c>
      <c r="F3264" s="343" t="s">
        <v>5653</v>
      </c>
      <c r="G3264" s="360" t="s">
        <v>12529</v>
      </c>
      <c r="H3264" s="361">
        <v>42865</v>
      </c>
      <c r="I3264" s="343" t="s">
        <v>301</v>
      </c>
      <c r="J3264" s="343" t="s">
        <v>1113</v>
      </c>
      <c r="K3264" s="343" t="s">
        <v>168</v>
      </c>
    </row>
    <row r="3265" spans="1:11" ht="26.25" customHeight="1">
      <c r="A3265" s="343" t="s">
        <v>5582</v>
      </c>
      <c r="B3265" s="344" t="s">
        <v>162</v>
      </c>
      <c r="C3265" s="344">
        <v>9842</v>
      </c>
      <c r="D3265" s="343" t="s">
        <v>5759</v>
      </c>
      <c r="E3265" s="344">
        <v>6113722</v>
      </c>
      <c r="F3265" s="343" t="s">
        <v>5768</v>
      </c>
      <c r="G3265" s="360" t="s">
        <v>10168</v>
      </c>
      <c r="H3265" s="361">
        <v>42853</v>
      </c>
      <c r="I3265" s="343" t="s">
        <v>193</v>
      </c>
      <c r="J3265" s="343" t="s">
        <v>966</v>
      </c>
      <c r="K3265" s="343" t="s">
        <v>168</v>
      </c>
    </row>
    <row r="3266" spans="1:11" ht="26.25" customHeight="1">
      <c r="A3266" s="343" t="s">
        <v>5582</v>
      </c>
      <c r="B3266" s="344" t="s">
        <v>162</v>
      </c>
      <c r="C3266" s="344">
        <v>8970</v>
      </c>
      <c r="D3266" s="343" t="s">
        <v>6096</v>
      </c>
      <c r="E3266" s="344">
        <v>6699985</v>
      </c>
      <c r="F3266" s="343" t="s">
        <v>6097</v>
      </c>
      <c r="G3266" s="360" t="s">
        <v>10106</v>
      </c>
      <c r="H3266" s="361">
        <v>42853</v>
      </c>
      <c r="I3266" s="343" t="s">
        <v>211</v>
      </c>
      <c r="J3266" s="343" t="s">
        <v>909</v>
      </c>
      <c r="K3266" s="343" t="s">
        <v>168</v>
      </c>
    </row>
    <row r="3267" spans="1:11" ht="26.25" customHeight="1">
      <c r="A3267" s="343" t="s">
        <v>5582</v>
      </c>
      <c r="B3267" s="344" t="s">
        <v>162</v>
      </c>
      <c r="C3267" s="344">
        <v>6684</v>
      </c>
      <c r="D3267" s="343" t="s">
        <v>6030</v>
      </c>
      <c r="E3267" s="344">
        <v>5892008</v>
      </c>
      <c r="F3267" s="343" t="s">
        <v>6032</v>
      </c>
      <c r="G3267" s="360" t="s">
        <v>12000</v>
      </c>
      <c r="H3267" s="361">
        <v>42853</v>
      </c>
      <c r="I3267" s="343" t="s">
        <v>198</v>
      </c>
      <c r="J3267" s="343" t="s">
        <v>198</v>
      </c>
      <c r="K3267" s="343" t="s">
        <v>168</v>
      </c>
    </row>
    <row r="3268" spans="1:11" ht="26.25" customHeight="1">
      <c r="A3268" s="343" t="s">
        <v>5582</v>
      </c>
      <c r="B3268" s="344" t="s">
        <v>162</v>
      </c>
      <c r="C3268" s="344">
        <v>7000</v>
      </c>
      <c r="D3268" s="343" t="s">
        <v>5840</v>
      </c>
      <c r="E3268" s="344">
        <v>6265794</v>
      </c>
      <c r="F3268" s="343" t="s">
        <v>5850</v>
      </c>
      <c r="G3268" s="360" t="s">
        <v>11568</v>
      </c>
      <c r="H3268" s="361">
        <v>42853</v>
      </c>
      <c r="I3268" s="343" t="s">
        <v>219</v>
      </c>
      <c r="J3268" s="343" t="s">
        <v>220</v>
      </c>
      <c r="K3268" s="343" t="s">
        <v>173</v>
      </c>
    </row>
    <row r="3269" spans="1:11" ht="26.25" customHeight="1">
      <c r="A3269" s="343" t="s">
        <v>5582</v>
      </c>
      <c r="B3269" s="344" t="s">
        <v>162</v>
      </c>
      <c r="C3269" s="344">
        <v>7526</v>
      </c>
      <c r="D3269" s="343" t="s">
        <v>5602</v>
      </c>
      <c r="E3269" s="344">
        <v>6673400</v>
      </c>
      <c r="F3269" s="343" t="s">
        <v>5606</v>
      </c>
      <c r="G3269" s="360" t="s">
        <v>10135</v>
      </c>
      <c r="H3269" s="361">
        <v>42853</v>
      </c>
      <c r="I3269" s="343" t="s">
        <v>5607</v>
      </c>
      <c r="J3269" s="343" t="s">
        <v>12530</v>
      </c>
      <c r="K3269" s="343" t="s">
        <v>173</v>
      </c>
    </row>
    <row r="3270" spans="1:11" ht="26.25" customHeight="1">
      <c r="A3270" s="343" t="s">
        <v>5582</v>
      </c>
      <c r="B3270" s="344" t="s">
        <v>162</v>
      </c>
      <c r="C3270" s="344">
        <v>9898</v>
      </c>
      <c r="D3270" s="343" t="s">
        <v>5581</v>
      </c>
      <c r="E3270" s="344">
        <v>6557194</v>
      </c>
      <c r="F3270" s="343" t="s">
        <v>5586</v>
      </c>
      <c r="G3270" s="360" t="s">
        <v>12531</v>
      </c>
      <c r="H3270" s="361">
        <v>42877</v>
      </c>
      <c r="I3270" s="343" t="s">
        <v>465</v>
      </c>
      <c r="J3270" s="343" t="s">
        <v>1118</v>
      </c>
      <c r="K3270" s="343" t="s">
        <v>168</v>
      </c>
    </row>
    <row r="3271" spans="1:11" ht="26.25" customHeight="1">
      <c r="A3271" s="343" t="s">
        <v>5582</v>
      </c>
      <c r="B3271" s="344" t="s">
        <v>162</v>
      </c>
      <c r="C3271" s="344">
        <v>7532</v>
      </c>
      <c r="D3271" s="343" t="s">
        <v>5649</v>
      </c>
      <c r="E3271" s="344">
        <v>6248924</v>
      </c>
      <c r="F3271" s="343" t="s">
        <v>5651</v>
      </c>
      <c r="G3271" s="360" t="s">
        <v>12532</v>
      </c>
      <c r="H3271" s="361">
        <v>42877</v>
      </c>
      <c r="I3271" s="343" t="s">
        <v>166</v>
      </c>
      <c r="J3271" s="343" t="s">
        <v>327</v>
      </c>
      <c r="K3271" s="343" t="s">
        <v>168</v>
      </c>
    </row>
    <row r="3272" spans="1:11" ht="26.25" customHeight="1">
      <c r="A3272" s="343" t="s">
        <v>5582</v>
      </c>
      <c r="B3272" s="344" t="s">
        <v>162</v>
      </c>
      <c r="C3272" s="344">
        <v>9841</v>
      </c>
      <c r="D3272" s="343" t="s">
        <v>5719</v>
      </c>
      <c r="E3272" s="344">
        <v>6226689</v>
      </c>
      <c r="F3272" s="343" t="s">
        <v>5724</v>
      </c>
      <c r="G3272" s="360" t="s">
        <v>12533</v>
      </c>
      <c r="H3272" s="361">
        <v>42871</v>
      </c>
      <c r="I3272" s="343" t="s">
        <v>193</v>
      </c>
      <c r="J3272" s="343" t="s">
        <v>194</v>
      </c>
      <c r="K3272" s="343" t="s">
        <v>168</v>
      </c>
    </row>
    <row r="3273" spans="1:11" ht="26.25" customHeight="1">
      <c r="A3273" s="343" t="s">
        <v>5582</v>
      </c>
      <c r="B3273" s="344" t="s">
        <v>162</v>
      </c>
      <c r="C3273" s="344">
        <v>9841</v>
      </c>
      <c r="D3273" s="343" t="s">
        <v>5719</v>
      </c>
      <c r="E3273" s="344">
        <v>6731981</v>
      </c>
      <c r="F3273" s="343" t="s">
        <v>5721</v>
      </c>
      <c r="G3273" s="360" t="s">
        <v>12534</v>
      </c>
      <c r="H3273" s="361">
        <v>42871</v>
      </c>
      <c r="I3273" s="343" t="s">
        <v>166</v>
      </c>
      <c r="J3273" s="343" t="s">
        <v>265</v>
      </c>
      <c r="K3273" s="343" t="s">
        <v>168</v>
      </c>
    </row>
    <row r="3274" spans="1:11" ht="26.25" customHeight="1">
      <c r="A3274" s="343" t="s">
        <v>5582</v>
      </c>
      <c r="B3274" s="344" t="s">
        <v>162</v>
      </c>
      <c r="C3274" s="344">
        <v>7502</v>
      </c>
      <c r="D3274" s="343" t="s">
        <v>5628</v>
      </c>
      <c r="E3274" s="344">
        <v>6644914</v>
      </c>
      <c r="F3274" s="343" t="s">
        <v>5629</v>
      </c>
      <c r="G3274" s="360" t="s">
        <v>12535</v>
      </c>
      <c r="H3274" s="361">
        <v>42871</v>
      </c>
      <c r="I3274" s="343" t="s">
        <v>1016</v>
      </c>
      <c r="J3274" s="343" t="s">
        <v>12536</v>
      </c>
      <c r="K3274" s="343" t="s">
        <v>168</v>
      </c>
    </row>
    <row r="3275" spans="1:11" ht="26.25" customHeight="1">
      <c r="A3275" s="343" t="s">
        <v>5582</v>
      </c>
      <c r="B3275" s="344" t="s">
        <v>162</v>
      </c>
      <c r="C3275" s="344">
        <v>6703</v>
      </c>
      <c r="D3275" s="343" t="s">
        <v>6005</v>
      </c>
      <c r="E3275" s="344">
        <v>5779535</v>
      </c>
      <c r="F3275" s="343" t="s">
        <v>6007</v>
      </c>
      <c r="G3275" s="360" t="s">
        <v>10107</v>
      </c>
      <c r="H3275" s="361">
        <v>42871</v>
      </c>
      <c r="I3275" s="343" t="s">
        <v>301</v>
      </c>
      <c r="J3275" s="343" t="s">
        <v>1113</v>
      </c>
      <c r="K3275" s="343" t="s">
        <v>168</v>
      </c>
    </row>
    <row r="3276" spans="1:11" ht="26.25" customHeight="1">
      <c r="A3276" s="343" t="s">
        <v>5582</v>
      </c>
      <c r="B3276" s="344" t="s">
        <v>162</v>
      </c>
      <c r="C3276" s="344">
        <v>9353</v>
      </c>
      <c r="D3276" s="343" t="s">
        <v>6010</v>
      </c>
      <c r="E3276" s="344">
        <v>5919909</v>
      </c>
      <c r="F3276" s="343" t="s">
        <v>6011</v>
      </c>
      <c r="G3276" s="360" t="s">
        <v>1104</v>
      </c>
      <c r="H3276" s="361">
        <v>42871</v>
      </c>
      <c r="I3276" s="343" t="s">
        <v>198</v>
      </c>
      <c r="J3276" s="343" t="s">
        <v>198</v>
      </c>
      <c r="K3276" s="343" t="s">
        <v>168</v>
      </c>
    </row>
    <row r="3277" spans="1:11" ht="26.25" customHeight="1">
      <c r="A3277" s="343" t="s">
        <v>5582</v>
      </c>
      <c r="B3277" s="344" t="s">
        <v>162</v>
      </c>
      <c r="C3277" s="344">
        <v>8551</v>
      </c>
      <c r="D3277" s="343" t="s">
        <v>6078</v>
      </c>
      <c r="E3277" s="344">
        <v>6084073</v>
      </c>
      <c r="F3277" s="343" t="s">
        <v>6080</v>
      </c>
      <c r="G3277" s="360" t="s">
        <v>11757</v>
      </c>
      <c r="H3277" s="361">
        <v>42885</v>
      </c>
      <c r="I3277" s="343" t="s">
        <v>6081</v>
      </c>
      <c r="J3277" s="343" t="s">
        <v>12537</v>
      </c>
      <c r="K3277" s="343" t="s">
        <v>248</v>
      </c>
    </row>
    <row r="3278" spans="1:11" ht="26.25" customHeight="1">
      <c r="A3278" s="343" t="s">
        <v>5582</v>
      </c>
      <c r="B3278" s="344" t="s">
        <v>162</v>
      </c>
      <c r="C3278" s="344">
        <v>7002</v>
      </c>
      <c r="D3278" s="343" t="s">
        <v>5795</v>
      </c>
      <c r="E3278" s="344">
        <v>5688284</v>
      </c>
      <c r="F3278" s="343" t="s">
        <v>5796</v>
      </c>
      <c r="G3278" s="360" t="s">
        <v>12538</v>
      </c>
      <c r="H3278" s="361">
        <v>42885</v>
      </c>
      <c r="I3278" s="343" t="s">
        <v>709</v>
      </c>
      <c r="J3278" s="343" t="s">
        <v>12539</v>
      </c>
      <c r="K3278" s="343" t="s">
        <v>168</v>
      </c>
    </row>
    <row r="3279" spans="1:11" ht="26.25" customHeight="1">
      <c r="A3279" s="343" t="s">
        <v>5582</v>
      </c>
      <c r="B3279" s="344" t="s">
        <v>162</v>
      </c>
      <c r="C3279" s="344">
        <v>7537</v>
      </c>
      <c r="D3279" s="343" t="s">
        <v>5689</v>
      </c>
      <c r="E3279" s="344">
        <v>6291685</v>
      </c>
      <c r="F3279" s="343" t="s">
        <v>5693</v>
      </c>
      <c r="G3279" s="360" t="s">
        <v>12540</v>
      </c>
      <c r="H3279" s="361">
        <v>42885</v>
      </c>
      <c r="I3279" s="343" t="s">
        <v>366</v>
      </c>
      <c r="J3279" s="343" t="s">
        <v>366</v>
      </c>
      <c r="K3279" s="343" t="s">
        <v>168</v>
      </c>
    </row>
    <row r="3280" spans="1:11" ht="26.25" customHeight="1">
      <c r="A3280" s="343" t="s">
        <v>5582</v>
      </c>
      <c r="B3280" s="344" t="s">
        <v>162</v>
      </c>
      <c r="C3280" s="344">
        <v>7532</v>
      </c>
      <c r="D3280" s="343" t="s">
        <v>5649</v>
      </c>
      <c r="E3280" s="344">
        <v>6698402</v>
      </c>
      <c r="F3280" s="343" t="s">
        <v>5652</v>
      </c>
      <c r="G3280" s="360" t="s">
        <v>12541</v>
      </c>
      <c r="H3280" s="361">
        <v>42878</v>
      </c>
      <c r="I3280" s="343" t="s">
        <v>465</v>
      </c>
      <c r="J3280" s="343" t="s">
        <v>12542</v>
      </c>
      <c r="K3280" s="343" t="s">
        <v>168</v>
      </c>
    </row>
    <row r="3281" spans="1:11" ht="26.25" customHeight="1">
      <c r="A3281" s="343" t="s">
        <v>5582</v>
      </c>
      <c r="B3281" s="344" t="s">
        <v>162</v>
      </c>
      <c r="C3281" s="344">
        <v>12839</v>
      </c>
      <c r="D3281" s="343" t="s">
        <v>6055</v>
      </c>
      <c r="E3281" s="344">
        <v>5789850</v>
      </c>
      <c r="F3281" s="343" t="s">
        <v>6057</v>
      </c>
      <c r="G3281" s="360" t="s">
        <v>9592</v>
      </c>
      <c r="H3281" s="361">
        <v>42879</v>
      </c>
      <c r="I3281" s="343" t="s">
        <v>193</v>
      </c>
      <c r="J3281" s="343" t="s">
        <v>12543</v>
      </c>
      <c r="K3281" s="343" t="s">
        <v>168</v>
      </c>
    </row>
    <row r="3282" spans="1:11" ht="26.25" customHeight="1">
      <c r="A3282" s="343" t="s">
        <v>5582</v>
      </c>
      <c r="B3282" s="344" t="s">
        <v>162</v>
      </c>
      <c r="C3282" s="344">
        <v>9851</v>
      </c>
      <c r="D3282" s="343" t="s">
        <v>5696</v>
      </c>
      <c r="E3282" s="344">
        <v>6568993</v>
      </c>
      <c r="F3282" s="343" t="s">
        <v>5697</v>
      </c>
      <c r="G3282" s="360" t="s">
        <v>12544</v>
      </c>
      <c r="H3282" s="361">
        <v>42878</v>
      </c>
      <c r="I3282" s="343" t="s">
        <v>5698</v>
      </c>
      <c r="J3282" s="343" t="s">
        <v>12545</v>
      </c>
      <c r="K3282" s="343" t="s">
        <v>173</v>
      </c>
    </row>
    <row r="3283" spans="1:11" ht="26.25" customHeight="1">
      <c r="A3283" s="343" t="s">
        <v>5582</v>
      </c>
      <c r="B3283" s="344" t="s">
        <v>162</v>
      </c>
      <c r="C3283" s="344">
        <v>12160</v>
      </c>
      <c r="D3283" s="343" t="s">
        <v>5926</v>
      </c>
      <c r="E3283" s="344">
        <v>6598871</v>
      </c>
      <c r="F3283" s="343" t="s">
        <v>5932</v>
      </c>
      <c r="G3283" s="360" t="s">
        <v>10658</v>
      </c>
      <c r="H3283" s="361">
        <v>42900</v>
      </c>
      <c r="I3283" s="343" t="s">
        <v>580</v>
      </c>
      <c r="J3283" s="343" t="s">
        <v>12546</v>
      </c>
      <c r="K3283" s="343" t="s">
        <v>248</v>
      </c>
    </row>
    <row r="3284" spans="1:11" ht="26.25" customHeight="1">
      <c r="A3284" s="343" t="s">
        <v>5582</v>
      </c>
      <c r="B3284" s="344" t="s">
        <v>162</v>
      </c>
      <c r="C3284" s="344">
        <v>6693</v>
      </c>
      <c r="D3284" s="343" t="s">
        <v>5992</v>
      </c>
      <c r="E3284" s="344">
        <v>5895584</v>
      </c>
      <c r="F3284" s="343" t="s">
        <v>5994</v>
      </c>
      <c r="G3284" s="360" t="s">
        <v>9630</v>
      </c>
      <c r="H3284" s="361">
        <v>42892</v>
      </c>
      <c r="I3284" s="343" t="s">
        <v>193</v>
      </c>
      <c r="J3284" s="343" t="s">
        <v>12547</v>
      </c>
      <c r="K3284" s="343" t="s">
        <v>168</v>
      </c>
    </row>
    <row r="3285" spans="1:11" ht="26.25" customHeight="1">
      <c r="A3285" s="343" t="s">
        <v>5582</v>
      </c>
      <c r="B3285" s="344" t="s">
        <v>162</v>
      </c>
      <c r="C3285" s="344">
        <v>9922</v>
      </c>
      <c r="D3285" s="343" t="s">
        <v>5748</v>
      </c>
      <c r="E3285" s="344">
        <v>4690385</v>
      </c>
      <c r="F3285" s="343" t="s">
        <v>5758</v>
      </c>
      <c r="G3285" s="360" t="s">
        <v>11401</v>
      </c>
      <c r="H3285" s="361">
        <v>42892</v>
      </c>
      <c r="I3285" s="343" t="s">
        <v>193</v>
      </c>
      <c r="J3285" s="343" t="s">
        <v>11512</v>
      </c>
      <c r="K3285" s="343" t="s">
        <v>168</v>
      </c>
    </row>
    <row r="3286" spans="1:11" ht="26.25" customHeight="1">
      <c r="A3286" s="343" t="s">
        <v>5582</v>
      </c>
      <c r="B3286" s="344" t="s">
        <v>162</v>
      </c>
      <c r="C3286" s="344">
        <v>12162</v>
      </c>
      <c r="D3286" s="343" t="s">
        <v>5876</v>
      </c>
      <c r="E3286" s="344">
        <v>4690485</v>
      </c>
      <c r="F3286" s="343" t="s">
        <v>5877</v>
      </c>
      <c r="G3286" s="360" t="s">
        <v>12548</v>
      </c>
      <c r="H3286" s="361">
        <v>42908</v>
      </c>
      <c r="I3286" s="343" t="s">
        <v>5878</v>
      </c>
      <c r="J3286" s="343" t="s">
        <v>12549</v>
      </c>
      <c r="K3286" s="343" t="s">
        <v>248</v>
      </c>
    </row>
    <row r="3287" spans="1:11" ht="26.25" customHeight="1">
      <c r="A3287" s="343" t="s">
        <v>5582</v>
      </c>
      <c r="B3287" s="344" t="s">
        <v>162</v>
      </c>
      <c r="C3287" s="344">
        <v>9540</v>
      </c>
      <c r="D3287" s="343" t="s">
        <v>5590</v>
      </c>
      <c r="E3287" s="344">
        <v>6689266</v>
      </c>
      <c r="F3287" s="343" t="s">
        <v>5591</v>
      </c>
      <c r="G3287" s="360" t="s">
        <v>12550</v>
      </c>
      <c r="H3287" s="361">
        <v>42908</v>
      </c>
      <c r="I3287" s="343" t="s">
        <v>366</v>
      </c>
      <c r="J3287" s="343" t="s">
        <v>366</v>
      </c>
      <c r="K3287" s="343" t="s">
        <v>168</v>
      </c>
    </row>
    <row r="3288" spans="1:11" ht="26.25" customHeight="1">
      <c r="A3288" s="343" t="s">
        <v>5582</v>
      </c>
      <c r="B3288" s="344" t="s">
        <v>162</v>
      </c>
      <c r="C3288" s="344">
        <v>7028</v>
      </c>
      <c r="D3288" s="343" t="s">
        <v>5851</v>
      </c>
      <c r="E3288" s="344">
        <v>5058346</v>
      </c>
      <c r="F3288" s="343" t="s">
        <v>5855</v>
      </c>
      <c r="G3288" s="360" t="s">
        <v>12551</v>
      </c>
      <c r="H3288" s="361">
        <v>42908</v>
      </c>
      <c r="I3288" s="343" t="s">
        <v>366</v>
      </c>
      <c r="J3288" s="343" t="s">
        <v>366</v>
      </c>
      <c r="K3288" s="343" t="s">
        <v>168</v>
      </c>
    </row>
    <row r="3289" spans="1:11" ht="26.25" customHeight="1">
      <c r="A3289" s="343" t="s">
        <v>5582</v>
      </c>
      <c r="B3289" s="344" t="s">
        <v>162</v>
      </c>
      <c r="C3289" s="344">
        <v>7010</v>
      </c>
      <c r="D3289" s="343" t="s">
        <v>5890</v>
      </c>
      <c r="E3289" s="344">
        <v>4906050</v>
      </c>
      <c r="F3289" s="343" t="s">
        <v>5892</v>
      </c>
      <c r="G3289" s="360" t="s">
        <v>12552</v>
      </c>
      <c r="H3289" s="361">
        <v>42914</v>
      </c>
      <c r="I3289" s="343" t="s">
        <v>198</v>
      </c>
      <c r="J3289" s="343" t="s">
        <v>198</v>
      </c>
      <c r="K3289" s="343" t="s">
        <v>168</v>
      </c>
    </row>
    <row r="3290" spans="1:11" ht="26.25" customHeight="1">
      <c r="A3290" s="343" t="s">
        <v>5582</v>
      </c>
      <c r="B3290" s="344" t="s">
        <v>162</v>
      </c>
      <c r="C3290" s="344">
        <v>12161</v>
      </c>
      <c r="D3290" s="343" t="s">
        <v>5920</v>
      </c>
      <c r="E3290" s="344">
        <v>5584407</v>
      </c>
      <c r="F3290" s="343" t="s">
        <v>5922</v>
      </c>
      <c r="G3290" s="360" t="s">
        <v>10448</v>
      </c>
      <c r="H3290" s="361">
        <v>42914</v>
      </c>
      <c r="I3290" s="343" t="s">
        <v>5923</v>
      </c>
      <c r="J3290" s="343" t="s">
        <v>12553</v>
      </c>
      <c r="K3290" s="343" t="s">
        <v>168</v>
      </c>
    </row>
    <row r="3291" spans="1:11" ht="26.25" customHeight="1">
      <c r="A3291" s="343" t="s">
        <v>5582</v>
      </c>
      <c r="B3291" s="344" t="s">
        <v>162</v>
      </c>
      <c r="C3291" s="344">
        <v>9880</v>
      </c>
      <c r="D3291" s="343" t="s">
        <v>5714</v>
      </c>
      <c r="E3291" s="344">
        <v>6643212</v>
      </c>
      <c r="F3291" s="343" t="s">
        <v>5716</v>
      </c>
      <c r="G3291" s="360" t="s">
        <v>11140</v>
      </c>
      <c r="H3291" s="361">
        <v>42919</v>
      </c>
      <c r="I3291" s="343" t="s">
        <v>349</v>
      </c>
      <c r="J3291" s="343" t="s">
        <v>12554</v>
      </c>
      <c r="K3291" s="343" t="s">
        <v>168</v>
      </c>
    </row>
    <row r="3292" spans="1:11" ht="26.25" customHeight="1">
      <c r="A3292" s="343" t="s">
        <v>5582</v>
      </c>
      <c r="B3292" s="344" t="s">
        <v>162</v>
      </c>
      <c r="C3292" s="344">
        <v>7540</v>
      </c>
      <c r="D3292" s="343" t="s">
        <v>5672</v>
      </c>
      <c r="E3292" s="344">
        <v>6512313</v>
      </c>
      <c r="F3292" s="343" t="s">
        <v>5674</v>
      </c>
      <c r="G3292" s="360" t="s">
        <v>12555</v>
      </c>
      <c r="H3292" s="361">
        <v>42919</v>
      </c>
      <c r="I3292" s="343" t="s">
        <v>166</v>
      </c>
      <c r="J3292" s="343" t="s">
        <v>327</v>
      </c>
      <c r="K3292" s="343" t="s">
        <v>168</v>
      </c>
    </row>
    <row r="3293" spans="1:11" ht="26.25" customHeight="1">
      <c r="A3293" s="343" t="s">
        <v>5582</v>
      </c>
      <c r="B3293" s="344" t="s">
        <v>162</v>
      </c>
      <c r="C3293" s="344">
        <v>6686</v>
      </c>
      <c r="D3293" s="343" t="s">
        <v>5980</v>
      </c>
      <c r="E3293" s="344">
        <v>5792634</v>
      </c>
      <c r="F3293" s="343" t="s">
        <v>5981</v>
      </c>
      <c r="G3293" s="360" t="s">
        <v>11262</v>
      </c>
      <c r="H3293" s="361">
        <v>42920</v>
      </c>
      <c r="I3293" s="343" t="s">
        <v>5982</v>
      </c>
      <c r="J3293" s="343" t="s">
        <v>12556</v>
      </c>
      <c r="K3293" s="343" t="s">
        <v>248</v>
      </c>
    </row>
    <row r="3294" spans="1:11" ht="26.25" customHeight="1">
      <c r="A3294" s="343" t="s">
        <v>5582</v>
      </c>
      <c r="B3294" s="344" t="s">
        <v>162</v>
      </c>
      <c r="C3294" s="344">
        <v>10494</v>
      </c>
      <c r="D3294" s="343" t="s">
        <v>6073</v>
      </c>
      <c r="E3294" s="344">
        <v>5961293</v>
      </c>
      <c r="F3294" s="343" t="s">
        <v>6074</v>
      </c>
      <c r="G3294" s="360" t="s">
        <v>9643</v>
      </c>
      <c r="H3294" s="361">
        <v>42921</v>
      </c>
      <c r="I3294" s="343" t="s">
        <v>4048</v>
      </c>
      <c r="J3294" s="343" t="s">
        <v>12557</v>
      </c>
      <c r="K3294" s="343" t="s">
        <v>168</v>
      </c>
    </row>
    <row r="3295" spans="1:11" ht="26.25" customHeight="1">
      <c r="A3295" s="343" t="s">
        <v>5582</v>
      </c>
      <c r="B3295" s="344" t="s">
        <v>162</v>
      </c>
      <c r="C3295" s="344">
        <v>12163</v>
      </c>
      <c r="D3295" s="343" t="s">
        <v>5912</v>
      </c>
      <c r="E3295" s="344">
        <v>5769486</v>
      </c>
      <c r="F3295" s="343" t="s">
        <v>5916</v>
      </c>
      <c r="G3295" s="360" t="s">
        <v>12558</v>
      </c>
      <c r="H3295" s="361">
        <v>42923</v>
      </c>
      <c r="I3295" s="343" t="s">
        <v>193</v>
      </c>
      <c r="J3295" s="343" t="s">
        <v>194</v>
      </c>
      <c r="K3295" s="343" t="s">
        <v>168</v>
      </c>
    </row>
    <row r="3296" spans="1:11" ht="26.25" customHeight="1">
      <c r="A3296" s="343" t="s">
        <v>5582</v>
      </c>
      <c r="B3296" s="344" t="s">
        <v>162</v>
      </c>
      <c r="C3296" s="344">
        <v>7013</v>
      </c>
      <c r="D3296" s="343" t="s">
        <v>5781</v>
      </c>
      <c r="E3296" s="344">
        <v>4842115</v>
      </c>
      <c r="F3296" s="343" t="s">
        <v>5783</v>
      </c>
      <c r="G3296" s="360" t="s">
        <v>10222</v>
      </c>
      <c r="H3296" s="361">
        <v>42928</v>
      </c>
      <c r="I3296" s="343" t="s">
        <v>193</v>
      </c>
      <c r="J3296" s="343" t="s">
        <v>637</v>
      </c>
      <c r="K3296" s="343" t="s">
        <v>168</v>
      </c>
    </row>
    <row r="3297" spans="1:11" ht="26.25" customHeight="1">
      <c r="A3297" s="343" t="s">
        <v>5582</v>
      </c>
      <c r="B3297" s="344" t="s">
        <v>162</v>
      </c>
      <c r="C3297" s="344">
        <v>9756</v>
      </c>
      <c r="D3297" s="343" t="s">
        <v>6087</v>
      </c>
      <c r="E3297" s="344">
        <v>5959570</v>
      </c>
      <c r="F3297" s="343" t="s">
        <v>6089</v>
      </c>
      <c r="G3297" s="360" t="s">
        <v>11446</v>
      </c>
      <c r="H3297" s="361">
        <v>42928</v>
      </c>
      <c r="I3297" s="343" t="s">
        <v>6090</v>
      </c>
      <c r="J3297" s="343" t="s">
        <v>12559</v>
      </c>
      <c r="K3297" s="343" t="s">
        <v>173</v>
      </c>
    </row>
    <row r="3298" spans="1:11" ht="26.25" customHeight="1">
      <c r="A3298" s="343" t="s">
        <v>5582</v>
      </c>
      <c r="B3298" s="344" t="s">
        <v>162</v>
      </c>
      <c r="C3298" s="344">
        <v>7526</v>
      </c>
      <c r="D3298" s="343" t="s">
        <v>5602</v>
      </c>
      <c r="E3298" s="344">
        <v>6540445</v>
      </c>
      <c r="F3298" s="343" t="s">
        <v>5603</v>
      </c>
      <c r="G3298" s="360" t="s">
        <v>9542</v>
      </c>
      <c r="H3298" s="361">
        <v>42928</v>
      </c>
      <c r="I3298" s="343" t="s">
        <v>4709</v>
      </c>
      <c r="J3298" s="343" t="s">
        <v>12560</v>
      </c>
      <c r="K3298" s="343" t="s">
        <v>168</v>
      </c>
    </row>
    <row r="3299" spans="1:11" ht="26.25" customHeight="1">
      <c r="A3299" s="343" t="s">
        <v>5582</v>
      </c>
      <c r="B3299" s="344" t="s">
        <v>162</v>
      </c>
      <c r="C3299" s="344">
        <v>6690</v>
      </c>
      <c r="D3299" s="343" t="s">
        <v>6038</v>
      </c>
      <c r="E3299" s="344">
        <v>6561215</v>
      </c>
      <c r="F3299" s="343" t="s">
        <v>6039</v>
      </c>
      <c r="G3299" s="360" t="s">
        <v>10969</v>
      </c>
      <c r="H3299" s="361">
        <v>42928</v>
      </c>
      <c r="I3299" s="343" t="s">
        <v>6040</v>
      </c>
      <c r="J3299" s="343" t="s">
        <v>12561</v>
      </c>
      <c r="K3299" s="343" t="s">
        <v>173</v>
      </c>
    </row>
    <row r="3300" spans="1:11" ht="26.25" customHeight="1">
      <c r="A3300" s="343" t="s">
        <v>5582</v>
      </c>
      <c r="B3300" s="344" t="s">
        <v>162</v>
      </c>
      <c r="C3300" s="344">
        <v>7527</v>
      </c>
      <c r="D3300" s="343" t="s">
        <v>5711</v>
      </c>
      <c r="E3300" s="344">
        <v>6486255</v>
      </c>
      <c r="F3300" s="343" t="s">
        <v>5713</v>
      </c>
      <c r="G3300" s="360" t="s">
        <v>10809</v>
      </c>
      <c r="H3300" s="361">
        <v>42936</v>
      </c>
      <c r="I3300" s="343" t="s">
        <v>166</v>
      </c>
      <c r="J3300" s="343" t="s">
        <v>327</v>
      </c>
      <c r="K3300" s="343" t="s">
        <v>168</v>
      </c>
    </row>
    <row r="3301" spans="1:11" ht="26.25" customHeight="1">
      <c r="A3301" s="343" t="s">
        <v>5582</v>
      </c>
      <c r="B3301" s="344" t="s">
        <v>162</v>
      </c>
      <c r="C3301" s="344">
        <v>7513</v>
      </c>
      <c r="D3301" s="343" t="s">
        <v>5636</v>
      </c>
      <c r="E3301" s="344">
        <v>6562825</v>
      </c>
      <c r="F3301" s="343" t="s">
        <v>5637</v>
      </c>
      <c r="G3301" s="360" t="s">
        <v>12562</v>
      </c>
      <c r="H3301" s="361">
        <v>42954</v>
      </c>
      <c r="I3301" s="343" t="s">
        <v>166</v>
      </c>
      <c r="J3301" s="343" t="s">
        <v>327</v>
      </c>
      <c r="K3301" s="343" t="s">
        <v>168</v>
      </c>
    </row>
    <row r="3302" spans="1:11" ht="26.25" customHeight="1">
      <c r="A3302" s="343" t="s">
        <v>5582</v>
      </c>
      <c r="B3302" s="344" t="s">
        <v>162</v>
      </c>
      <c r="C3302" s="344">
        <v>6702</v>
      </c>
      <c r="D3302" s="343" t="s">
        <v>6001</v>
      </c>
      <c r="E3302" s="344">
        <v>5744397</v>
      </c>
      <c r="F3302" s="343" t="s">
        <v>6002</v>
      </c>
      <c r="G3302" s="360" t="s">
        <v>1077</v>
      </c>
      <c r="H3302" s="361">
        <v>42954</v>
      </c>
      <c r="I3302" s="343" t="s">
        <v>6003</v>
      </c>
      <c r="J3302" s="343" t="s">
        <v>12563</v>
      </c>
      <c r="K3302" s="343" t="s">
        <v>248</v>
      </c>
    </row>
    <row r="3303" spans="1:11" ht="26.25" customHeight="1">
      <c r="A3303" s="343" t="s">
        <v>5582</v>
      </c>
      <c r="B3303" s="344" t="s">
        <v>162</v>
      </c>
      <c r="C3303" s="344">
        <v>9353</v>
      </c>
      <c r="D3303" s="343" t="s">
        <v>6010</v>
      </c>
      <c r="E3303" s="344">
        <v>6023713</v>
      </c>
      <c r="F3303" s="343" t="s">
        <v>6016</v>
      </c>
      <c r="G3303" s="360" t="s">
        <v>9591</v>
      </c>
      <c r="H3303" s="361">
        <v>42954</v>
      </c>
      <c r="I3303" s="343" t="s">
        <v>193</v>
      </c>
      <c r="J3303" s="343" t="s">
        <v>12564</v>
      </c>
      <c r="K3303" s="343" t="s">
        <v>168</v>
      </c>
    </row>
    <row r="3304" spans="1:11" ht="26.25" customHeight="1">
      <c r="A3304" s="343" t="s">
        <v>5582</v>
      </c>
      <c r="B3304" s="344" t="s">
        <v>162</v>
      </c>
      <c r="C3304" s="344">
        <v>7505</v>
      </c>
      <c r="D3304" s="343" t="s">
        <v>5587</v>
      </c>
      <c r="E3304" s="344">
        <v>6542045</v>
      </c>
      <c r="F3304" s="343" t="s">
        <v>5588</v>
      </c>
      <c r="G3304" s="360" t="s">
        <v>11672</v>
      </c>
      <c r="H3304" s="361">
        <v>42954</v>
      </c>
      <c r="I3304" s="343" t="s">
        <v>166</v>
      </c>
      <c r="J3304" s="343" t="s">
        <v>9413</v>
      </c>
      <c r="K3304" s="343" t="s">
        <v>168</v>
      </c>
    </row>
    <row r="3305" spans="1:11" ht="26.25" customHeight="1">
      <c r="A3305" s="343" t="s">
        <v>5582</v>
      </c>
      <c r="B3305" s="344" t="s">
        <v>162</v>
      </c>
      <c r="C3305" s="344">
        <v>6701</v>
      </c>
      <c r="D3305" s="343" t="s">
        <v>6024</v>
      </c>
      <c r="E3305" s="344">
        <v>6253903</v>
      </c>
      <c r="F3305" s="343" t="s">
        <v>6028</v>
      </c>
      <c r="G3305" s="360" t="s">
        <v>11182</v>
      </c>
      <c r="H3305" s="361">
        <v>42954</v>
      </c>
      <c r="I3305" s="343" t="s">
        <v>193</v>
      </c>
      <c r="J3305" s="343" t="s">
        <v>603</v>
      </c>
      <c r="K3305" s="343" t="s">
        <v>168</v>
      </c>
    </row>
    <row r="3306" spans="1:11" ht="26.25" customHeight="1">
      <c r="A3306" s="343" t="s">
        <v>5582</v>
      </c>
      <c r="B3306" s="344" t="s">
        <v>162</v>
      </c>
      <c r="C3306" s="344">
        <v>9841</v>
      </c>
      <c r="D3306" s="343" t="s">
        <v>5719</v>
      </c>
      <c r="E3306" s="344">
        <v>6647439</v>
      </c>
      <c r="F3306" s="343" t="s">
        <v>5725</v>
      </c>
      <c r="G3306" s="360" t="s">
        <v>12565</v>
      </c>
      <c r="H3306" s="361">
        <v>42957</v>
      </c>
      <c r="I3306" s="343" t="s">
        <v>5726</v>
      </c>
      <c r="J3306" s="343" t="s">
        <v>9615</v>
      </c>
      <c r="K3306" s="343" t="s">
        <v>248</v>
      </c>
    </row>
    <row r="3307" spans="1:11" ht="26.25" customHeight="1">
      <c r="A3307" s="343" t="s">
        <v>5582</v>
      </c>
      <c r="B3307" s="344" t="s">
        <v>162</v>
      </c>
      <c r="C3307" s="344">
        <v>9898</v>
      </c>
      <c r="D3307" s="343" t="s">
        <v>5581</v>
      </c>
      <c r="E3307" s="344">
        <v>6277987</v>
      </c>
      <c r="F3307" s="343" t="s">
        <v>5583</v>
      </c>
      <c r="G3307" s="360" t="s">
        <v>12566</v>
      </c>
      <c r="H3307" s="361">
        <v>42531</v>
      </c>
      <c r="I3307" s="343" t="s">
        <v>5584</v>
      </c>
      <c r="J3307" s="343" t="s">
        <v>12567</v>
      </c>
      <c r="K3307" s="343" t="s">
        <v>168</v>
      </c>
    </row>
    <row r="3308" spans="1:11" ht="26.25" customHeight="1">
      <c r="A3308" s="343" t="s">
        <v>5582</v>
      </c>
      <c r="B3308" s="344" t="s">
        <v>162</v>
      </c>
      <c r="C3308" s="344">
        <v>7519</v>
      </c>
      <c r="D3308" s="343" t="s">
        <v>5703</v>
      </c>
      <c r="E3308" s="344">
        <v>6701781</v>
      </c>
      <c r="F3308" s="343" t="s">
        <v>5704</v>
      </c>
      <c r="G3308" s="360" t="s">
        <v>11246</v>
      </c>
      <c r="H3308" s="361">
        <v>42957</v>
      </c>
      <c r="I3308" s="343" t="s">
        <v>802</v>
      </c>
      <c r="J3308" s="343" t="s">
        <v>1075</v>
      </c>
      <c r="K3308" s="343" t="s">
        <v>168</v>
      </c>
    </row>
    <row r="3309" spans="1:11" ht="26.25" customHeight="1">
      <c r="A3309" s="343" t="s">
        <v>5582</v>
      </c>
      <c r="B3309" s="344" t="s">
        <v>162</v>
      </c>
      <c r="C3309" s="344">
        <v>9457</v>
      </c>
      <c r="D3309" s="343" t="s">
        <v>5985</v>
      </c>
      <c r="E3309" s="344">
        <v>6375268</v>
      </c>
      <c r="F3309" s="343" t="s">
        <v>4295</v>
      </c>
      <c r="G3309" s="360" t="s">
        <v>406</v>
      </c>
      <c r="H3309" s="361">
        <v>42957</v>
      </c>
      <c r="I3309" s="343" t="s">
        <v>5987</v>
      </c>
      <c r="J3309" s="343" t="s">
        <v>12568</v>
      </c>
      <c r="K3309" s="343" t="s">
        <v>168</v>
      </c>
    </row>
    <row r="3310" spans="1:11" ht="26.25" customHeight="1">
      <c r="A3310" s="343" t="s">
        <v>5582</v>
      </c>
      <c r="B3310" s="344" t="s">
        <v>162</v>
      </c>
      <c r="C3310" s="344">
        <v>7025</v>
      </c>
      <c r="D3310" s="343" t="s">
        <v>5947</v>
      </c>
      <c r="E3310" s="344">
        <v>4934709</v>
      </c>
      <c r="F3310" s="343" t="s">
        <v>5948</v>
      </c>
      <c r="G3310" s="360" t="s">
        <v>1003</v>
      </c>
      <c r="H3310" s="361">
        <v>42964</v>
      </c>
      <c r="I3310" s="343" t="s">
        <v>802</v>
      </c>
      <c r="J3310" s="343" t="s">
        <v>1172</v>
      </c>
      <c r="K3310" s="343" t="s">
        <v>168</v>
      </c>
    </row>
    <row r="3311" spans="1:11" ht="26.25" customHeight="1">
      <c r="A3311" s="343" t="s">
        <v>5582</v>
      </c>
      <c r="B3311" s="344" t="s">
        <v>162</v>
      </c>
      <c r="C3311" s="344">
        <v>8686</v>
      </c>
      <c r="D3311" s="343" t="s">
        <v>5906</v>
      </c>
      <c r="E3311" s="344">
        <v>5664624</v>
      </c>
      <c r="F3311" s="343" t="s">
        <v>5907</v>
      </c>
      <c r="G3311" s="360" t="s">
        <v>12569</v>
      </c>
      <c r="H3311" s="361">
        <v>42964</v>
      </c>
      <c r="I3311" s="343" t="s">
        <v>5908</v>
      </c>
      <c r="J3311" s="343" t="s">
        <v>12570</v>
      </c>
      <c r="K3311" s="343" t="s">
        <v>248</v>
      </c>
    </row>
    <row r="3312" spans="1:11" ht="26.25" customHeight="1">
      <c r="A3312" s="343" t="s">
        <v>5582</v>
      </c>
      <c r="B3312" s="344" t="s">
        <v>162</v>
      </c>
      <c r="C3312" s="344">
        <v>7501</v>
      </c>
      <c r="D3312" s="343" t="s">
        <v>5614</v>
      </c>
      <c r="E3312" s="344">
        <v>6170525</v>
      </c>
      <c r="F3312" s="343" t="s">
        <v>5620</v>
      </c>
      <c r="G3312" s="360" t="s">
        <v>11226</v>
      </c>
      <c r="H3312" s="361">
        <v>42964</v>
      </c>
      <c r="I3312" s="343" t="s">
        <v>3601</v>
      </c>
      <c r="J3312" s="343" t="s">
        <v>12571</v>
      </c>
      <c r="K3312" s="343" t="s">
        <v>168</v>
      </c>
    </row>
    <row r="3313" spans="1:11" ht="26.25" customHeight="1">
      <c r="A3313" s="343" t="s">
        <v>5582</v>
      </c>
      <c r="B3313" s="344" t="s">
        <v>162</v>
      </c>
      <c r="C3313" s="344">
        <v>9194</v>
      </c>
      <c r="D3313" s="343" t="s">
        <v>6071</v>
      </c>
      <c r="E3313" s="344">
        <v>6719923</v>
      </c>
      <c r="F3313" s="343" t="s">
        <v>7233</v>
      </c>
      <c r="G3313" s="360" t="s">
        <v>9671</v>
      </c>
      <c r="H3313" s="361">
        <v>42975</v>
      </c>
      <c r="I3313" s="343" t="s">
        <v>7240</v>
      </c>
      <c r="J3313" s="343" t="s">
        <v>12572</v>
      </c>
      <c r="K3313" s="343" t="s">
        <v>168</v>
      </c>
    </row>
    <row r="3314" spans="1:11" ht="26.25" customHeight="1">
      <c r="A3314" s="343" t="s">
        <v>5582</v>
      </c>
      <c r="B3314" s="344" t="s">
        <v>162</v>
      </c>
      <c r="C3314" s="344">
        <v>9044</v>
      </c>
      <c r="D3314" s="343" t="s">
        <v>5971</v>
      </c>
      <c r="E3314" s="344">
        <v>5181288</v>
      </c>
      <c r="F3314" s="343" t="s">
        <v>7231</v>
      </c>
      <c r="G3314" s="360" t="s">
        <v>12006</v>
      </c>
      <c r="H3314" s="361">
        <v>42975</v>
      </c>
      <c r="I3314" s="343" t="s">
        <v>198</v>
      </c>
      <c r="J3314" s="343" t="s">
        <v>198</v>
      </c>
      <c r="K3314" s="343" t="s">
        <v>168</v>
      </c>
    </row>
    <row r="3315" spans="1:11" ht="26.25" customHeight="1">
      <c r="A3315" s="343" t="s">
        <v>5582</v>
      </c>
      <c r="B3315" s="344" t="s">
        <v>162</v>
      </c>
      <c r="C3315" s="344">
        <v>9044</v>
      </c>
      <c r="D3315" s="343" t="s">
        <v>5971</v>
      </c>
      <c r="E3315" s="344">
        <v>4872744</v>
      </c>
      <c r="F3315" s="343" t="s">
        <v>7232</v>
      </c>
      <c r="G3315" s="360" t="s">
        <v>12573</v>
      </c>
      <c r="H3315" s="361">
        <v>42975</v>
      </c>
      <c r="I3315" s="343" t="s">
        <v>198</v>
      </c>
      <c r="J3315" s="343" t="s">
        <v>198</v>
      </c>
      <c r="K3315" s="343" t="s">
        <v>168</v>
      </c>
    </row>
    <row r="3316" spans="1:11" ht="26.25" customHeight="1">
      <c r="A3316" s="343" t="s">
        <v>5582</v>
      </c>
      <c r="B3316" s="344" t="s">
        <v>162</v>
      </c>
      <c r="C3316" s="344">
        <v>12867</v>
      </c>
      <c r="D3316" s="343" t="s">
        <v>7044</v>
      </c>
      <c r="E3316" s="344">
        <v>4866344</v>
      </c>
      <c r="F3316" s="343" t="s">
        <v>7238</v>
      </c>
      <c r="G3316" s="360" t="s">
        <v>541</v>
      </c>
      <c r="H3316" s="361">
        <v>42975</v>
      </c>
      <c r="I3316" s="343" t="s">
        <v>198</v>
      </c>
      <c r="J3316" s="343" t="s">
        <v>198</v>
      </c>
      <c r="K3316" s="343" t="s">
        <v>168</v>
      </c>
    </row>
    <row r="3317" spans="1:11" ht="26.25" customHeight="1">
      <c r="A3317" s="343" t="s">
        <v>5582</v>
      </c>
      <c r="B3317" s="344" t="s">
        <v>162</v>
      </c>
      <c r="C3317" s="344">
        <v>6703</v>
      </c>
      <c r="D3317" s="343" t="s">
        <v>6005</v>
      </c>
      <c r="E3317" s="344">
        <v>6483491</v>
      </c>
      <c r="F3317" s="343" t="s">
        <v>7223</v>
      </c>
      <c r="G3317" s="360" t="s">
        <v>9649</v>
      </c>
      <c r="H3317" s="361">
        <v>42975</v>
      </c>
      <c r="I3317" s="343" t="s">
        <v>349</v>
      </c>
      <c r="J3317" s="343" t="s">
        <v>12574</v>
      </c>
      <c r="K3317" s="343" t="s">
        <v>168</v>
      </c>
    </row>
    <row r="3318" spans="1:11" ht="26.25" customHeight="1">
      <c r="A3318" s="343" t="s">
        <v>5582</v>
      </c>
      <c r="B3318" s="344" t="s">
        <v>162</v>
      </c>
      <c r="C3318" s="344">
        <v>7027</v>
      </c>
      <c r="D3318" s="343" t="s">
        <v>5885</v>
      </c>
      <c r="E3318" s="344">
        <v>5298404</v>
      </c>
      <c r="F3318" s="343" t="s">
        <v>7227</v>
      </c>
      <c r="G3318" s="360" t="s">
        <v>12575</v>
      </c>
      <c r="H3318" s="361">
        <v>42979</v>
      </c>
      <c r="I3318" s="343" t="s">
        <v>7256</v>
      </c>
      <c r="J3318" s="343" t="s">
        <v>12576</v>
      </c>
      <c r="K3318" s="343" t="s">
        <v>168</v>
      </c>
    </row>
    <row r="3319" spans="1:11" ht="26.25" customHeight="1">
      <c r="A3319" s="343" t="s">
        <v>5582</v>
      </c>
      <c r="B3319" s="344" t="s">
        <v>162</v>
      </c>
      <c r="C3319" s="344">
        <v>9194</v>
      </c>
      <c r="D3319" s="343" t="s">
        <v>6071</v>
      </c>
      <c r="E3319" s="344">
        <v>6741693</v>
      </c>
      <c r="F3319" s="343" t="s">
        <v>6072</v>
      </c>
      <c r="G3319" s="360" t="s">
        <v>9995</v>
      </c>
      <c r="H3319" s="361">
        <v>42982</v>
      </c>
      <c r="I3319" s="343" t="s">
        <v>193</v>
      </c>
      <c r="J3319" s="343" t="s">
        <v>194</v>
      </c>
      <c r="K3319" s="343" t="s">
        <v>168</v>
      </c>
    </row>
    <row r="3320" spans="1:11" ht="26.25" customHeight="1">
      <c r="A3320" s="343" t="s">
        <v>5582</v>
      </c>
      <c r="B3320" s="344" t="s">
        <v>162</v>
      </c>
      <c r="C3320" s="344">
        <v>7010</v>
      </c>
      <c r="D3320" s="343" t="s">
        <v>5890</v>
      </c>
      <c r="E3320" s="344">
        <v>4892316</v>
      </c>
      <c r="F3320" s="343" t="s">
        <v>6300</v>
      </c>
      <c r="G3320" s="360" t="s">
        <v>10851</v>
      </c>
      <c r="H3320" s="361">
        <v>42983</v>
      </c>
      <c r="I3320" s="343" t="s">
        <v>187</v>
      </c>
      <c r="J3320" s="343" t="s">
        <v>12577</v>
      </c>
      <c r="K3320" s="343" t="s">
        <v>168</v>
      </c>
    </row>
    <row r="3321" spans="1:11" ht="26.25" customHeight="1">
      <c r="A3321" s="343" t="s">
        <v>5582</v>
      </c>
      <c r="B3321" s="344" t="s">
        <v>162</v>
      </c>
      <c r="C3321" s="344">
        <v>6703</v>
      </c>
      <c r="D3321" s="343" t="s">
        <v>6005</v>
      </c>
      <c r="E3321" s="344">
        <v>6033014</v>
      </c>
      <c r="F3321" s="343" t="s">
        <v>7224</v>
      </c>
      <c r="G3321" s="360" t="s">
        <v>9987</v>
      </c>
      <c r="H3321" s="361">
        <v>42983</v>
      </c>
      <c r="I3321" s="343" t="s">
        <v>166</v>
      </c>
      <c r="J3321" s="343" t="s">
        <v>327</v>
      </c>
      <c r="K3321" s="343" t="s">
        <v>168</v>
      </c>
    </row>
    <row r="3322" spans="1:11" ht="26.25" customHeight="1">
      <c r="A3322" s="343" t="s">
        <v>5582</v>
      </c>
      <c r="B3322" s="344" t="s">
        <v>162</v>
      </c>
      <c r="C3322" s="344">
        <v>7525</v>
      </c>
      <c r="D3322" s="343" t="s">
        <v>5643</v>
      </c>
      <c r="E3322" s="344">
        <v>6711952</v>
      </c>
      <c r="F3322" s="343" t="s">
        <v>7230</v>
      </c>
      <c r="G3322" s="360" t="s">
        <v>10671</v>
      </c>
      <c r="H3322" s="361">
        <v>42983</v>
      </c>
      <c r="I3322" s="343" t="s">
        <v>5096</v>
      </c>
      <c r="J3322" s="343" t="s">
        <v>12578</v>
      </c>
      <c r="K3322" s="343" t="s">
        <v>168</v>
      </c>
    </row>
    <row r="3323" spans="1:11" ht="26.25" customHeight="1">
      <c r="A3323" s="343" t="s">
        <v>5582</v>
      </c>
      <c r="B3323" s="344" t="s">
        <v>162</v>
      </c>
      <c r="C3323" s="344">
        <v>9756</v>
      </c>
      <c r="D3323" s="343" t="s">
        <v>6087</v>
      </c>
      <c r="E3323" s="344">
        <v>5933877</v>
      </c>
      <c r="F3323" s="343" t="s">
        <v>7234</v>
      </c>
      <c r="G3323" s="360" t="s">
        <v>471</v>
      </c>
      <c r="H3323" s="361">
        <v>42996</v>
      </c>
      <c r="I3323" s="343" t="s">
        <v>211</v>
      </c>
      <c r="J3323" s="343" t="s">
        <v>211</v>
      </c>
      <c r="K3323" s="343" t="s">
        <v>168</v>
      </c>
    </row>
    <row r="3324" spans="1:11" ht="26.25" customHeight="1">
      <c r="A3324" s="343" t="s">
        <v>5582</v>
      </c>
      <c r="B3324" s="344" t="s">
        <v>162</v>
      </c>
      <c r="C3324" s="344">
        <v>7517</v>
      </c>
      <c r="D3324" s="343" t="s">
        <v>5701</v>
      </c>
      <c r="E3324" s="344">
        <v>6557992</v>
      </c>
      <c r="F3324" s="343" t="s">
        <v>7229</v>
      </c>
      <c r="G3324" s="360" t="s">
        <v>10527</v>
      </c>
      <c r="H3324" s="361">
        <v>42997</v>
      </c>
      <c r="I3324" s="343" t="s">
        <v>301</v>
      </c>
      <c r="J3324" s="343" t="s">
        <v>1113</v>
      </c>
      <c r="K3324" s="343" t="s">
        <v>168</v>
      </c>
    </row>
    <row r="3325" spans="1:11" ht="26.25" customHeight="1">
      <c r="A3325" s="343" t="s">
        <v>5582</v>
      </c>
      <c r="B3325" s="344" t="s">
        <v>162</v>
      </c>
      <c r="C3325" s="344">
        <v>9842</v>
      </c>
      <c r="D3325" s="343" t="s">
        <v>5759</v>
      </c>
      <c r="E3325" s="344">
        <v>5702206</v>
      </c>
      <c r="F3325" s="343" t="s">
        <v>7236</v>
      </c>
      <c r="G3325" s="360" t="s">
        <v>1253</v>
      </c>
      <c r="H3325" s="361">
        <v>42997</v>
      </c>
      <c r="I3325" s="343" t="s">
        <v>187</v>
      </c>
      <c r="J3325" s="343" t="s">
        <v>187</v>
      </c>
      <c r="K3325" s="343" t="s">
        <v>173</v>
      </c>
    </row>
    <row r="3326" spans="1:11" ht="26.25" customHeight="1">
      <c r="A3326" s="343" t="s">
        <v>5582</v>
      </c>
      <c r="B3326" s="344" t="s">
        <v>162</v>
      </c>
      <c r="C3326" s="344">
        <v>6687</v>
      </c>
      <c r="D3326" s="343" t="s">
        <v>5984</v>
      </c>
      <c r="E3326" s="344">
        <v>6016815</v>
      </c>
      <c r="F3326" s="343" t="s">
        <v>7218</v>
      </c>
      <c r="G3326" s="360" t="s">
        <v>9597</v>
      </c>
      <c r="H3326" s="361">
        <v>42997</v>
      </c>
      <c r="I3326" s="343" t="s">
        <v>219</v>
      </c>
      <c r="J3326" s="343" t="s">
        <v>220</v>
      </c>
      <c r="K3326" s="343" t="s">
        <v>173</v>
      </c>
    </row>
    <row r="3327" spans="1:11" ht="26.25" customHeight="1">
      <c r="A3327" s="343" t="s">
        <v>5582</v>
      </c>
      <c r="B3327" s="344" t="s">
        <v>162</v>
      </c>
      <c r="C3327" s="344">
        <v>6699</v>
      </c>
      <c r="D3327" s="343" t="s">
        <v>6058</v>
      </c>
      <c r="E3327" s="344">
        <v>5938052</v>
      </c>
      <c r="F3327" s="343" t="s">
        <v>7221</v>
      </c>
      <c r="G3327" s="360" t="s">
        <v>1292</v>
      </c>
      <c r="H3327" s="361">
        <v>42997</v>
      </c>
      <c r="I3327" s="343" t="s">
        <v>198</v>
      </c>
      <c r="J3327" s="343" t="s">
        <v>198</v>
      </c>
      <c r="K3327" s="343" t="s">
        <v>168</v>
      </c>
    </row>
    <row r="3328" spans="1:11" ht="26.25" customHeight="1">
      <c r="A3328" s="343" t="s">
        <v>5582</v>
      </c>
      <c r="B3328" s="344" t="s">
        <v>162</v>
      </c>
      <c r="C3328" s="344">
        <v>6687</v>
      </c>
      <c r="D3328" s="343" t="s">
        <v>5984</v>
      </c>
      <c r="E3328" s="344">
        <v>5775265</v>
      </c>
      <c r="F3328" s="343" t="s">
        <v>7219</v>
      </c>
      <c r="G3328" s="360" t="s">
        <v>12579</v>
      </c>
      <c r="H3328" s="361">
        <v>42997</v>
      </c>
      <c r="I3328" s="343" t="s">
        <v>349</v>
      </c>
      <c r="J3328" s="343" t="s">
        <v>9927</v>
      </c>
      <c r="K3328" s="343" t="s">
        <v>168</v>
      </c>
    </row>
    <row r="3329" spans="1:11" ht="26.25" customHeight="1">
      <c r="A3329" s="343" t="s">
        <v>5582</v>
      </c>
      <c r="B3329" s="344" t="s">
        <v>162</v>
      </c>
      <c r="C3329" s="344">
        <v>7003</v>
      </c>
      <c r="D3329" s="343" t="s">
        <v>5896</v>
      </c>
      <c r="E3329" s="344">
        <v>5306804</v>
      </c>
      <c r="F3329" s="343" t="s">
        <v>7225</v>
      </c>
      <c r="G3329" s="360" t="s">
        <v>12580</v>
      </c>
      <c r="H3329" s="361">
        <v>42997</v>
      </c>
      <c r="I3329" s="343" t="s">
        <v>211</v>
      </c>
      <c r="J3329" s="343" t="s">
        <v>909</v>
      </c>
      <c r="K3329" s="343" t="s">
        <v>168</v>
      </c>
    </row>
    <row r="3330" spans="1:11" ht="26.25" customHeight="1">
      <c r="A3330" s="343" t="s">
        <v>5582</v>
      </c>
      <c r="B3330" s="344" t="s">
        <v>162</v>
      </c>
      <c r="C3330" s="344">
        <v>7014</v>
      </c>
      <c r="D3330" s="343" t="s">
        <v>5902</v>
      </c>
      <c r="E3330" s="344">
        <v>5997144</v>
      </c>
      <c r="F3330" s="343" t="s">
        <v>7226</v>
      </c>
      <c r="G3330" s="360" t="s">
        <v>12581</v>
      </c>
      <c r="H3330" s="361">
        <v>42998</v>
      </c>
      <c r="I3330" s="343" t="s">
        <v>366</v>
      </c>
      <c r="J3330" s="343" t="s">
        <v>366</v>
      </c>
      <c r="K3330" s="343" t="s">
        <v>168</v>
      </c>
    </row>
    <row r="3331" spans="1:11" ht="26.25" customHeight="1">
      <c r="A3331" s="343" t="s">
        <v>5582</v>
      </c>
      <c r="B3331" s="344" t="s">
        <v>162</v>
      </c>
      <c r="C3331" s="344">
        <v>7515</v>
      </c>
      <c r="D3331" s="343" t="s">
        <v>5638</v>
      </c>
      <c r="E3331" s="344">
        <v>6677695</v>
      </c>
      <c r="F3331" s="343" t="s">
        <v>7228</v>
      </c>
      <c r="G3331" s="360" t="s">
        <v>12582</v>
      </c>
      <c r="H3331" s="361">
        <v>43003</v>
      </c>
      <c r="I3331" s="343" t="s">
        <v>4006</v>
      </c>
      <c r="J3331" s="343" t="s">
        <v>12583</v>
      </c>
      <c r="K3331" s="343" t="s">
        <v>168</v>
      </c>
    </row>
    <row r="3332" spans="1:11" ht="26.25" customHeight="1">
      <c r="A3332" s="343" t="s">
        <v>5582</v>
      </c>
      <c r="B3332" s="344" t="s">
        <v>162</v>
      </c>
      <c r="C3332" s="344">
        <v>11692</v>
      </c>
      <c r="D3332" s="343" t="s">
        <v>5772</v>
      </c>
      <c r="E3332" s="344">
        <v>5848137</v>
      </c>
      <c r="F3332" s="343" t="s">
        <v>7237</v>
      </c>
      <c r="G3332" s="360" t="s">
        <v>12170</v>
      </c>
      <c r="H3332" s="361">
        <v>43005</v>
      </c>
      <c r="I3332" s="343" t="s">
        <v>7257</v>
      </c>
      <c r="J3332" s="343" t="s">
        <v>12584</v>
      </c>
      <c r="K3332" s="343" t="s">
        <v>168</v>
      </c>
    </row>
    <row r="3333" spans="1:11" ht="26.25" customHeight="1">
      <c r="A3333" s="343" t="s">
        <v>5582</v>
      </c>
      <c r="B3333" s="344" t="s">
        <v>162</v>
      </c>
      <c r="C3333" s="344">
        <v>6701</v>
      </c>
      <c r="D3333" s="343" t="s">
        <v>6024</v>
      </c>
      <c r="E3333" s="344">
        <v>6243394</v>
      </c>
      <c r="F3333" s="343" t="s">
        <v>7222</v>
      </c>
      <c r="G3333" s="360" t="s">
        <v>12585</v>
      </c>
      <c r="H3333" s="361">
        <v>43006</v>
      </c>
      <c r="I3333" s="343" t="s">
        <v>198</v>
      </c>
      <c r="J3333" s="343" t="s">
        <v>12586</v>
      </c>
      <c r="K3333" s="343" t="s">
        <v>168</v>
      </c>
    </row>
    <row r="3334" spans="1:11" ht="26.25" customHeight="1">
      <c r="A3334" s="343" t="s">
        <v>5582</v>
      </c>
      <c r="B3334" s="344" t="s">
        <v>162</v>
      </c>
      <c r="C3334" s="344">
        <v>7008</v>
      </c>
      <c r="D3334" s="343" t="s">
        <v>5826</v>
      </c>
      <c r="E3334" s="344">
        <v>4683403</v>
      </c>
      <c r="F3334" s="343" t="s">
        <v>7357</v>
      </c>
      <c r="G3334" s="360" t="s">
        <v>12587</v>
      </c>
      <c r="H3334" s="361">
        <v>43017</v>
      </c>
      <c r="I3334" s="343" t="s">
        <v>193</v>
      </c>
      <c r="J3334" s="343" t="s">
        <v>637</v>
      </c>
      <c r="K3334" s="343" t="s">
        <v>168</v>
      </c>
    </row>
    <row r="3335" spans="1:11" ht="26.25" customHeight="1">
      <c r="A3335" s="343" t="s">
        <v>5582</v>
      </c>
      <c r="B3335" s="344" t="s">
        <v>162</v>
      </c>
      <c r="C3335" s="344">
        <v>6694</v>
      </c>
      <c r="D3335" s="343" t="s">
        <v>6062</v>
      </c>
      <c r="E3335" s="344">
        <v>6240842</v>
      </c>
      <c r="F3335" s="343" t="s">
        <v>6064</v>
      </c>
      <c r="G3335" s="360" t="s">
        <v>9911</v>
      </c>
      <c r="H3335" s="361">
        <v>43017</v>
      </c>
      <c r="I3335" s="343" t="s">
        <v>166</v>
      </c>
      <c r="J3335" s="343" t="s">
        <v>12588</v>
      </c>
      <c r="K3335" s="343" t="s">
        <v>168</v>
      </c>
    </row>
    <row r="3336" spans="1:11" ht="26.25" customHeight="1">
      <c r="A3336" s="343" t="s">
        <v>5582</v>
      </c>
      <c r="B3336" s="344" t="s">
        <v>162</v>
      </c>
      <c r="C3336" s="344">
        <v>12799</v>
      </c>
      <c r="D3336" s="343" t="s">
        <v>6067</v>
      </c>
      <c r="E3336" s="344">
        <v>5847567</v>
      </c>
      <c r="F3336" s="343" t="s">
        <v>7380</v>
      </c>
      <c r="G3336" s="360" t="s">
        <v>12589</v>
      </c>
      <c r="H3336" s="361">
        <v>43017</v>
      </c>
      <c r="I3336" s="343" t="s">
        <v>193</v>
      </c>
      <c r="J3336" s="343" t="s">
        <v>12067</v>
      </c>
      <c r="K3336" s="343" t="s">
        <v>168</v>
      </c>
    </row>
    <row r="3337" spans="1:11" ht="26.25" customHeight="1">
      <c r="A3337" s="343" t="s">
        <v>5582</v>
      </c>
      <c r="B3337" s="344" t="s">
        <v>162</v>
      </c>
      <c r="C3337" s="344">
        <v>9842</v>
      </c>
      <c r="D3337" s="343" t="s">
        <v>5759</v>
      </c>
      <c r="E3337" s="344">
        <v>6629505</v>
      </c>
      <c r="F3337" s="343" t="s">
        <v>7372</v>
      </c>
      <c r="G3337" s="360" t="s">
        <v>12590</v>
      </c>
      <c r="H3337" s="361">
        <v>43011</v>
      </c>
      <c r="I3337" s="343" t="s">
        <v>166</v>
      </c>
      <c r="J3337" s="343" t="s">
        <v>327</v>
      </c>
      <c r="K3337" s="343" t="s">
        <v>168</v>
      </c>
    </row>
    <row r="3338" spans="1:11" ht="26.25" customHeight="1">
      <c r="A3338" s="343" t="s">
        <v>5582</v>
      </c>
      <c r="B3338" s="344" t="s">
        <v>162</v>
      </c>
      <c r="C3338" s="344">
        <v>9841</v>
      </c>
      <c r="D3338" s="343" t="s">
        <v>5719</v>
      </c>
      <c r="E3338" s="344">
        <v>6636652</v>
      </c>
      <c r="F3338" s="343" t="s">
        <v>7371</v>
      </c>
      <c r="G3338" s="360" t="s">
        <v>12591</v>
      </c>
      <c r="H3338" s="361">
        <v>43017</v>
      </c>
      <c r="I3338" s="343" t="s">
        <v>166</v>
      </c>
      <c r="J3338" s="343" t="s">
        <v>12592</v>
      </c>
      <c r="K3338" s="343" t="s">
        <v>168</v>
      </c>
    </row>
    <row r="3339" spans="1:11" ht="26.25" customHeight="1">
      <c r="A3339" s="343" t="s">
        <v>5582</v>
      </c>
      <c r="B3339" s="344" t="s">
        <v>162</v>
      </c>
      <c r="C3339" s="344">
        <v>7528</v>
      </c>
      <c r="D3339" s="343" t="s">
        <v>5676</v>
      </c>
      <c r="E3339" s="344">
        <v>6477790</v>
      </c>
      <c r="F3339" s="343" t="s">
        <v>7364</v>
      </c>
      <c r="G3339" s="360" t="s">
        <v>9640</v>
      </c>
      <c r="H3339" s="361">
        <v>43017</v>
      </c>
      <c r="I3339" s="343" t="s">
        <v>7365</v>
      </c>
      <c r="J3339" s="343" t="s">
        <v>12593</v>
      </c>
      <c r="K3339" s="343" t="s">
        <v>173</v>
      </c>
    </row>
    <row r="3340" spans="1:11" ht="26.25" customHeight="1">
      <c r="A3340" s="343" t="s">
        <v>5582</v>
      </c>
      <c r="B3340" s="344" t="s">
        <v>162</v>
      </c>
      <c r="C3340" s="344">
        <v>9898</v>
      </c>
      <c r="D3340" s="343" t="s">
        <v>5581</v>
      </c>
      <c r="E3340" s="344">
        <v>6581326</v>
      </c>
      <c r="F3340" s="343" t="s">
        <v>7374</v>
      </c>
      <c r="G3340" s="360" t="s">
        <v>12594</v>
      </c>
      <c r="H3340" s="361">
        <v>43025</v>
      </c>
      <c r="I3340" s="343" t="s">
        <v>887</v>
      </c>
      <c r="J3340" s="343" t="s">
        <v>12595</v>
      </c>
      <c r="K3340" s="343" t="s">
        <v>168</v>
      </c>
    </row>
    <row r="3341" spans="1:11" ht="26.25" customHeight="1">
      <c r="A3341" s="343" t="s">
        <v>5582</v>
      </c>
      <c r="B3341" s="344" t="s">
        <v>162</v>
      </c>
      <c r="C3341" s="344">
        <v>6694</v>
      </c>
      <c r="D3341" s="343" t="s">
        <v>6062</v>
      </c>
      <c r="E3341" s="344">
        <v>6444908</v>
      </c>
      <c r="F3341" s="343" t="s">
        <v>7352</v>
      </c>
      <c r="G3341" s="360" t="s">
        <v>10426</v>
      </c>
      <c r="H3341" s="361">
        <v>43025</v>
      </c>
      <c r="I3341" s="343" t="s">
        <v>275</v>
      </c>
      <c r="J3341" s="343" t="s">
        <v>12596</v>
      </c>
      <c r="K3341" s="343" t="s">
        <v>168</v>
      </c>
    </row>
    <row r="3342" spans="1:11" ht="26.25" customHeight="1">
      <c r="A3342" s="343" t="s">
        <v>5582</v>
      </c>
      <c r="B3342" s="344" t="s">
        <v>162</v>
      </c>
      <c r="C3342" s="344">
        <v>9455</v>
      </c>
      <c r="D3342" s="343" t="s">
        <v>5996</v>
      </c>
      <c r="E3342" s="344">
        <v>5986644</v>
      </c>
      <c r="F3342" s="343" t="s">
        <v>7369</v>
      </c>
      <c r="G3342" s="360" t="s">
        <v>12597</v>
      </c>
      <c r="H3342" s="361">
        <v>43032</v>
      </c>
      <c r="I3342" s="343" t="s">
        <v>366</v>
      </c>
      <c r="J3342" s="343" t="s">
        <v>366</v>
      </c>
      <c r="K3342" s="343" t="s">
        <v>168</v>
      </c>
    </row>
    <row r="3343" spans="1:11" ht="26.25" customHeight="1">
      <c r="A3343" s="343" t="s">
        <v>5582</v>
      </c>
      <c r="B3343" s="344" t="s">
        <v>162</v>
      </c>
      <c r="C3343" s="344">
        <v>7522</v>
      </c>
      <c r="D3343" s="343" t="s">
        <v>5694</v>
      </c>
      <c r="E3343" s="344">
        <v>4111977</v>
      </c>
      <c r="F3343" s="343" t="s">
        <v>7360</v>
      </c>
      <c r="G3343" s="360" t="s">
        <v>12598</v>
      </c>
      <c r="H3343" s="361">
        <v>43032</v>
      </c>
      <c r="I3343" s="343" t="s">
        <v>514</v>
      </c>
      <c r="J3343" s="343" t="s">
        <v>12599</v>
      </c>
      <c r="K3343" s="343" t="s">
        <v>168</v>
      </c>
    </row>
    <row r="3344" spans="1:11" ht="26.25" customHeight="1">
      <c r="A3344" s="343" t="s">
        <v>5582</v>
      </c>
      <c r="B3344" s="344" t="s">
        <v>162</v>
      </c>
      <c r="C3344" s="344">
        <v>7524</v>
      </c>
      <c r="D3344" s="343" t="s">
        <v>5612</v>
      </c>
      <c r="E3344" s="344">
        <v>6298690</v>
      </c>
      <c r="F3344" s="343" t="s">
        <v>7362</v>
      </c>
      <c r="G3344" s="360" t="s">
        <v>10212</v>
      </c>
      <c r="H3344" s="361">
        <v>43032</v>
      </c>
      <c r="I3344" s="343" t="s">
        <v>193</v>
      </c>
      <c r="J3344" s="343" t="s">
        <v>9650</v>
      </c>
      <c r="K3344" s="343" t="s">
        <v>168</v>
      </c>
    </row>
    <row r="3345" spans="1:11" ht="26.25" customHeight="1">
      <c r="A3345" s="343" t="s">
        <v>5582</v>
      </c>
      <c r="B3345" s="344" t="s">
        <v>162</v>
      </c>
      <c r="C3345" s="344">
        <v>7502</v>
      </c>
      <c r="D3345" s="343" t="s">
        <v>5628</v>
      </c>
      <c r="E3345" s="344">
        <v>6609990</v>
      </c>
      <c r="F3345" s="343" t="s">
        <v>7358</v>
      </c>
      <c r="G3345" s="360" t="s">
        <v>12096</v>
      </c>
      <c r="H3345" s="361">
        <v>43034</v>
      </c>
      <c r="I3345" s="343" t="s">
        <v>198</v>
      </c>
      <c r="J3345" s="343" t="s">
        <v>198</v>
      </c>
      <c r="K3345" s="343" t="s">
        <v>168</v>
      </c>
    </row>
    <row r="3346" spans="1:11" ht="26.25" customHeight="1">
      <c r="A3346" s="343" t="s">
        <v>5582</v>
      </c>
      <c r="B3346" s="344" t="s">
        <v>162</v>
      </c>
      <c r="C3346" s="344">
        <v>12161</v>
      </c>
      <c r="D3346" s="343" t="s">
        <v>5920</v>
      </c>
      <c r="E3346" s="344">
        <v>6324840</v>
      </c>
      <c r="F3346" s="343" t="s">
        <v>5924</v>
      </c>
      <c r="G3346" s="360" t="s">
        <v>12600</v>
      </c>
      <c r="H3346" s="361">
        <v>43034</v>
      </c>
      <c r="I3346" s="343" t="s">
        <v>580</v>
      </c>
      <c r="J3346" s="343" t="s">
        <v>12601</v>
      </c>
      <c r="K3346" s="343" t="s">
        <v>248</v>
      </c>
    </row>
    <row r="3347" spans="1:11" ht="26.25" customHeight="1">
      <c r="A3347" s="343" t="s">
        <v>5582</v>
      </c>
      <c r="B3347" s="344" t="s">
        <v>162</v>
      </c>
      <c r="C3347" s="344">
        <v>11730</v>
      </c>
      <c r="D3347" s="343" t="s">
        <v>5729</v>
      </c>
      <c r="E3347" s="344">
        <v>6617587</v>
      </c>
      <c r="F3347" s="343" t="s">
        <v>7379</v>
      </c>
      <c r="G3347" s="360" t="s">
        <v>10601</v>
      </c>
      <c r="H3347" s="361">
        <v>43034</v>
      </c>
      <c r="I3347" s="343" t="s">
        <v>219</v>
      </c>
      <c r="J3347" s="343" t="s">
        <v>220</v>
      </c>
      <c r="K3347" s="343" t="s">
        <v>173</v>
      </c>
    </row>
    <row r="3348" spans="1:11" ht="26.25" customHeight="1">
      <c r="A3348" s="343" t="s">
        <v>5582</v>
      </c>
      <c r="B3348" s="344" t="s">
        <v>162</v>
      </c>
      <c r="C3348" s="344">
        <v>9655</v>
      </c>
      <c r="D3348" s="343" t="s">
        <v>6020</v>
      </c>
      <c r="E3348" s="344">
        <v>6475392</v>
      </c>
      <c r="F3348" s="343" t="s">
        <v>7370</v>
      </c>
      <c r="G3348" s="360" t="s">
        <v>9741</v>
      </c>
      <c r="H3348" s="361">
        <v>43035</v>
      </c>
      <c r="I3348" s="343" t="s">
        <v>193</v>
      </c>
      <c r="J3348" s="343" t="s">
        <v>1089</v>
      </c>
      <c r="K3348" s="343" t="s">
        <v>168</v>
      </c>
    </row>
    <row r="3349" spans="1:11" ht="26.25" customHeight="1">
      <c r="A3349" s="343" t="s">
        <v>5582</v>
      </c>
      <c r="B3349" s="344" t="s">
        <v>162</v>
      </c>
      <c r="C3349" s="344">
        <v>9921</v>
      </c>
      <c r="D3349" s="343" t="s">
        <v>7651</v>
      </c>
      <c r="E3349" s="344">
        <v>5745394</v>
      </c>
      <c r="F3349" s="343" t="s">
        <v>7377</v>
      </c>
      <c r="G3349" s="360" t="s">
        <v>12602</v>
      </c>
      <c r="H3349" s="361">
        <v>43046</v>
      </c>
      <c r="I3349" s="343" t="s">
        <v>366</v>
      </c>
      <c r="J3349" s="343" t="s">
        <v>366</v>
      </c>
      <c r="K3349" s="343" t="s">
        <v>168</v>
      </c>
    </row>
    <row r="3350" spans="1:11" ht="26.25" customHeight="1">
      <c r="A3350" s="343" t="s">
        <v>5582</v>
      </c>
      <c r="B3350" s="344" t="s">
        <v>162</v>
      </c>
      <c r="C3350" s="344">
        <v>7536</v>
      </c>
      <c r="D3350" s="343" t="s">
        <v>5641</v>
      </c>
      <c r="E3350" s="344">
        <v>6733107</v>
      </c>
      <c r="F3350" s="343" t="s">
        <v>7366</v>
      </c>
      <c r="G3350" s="360" t="s">
        <v>12603</v>
      </c>
      <c r="H3350" s="361">
        <v>43053</v>
      </c>
      <c r="I3350" s="343" t="s">
        <v>193</v>
      </c>
      <c r="J3350" s="343" t="s">
        <v>201</v>
      </c>
      <c r="K3350" s="343" t="s">
        <v>168</v>
      </c>
    </row>
    <row r="3351" spans="1:11" ht="26.25" customHeight="1">
      <c r="A3351" s="343" t="s">
        <v>5582</v>
      </c>
      <c r="B3351" s="344" t="s">
        <v>162</v>
      </c>
      <c r="C3351" s="344">
        <v>7525</v>
      </c>
      <c r="D3351" s="343" t="s">
        <v>5643</v>
      </c>
      <c r="E3351" s="344">
        <v>6595721</v>
      </c>
      <c r="F3351" s="343" t="s">
        <v>7363</v>
      </c>
      <c r="G3351" s="360" t="s">
        <v>10236</v>
      </c>
      <c r="H3351" s="361">
        <v>43053</v>
      </c>
      <c r="I3351" s="343" t="s">
        <v>3583</v>
      </c>
      <c r="J3351" s="343" t="s">
        <v>9390</v>
      </c>
      <c r="K3351" s="343" t="s">
        <v>173</v>
      </c>
    </row>
    <row r="3352" spans="1:11" ht="26.25" customHeight="1">
      <c r="A3352" s="343" t="s">
        <v>5582</v>
      </c>
      <c r="B3352" s="344" t="s">
        <v>162</v>
      </c>
      <c r="C3352" s="344">
        <v>8468</v>
      </c>
      <c r="D3352" s="343" t="s">
        <v>5596</v>
      </c>
      <c r="E3352" s="344">
        <v>6407127</v>
      </c>
      <c r="F3352" s="343" t="s">
        <v>7367</v>
      </c>
      <c r="G3352" s="360" t="s">
        <v>10665</v>
      </c>
      <c r="H3352" s="361">
        <v>43053</v>
      </c>
      <c r="I3352" s="343" t="s">
        <v>166</v>
      </c>
      <c r="J3352" s="343" t="s">
        <v>327</v>
      </c>
      <c r="K3352" s="343" t="s">
        <v>168</v>
      </c>
    </row>
    <row r="3353" spans="1:11" ht="26.25" customHeight="1">
      <c r="A3353" s="343" t="s">
        <v>5582</v>
      </c>
      <c r="B3353" s="344" t="s">
        <v>162</v>
      </c>
      <c r="C3353" s="344">
        <v>7519</v>
      </c>
      <c r="D3353" s="343" t="s">
        <v>5703</v>
      </c>
      <c r="E3353" s="344">
        <v>6608337</v>
      </c>
      <c r="F3353" s="343" t="s">
        <v>5708</v>
      </c>
      <c r="G3353" s="360" t="s">
        <v>10562</v>
      </c>
      <c r="H3353" s="361">
        <v>43053</v>
      </c>
      <c r="I3353" s="343" t="s">
        <v>7359</v>
      </c>
      <c r="J3353" s="343" t="s">
        <v>12604</v>
      </c>
      <c r="K3353" s="343" t="s">
        <v>168</v>
      </c>
    </row>
    <row r="3354" spans="1:11" ht="26.25" customHeight="1">
      <c r="A3354" s="343" t="s">
        <v>5582</v>
      </c>
      <c r="B3354" s="344" t="s">
        <v>162</v>
      </c>
      <c r="C3354" s="344">
        <v>6696</v>
      </c>
      <c r="D3354" s="343" t="s">
        <v>6042</v>
      </c>
      <c r="E3354" s="344">
        <v>6747701</v>
      </c>
      <c r="F3354" s="343" t="s">
        <v>7353</v>
      </c>
      <c r="G3354" s="360" t="s">
        <v>12605</v>
      </c>
      <c r="H3354" s="361">
        <v>43053</v>
      </c>
      <c r="I3354" s="343" t="s">
        <v>7354</v>
      </c>
      <c r="J3354" s="343" t="s">
        <v>12606</v>
      </c>
      <c r="K3354" s="343" t="s">
        <v>248</v>
      </c>
    </row>
    <row r="3355" spans="1:11" ht="26.25" customHeight="1">
      <c r="A3355" s="343" t="s">
        <v>5582</v>
      </c>
      <c r="B3355" s="344" t="s">
        <v>162</v>
      </c>
      <c r="C3355" s="344">
        <v>7522</v>
      </c>
      <c r="D3355" s="343" t="s">
        <v>5694</v>
      </c>
      <c r="E3355" s="344">
        <v>6459384</v>
      </c>
      <c r="F3355" s="343" t="s">
        <v>7361</v>
      </c>
      <c r="G3355" s="360" t="s">
        <v>12607</v>
      </c>
      <c r="H3355" s="361">
        <v>43053</v>
      </c>
      <c r="I3355" s="343" t="s">
        <v>366</v>
      </c>
      <c r="J3355" s="343" t="s">
        <v>366</v>
      </c>
      <c r="K3355" s="343" t="s">
        <v>168</v>
      </c>
    </row>
    <row r="3356" spans="1:11" ht="26.25" customHeight="1">
      <c r="A3356" s="343" t="s">
        <v>5582</v>
      </c>
      <c r="B3356" s="344" t="s">
        <v>162</v>
      </c>
      <c r="C3356" s="344">
        <v>9880</v>
      </c>
      <c r="D3356" s="343" t="s">
        <v>5714</v>
      </c>
      <c r="E3356" s="344">
        <v>6661296</v>
      </c>
      <c r="F3356" s="343" t="s">
        <v>5718</v>
      </c>
      <c r="G3356" s="360" t="s">
        <v>9903</v>
      </c>
      <c r="H3356" s="361">
        <v>43055</v>
      </c>
      <c r="I3356" s="343" t="s">
        <v>193</v>
      </c>
      <c r="J3356" s="343" t="s">
        <v>11623</v>
      </c>
      <c r="K3356" s="343" t="s">
        <v>168</v>
      </c>
    </row>
    <row r="3357" spans="1:11" ht="26.25" customHeight="1">
      <c r="A3357" s="343" t="s">
        <v>5582</v>
      </c>
      <c r="B3357" s="344" t="s">
        <v>162</v>
      </c>
      <c r="C3357" s="344">
        <v>9087</v>
      </c>
      <c r="D3357" s="343" t="s">
        <v>5956</v>
      </c>
      <c r="E3357" s="344">
        <v>5103663</v>
      </c>
      <c r="F3357" s="343" t="s">
        <v>7368</v>
      </c>
      <c r="G3357" s="360" t="s">
        <v>12608</v>
      </c>
      <c r="H3357" s="361">
        <v>43055</v>
      </c>
      <c r="I3357" s="343" t="s">
        <v>166</v>
      </c>
      <c r="J3357" s="343" t="s">
        <v>327</v>
      </c>
      <c r="K3357" s="343" t="s">
        <v>168</v>
      </c>
    </row>
    <row r="3358" spans="1:11" ht="26.25" customHeight="1">
      <c r="A3358" s="343" t="s">
        <v>5582</v>
      </c>
      <c r="B3358" s="344" t="s">
        <v>162</v>
      </c>
      <c r="C3358" s="344">
        <v>9842</v>
      </c>
      <c r="D3358" s="343" t="s">
        <v>5759</v>
      </c>
      <c r="E3358" s="344">
        <v>5943478</v>
      </c>
      <c r="F3358" s="343" t="s">
        <v>7373</v>
      </c>
      <c r="G3358" s="360" t="s">
        <v>11046</v>
      </c>
      <c r="H3358" s="361">
        <v>43055</v>
      </c>
      <c r="I3358" s="343" t="s">
        <v>211</v>
      </c>
      <c r="J3358" s="343" t="s">
        <v>211</v>
      </c>
      <c r="K3358" s="343" t="s">
        <v>168</v>
      </c>
    </row>
    <row r="3359" spans="1:11" ht="26.25" customHeight="1">
      <c r="A3359" s="343" t="s">
        <v>5582</v>
      </c>
      <c r="B3359" s="344" t="s">
        <v>162</v>
      </c>
      <c r="C3359" s="344">
        <v>6690</v>
      </c>
      <c r="D3359" s="343" t="s">
        <v>6038</v>
      </c>
      <c r="E3359" s="344">
        <v>6727292</v>
      </c>
      <c r="F3359" s="343" t="s">
        <v>7424</v>
      </c>
      <c r="G3359" s="360" t="s">
        <v>10064</v>
      </c>
      <c r="H3359" s="361">
        <v>43061</v>
      </c>
      <c r="I3359" s="343" t="s">
        <v>180</v>
      </c>
      <c r="J3359" s="343" t="s">
        <v>12609</v>
      </c>
      <c r="K3359" s="343" t="s">
        <v>173</v>
      </c>
    </row>
    <row r="3360" spans="1:11" ht="26.25" customHeight="1">
      <c r="A3360" s="343" t="s">
        <v>5582</v>
      </c>
      <c r="B3360" s="344" t="s">
        <v>162</v>
      </c>
      <c r="C3360" s="344">
        <v>8551</v>
      </c>
      <c r="D3360" s="343" t="s">
        <v>6078</v>
      </c>
      <c r="E3360" s="344">
        <v>5924414</v>
      </c>
      <c r="F3360" s="343" t="s">
        <v>7429</v>
      </c>
      <c r="G3360" s="360" t="s">
        <v>10921</v>
      </c>
      <c r="H3360" s="361">
        <v>43062</v>
      </c>
      <c r="I3360" s="343" t="s">
        <v>193</v>
      </c>
      <c r="J3360" s="343" t="s">
        <v>637</v>
      </c>
      <c r="K3360" s="343" t="s">
        <v>168</v>
      </c>
    </row>
    <row r="3361" spans="1:11" ht="26.25" customHeight="1">
      <c r="A3361" s="343" t="s">
        <v>5582</v>
      </c>
      <c r="B3361" s="344" t="s">
        <v>162</v>
      </c>
      <c r="C3361" s="344">
        <v>12163</v>
      </c>
      <c r="D3361" s="343" t="s">
        <v>5912</v>
      </c>
      <c r="E3361" s="344">
        <v>5291460</v>
      </c>
      <c r="F3361" s="343" t="s">
        <v>7433</v>
      </c>
      <c r="G3361" s="360" t="s">
        <v>12610</v>
      </c>
      <c r="H3361" s="361">
        <v>43069</v>
      </c>
      <c r="I3361" s="343" t="s">
        <v>198</v>
      </c>
      <c r="J3361" s="343" t="s">
        <v>198</v>
      </c>
      <c r="K3361" s="343" t="s">
        <v>168</v>
      </c>
    </row>
    <row r="3362" spans="1:11" ht="26.25" customHeight="1">
      <c r="A3362" s="343" t="s">
        <v>5582</v>
      </c>
      <c r="B3362" s="344" t="s">
        <v>162</v>
      </c>
      <c r="C3362" s="344">
        <v>7519</v>
      </c>
      <c r="D3362" s="343" t="s">
        <v>5703</v>
      </c>
      <c r="E3362" s="344">
        <v>6633549</v>
      </c>
      <c r="F3362" s="343" t="s">
        <v>5706</v>
      </c>
      <c r="G3362" s="360" t="s">
        <v>251</v>
      </c>
      <c r="H3362" s="361">
        <v>43074</v>
      </c>
      <c r="I3362" s="343" t="s">
        <v>271</v>
      </c>
      <c r="J3362" s="343" t="s">
        <v>12611</v>
      </c>
      <c r="K3362" s="343" t="s">
        <v>168</v>
      </c>
    </row>
    <row r="3363" spans="1:11" ht="26.25" customHeight="1">
      <c r="A3363" s="343" t="s">
        <v>5582</v>
      </c>
      <c r="B3363" s="344" t="s">
        <v>162</v>
      </c>
      <c r="C3363" s="344">
        <v>6694</v>
      </c>
      <c r="D3363" s="343" t="s">
        <v>6062</v>
      </c>
      <c r="E3363" s="344">
        <v>6273706</v>
      </c>
      <c r="F3363" s="343" t="s">
        <v>7425</v>
      </c>
      <c r="G3363" s="360" t="s">
        <v>12612</v>
      </c>
      <c r="H3363" s="361">
        <v>43074</v>
      </c>
      <c r="I3363" s="343" t="s">
        <v>709</v>
      </c>
      <c r="J3363" s="343" t="s">
        <v>978</v>
      </c>
      <c r="K3363" s="343" t="s">
        <v>173</v>
      </c>
    </row>
    <row r="3364" spans="1:11" ht="26.25" customHeight="1">
      <c r="A3364" s="343" t="s">
        <v>5582</v>
      </c>
      <c r="B3364" s="344" t="s">
        <v>162</v>
      </c>
      <c r="C3364" s="344">
        <v>7502</v>
      </c>
      <c r="D3364" s="343" t="s">
        <v>5628</v>
      </c>
      <c r="E3364" s="344">
        <v>6468108</v>
      </c>
      <c r="F3364" s="343" t="s">
        <v>7426</v>
      </c>
      <c r="G3364" s="360" t="s">
        <v>12613</v>
      </c>
      <c r="H3364" s="361">
        <v>43074</v>
      </c>
      <c r="I3364" s="343" t="s">
        <v>193</v>
      </c>
      <c r="J3364" s="343" t="s">
        <v>637</v>
      </c>
      <c r="K3364" s="343" t="s">
        <v>168</v>
      </c>
    </row>
    <row r="3365" spans="1:11" ht="26.25" customHeight="1">
      <c r="A3365" s="343" t="s">
        <v>5582</v>
      </c>
      <c r="B3365" s="344" t="s">
        <v>162</v>
      </c>
      <c r="C3365" s="344">
        <v>12163</v>
      </c>
      <c r="D3365" s="343" t="s">
        <v>5912</v>
      </c>
      <c r="E3365" s="344">
        <v>4692071</v>
      </c>
      <c r="F3365" s="343" t="s">
        <v>7434</v>
      </c>
      <c r="G3365" s="360" t="s">
        <v>12573</v>
      </c>
      <c r="H3365" s="361">
        <v>43074</v>
      </c>
      <c r="I3365" s="343" t="s">
        <v>580</v>
      </c>
      <c r="J3365" s="343" t="s">
        <v>12614</v>
      </c>
      <c r="K3365" s="343" t="s">
        <v>248</v>
      </c>
    </row>
    <row r="3366" spans="1:11" ht="26.25" customHeight="1">
      <c r="A3366" s="343" t="s">
        <v>5582</v>
      </c>
      <c r="B3366" s="344" t="s">
        <v>162</v>
      </c>
      <c r="C3366" s="344">
        <v>11692</v>
      </c>
      <c r="D3366" s="343" t="s">
        <v>5772</v>
      </c>
      <c r="E3366" s="344">
        <v>6756616</v>
      </c>
      <c r="F3366" s="343" t="s">
        <v>7432</v>
      </c>
      <c r="G3366" s="360" t="s">
        <v>9936</v>
      </c>
      <c r="H3366" s="361">
        <v>43076</v>
      </c>
      <c r="I3366" s="343" t="s">
        <v>366</v>
      </c>
      <c r="J3366" s="343" t="s">
        <v>366</v>
      </c>
      <c r="K3366" s="343" t="s">
        <v>168</v>
      </c>
    </row>
    <row r="3367" spans="1:11" ht="26.25" customHeight="1">
      <c r="A3367" s="343" t="s">
        <v>5582</v>
      </c>
      <c r="B3367" s="344" t="s">
        <v>162</v>
      </c>
      <c r="C3367" s="344">
        <v>9655</v>
      </c>
      <c r="D3367" s="343" t="s">
        <v>6020</v>
      </c>
      <c r="E3367" s="344">
        <v>6214033</v>
      </c>
      <c r="F3367" s="343" t="s">
        <v>7431</v>
      </c>
      <c r="G3367" s="360" t="s">
        <v>9584</v>
      </c>
      <c r="H3367" s="361">
        <v>43076</v>
      </c>
      <c r="I3367" s="343" t="s">
        <v>423</v>
      </c>
      <c r="J3367" s="343" t="s">
        <v>10528</v>
      </c>
      <c r="K3367" s="343" t="s">
        <v>168</v>
      </c>
    </row>
    <row r="3368" spans="1:11" ht="26.25" customHeight="1">
      <c r="A3368" s="343" t="s">
        <v>5582</v>
      </c>
      <c r="B3368" s="344" t="s">
        <v>162</v>
      </c>
      <c r="C3368" s="344">
        <v>9451</v>
      </c>
      <c r="D3368" s="343" t="s">
        <v>5934</v>
      </c>
      <c r="E3368" s="344">
        <v>5010936</v>
      </c>
      <c r="F3368" s="343" t="s">
        <v>7430</v>
      </c>
      <c r="G3368" s="360" t="s">
        <v>10310</v>
      </c>
      <c r="H3368" s="361">
        <v>43076</v>
      </c>
      <c r="I3368" s="343" t="s">
        <v>1082</v>
      </c>
      <c r="J3368" s="343" t="s">
        <v>12615</v>
      </c>
      <c r="K3368" s="343" t="s">
        <v>168</v>
      </c>
    </row>
    <row r="3369" spans="1:11" ht="26.25" customHeight="1">
      <c r="A3369" s="343" t="s">
        <v>5582</v>
      </c>
      <c r="B3369" s="344" t="s">
        <v>162</v>
      </c>
      <c r="C3369" s="344">
        <v>7504</v>
      </c>
      <c r="D3369" s="343" t="s">
        <v>5631</v>
      </c>
      <c r="E3369" s="344">
        <v>6669366</v>
      </c>
      <c r="F3369" s="343" t="s">
        <v>7427</v>
      </c>
      <c r="G3369" s="360" t="s">
        <v>10493</v>
      </c>
      <c r="H3369" s="361">
        <v>43077</v>
      </c>
      <c r="I3369" s="343" t="s">
        <v>802</v>
      </c>
      <c r="J3369" s="343" t="s">
        <v>12616</v>
      </c>
      <c r="K3369" s="343" t="s">
        <v>248</v>
      </c>
    </row>
    <row r="3370" spans="1:11" ht="26.25" customHeight="1">
      <c r="A3370" s="343" t="s">
        <v>5582</v>
      </c>
      <c r="B3370" s="344" t="s">
        <v>162</v>
      </c>
      <c r="C3370" s="344">
        <v>7519</v>
      </c>
      <c r="D3370" s="343" t="s">
        <v>5703</v>
      </c>
      <c r="E3370" s="344">
        <v>6608323</v>
      </c>
      <c r="F3370" s="343" t="s">
        <v>5709</v>
      </c>
      <c r="G3370" s="360" t="s">
        <v>10562</v>
      </c>
      <c r="H3370" s="361">
        <v>43081</v>
      </c>
      <c r="I3370" s="343" t="s">
        <v>7359</v>
      </c>
      <c r="J3370" s="343" t="s">
        <v>12617</v>
      </c>
      <c r="K3370" s="343" t="s">
        <v>168</v>
      </c>
    </row>
    <row r="3371" spans="1:11" ht="26.25" customHeight="1">
      <c r="A3371" s="343" t="s">
        <v>5582</v>
      </c>
      <c r="B3371" s="344" t="s">
        <v>162</v>
      </c>
      <c r="C3371" s="344">
        <v>7530</v>
      </c>
      <c r="D3371" s="343" t="s">
        <v>5645</v>
      </c>
      <c r="E3371" s="344">
        <v>6138978</v>
      </c>
      <c r="F3371" s="343" t="s">
        <v>7505</v>
      </c>
      <c r="G3371" s="360" t="s">
        <v>11050</v>
      </c>
      <c r="H3371" s="361">
        <v>43082</v>
      </c>
      <c r="I3371" s="343" t="s">
        <v>366</v>
      </c>
      <c r="J3371" s="343" t="s">
        <v>12618</v>
      </c>
      <c r="K3371" s="343" t="s">
        <v>168</v>
      </c>
    </row>
    <row r="3372" spans="1:11" ht="26.25" customHeight="1">
      <c r="A3372" s="343" t="s">
        <v>5582</v>
      </c>
      <c r="B3372" s="344" t="s">
        <v>162</v>
      </c>
      <c r="C3372" s="344">
        <v>9841</v>
      </c>
      <c r="D3372" s="343" t="s">
        <v>5719</v>
      </c>
      <c r="E3372" s="344">
        <v>6737362</v>
      </c>
      <c r="F3372" s="343" t="s">
        <v>7506</v>
      </c>
      <c r="G3372" s="360" t="s">
        <v>12619</v>
      </c>
      <c r="H3372" s="361">
        <v>43087</v>
      </c>
      <c r="I3372" s="343" t="s">
        <v>166</v>
      </c>
      <c r="J3372" s="343" t="s">
        <v>327</v>
      </c>
      <c r="K3372" s="343" t="s">
        <v>168</v>
      </c>
    </row>
    <row r="3373" spans="1:11" ht="26.25" customHeight="1">
      <c r="A3373" s="343" t="s">
        <v>5582</v>
      </c>
      <c r="B3373" s="344" t="s">
        <v>162</v>
      </c>
      <c r="C3373" s="344">
        <v>9880</v>
      </c>
      <c r="D3373" s="343" t="s">
        <v>5714</v>
      </c>
      <c r="E3373" s="344">
        <v>6721598</v>
      </c>
      <c r="F3373" s="343" t="s">
        <v>7507</v>
      </c>
      <c r="G3373" s="360" t="s">
        <v>12620</v>
      </c>
      <c r="H3373" s="361">
        <v>43102</v>
      </c>
      <c r="I3373" s="343" t="s">
        <v>193</v>
      </c>
      <c r="J3373" s="343" t="s">
        <v>9994</v>
      </c>
      <c r="K3373" s="343" t="s">
        <v>168</v>
      </c>
    </row>
    <row r="3374" spans="1:11" ht="26.25" customHeight="1">
      <c r="A3374" s="343" t="s">
        <v>5582</v>
      </c>
      <c r="B3374" s="344" t="s">
        <v>162</v>
      </c>
      <c r="C3374" s="344">
        <v>7502</v>
      </c>
      <c r="D3374" s="343" t="s">
        <v>5628</v>
      </c>
      <c r="E3374" s="344">
        <v>6766569</v>
      </c>
      <c r="F3374" s="343" t="s">
        <v>7652</v>
      </c>
      <c r="G3374" s="360" t="s">
        <v>12621</v>
      </c>
      <c r="H3374" s="361">
        <v>43129</v>
      </c>
      <c r="I3374" s="343" t="s">
        <v>166</v>
      </c>
      <c r="J3374" s="343" t="s">
        <v>11610</v>
      </c>
      <c r="K3374" s="343" t="s">
        <v>248</v>
      </c>
    </row>
    <row r="3375" spans="1:11" ht="26.25" customHeight="1">
      <c r="A3375" s="343" t="s">
        <v>5582</v>
      </c>
      <c r="B3375" s="344" t="s">
        <v>162</v>
      </c>
      <c r="C3375" s="344">
        <v>7013</v>
      </c>
      <c r="D3375" s="343" t="s">
        <v>5781</v>
      </c>
      <c r="E3375" s="344">
        <v>5621402</v>
      </c>
      <c r="F3375" s="343" t="s">
        <v>6006</v>
      </c>
      <c r="G3375" s="360" t="s">
        <v>11044</v>
      </c>
      <c r="H3375" s="361">
        <v>43129</v>
      </c>
      <c r="I3375" s="343" t="s">
        <v>3596</v>
      </c>
      <c r="J3375" s="343" t="s">
        <v>11638</v>
      </c>
      <c r="K3375" s="343" t="s">
        <v>168</v>
      </c>
    </row>
    <row r="3376" spans="1:11" ht="26.25" customHeight="1">
      <c r="A3376" s="343" t="s">
        <v>5582</v>
      </c>
      <c r="B3376" s="344" t="s">
        <v>162</v>
      </c>
      <c r="C3376" s="344">
        <v>7526</v>
      </c>
      <c r="D3376" s="343" t="s">
        <v>5602</v>
      </c>
      <c r="E3376" s="344">
        <v>6838679</v>
      </c>
      <c r="F3376" s="343" t="s">
        <v>7653</v>
      </c>
      <c r="G3376" s="360" t="s">
        <v>12622</v>
      </c>
      <c r="H3376" s="361">
        <v>43129</v>
      </c>
      <c r="I3376" s="343" t="s">
        <v>7654</v>
      </c>
      <c r="J3376" s="343" t="s">
        <v>12623</v>
      </c>
      <c r="K3376" s="343" t="s">
        <v>168</v>
      </c>
    </row>
    <row r="3377" spans="1:11" ht="26.25" customHeight="1">
      <c r="A3377" s="343" t="s">
        <v>5582</v>
      </c>
      <c r="B3377" s="344" t="s">
        <v>162</v>
      </c>
      <c r="C3377" s="344">
        <v>7525</v>
      </c>
      <c r="D3377" s="343" t="s">
        <v>5643</v>
      </c>
      <c r="E3377" s="344">
        <v>6960094</v>
      </c>
      <c r="F3377" s="343" t="s">
        <v>7655</v>
      </c>
      <c r="G3377" s="360" t="s">
        <v>12624</v>
      </c>
      <c r="H3377" s="361">
        <v>43133</v>
      </c>
      <c r="I3377" s="343" t="s">
        <v>166</v>
      </c>
      <c r="J3377" s="343" t="s">
        <v>327</v>
      </c>
      <c r="K3377" s="343" t="s">
        <v>168</v>
      </c>
    </row>
    <row r="3378" spans="1:11" ht="26.25" customHeight="1">
      <c r="A3378" s="343" t="s">
        <v>5582</v>
      </c>
      <c r="B3378" s="344" t="s">
        <v>162</v>
      </c>
      <c r="C3378" s="344">
        <v>9921</v>
      </c>
      <c r="D3378" s="343" t="s">
        <v>7651</v>
      </c>
      <c r="E3378" s="344">
        <v>6762274</v>
      </c>
      <c r="F3378" s="343" t="s">
        <v>7657</v>
      </c>
      <c r="G3378" s="360" t="s">
        <v>11624</v>
      </c>
      <c r="H3378" s="361">
        <v>43136</v>
      </c>
      <c r="I3378" s="343" t="s">
        <v>4978</v>
      </c>
      <c r="J3378" s="343" t="s">
        <v>12625</v>
      </c>
      <c r="K3378" s="343" t="s">
        <v>168</v>
      </c>
    </row>
    <row r="3379" spans="1:11" ht="26.25" customHeight="1">
      <c r="A3379" s="343" t="s">
        <v>5582</v>
      </c>
      <c r="B3379" s="344" t="s">
        <v>162</v>
      </c>
      <c r="C3379" s="344">
        <v>7502</v>
      </c>
      <c r="D3379" s="343" t="s">
        <v>5628</v>
      </c>
      <c r="E3379" s="344">
        <v>6823966</v>
      </c>
      <c r="F3379" s="343" t="s">
        <v>7959</v>
      </c>
      <c r="G3379" s="360" t="s">
        <v>11188</v>
      </c>
      <c r="H3379" s="361">
        <v>43152</v>
      </c>
      <c r="I3379" s="343" t="s">
        <v>7960</v>
      </c>
      <c r="J3379" s="343" t="s">
        <v>12626</v>
      </c>
      <c r="K3379" s="343" t="s">
        <v>168</v>
      </c>
    </row>
    <row r="3380" spans="1:11" ht="26.25" customHeight="1">
      <c r="A3380" s="343" t="s">
        <v>5582</v>
      </c>
      <c r="B3380" s="344" t="s">
        <v>162</v>
      </c>
      <c r="C3380" s="344">
        <v>6689</v>
      </c>
      <c r="D3380" s="343" t="s">
        <v>6046</v>
      </c>
      <c r="E3380" s="344">
        <v>5923448</v>
      </c>
      <c r="F3380" s="343" t="s">
        <v>6047</v>
      </c>
      <c r="G3380" s="360" t="s">
        <v>9519</v>
      </c>
      <c r="H3380" s="361">
        <v>43152</v>
      </c>
      <c r="I3380" s="343" t="s">
        <v>802</v>
      </c>
      <c r="J3380" s="343" t="s">
        <v>1172</v>
      </c>
      <c r="K3380" s="343" t="s">
        <v>168</v>
      </c>
    </row>
    <row r="3381" spans="1:11" ht="26.25" customHeight="1">
      <c r="A3381" s="343" t="s">
        <v>5582</v>
      </c>
      <c r="B3381" s="344" t="s">
        <v>162</v>
      </c>
      <c r="C3381" s="344">
        <v>6689</v>
      </c>
      <c r="D3381" s="343" t="s">
        <v>6046</v>
      </c>
      <c r="E3381" s="344">
        <v>6202570</v>
      </c>
      <c r="F3381" s="343" t="s">
        <v>5613</v>
      </c>
      <c r="G3381" s="360" t="s">
        <v>12627</v>
      </c>
      <c r="H3381" s="361">
        <v>43152</v>
      </c>
      <c r="I3381" s="343" t="s">
        <v>7961</v>
      </c>
      <c r="J3381" s="343" t="s">
        <v>12628</v>
      </c>
      <c r="K3381" s="343" t="s">
        <v>248</v>
      </c>
    </row>
    <row r="3382" spans="1:11" ht="26.25" customHeight="1">
      <c r="A3382" s="343" t="s">
        <v>5582</v>
      </c>
      <c r="B3382" s="344" t="s">
        <v>162</v>
      </c>
      <c r="C3382" s="344">
        <v>12522</v>
      </c>
      <c r="D3382" s="343" t="s">
        <v>6044</v>
      </c>
      <c r="E3382" s="344">
        <v>6471876</v>
      </c>
      <c r="F3382" s="343" t="s">
        <v>7962</v>
      </c>
      <c r="G3382" s="360" t="s">
        <v>11141</v>
      </c>
      <c r="H3382" s="361">
        <v>43152</v>
      </c>
      <c r="I3382" s="343" t="s">
        <v>301</v>
      </c>
      <c r="J3382" s="343" t="s">
        <v>530</v>
      </c>
      <c r="K3382" s="343" t="s">
        <v>168</v>
      </c>
    </row>
    <row r="3383" spans="1:11" ht="26.25" customHeight="1">
      <c r="A3383" s="343" t="s">
        <v>5582</v>
      </c>
      <c r="B3383" s="344" t="s">
        <v>162</v>
      </c>
      <c r="C3383" s="344">
        <v>11730</v>
      </c>
      <c r="D3383" s="343" t="s">
        <v>5729</v>
      </c>
      <c r="E3383" s="344">
        <v>6675336</v>
      </c>
      <c r="F3383" s="343" t="s">
        <v>7963</v>
      </c>
      <c r="G3383" s="360" t="s">
        <v>11633</v>
      </c>
      <c r="H3383" s="361">
        <v>43152</v>
      </c>
      <c r="I3383" s="343" t="s">
        <v>6053</v>
      </c>
      <c r="J3383" s="343" t="s">
        <v>12629</v>
      </c>
      <c r="K3383" s="343" t="s">
        <v>248</v>
      </c>
    </row>
    <row r="3384" spans="1:11" ht="26.25" customHeight="1">
      <c r="A3384" s="343" t="s">
        <v>5582</v>
      </c>
      <c r="B3384" s="344" t="s">
        <v>162</v>
      </c>
      <c r="C3384" s="344">
        <v>7502</v>
      </c>
      <c r="D3384" s="343" t="s">
        <v>5628</v>
      </c>
      <c r="E3384" s="344">
        <v>6916632</v>
      </c>
      <c r="F3384" s="343" t="s">
        <v>7964</v>
      </c>
      <c r="G3384" s="360" t="s">
        <v>12089</v>
      </c>
      <c r="H3384" s="361">
        <v>43152</v>
      </c>
      <c r="I3384" s="343" t="s">
        <v>496</v>
      </c>
      <c r="J3384" s="343" t="s">
        <v>12630</v>
      </c>
      <c r="K3384" s="343" t="s">
        <v>173</v>
      </c>
    </row>
    <row r="3385" spans="1:11" ht="26.25" customHeight="1">
      <c r="A3385" s="343" t="s">
        <v>5582</v>
      </c>
      <c r="B3385" s="344" t="s">
        <v>162</v>
      </c>
      <c r="C3385" s="344">
        <v>9921</v>
      </c>
      <c r="D3385" s="343" t="s">
        <v>7651</v>
      </c>
      <c r="E3385" s="344">
        <v>7004166</v>
      </c>
      <c r="F3385" s="343" t="s">
        <v>7966</v>
      </c>
      <c r="G3385" s="360" t="s">
        <v>10132</v>
      </c>
      <c r="H3385" s="361">
        <v>43152</v>
      </c>
      <c r="I3385" s="343" t="s">
        <v>166</v>
      </c>
      <c r="J3385" s="343" t="s">
        <v>327</v>
      </c>
      <c r="K3385" s="343" t="s">
        <v>168</v>
      </c>
    </row>
    <row r="3386" spans="1:11" ht="26.25" customHeight="1">
      <c r="A3386" s="343" t="s">
        <v>5582</v>
      </c>
      <c r="B3386" s="344" t="s">
        <v>162</v>
      </c>
      <c r="C3386" s="344">
        <v>9921</v>
      </c>
      <c r="D3386" s="343" t="s">
        <v>7651</v>
      </c>
      <c r="E3386" s="344">
        <v>6454938</v>
      </c>
      <c r="F3386" s="343" t="s">
        <v>7967</v>
      </c>
      <c r="G3386" s="360" t="s">
        <v>10444</v>
      </c>
      <c r="H3386" s="361">
        <v>43152</v>
      </c>
      <c r="I3386" s="343" t="s">
        <v>802</v>
      </c>
      <c r="J3386" s="343" t="s">
        <v>1172</v>
      </c>
      <c r="K3386" s="343" t="s">
        <v>168</v>
      </c>
    </row>
    <row r="3387" spans="1:11" ht="26.25" customHeight="1">
      <c r="A3387" s="343" t="s">
        <v>5582</v>
      </c>
      <c r="B3387" s="344" t="s">
        <v>162</v>
      </c>
      <c r="C3387" s="344">
        <v>6700</v>
      </c>
      <c r="D3387" s="343" t="s">
        <v>6091</v>
      </c>
      <c r="E3387" s="344">
        <v>6112479</v>
      </c>
      <c r="F3387" s="343" t="s">
        <v>5608</v>
      </c>
      <c r="G3387" s="360" t="s">
        <v>12127</v>
      </c>
      <c r="H3387" s="361">
        <v>43152</v>
      </c>
      <c r="I3387" s="343" t="s">
        <v>5609</v>
      </c>
      <c r="J3387" s="343" t="s">
        <v>12631</v>
      </c>
      <c r="K3387" s="343" t="s">
        <v>168</v>
      </c>
    </row>
    <row r="3388" spans="1:11" ht="26.25" customHeight="1">
      <c r="A3388" s="343" t="s">
        <v>5582</v>
      </c>
      <c r="B3388" s="344" t="s">
        <v>162</v>
      </c>
      <c r="C3388" s="344">
        <v>9851</v>
      </c>
      <c r="D3388" s="343" t="s">
        <v>5696</v>
      </c>
      <c r="E3388" s="344">
        <v>6155832</v>
      </c>
      <c r="F3388" s="343" t="s">
        <v>7968</v>
      </c>
      <c r="G3388" s="360" t="s">
        <v>12632</v>
      </c>
      <c r="H3388" s="361">
        <v>43152</v>
      </c>
      <c r="I3388" s="343" t="s">
        <v>7969</v>
      </c>
      <c r="J3388" s="343" t="s">
        <v>12633</v>
      </c>
      <c r="K3388" s="343" t="s">
        <v>248</v>
      </c>
    </row>
    <row r="3389" spans="1:11" ht="26.25" customHeight="1">
      <c r="A3389" s="343" t="s">
        <v>5582</v>
      </c>
      <c r="B3389" s="344" t="s">
        <v>162</v>
      </c>
      <c r="C3389" s="344">
        <v>7540</v>
      </c>
      <c r="D3389" s="343" t="s">
        <v>5672</v>
      </c>
      <c r="E3389" s="344">
        <v>6247174</v>
      </c>
      <c r="F3389" s="343" t="s">
        <v>7970</v>
      </c>
      <c r="G3389" s="360" t="s">
        <v>12634</v>
      </c>
      <c r="H3389" s="361">
        <v>43152</v>
      </c>
      <c r="I3389" s="343" t="s">
        <v>349</v>
      </c>
      <c r="J3389" s="343" t="s">
        <v>1248</v>
      </c>
      <c r="K3389" s="343" t="s">
        <v>168</v>
      </c>
    </row>
    <row r="3390" spans="1:11" ht="26.25" customHeight="1">
      <c r="A3390" s="343" t="s">
        <v>5582</v>
      </c>
      <c r="B3390" s="344" t="s">
        <v>162</v>
      </c>
      <c r="C3390" s="344">
        <v>6702</v>
      </c>
      <c r="D3390" s="343" t="s">
        <v>6001</v>
      </c>
      <c r="E3390" s="344">
        <v>6437116</v>
      </c>
      <c r="F3390" s="343" t="s">
        <v>7971</v>
      </c>
      <c r="G3390" s="360" t="s">
        <v>12128</v>
      </c>
      <c r="H3390" s="361">
        <v>43152</v>
      </c>
      <c r="I3390" s="343" t="s">
        <v>166</v>
      </c>
      <c r="J3390" s="343" t="s">
        <v>327</v>
      </c>
      <c r="K3390" s="343" t="s">
        <v>168</v>
      </c>
    </row>
    <row r="3391" spans="1:11" ht="26.25" customHeight="1">
      <c r="A3391" s="343" t="s">
        <v>5582</v>
      </c>
      <c r="B3391" s="344" t="s">
        <v>162</v>
      </c>
      <c r="C3391" s="344">
        <v>6690</v>
      </c>
      <c r="D3391" s="343" t="s">
        <v>6038</v>
      </c>
      <c r="E3391" s="344">
        <v>6270293</v>
      </c>
      <c r="F3391" s="343" t="s">
        <v>5656</v>
      </c>
      <c r="G3391" s="360" t="s">
        <v>10110</v>
      </c>
      <c r="H3391" s="361">
        <v>43152</v>
      </c>
      <c r="I3391" s="343" t="s">
        <v>166</v>
      </c>
      <c r="J3391" s="343" t="s">
        <v>327</v>
      </c>
      <c r="K3391" s="343" t="s">
        <v>168</v>
      </c>
    </row>
    <row r="3392" spans="1:11" ht="26.25" customHeight="1">
      <c r="A3392" s="343" t="s">
        <v>5582</v>
      </c>
      <c r="B3392" s="344" t="s">
        <v>162</v>
      </c>
      <c r="C3392" s="344">
        <v>6703</v>
      </c>
      <c r="D3392" s="343" t="s">
        <v>6005</v>
      </c>
      <c r="E3392" s="344">
        <v>6974126</v>
      </c>
      <c r="F3392" s="343" t="s">
        <v>7972</v>
      </c>
      <c r="G3392" s="360" t="s">
        <v>1088</v>
      </c>
      <c r="H3392" s="361">
        <v>43152</v>
      </c>
      <c r="I3392" s="343" t="s">
        <v>275</v>
      </c>
      <c r="J3392" s="343" t="s">
        <v>12635</v>
      </c>
      <c r="K3392" s="343" t="s">
        <v>168</v>
      </c>
    </row>
    <row r="3393" spans="1:11" ht="26.25" customHeight="1">
      <c r="A3393" s="343" t="s">
        <v>5582</v>
      </c>
      <c r="B3393" s="344" t="s">
        <v>162</v>
      </c>
      <c r="C3393" s="344">
        <v>7538</v>
      </c>
      <c r="D3393" s="343" t="s">
        <v>5669</v>
      </c>
      <c r="E3393" s="344">
        <v>6871078</v>
      </c>
      <c r="F3393" s="343" t="s">
        <v>7973</v>
      </c>
      <c r="G3393" s="360" t="s">
        <v>12636</v>
      </c>
      <c r="H3393" s="361">
        <v>43153</v>
      </c>
      <c r="I3393" s="343" t="s">
        <v>284</v>
      </c>
      <c r="J3393" s="343" t="s">
        <v>10521</v>
      </c>
      <c r="K3393" s="343" t="s">
        <v>168</v>
      </c>
    </row>
    <row r="3394" spans="1:11" ht="26.25" customHeight="1">
      <c r="A3394" s="343" t="s">
        <v>5582</v>
      </c>
      <c r="B3394" s="344" t="s">
        <v>162</v>
      </c>
      <c r="C3394" s="344">
        <v>9921</v>
      </c>
      <c r="D3394" s="343" t="s">
        <v>7651</v>
      </c>
      <c r="E3394" s="344">
        <v>6735690</v>
      </c>
      <c r="F3394" s="343" t="s">
        <v>7974</v>
      </c>
      <c r="G3394" s="360" t="s">
        <v>12637</v>
      </c>
      <c r="H3394" s="361">
        <v>43153</v>
      </c>
      <c r="I3394" s="343" t="s">
        <v>284</v>
      </c>
      <c r="J3394" s="343" t="s">
        <v>284</v>
      </c>
      <c r="K3394" s="343" t="s">
        <v>168</v>
      </c>
    </row>
    <row r="3395" spans="1:11" ht="26.25" customHeight="1">
      <c r="A3395" s="343" t="s">
        <v>5582</v>
      </c>
      <c r="B3395" s="344" t="s">
        <v>162</v>
      </c>
      <c r="C3395" s="344">
        <v>8553</v>
      </c>
      <c r="D3395" s="343" t="s">
        <v>6098</v>
      </c>
      <c r="E3395" s="344">
        <v>5884571</v>
      </c>
      <c r="F3395" s="343" t="s">
        <v>6099</v>
      </c>
      <c r="G3395" s="360" t="s">
        <v>12638</v>
      </c>
      <c r="H3395" s="361">
        <v>43153</v>
      </c>
      <c r="I3395" s="343" t="s">
        <v>7975</v>
      </c>
      <c r="J3395" s="343" t="s">
        <v>12639</v>
      </c>
      <c r="K3395" s="343" t="s">
        <v>248</v>
      </c>
    </row>
    <row r="3396" spans="1:11" ht="26.25" customHeight="1">
      <c r="A3396" s="343" t="s">
        <v>5582</v>
      </c>
      <c r="B3396" s="344" t="s">
        <v>162</v>
      </c>
      <c r="C3396" s="344">
        <v>9525</v>
      </c>
      <c r="D3396" s="343" t="s">
        <v>5684</v>
      </c>
      <c r="E3396" s="344">
        <v>6832211</v>
      </c>
      <c r="F3396" s="343" t="s">
        <v>7976</v>
      </c>
      <c r="G3396" s="360" t="s">
        <v>9574</v>
      </c>
      <c r="H3396" s="361">
        <v>43153</v>
      </c>
      <c r="I3396" s="343" t="s">
        <v>166</v>
      </c>
      <c r="J3396" s="343" t="s">
        <v>296</v>
      </c>
      <c r="K3396" s="343" t="s">
        <v>168</v>
      </c>
    </row>
    <row r="3397" spans="1:11" ht="26.25" customHeight="1">
      <c r="A3397" s="343" t="s">
        <v>5582</v>
      </c>
      <c r="B3397" s="344" t="s">
        <v>162</v>
      </c>
      <c r="C3397" s="344">
        <v>7522</v>
      </c>
      <c r="D3397" s="343" t="s">
        <v>5694</v>
      </c>
      <c r="E3397" s="344">
        <v>6744519</v>
      </c>
      <c r="F3397" s="343" t="s">
        <v>7977</v>
      </c>
      <c r="G3397" s="360" t="s">
        <v>12056</v>
      </c>
      <c r="H3397" s="361">
        <v>43153</v>
      </c>
      <c r="I3397" s="343" t="s">
        <v>4239</v>
      </c>
      <c r="J3397" s="343" t="s">
        <v>12640</v>
      </c>
      <c r="K3397" s="343" t="s">
        <v>168</v>
      </c>
    </row>
    <row r="3398" spans="1:11" ht="26.25" customHeight="1">
      <c r="A3398" s="343" t="s">
        <v>5582</v>
      </c>
      <c r="B3398" s="344" t="s">
        <v>162</v>
      </c>
      <c r="C3398" s="344">
        <v>7519</v>
      </c>
      <c r="D3398" s="343" t="s">
        <v>5703</v>
      </c>
      <c r="E3398" s="344">
        <v>6875264</v>
      </c>
      <c r="F3398" s="343" t="s">
        <v>7978</v>
      </c>
      <c r="G3398" s="360" t="s">
        <v>10992</v>
      </c>
      <c r="H3398" s="361">
        <v>43153</v>
      </c>
      <c r="I3398" s="343" t="s">
        <v>193</v>
      </c>
      <c r="J3398" s="343" t="s">
        <v>637</v>
      </c>
      <c r="K3398" s="343" t="s">
        <v>168</v>
      </c>
    </row>
    <row r="3399" spans="1:11" ht="26.25" customHeight="1">
      <c r="A3399" s="343" t="s">
        <v>5582</v>
      </c>
      <c r="B3399" s="344" t="s">
        <v>162</v>
      </c>
      <c r="C3399" s="344">
        <v>7028</v>
      </c>
      <c r="D3399" s="343" t="s">
        <v>5851</v>
      </c>
      <c r="E3399" s="344">
        <v>4894424</v>
      </c>
      <c r="F3399" s="343" t="s">
        <v>7979</v>
      </c>
      <c r="G3399" s="360" t="s">
        <v>579</v>
      </c>
      <c r="H3399" s="361">
        <v>43153</v>
      </c>
      <c r="I3399" s="343" t="s">
        <v>211</v>
      </c>
      <c r="J3399" s="343" t="s">
        <v>211</v>
      </c>
      <c r="K3399" s="343" t="s">
        <v>168</v>
      </c>
    </row>
    <row r="3400" spans="1:11" ht="26.25" customHeight="1">
      <c r="A3400" s="343" t="s">
        <v>5582</v>
      </c>
      <c r="B3400" s="344" t="s">
        <v>162</v>
      </c>
      <c r="C3400" s="344">
        <v>9841</v>
      </c>
      <c r="D3400" s="343" t="s">
        <v>5719</v>
      </c>
      <c r="E3400" s="344">
        <v>6839123</v>
      </c>
      <c r="F3400" s="343" t="s">
        <v>7980</v>
      </c>
      <c r="G3400" s="360" t="s">
        <v>443</v>
      </c>
      <c r="H3400" s="361">
        <v>43153</v>
      </c>
      <c r="I3400" s="343" t="s">
        <v>3583</v>
      </c>
      <c r="J3400" s="343" t="s">
        <v>11648</v>
      </c>
      <c r="K3400" s="343" t="s">
        <v>173</v>
      </c>
    </row>
    <row r="3401" spans="1:11" ht="26.25" customHeight="1">
      <c r="A3401" s="343" t="s">
        <v>5582</v>
      </c>
      <c r="B3401" s="344" t="s">
        <v>162</v>
      </c>
      <c r="C3401" s="344">
        <v>9921</v>
      </c>
      <c r="D3401" s="343" t="s">
        <v>7651</v>
      </c>
      <c r="E3401" s="344">
        <v>5967872</v>
      </c>
      <c r="F3401" s="343" t="s">
        <v>7375</v>
      </c>
      <c r="G3401" s="360" t="s">
        <v>12641</v>
      </c>
      <c r="H3401" s="361">
        <v>43153</v>
      </c>
      <c r="I3401" s="343" t="s">
        <v>198</v>
      </c>
      <c r="J3401" s="343" t="s">
        <v>198</v>
      </c>
      <c r="K3401" s="343" t="s">
        <v>168</v>
      </c>
    </row>
    <row r="3402" spans="1:11" ht="26.25" customHeight="1">
      <c r="A3402" s="343" t="s">
        <v>5582</v>
      </c>
      <c r="B3402" s="344" t="s">
        <v>162</v>
      </c>
      <c r="C3402" s="344">
        <v>7537</v>
      </c>
      <c r="D3402" s="343" t="s">
        <v>5689</v>
      </c>
      <c r="E3402" s="344">
        <v>6857512</v>
      </c>
      <c r="F3402" s="343" t="s">
        <v>7981</v>
      </c>
      <c r="G3402" s="360" t="s">
        <v>12642</v>
      </c>
      <c r="H3402" s="361">
        <v>43153</v>
      </c>
      <c r="I3402" s="343" t="s">
        <v>193</v>
      </c>
      <c r="J3402" s="343" t="s">
        <v>603</v>
      </c>
      <c r="K3402" s="343" t="s">
        <v>168</v>
      </c>
    </row>
    <row r="3403" spans="1:11" ht="26.25" customHeight="1">
      <c r="A3403" s="343" t="s">
        <v>5582</v>
      </c>
      <c r="B3403" s="344" t="s">
        <v>162</v>
      </c>
      <c r="C3403" s="344">
        <v>10809</v>
      </c>
      <c r="D3403" s="343" t="s">
        <v>6082</v>
      </c>
      <c r="E3403" s="344">
        <v>6990188</v>
      </c>
      <c r="F3403" s="343" t="s">
        <v>7982</v>
      </c>
      <c r="G3403" s="360" t="s">
        <v>505</v>
      </c>
      <c r="H3403" s="361">
        <v>43153</v>
      </c>
      <c r="I3403" s="343" t="s">
        <v>166</v>
      </c>
      <c r="J3403" s="343" t="s">
        <v>327</v>
      </c>
      <c r="K3403" s="343" t="s">
        <v>168</v>
      </c>
    </row>
    <row r="3404" spans="1:11" ht="26.25" customHeight="1">
      <c r="A3404" s="343" t="s">
        <v>5582</v>
      </c>
      <c r="B3404" s="344" t="s">
        <v>162</v>
      </c>
      <c r="C3404" s="344">
        <v>10809</v>
      </c>
      <c r="D3404" s="343" t="s">
        <v>6082</v>
      </c>
      <c r="E3404" s="344">
        <v>6436173</v>
      </c>
      <c r="F3404" s="343" t="s">
        <v>6084</v>
      </c>
      <c r="G3404" s="360" t="s">
        <v>11016</v>
      </c>
      <c r="H3404" s="361">
        <v>43153</v>
      </c>
      <c r="I3404" s="343" t="s">
        <v>193</v>
      </c>
      <c r="J3404" s="343" t="s">
        <v>637</v>
      </c>
      <c r="K3404" s="343" t="s">
        <v>168</v>
      </c>
    </row>
    <row r="3405" spans="1:11" ht="26.25" customHeight="1">
      <c r="A3405" s="343" t="s">
        <v>5582</v>
      </c>
      <c r="B3405" s="344" t="s">
        <v>162</v>
      </c>
      <c r="C3405" s="344">
        <v>9921</v>
      </c>
      <c r="D3405" s="343" t="s">
        <v>7651</v>
      </c>
      <c r="E3405" s="344">
        <v>6499554</v>
      </c>
      <c r="F3405" s="343" t="s">
        <v>5585</v>
      </c>
      <c r="G3405" s="360" t="s">
        <v>12643</v>
      </c>
      <c r="H3405" s="361">
        <v>43153</v>
      </c>
      <c r="I3405" s="343" t="s">
        <v>166</v>
      </c>
      <c r="J3405" s="343" t="s">
        <v>682</v>
      </c>
      <c r="K3405" s="343" t="s">
        <v>168</v>
      </c>
    </row>
    <row r="3406" spans="1:11" ht="26.25" customHeight="1">
      <c r="A3406" s="343" t="s">
        <v>5582</v>
      </c>
      <c r="B3406" s="344" t="s">
        <v>162</v>
      </c>
      <c r="C3406" s="344">
        <v>9194</v>
      </c>
      <c r="D3406" s="343" t="s">
        <v>6071</v>
      </c>
      <c r="E3406" s="344">
        <v>6426199</v>
      </c>
      <c r="F3406" s="343" t="s">
        <v>7983</v>
      </c>
      <c r="G3406" s="360" t="s">
        <v>9423</v>
      </c>
      <c r="H3406" s="361">
        <v>43153</v>
      </c>
      <c r="I3406" s="343" t="s">
        <v>7240</v>
      </c>
      <c r="J3406" s="343" t="s">
        <v>12644</v>
      </c>
      <c r="K3406" s="343" t="s">
        <v>168</v>
      </c>
    </row>
    <row r="3407" spans="1:11" ht="26.25" customHeight="1">
      <c r="A3407" s="343" t="s">
        <v>5582</v>
      </c>
      <c r="B3407" s="344" t="s">
        <v>162</v>
      </c>
      <c r="C3407" s="344">
        <v>6703</v>
      </c>
      <c r="D3407" s="343" t="s">
        <v>6005</v>
      </c>
      <c r="E3407" s="344">
        <v>6477422</v>
      </c>
      <c r="F3407" s="343" t="s">
        <v>7984</v>
      </c>
      <c r="G3407" s="360" t="s">
        <v>10554</v>
      </c>
      <c r="H3407" s="361">
        <v>43153</v>
      </c>
      <c r="I3407" s="343" t="s">
        <v>4711</v>
      </c>
      <c r="J3407" s="343" t="s">
        <v>11124</v>
      </c>
      <c r="K3407" s="343" t="s">
        <v>168</v>
      </c>
    </row>
    <row r="3408" spans="1:11" ht="26.25" customHeight="1">
      <c r="A3408" s="343" t="s">
        <v>5582</v>
      </c>
      <c r="B3408" s="344" t="s">
        <v>162</v>
      </c>
      <c r="C3408" s="344">
        <v>11730</v>
      </c>
      <c r="D3408" s="343" t="s">
        <v>5729</v>
      </c>
      <c r="E3408" s="344">
        <v>6719133</v>
      </c>
      <c r="F3408" s="343" t="s">
        <v>7985</v>
      </c>
      <c r="G3408" s="360" t="s">
        <v>10527</v>
      </c>
      <c r="H3408" s="361">
        <v>43153</v>
      </c>
      <c r="I3408" s="343" t="s">
        <v>7986</v>
      </c>
      <c r="J3408" s="343" t="s">
        <v>12645</v>
      </c>
      <c r="K3408" s="343" t="s">
        <v>248</v>
      </c>
    </row>
    <row r="3409" spans="1:11" ht="26.25" customHeight="1">
      <c r="A3409" s="343" t="s">
        <v>5582</v>
      </c>
      <c r="B3409" s="344" t="s">
        <v>162</v>
      </c>
      <c r="C3409" s="344">
        <v>9756</v>
      </c>
      <c r="D3409" s="343" t="s">
        <v>6087</v>
      </c>
      <c r="E3409" s="344">
        <v>6600833</v>
      </c>
      <c r="F3409" s="343" t="s">
        <v>7987</v>
      </c>
      <c r="G3409" s="360" t="s">
        <v>12646</v>
      </c>
      <c r="H3409" s="361">
        <v>43017</v>
      </c>
      <c r="I3409" s="343" t="s">
        <v>193</v>
      </c>
      <c r="J3409" s="343" t="s">
        <v>12647</v>
      </c>
      <c r="K3409" s="343" t="s">
        <v>168</v>
      </c>
    </row>
    <row r="3410" spans="1:11" ht="26.25" customHeight="1">
      <c r="A3410" s="343" t="s">
        <v>5582</v>
      </c>
      <c r="B3410" s="344" t="s">
        <v>162</v>
      </c>
      <c r="C3410" s="344">
        <v>9842</v>
      </c>
      <c r="D3410" s="343" t="s">
        <v>5759</v>
      </c>
      <c r="E3410" s="344">
        <v>6016818</v>
      </c>
      <c r="F3410" s="343" t="s">
        <v>5763</v>
      </c>
      <c r="G3410" s="360" t="s">
        <v>10981</v>
      </c>
      <c r="H3410" s="361">
        <v>43161</v>
      </c>
      <c r="I3410" s="343" t="s">
        <v>5764</v>
      </c>
      <c r="J3410" s="343" t="s">
        <v>12648</v>
      </c>
      <c r="K3410" s="343" t="s">
        <v>168</v>
      </c>
    </row>
    <row r="3411" spans="1:11" ht="26.25" customHeight="1">
      <c r="A3411" s="343" t="s">
        <v>5582</v>
      </c>
      <c r="B3411" s="344" t="s">
        <v>162</v>
      </c>
      <c r="C3411" s="344">
        <v>7517</v>
      </c>
      <c r="D3411" s="343" t="s">
        <v>5701</v>
      </c>
      <c r="E3411" s="344">
        <v>6929317</v>
      </c>
      <c r="F3411" s="343" t="s">
        <v>7988</v>
      </c>
      <c r="G3411" s="360" t="s">
        <v>12649</v>
      </c>
      <c r="H3411" s="361">
        <v>43161</v>
      </c>
      <c r="I3411" s="343" t="s">
        <v>738</v>
      </c>
      <c r="J3411" s="343" t="s">
        <v>739</v>
      </c>
      <c r="K3411" s="343" t="s">
        <v>168</v>
      </c>
    </row>
    <row r="3412" spans="1:11" ht="26.25" customHeight="1">
      <c r="A3412" s="343" t="s">
        <v>5582</v>
      </c>
      <c r="B3412" s="344" t="s">
        <v>162</v>
      </c>
      <c r="C3412" s="344">
        <v>6702</v>
      </c>
      <c r="D3412" s="343" t="s">
        <v>6001</v>
      </c>
      <c r="E3412" s="344">
        <v>6059453</v>
      </c>
      <c r="F3412" s="343" t="s">
        <v>5683</v>
      </c>
      <c r="G3412" s="360" t="s">
        <v>12650</v>
      </c>
      <c r="H3412" s="361">
        <v>43161</v>
      </c>
      <c r="I3412" s="343" t="s">
        <v>166</v>
      </c>
      <c r="J3412" s="343" t="s">
        <v>327</v>
      </c>
      <c r="K3412" s="343" t="s">
        <v>168</v>
      </c>
    </row>
    <row r="3413" spans="1:11" ht="26.25" customHeight="1">
      <c r="A3413" s="343" t="s">
        <v>5582</v>
      </c>
      <c r="B3413" s="344" t="s">
        <v>162</v>
      </c>
      <c r="C3413" s="344">
        <v>7519</v>
      </c>
      <c r="D3413" s="343" t="s">
        <v>5703</v>
      </c>
      <c r="E3413" s="344">
        <v>6388928</v>
      </c>
      <c r="F3413" s="343" t="s">
        <v>6187</v>
      </c>
      <c r="G3413" s="360" t="s">
        <v>11821</v>
      </c>
      <c r="H3413" s="361">
        <v>43161</v>
      </c>
      <c r="I3413" s="343" t="s">
        <v>166</v>
      </c>
      <c r="J3413" s="343" t="s">
        <v>296</v>
      </c>
      <c r="K3413" s="343" t="s">
        <v>168</v>
      </c>
    </row>
    <row r="3414" spans="1:11" ht="26.25" customHeight="1">
      <c r="A3414" s="343" t="s">
        <v>5582</v>
      </c>
      <c r="B3414" s="344" t="s">
        <v>162</v>
      </c>
      <c r="C3414" s="344">
        <v>6698</v>
      </c>
      <c r="D3414" s="343" t="s">
        <v>6000</v>
      </c>
      <c r="E3414" s="344">
        <v>6272650</v>
      </c>
      <c r="F3414" s="343" t="s">
        <v>5710</v>
      </c>
      <c r="G3414" s="360" t="s">
        <v>12651</v>
      </c>
      <c r="H3414" s="361">
        <v>43161</v>
      </c>
      <c r="I3414" s="343" t="s">
        <v>193</v>
      </c>
      <c r="J3414" s="343" t="s">
        <v>9994</v>
      </c>
      <c r="K3414" s="343" t="s">
        <v>168</v>
      </c>
    </row>
    <row r="3415" spans="1:11" ht="26.25" customHeight="1">
      <c r="A3415" s="343" t="s">
        <v>5582</v>
      </c>
      <c r="B3415" s="344" t="s">
        <v>162</v>
      </c>
      <c r="C3415" s="344">
        <v>7508</v>
      </c>
      <c r="D3415" s="343" t="s">
        <v>5664</v>
      </c>
      <c r="E3415" s="344">
        <v>6771084</v>
      </c>
      <c r="F3415" s="343" t="s">
        <v>7989</v>
      </c>
      <c r="G3415" s="360" t="s">
        <v>11517</v>
      </c>
      <c r="H3415" s="361">
        <v>43161</v>
      </c>
      <c r="I3415" s="343" t="s">
        <v>166</v>
      </c>
      <c r="J3415" s="343" t="s">
        <v>327</v>
      </c>
      <c r="K3415" s="343" t="s">
        <v>168</v>
      </c>
    </row>
    <row r="3416" spans="1:11" ht="26.25" customHeight="1">
      <c r="A3416" s="343" t="s">
        <v>5582</v>
      </c>
      <c r="B3416" s="344" t="s">
        <v>162</v>
      </c>
      <c r="C3416" s="344">
        <v>12839</v>
      </c>
      <c r="D3416" s="343" t="s">
        <v>6055</v>
      </c>
      <c r="E3416" s="344">
        <v>5979355</v>
      </c>
      <c r="F3416" s="343" t="s">
        <v>8719</v>
      </c>
      <c r="G3416" s="360" t="s">
        <v>1272</v>
      </c>
      <c r="H3416" s="361">
        <v>43161</v>
      </c>
      <c r="I3416" s="343" t="s">
        <v>6973</v>
      </c>
      <c r="J3416" s="343" t="s">
        <v>11206</v>
      </c>
      <c r="K3416" s="343" t="s">
        <v>168</v>
      </c>
    </row>
    <row r="3417" spans="1:11" ht="26.25" customHeight="1">
      <c r="A3417" s="343" t="s">
        <v>5582</v>
      </c>
      <c r="B3417" s="344" t="s">
        <v>162</v>
      </c>
      <c r="C3417" s="344">
        <v>7518</v>
      </c>
      <c r="D3417" s="343" t="s">
        <v>5661</v>
      </c>
      <c r="E3417" s="344">
        <v>6205463</v>
      </c>
      <c r="F3417" s="343" t="s">
        <v>7990</v>
      </c>
      <c r="G3417" s="360" t="s">
        <v>12652</v>
      </c>
      <c r="H3417" s="361">
        <v>43161</v>
      </c>
      <c r="I3417" s="343" t="s">
        <v>211</v>
      </c>
      <c r="J3417" s="343" t="s">
        <v>909</v>
      </c>
      <c r="K3417" s="343" t="s">
        <v>168</v>
      </c>
    </row>
    <row r="3418" spans="1:11" ht="26.25" customHeight="1">
      <c r="A3418" s="343" t="s">
        <v>5582</v>
      </c>
      <c r="B3418" s="344" t="s">
        <v>162</v>
      </c>
      <c r="C3418" s="344">
        <v>7006</v>
      </c>
      <c r="D3418" s="343" t="s">
        <v>5819</v>
      </c>
      <c r="E3418" s="344">
        <v>5720399</v>
      </c>
      <c r="F3418" s="343" t="s">
        <v>7355</v>
      </c>
      <c r="G3418" s="360" t="s">
        <v>12653</v>
      </c>
      <c r="H3418" s="361">
        <v>43161</v>
      </c>
      <c r="I3418" s="343" t="s">
        <v>7356</v>
      </c>
      <c r="J3418" s="343" t="s">
        <v>10583</v>
      </c>
      <c r="K3418" s="343" t="s">
        <v>168</v>
      </c>
    </row>
    <row r="3419" spans="1:11" ht="26.25" customHeight="1">
      <c r="A3419" s="343" t="s">
        <v>5582</v>
      </c>
      <c r="B3419" s="344" t="s">
        <v>162</v>
      </c>
      <c r="C3419" s="344">
        <v>7540</v>
      </c>
      <c r="D3419" s="343" t="s">
        <v>5672</v>
      </c>
      <c r="E3419" s="344">
        <v>6646164</v>
      </c>
      <c r="F3419" s="343" t="s">
        <v>7993</v>
      </c>
      <c r="G3419" s="360" t="s">
        <v>12654</v>
      </c>
      <c r="H3419" s="361">
        <v>43161</v>
      </c>
      <c r="I3419" s="343" t="s">
        <v>193</v>
      </c>
      <c r="J3419" s="343" t="s">
        <v>637</v>
      </c>
      <c r="K3419" s="343" t="s">
        <v>168</v>
      </c>
    </row>
    <row r="3420" spans="1:11" ht="26.25" customHeight="1">
      <c r="A3420" s="343" t="s">
        <v>5582</v>
      </c>
      <c r="B3420" s="344" t="s">
        <v>162</v>
      </c>
      <c r="C3420" s="344">
        <v>7516</v>
      </c>
      <c r="D3420" s="343" t="s">
        <v>7994</v>
      </c>
      <c r="E3420" s="344">
        <v>6845814</v>
      </c>
      <c r="F3420" s="343" t="s">
        <v>7995</v>
      </c>
      <c r="G3420" s="360" t="s">
        <v>12655</v>
      </c>
      <c r="H3420" s="361">
        <v>43161</v>
      </c>
      <c r="I3420" s="343" t="s">
        <v>301</v>
      </c>
      <c r="J3420" s="343" t="s">
        <v>1113</v>
      </c>
      <c r="K3420" s="343" t="s">
        <v>168</v>
      </c>
    </row>
    <row r="3421" spans="1:11" ht="26.25" customHeight="1">
      <c r="A3421" s="343" t="s">
        <v>5582</v>
      </c>
      <c r="B3421" s="344" t="s">
        <v>162</v>
      </c>
      <c r="C3421" s="344">
        <v>11730</v>
      </c>
      <c r="D3421" s="343" t="s">
        <v>5729</v>
      </c>
      <c r="E3421" s="344">
        <v>6926562</v>
      </c>
      <c r="F3421" s="343" t="s">
        <v>7996</v>
      </c>
      <c r="G3421" s="360" t="s">
        <v>9766</v>
      </c>
      <c r="H3421" s="361">
        <v>43161</v>
      </c>
      <c r="I3421" s="343" t="s">
        <v>271</v>
      </c>
      <c r="J3421" s="343" t="s">
        <v>11761</v>
      </c>
      <c r="K3421" s="343" t="s">
        <v>168</v>
      </c>
    </row>
    <row r="3422" spans="1:11" ht="26.25" customHeight="1">
      <c r="A3422" s="343" t="s">
        <v>5582</v>
      </c>
      <c r="B3422" s="344" t="s">
        <v>162</v>
      </c>
      <c r="C3422" s="344">
        <v>7013</v>
      </c>
      <c r="D3422" s="343" t="s">
        <v>5781</v>
      </c>
      <c r="E3422" s="344">
        <v>5161408</v>
      </c>
      <c r="F3422" s="343" t="s">
        <v>7997</v>
      </c>
      <c r="G3422" s="360" t="s">
        <v>11488</v>
      </c>
      <c r="H3422" s="361">
        <v>43161</v>
      </c>
      <c r="I3422" s="343" t="s">
        <v>193</v>
      </c>
      <c r="J3422" s="343" t="s">
        <v>637</v>
      </c>
      <c r="K3422" s="343" t="s">
        <v>168</v>
      </c>
    </row>
    <row r="3423" spans="1:11" ht="26.25" customHeight="1">
      <c r="A3423" s="343" t="s">
        <v>5582</v>
      </c>
      <c r="B3423" s="344" t="s">
        <v>162</v>
      </c>
      <c r="C3423" s="344">
        <v>9455</v>
      </c>
      <c r="D3423" s="343" t="s">
        <v>5996</v>
      </c>
      <c r="E3423" s="344">
        <v>6089836</v>
      </c>
      <c r="F3423" s="343" t="s">
        <v>7998</v>
      </c>
      <c r="G3423" s="360" t="s">
        <v>11659</v>
      </c>
      <c r="H3423" s="361">
        <v>43161</v>
      </c>
      <c r="I3423" s="343" t="s">
        <v>193</v>
      </c>
      <c r="J3423" s="343" t="s">
        <v>637</v>
      </c>
      <c r="K3423" s="343" t="s">
        <v>168</v>
      </c>
    </row>
    <row r="3424" spans="1:11" ht="26.25" customHeight="1">
      <c r="A3424" s="343" t="s">
        <v>5582</v>
      </c>
      <c r="B3424" s="344" t="s">
        <v>162</v>
      </c>
      <c r="C3424" s="344">
        <v>8970</v>
      </c>
      <c r="D3424" s="343" t="s">
        <v>6096</v>
      </c>
      <c r="E3424" s="344">
        <v>5745137</v>
      </c>
      <c r="F3424" s="343" t="s">
        <v>7999</v>
      </c>
      <c r="G3424" s="360" t="s">
        <v>11477</v>
      </c>
      <c r="H3424" s="361">
        <v>43161</v>
      </c>
      <c r="I3424" s="343" t="s">
        <v>219</v>
      </c>
      <c r="J3424" s="343" t="s">
        <v>220</v>
      </c>
      <c r="K3424" s="343" t="s">
        <v>173</v>
      </c>
    </row>
    <row r="3425" spans="1:11" ht="26.25" customHeight="1">
      <c r="A3425" s="343" t="s">
        <v>5582</v>
      </c>
      <c r="B3425" s="344" t="s">
        <v>162</v>
      </c>
      <c r="C3425" s="344">
        <v>12162</v>
      </c>
      <c r="D3425" s="343" t="s">
        <v>5876</v>
      </c>
      <c r="E3425" s="344">
        <v>5732357</v>
      </c>
      <c r="F3425" s="343" t="s">
        <v>8000</v>
      </c>
      <c r="G3425" s="360" t="s">
        <v>12656</v>
      </c>
      <c r="H3425" s="361">
        <v>43161</v>
      </c>
      <c r="I3425" s="343" t="s">
        <v>366</v>
      </c>
      <c r="J3425" s="343" t="s">
        <v>366</v>
      </c>
      <c r="K3425" s="343" t="s">
        <v>168</v>
      </c>
    </row>
    <row r="3426" spans="1:11" ht="26.25" customHeight="1">
      <c r="A3426" s="343" t="s">
        <v>5582</v>
      </c>
      <c r="B3426" s="344" t="s">
        <v>162</v>
      </c>
      <c r="C3426" s="344">
        <v>6695</v>
      </c>
      <c r="D3426" s="343" t="s">
        <v>6085</v>
      </c>
      <c r="E3426" s="344">
        <v>6250095</v>
      </c>
      <c r="F3426" s="343" t="s">
        <v>8001</v>
      </c>
      <c r="G3426" s="360" t="s">
        <v>10631</v>
      </c>
      <c r="H3426" s="361">
        <v>43161</v>
      </c>
      <c r="I3426" s="343" t="s">
        <v>349</v>
      </c>
      <c r="J3426" s="343" t="s">
        <v>9927</v>
      </c>
      <c r="K3426" s="343" t="s">
        <v>168</v>
      </c>
    </row>
    <row r="3427" spans="1:11" ht="26.25" customHeight="1">
      <c r="A3427" s="343" t="s">
        <v>5582</v>
      </c>
      <c r="B3427" s="344" t="s">
        <v>162</v>
      </c>
      <c r="C3427" s="344">
        <v>6695</v>
      </c>
      <c r="D3427" s="343" t="s">
        <v>6085</v>
      </c>
      <c r="E3427" s="344">
        <v>6263114</v>
      </c>
      <c r="F3427" s="343" t="s">
        <v>8002</v>
      </c>
      <c r="G3427" s="360" t="s">
        <v>9738</v>
      </c>
      <c r="H3427" s="361">
        <v>43161</v>
      </c>
      <c r="I3427" s="343" t="s">
        <v>3567</v>
      </c>
      <c r="J3427" s="343" t="s">
        <v>9537</v>
      </c>
      <c r="K3427" s="343" t="s">
        <v>173</v>
      </c>
    </row>
    <row r="3428" spans="1:11" ht="26.25" customHeight="1">
      <c r="A3428" s="343" t="s">
        <v>5582</v>
      </c>
      <c r="B3428" s="344" t="s">
        <v>162</v>
      </c>
      <c r="C3428" s="344">
        <v>12839</v>
      </c>
      <c r="D3428" s="343" t="s">
        <v>6055</v>
      </c>
      <c r="E3428" s="344">
        <v>6012383</v>
      </c>
      <c r="F3428" s="343" t="s">
        <v>8003</v>
      </c>
      <c r="G3428" s="360" t="s">
        <v>12657</v>
      </c>
      <c r="H3428" s="361">
        <v>43161</v>
      </c>
      <c r="I3428" s="343" t="s">
        <v>193</v>
      </c>
      <c r="J3428" s="343" t="s">
        <v>12658</v>
      </c>
      <c r="K3428" s="343" t="s">
        <v>168</v>
      </c>
    </row>
    <row r="3429" spans="1:11" ht="26.25" customHeight="1">
      <c r="A3429" s="343" t="s">
        <v>5582</v>
      </c>
      <c r="B3429" s="344" t="s">
        <v>162</v>
      </c>
      <c r="C3429" s="344">
        <v>7505</v>
      </c>
      <c r="D3429" s="343" t="s">
        <v>5587</v>
      </c>
      <c r="E3429" s="344">
        <v>6719804</v>
      </c>
      <c r="F3429" s="343" t="s">
        <v>8004</v>
      </c>
      <c r="G3429" s="360" t="s">
        <v>12659</v>
      </c>
      <c r="H3429" s="361">
        <v>43161</v>
      </c>
      <c r="I3429" s="343" t="s">
        <v>166</v>
      </c>
      <c r="J3429" s="343" t="s">
        <v>12660</v>
      </c>
      <c r="K3429" s="343" t="s">
        <v>168</v>
      </c>
    </row>
    <row r="3430" spans="1:11" ht="26.25" customHeight="1">
      <c r="A3430" s="343" t="s">
        <v>5582</v>
      </c>
      <c r="B3430" s="344" t="s">
        <v>162</v>
      </c>
      <c r="C3430" s="344">
        <v>9921</v>
      </c>
      <c r="D3430" s="343" t="s">
        <v>7651</v>
      </c>
      <c r="E3430" s="344">
        <v>6996306</v>
      </c>
      <c r="F3430" s="343" t="s">
        <v>8005</v>
      </c>
      <c r="G3430" s="360" t="s">
        <v>12661</v>
      </c>
      <c r="H3430" s="361">
        <v>43161</v>
      </c>
      <c r="I3430" s="343" t="s">
        <v>8006</v>
      </c>
      <c r="J3430" s="343" t="s">
        <v>12662</v>
      </c>
      <c r="K3430" s="343" t="s">
        <v>168</v>
      </c>
    </row>
    <row r="3431" spans="1:11" ht="26.25" customHeight="1">
      <c r="A3431" s="343" t="s">
        <v>5582</v>
      </c>
      <c r="B3431" s="344" t="s">
        <v>162</v>
      </c>
      <c r="C3431" s="344">
        <v>9922</v>
      </c>
      <c r="D3431" s="343" t="s">
        <v>5748</v>
      </c>
      <c r="E3431" s="344">
        <v>5169074</v>
      </c>
      <c r="F3431" s="343" t="s">
        <v>5749</v>
      </c>
      <c r="G3431" s="360" t="s">
        <v>12663</v>
      </c>
      <c r="H3431" s="361">
        <v>43164</v>
      </c>
      <c r="I3431" s="343" t="s">
        <v>180</v>
      </c>
      <c r="J3431" s="343" t="s">
        <v>12664</v>
      </c>
      <c r="K3431" s="343" t="s">
        <v>173</v>
      </c>
    </row>
    <row r="3432" spans="1:11" ht="26.25" customHeight="1">
      <c r="A3432" s="343" t="s">
        <v>5582</v>
      </c>
      <c r="B3432" s="344" t="s">
        <v>162</v>
      </c>
      <c r="C3432" s="344">
        <v>7012</v>
      </c>
      <c r="D3432" s="343" t="s">
        <v>5800</v>
      </c>
      <c r="E3432" s="344">
        <v>5834079</v>
      </c>
      <c r="F3432" s="343" t="s">
        <v>8008</v>
      </c>
      <c r="G3432" s="360" t="s">
        <v>10640</v>
      </c>
      <c r="H3432" s="361">
        <v>43168</v>
      </c>
      <c r="I3432" s="343" t="s">
        <v>198</v>
      </c>
      <c r="J3432" s="343" t="s">
        <v>198</v>
      </c>
      <c r="K3432" s="343" t="s">
        <v>168</v>
      </c>
    </row>
    <row r="3433" spans="1:11" ht="26.25" customHeight="1">
      <c r="A3433" s="343" t="s">
        <v>5582</v>
      </c>
      <c r="B3433" s="344" t="s">
        <v>162</v>
      </c>
      <c r="C3433" s="344">
        <v>9353</v>
      </c>
      <c r="D3433" s="343" t="s">
        <v>6010</v>
      </c>
      <c r="E3433" s="344">
        <v>6128825</v>
      </c>
      <c r="F3433" s="343" t="s">
        <v>8009</v>
      </c>
      <c r="G3433" s="360" t="s">
        <v>12124</v>
      </c>
      <c r="H3433" s="361">
        <v>43168</v>
      </c>
      <c r="I3433" s="343" t="s">
        <v>301</v>
      </c>
      <c r="J3433" s="343" t="s">
        <v>530</v>
      </c>
      <c r="K3433" s="343" t="s">
        <v>168</v>
      </c>
    </row>
    <row r="3434" spans="1:11" ht="26.25" customHeight="1">
      <c r="A3434" s="343" t="s">
        <v>5582</v>
      </c>
      <c r="B3434" s="344" t="s">
        <v>162</v>
      </c>
      <c r="C3434" s="344">
        <v>7012</v>
      </c>
      <c r="D3434" s="343" t="s">
        <v>5800</v>
      </c>
      <c r="E3434" s="344">
        <v>4869643</v>
      </c>
      <c r="F3434" s="343" t="s">
        <v>8010</v>
      </c>
      <c r="G3434" s="360" t="s">
        <v>12665</v>
      </c>
      <c r="H3434" s="361">
        <v>43168</v>
      </c>
      <c r="I3434" s="343" t="s">
        <v>198</v>
      </c>
      <c r="J3434" s="343" t="s">
        <v>198</v>
      </c>
      <c r="K3434" s="343" t="s">
        <v>168</v>
      </c>
    </row>
    <row r="3435" spans="1:11" ht="26.25" customHeight="1">
      <c r="A3435" s="343" t="s">
        <v>5582</v>
      </c>
      <c r="B3435" s="344" t="s">
        <v>162</v>
      </c>
      <c r="C3435" s="344">
        <v>10809</v>
      </c>
      <c r="D3435" s="343" t="s">
        <v>6082</v>
      </c>
      <c r="E3435" s="344">
        <v>6242831</v>
      </c>
      <c r="F3435" s="343" t="s">
        <v>6083</v>
      </c>
      <c r="G3435" s="360" t="s">
        <v>9673</v>
      </c>
      <c r="H3435" s="361">
        <v>43168</v>
      </c>
      <c r="I3435" s="343" t="s">
        <v>198</v>
      </c>
      <c r="J3435" s="343" t="s">
        <v>198</v>
      </c>
      <c r="K3435" s="343" t="s">
        <v>168</v>
      </c>
    </row>
    <row r="3436" spans="1:11" ht="26.25" customHeight="1">
      <c r="A3436" s="343" t="s">
        <v>5582</v>
      </c>
      <c r="B3436" s="344" t="s">
        <v>162</v>
      </c>
      <c r="C3436" s="344">
        <v>12868</v>
      </c>
      <c r="D3436" s="343" t="s">
        <v>5860</v>
      </c>
      <c r="E3436" s="344">
        <v>6202561</v>
      </c>
      <c r="F3436" s="343" t="s">
        <v>8011</v>
      </c>
      <c r="G3436" s="360" t="s">
        <v>12666</v>
      </c>
      <c r="H3436" s="361">
        <v>43168</v>
      </c>
      <c r="I3436" s="343" t="s">
        <v>7240</v>
      </c>
      <c r="J3436" s="343" t="s">
        <v>12667</v>
      </c>
      <c r="K3436" s="343" t="s">
        <v>168</v>
      </c>
    </row>
    <row r="3437" spans="1:11" ht="26.25" customHeight="1">
      <c r="A3437" s="343" t="s">
        <v>5582</v>
      </c>
      <c r="B3437" s="344" t="s">
        <v>162</v>
      </c>
      <c r="C3437" s="344">
        <v>9353</v>
      </c>
      <c r="D3437" s="343" t="s">
        <v>6010</v>
      </c>
      <c r="E3437" s="344">
        <v>6690580</v>
      </c>
      <c r="F3437" s="343" t="s">
        <v>8012</v>
      </c>
      <c r="G3437" s="360" t="s">
        <v>320</v>
      </c>
      <c r="H3437" s="361">
        <v>43168</v>
      </c>
      <c r="I3437" s="343" t="s">
        <v>166</v>
      </c>
      <c r="J3437" s="343" t="s">
        <v>296</v>
      </c>
      <c r="K3437" s="343" t="s">
        <v>168</v>
      </c>
    </row>
    <row r="3438" spans="1:11" ht="26.25" customHeight="1">
      <c r="A3438" s="343" t="s">
        <v>5582</v>
      </c>
      <c r="B3438" s="344" t="s">
        <v>162</v>
      </c>
      <c r="C3438" s="344">
        <v>7516</v>
      </c>
      <c r="D3438" s="343" t="s">
        <v>7994</v>
      </c>
      <c r="E3438" s="344">
        <v>6718489</v>
      </c>
      <c r="F3438" s="343" t="s">
        <v>8013</v>
      </c>
      <c r="G3438" s="360" t="s">
        <v>12668</v>
      </c>
      <c r="H3438" s="361">
        <v>43168</v>
      </c>
      <c r="I3438" s="343" t="s">
        <v>301</v>
      </c>
      <c r="J3438" s="343" t="s">
        <v>1113</v>
      </c>
      <c r="K3438" s="343" t="s">
        <v>168</v>
      </c>
    </row>
    <row r="3439" spans="1:11" ht="26.25" customHeight="1">
      <c r="A3439" s="343" t="s">
        <v>5582</v>
      </c>
      <c r="B3439" s="344" t="s">
        <v>162</v>
      </c>
      <c r="C3439" s="344">
        <v>7525</v>
      </c>
      <c r="D3439" s="343" t="s">
        <v>5643</v>
      </c>
      <c r="E3439" s="344">
        <v>6739592</v>
      </c>
      <c r="F3439" s="343" t="s">
        <v>8014</v>
      </c>
      <c r="G3439" s="360" t="s">
        <v>9450</v>
      </c>
      <c r="H3439" s="361">
        <v>43168</v>
      </c>
      <c r="I3439" s="343" t="s">
        <v>3583</v>
      </c>
      <c r="J3439" s="343" t="s">
        <v>9390</v>
      </c>
      <c r="K3439" s="343" t="s">
        <v>173</v>
      </c>
    </row>
    <row r="3440" spans="1:11" ht="26.25" customHeight="1">
      <c r="A3440" s="343" t="s">
        <v>5582</v>
      </c>
      <c r="B3440" s="344" t="s">
        <v>162</v>
      </c>
      <c r="C3440" s="344">
        <v>10494</v>
      </c>
      <c r="D3440" s="343" t="s">
        <v>6073</v>
      </c>
      <c r="E3440" s="344">
        <v>6709112</v>
      </c>
      <c r="F3440" s="343" t="s">
        <v>5648</v>
      </c>
      <c r="G3440" s="360" t="s">
        <v>10194</v>
      </c>
      <c r="H3440" s="361">
        <v>43188</v>
      </c>
      <c r="I3440" s="343" t="s">
        <v>166</v>
      </c>
      <c r="J3440" s="343" t="s">
        <v>296</v>
      </c>
      <c r="K3440" s="343" t="s">
        <v>168</v>
      </c>
    </row>
    <row r="3441" spans="1:11" ht="26.25" customHeight="1">
      <c r="A3441" s="343" t="s">
        <v>5582</v>
      </c>
      <c r="B3441" s="344" t="s">
        <v>162</v>
      </c>
      <c r="C3441" s="344">
        <v>8970</v>
      </c>
      <c r="D3441" s="343" t="s">
        <v>6096</v>
      </c>
      <c r="E3441" s="344">
        <v>6734088</v>
      </c>
      <c r="F3441" s="343" t="s">
        <v>8720</v>
      </c>
      <c r="G3441" s="360" t="s">
        <v>495</v>
      </c>
      <c r="H3441" s="361">
        <v>43188</v>
      </c>
      <c r="I3441" s="343" t="s">
        <v>211</v>
      </c>
      <c r="J3441" s="343" t="s">
        <v>211</v>
      </c>
      <c r="K3441" s="343" t="s">
        <v>168</v>
      </c>
    </row>
    <row r="3442" spans="1:11" ht="26.25" customHeight="1">
      <c r="A3442" s="343" t="s">
        <v>5582</v>
      </c>
      <c r="B3442" s="344" t="s">
        <v>162</v>
      </c>
      <c r="C3442" s="344">
        <v>9898</v>
      </c>
      <c r="D3442" s="343" t="s">
        <v>5581</v>
      </c>
      <c r="E3442" s="344">
        <v>6497481</v>
      </c>
      <c r="F3442" s="343" t="s">
        <v>8721</v>
      </c>
      <c r="G3442" s="360" t="s">
        <v>12669</v>
      </c>
      <c r="H3442" s="361">
        <v>43188</v>
      </c>
      <c r="I3442" s="343" t="s">
        <v>4414</v>
      </c>
      <c r="J3442" s="343" t="s">
        <v>12670</v>
      </c>
      <c r="K3442" s="343" t="s">
        <v>168</v>
      </c>
    </row>
    <row r="3443" spans="1:11" ht="26.25" customHeight="1">
      <c r="A3443" s="343" t="s">
        <v>5582</v>
      </c>
      <c r="B3443" s="344" t="s">
        <v>162</v>
      </c>
      <c r="C3443" s="344">
        <v>7518</v>
      </c>
      <c r="D3443" s="343" t="s">
        <v>5661</v>
      </c>
      <c r="E3443" s="344">
        <v>6874922</v>
      </c>
      <c r="F3443" s="343" t="s">
        <v>8722</v>
      </c>
      <c r="G3443" s="360" t="s">
        <v>12174</v>
      </c>
      <c r="H3443" s="361">
        <v>43188</v>
      </c>
      <c r="I3443" s="343" t="s">
        <v>193</v>
      </c>
      <c r="J3443" s="343" t="s">
        <v>637</v>
      </c>
      <c r="K3443" s="343" t="s">
        <v>168</v>
      </c>
    </row>
    <row r="3444" spans="1:11" ht="26.25" customHeight="1">
      <c r="A3444" s="343" t="s">
        <v>5582</v>
      </c>
      <c r="B3444" s="344" t="s">
        <v>162</v>
      </c>
      <c r="C3444" s="344">
        <v>9898</v>
      </c>
      <c r="D3444" s="343" t="s">
        <v>5581</v>
      </c>
      <c r="E3444" s="344">
        <v>6735703</v>
      </c>
      <c r="F3444" s="343" t="s">
        <v>8723</v>
      </c>
      <c r="G3444" s="360" t="s">
        <v>12671</v>
      </c>
      <c r="H3444" s="361">
        <v>43188</v>
      </c>
      <c r="I3444" s="343" t="s">
        <v>8724</v>
      </c>
      <c r="J3444" s="343" t="s">
        <v>12672</v>
      </c>
      <c r="K3444" s="343" t="s">
        <v>168</v>
      </c>
    </row>
    <row r="3445" spans="1:11" ht="26.25" customHeight="1">
      <c r="A3445" s="343" t="s">
        <v>5582</v>
      </c>
      <c r="B3445" s="344" t="s">
        <v>162</v>
      </c>
      <c r="C3445" s="344">
        <v>7540</v>
      </c>
      <c r="D3445" s="343" t="s">
        <v>5672</v>
      </c>
      <c r="E3445" s="344">
        <v>6754882</v>
      </c>
      <c r="F3445" s="343" t="s">
        <v>8725</v>
      </c>
      <c r="G3445" s="360" t="s">
        <v>12117</v>
      </c>
      <c r="H3445" s="361">
        <v>43188</v>
      </c>
      <c r="I3445" s="343" t="s">
        <v>193</v>
      </c>
      <c r="J3445" s="343" t="s">
        <v>11108</v>
      </c>
      <c r="K3445" s="343" t="s">
        <v>168</v>
      </c>
    </row>
    <row r="3446" spans="1:11" ht="26.25" customHeight="1">
      <c r="A3446" s="343" t="s">
        <v>5582</v>
      </c>
      <c r="B3446" s="344" t="s">
        <v>162</v>
      </c>
      <c r="C3446" s="344">
        <v>9842</v>
      </c>
      <c r="D3446" s="343" t="s">
        <v>5759</v>
      </c>
      <c r="E3446" s="344">
        <v>6200446</v>
      </c>
      <c r="F3446" s="343" t="s">
        <v>8726</v>
      </c>
      <c r="G3446" s="360" t="s">
        <v>10478</v>
      </c>
      <c r="H3446" s="361">
        <v>43188</v>
      </c>
      <c r="I3446" s="343" t="s">
        <v>5726</v>
      </c>
      <c r="J3446" s="343" t="s">
        <v>12673</v>
      </c>
      <c r="K3446" s="343" t="s">
        <v>248</v>
      </c>
    </row>
    <row r="3447" spans="1:11" ht="26.25" customHeight="1">
      <c r="A3447" s="343" t="s">
        <v>5582</v>
      </c>
      <c r="B3447" s="344" t="s">
        <v>162</v>
      </c>
      <c r="C3447" s="344">
        <v>7536</v>
      </c>
      <c r="D3447" s="343" t="s">
        <v>5641</v>
      </c>
      <c r="E3447" s="344">
        <v>6822720</v>
      </c>
      <c r="F3447" s="343" t="s">
        <v>8727</v>
      </c>
      <c r="G3447" s="360" t="s">
        <v>9399</v>
      </c>
      <c r="H3447" s="361">
        <v>43188</v>
      </c>
      <c r="I3447" s="343" t="s">
        <v>802</v>
      </c>
      <c r="J3447" s="343" t="s">
        <v>1172</v>
      </c>
      <c r="K3447" s="343" t="s">
        <v>168</v>
      </c>
    </row>
    <row r="3448" spans="1:11" ht="26.25" customHeight="1">
      <c r="A3448" s="343" t="s">
        <v>5582</v>
      </c>
      <c r="B3448" s="344" t="s">
        <v>162</v>
      </c>
      <c r="C3448" s="344">
        <v>7536</v>
      </c>
      <c r="D3448" s="343" t="s">
        <v>5641</v>
      </c>
      <c r="E3448" s="344">
        <v>6358668</v>
      </c>
      <c r="F3448" s="343" t="s">
        <v>8728</v>
      </c>
      <c r="G3448" s="360" t="s">
        <v>9703</v>
      </c>
      <c r="H3448" s="361">
        <v>43188</v>
      </c>
      <c r="I3448" s="343" t="s">
        <v>1082</v>
      </c>
      <c r="J3448" s="343" t="s">
        <v>12674</v>
      </c>
      <c r="K3448" s="343" t="s">
        <v>173</v>
      </c>
    </row>
    <row r="3449" spans="1:11" ht="26.25" customHeight="1">
      <c r="A3449" s="343" t="s">
        <v>5582</v>
      </c>
      <c r="B3449" s="344" t="s">
        <v>162</v>
      </c>
      <c r="C3449" s="344">
        <v>9098</v>
      </c>
      <c r="D3449" s="343" t="s">
        <v>6095</v>
      </c>
      <c r="E3449" s="344">
        <v>6229963</v>
      </c>
      <c r="F3449" s="343" t="s">
        <v>5597</v>
      </c>
      <c r="G3449" s="360" t="s">
        <v>12657</v>
      </c>
      <c r="H3449" s="361">
        <v>43188</v>
      </c>
      <c r="I3449" s="343" t="s">
        <v>193</v>
      </c>
      <c r="J3449" s="343" t="s">
        <v>12675</v>
      </c>
      <c r="K3449" s="343" t="s">
        <v>168</v>
      </c>
    </row>
    <row r="3450" spans="1:11" ht="26.25" customHeight="1">
      <c r="A3450" s="343" t="s">
        <v>5582</v>
      </c>
      <c r="B3450" s="344" t="s">
        <v>162</v>
      </c>
      <c r="C3450" s="344">
        <v>9098</v>
      </c>
      <c r="D3450" s="343" t="s">
        <v>6095</v>
      </c>
      <c r="E3450" s="344">
        <v>6240474</v>
      </c>
      <c r="F3450" s="343" t="s">
        <v>8729</v>
      </c>
      <c r="G3450" s="360" t="s">
        <v>9677</v>
      </c>
      <c r="H3450" s="361">
        <v>43188</v>
      </c>
      <c r="I3450" s="343" t="s">
        <v>465</v>
      </c>
      <c r="J3450" s="343" t="s">
        <v>9614</v>
      </c>
      <c r="K3450" s="343" t="s">
        <v>168</v>
      </c>
    </row>
    <row r="3451" spans="1:11" ht="26.25" customHeight="1">
      <c r="A3451" s="343" t="s">
        <v>5582</v>
      </c>
      <c r="B3451" s="344" t="s">
        <v>162</v>
      </c>
      <c r="C3451" s="344">
        <v>6690</v>
      </c>
      <c r="D3451" s="343" t="s">
        <v>6038</v>
      </c>
      <c r="E3451" s="344">
        <v>6026242</v>
      </c>
      <c r="F3451" s="343" t="s">
        <v>5700</v>
      </c>
      <c r="G3451" s="360" t="s">
        <v>10194</v>
      </c>
      <c r="H3451" s="361">
        <v>43188</v>
      </c>
      <c r="I3451" s="343" t="s">
        <v>193</v>
      </c>
      <c r="J3451" s="343" t="s">
        <v>637</v>
      </c>
      <c r="K3451" s="343" t="s">
        <v>168</v>
      </c>
    </row>
    <row r="3452" spans="1:11" ht="26.25" customHeight="1">
      <c r="A3452" s="343" t="s">
        <v>5582</v>
      </c>
      <c r="B3452" s="344" t="s">
        <v>162</v>
      </c>
      <c r="C3452" s="344">
        <v>8551</v>
      </c>
      <c r="D3452" s="343" t="s">
        <v>6078</v>
      </c>
      <c r="E3452" s="344">
        <v>6073821</v>
      </c>
      <c r="F3452" s="343" t="s">
        <v>8730</v>
      </c>
      <c r="G3452" s="360" t="s">
        <v>197</v>
      </c>
      <c r="H3452" s="361">
        <v>43188</v>
      </c>
      <c r="I3452" s="343" t="s">
        <v>1269</v>
      </c>
      <c r="J3452" s="343" t="s">
        <v>12676</v>
      </c>
      <c r="K3452" s="343" t="s">
        <v>168</v>
      </c>
    </row>
    <row r="3453" spans="1:11" ht="26.25" customHeight="1">
      <c r="A3453" s="343" t="s">
        <v>5582</v>
      </c>
      <c r="B3453" s="344" t="s">
        <v>162</v>
      </c>
      <c r="C3453" s="344">
        <v>8551</v>
      </c>
      <c r="D3453" s="343" t="s">
        <v>6078</v>
      </c>
      <c r="E3453" s="344">
        <v>6526266</v>
      </c>
      <c r="F3453" s="343" t="s">
        <v>8731</v>
      </c>
      <c r="G3453" s="360" t="s">
        <v>9970</v>
      </c>
      <c r="H3453" s="361">
        <v>43188</v>
      </c>
      <c r="I3453" s="343" t="s">
        <v>193</v>
      </c>
      <c r="J3453" s="343" t="s">
        <v>12677</v>
      </c>
      <c r="K3453" s="343" t="s">
        <v>168</v>
      </c>
    </row>
    <row r="3454" spans="1:11" ht="26.25" customHeight="1">
      <c r="A3454" s="343" t="s">
        <v>5582</v>
      </c>
      <c r="B3454" s="344" t="s">
        <v>162</v>
      </c>
      <c r="C3454" s="344">
        <v>7518</v>
      </c>
      <c r="D3454" s="343" t="s">
        <v>5661</v>
      </c>
      <c r="E3454" s="344">
        <v>6892940</v>
      </c>
      <c r="F3454" s="343" t="s">
        <v>8732</v>
      </c>
      <c r="G3454" s="360" t="s">
        <v>12678</v>
      </c>
      <c r="H3454" s="361">
        <v>43188</v>
      </c>
      <c r="I3454" s="343" t="s">
        <v>647</v>
      </c>
      <c r="J3454" s="343" t="s">
        <v>648</v>
      </c>
      <c r="K3454" s="343" t="s">
        <v>168</v>
      </c>
    </row>
    <row r="3455" spans="1:11" ht="26.25" customHeight="1">
      <c r="A3455" s="343" t="s">
        <v>5582</v>
      </c>
      <c r="B3455" s="344" t="s">
        <v>162</v>
      </c>
      <c r="C3455" s="344">
        <v>7537</v>
      </c>
      <c r="D3455" s="343" t="s">
        <v>5689</v>
      </c>
      <c r="E3455" s="344">
        <v>6743137</v>
      </c>
      <c r="F3455" s="343" t="s">
        <v>5731</v>
      </c>
      <c r="G3455" s="360" t="s">
        <v>12679</v>
      </c>
      <c r="H3455" s="361">
        <v>43188</v>
      </c>
      <c r="I3455" s="343" t="s">
        <v>166</v>
      </c>
      <c r="J3455" s="343" t="s">
        <v>327</v>
      </c>
      <c r="K3455" s="343" t="s">
        <v>168</v>
      </c>
    </row>
    <row r="3456" spans="1:11" ht="26.25" customHeight="1">
      <c r="A3456" s="343" t="s">
        <v>5582</v>
      </c>
      <c r="B3456" s="344" t="s">
        <v>162</v>
      </c>
      <c r="C3456" s="344">
        <v>6687</v>
      </c>
      <c r="D3456" s="343" t="s">
        <v>5984</v>
      </c>
      <c r="E3456" s="344">
        <v>6021624</v>
      </c>
      <c r="F3456" s="343" t="s">
        <v>8733</v>
      </c>
      <c r="G3456" s="360" t="s">
        <v>10110</v>
      </c>
      <c r="H3456" s="361">
        <v>43188</v>
      </c>
      <c r="I3456" s="343" t="s">
        <v>8734</v>
      </c>
      <c r="J3456" s="343" t="s">
        <v>12680</v>
      </c>
      <c r="K3456" s="343" t="s">
        <v>248</v>
      </c>
    </row>
    <row r="3457" spans="1:11" ht="26.25" customHeight="1">
      <c r="A3457" s="343" t="s">
        <v>5582</v>
      </c>
      <c r="B3457" s="344" t="s">
        <v>162</v>
      </c>
      <c r="C3457" s="344">
        <v>9842</v>
      </c>
      <c r="D3457" s="343" t="s">
        <v>5759</v>
      </c>
      <c r="E3457" s="344">
        <v>6243665</v>
      </c>
      <c r="F3457" s="343" t="s">
        <v>8735</v>
      </c>
      <c r="G3457" s="360" t="s">
        <v>11125</v>
      </c>
      <c r="H3457" s="361">
        <v>43192</v>
      </c>
      <c r="I3457" s="343" t="s">
        <v>802</v>
      </c>
      <c r="J3457" s="343" t="s">
        <v>1172</v>
      </c>
      <c r="K3457" s="343" t="s">
        <v>168</v>
      </c>
    </row>
    <row r="3458" spans="1:11" ht="26.25" customHeight="1">
      <c r="A3458" s="343" t="s">
        <v>5582</v>
      </c>
      <c r="B3458" s="344" t="s">
        <v>162</v>
      </c>
      <c r="C3458" s="344">
        <v>9842</v>
      </c>
      <c r="D3458" s="343" t="s">
        <v>5759</v>
      </c>
      <c r="E3458" s="344">
        <v>6279955</v>
      </c>
      <c r="F3458" s="343" t="s">
        <v>8736</v>
      </c>
      <c r="G3458" s="360" t="s">
        <v>12233</v>
      </c>
      <c r="H3458" s="361">
        <v>43192</v>
      </c>
      <c r="I3458" s="343" t="s">
        <v>802</v>
      </c>
      <c r="J3458" s="343" t="s">
        <v>12681</v>
      </c>
      <c r="K3458" s="343" t="s">
        <v>168</v>
      </c>
    </row>
    <row r="3459" spans="1:11" ht="26.25" customHeight="1">
      <c r="A3459" s="343" t="s">
        <v>5582</v>
      </c>
      <c r="B3459" s="344" t="s">
        <v>162</v>
      </c>
      <c r="C3459" s="344">
        <v>7517</v>
      </c>
      <c r="D3459" s="343" t="s">
        <v>5701</v>
      </c>
      <c r="E3459" s="344">
        <v>6527581</v>
      </c>
      <c r="F3459" s="343" t="s">
        <v>8737</v>
      </c>
      <c r="G3459" s="360" t="s">
        <v>12682</v>
      </c>
      <c r="H3459" s="361">
        <v>43192</v>
      </c>
      <c r="I3459" s="343" t="s">
        <v>7356</v>
      </c>
      <c r="J3459" s="343" t="s">
        <v>12683</v>
      </c>
      <c r="K3459" s="343" t="s">
        <v>168</v>
      </c>
    </row>
    <row r="3460" spans="1:11" ht="26.25" customHeight="1">
      <c r="A3460" s="343" t="s">
        <v>5582</v>
      </c>
      <c r="B3460" s="344" t="s">
        <v>162</v>
      </c>
      <c r="C3460" s="344">
        <v>7539</v>
      </c>
      <c r="D3460" s="343" t="s">
        <v>8738</v>
      </c>
      <c r="E3460" s="344">
        <v>6956783</v>
      </c>
      <c r="F3460" s="343" t="s">
        <v>8739</v>
      </c>
      <c r="G3460" s="360" t="s">
        <v>10013</v>
      </c>
      <c r="H3460" s="361">
        <v>43192</v>
      </c>
      <c r="I3460" s="343" t="s">
        <v>166</v>
      </c>
      <c r="J3460" s="343" t="s">
        <v>9775</v>
      </c>
      <c r="K3460" s="343" t="s">
        <v>248</v>
      </c>
    </row>
    <row r="3461" spans="1:11" ht="26.25" customHeight="1">
      <c r="A3461" s="343" t="s">
        <v>5582</v>
      </c>
      <c r="B3461" s="344" t="s">
        <v>162</v>
      </c>
      <c r="C3461" s="344">
        <v>6697</v>
      </c>
      <c r="D3461" s="343" t="s">
        <v>6070</v>
      </c>
      <c r="E3461" s="344">
        <v>6703501</v>
      </c>
      <c r="F3461" s="343" t="s">
        <v>5599</v>
      </c>
      <c r="G3461" s="360" t="s">
        <v>11114</v>
      </c>
      <c r="H3461" s="361">
        <v>43192</v>
      </c>
      <c r="I3461" s="343" t="s">
        <v>301</v>
      </c>
      <c r="J3461" s="343" t="s">
        <v>1113</v>
      </c>
      <c r="K3461" s="343" t="s">
        <v>168</v>
      </c>
    </row>
    <row r="3462" spans="1:11" ht="26.25" customHeight="1">
      <c r="A3462" s="343" t="s">
        <v>5582</v>
      </c>
      <c r="B3462" s="344" t="s">
        <v>162</v>
      </c>
      <c r="C3462" s="344">
        <v>9756</v>
      </c>
      <c r="D3462" s="343" t="s">
        <v>6087</v>
      </c>
      <c r="E3462" s="344">
        <v>6884338</v>
      </c>
      <c r="F3462" s="343" t="s">
        <v>8740</v>
      </c>
      <c r="G3462" s="360" t="s">
        <v>10554</v>
      </c>
      <c r="H3462" s="361">
        <v>43192</v>
      </c>
      <c r="I3462" s="343" t="s">
        <v>301</v>
      </c>
      <c r="J3462" s="343" t="s">
        <v>11240</v>
      </c>
      <c r="K3462" s="343" t="s">
        <v>173</v>
      </c>
    </row>
    <row r="3463" spans="1:11" ht="26.25" customHeight="1">
      <c r="A3463" s="343" t="s">
        <v>5582</v>
      </c>
      <c r="B3463" s="344" t="s">
        <v>162</v>
      </c>
      <c r="C3463" s="344">
        <v>8506</v>
      </c>
      <c r="D3463" s="343" t="s">
        <v>8741</v>
      </c>
      <c r="E3463" s="344">
        <v>6055172</v>
      </c>
      <c r="F3463" s="343" t="s">
        <v>8742</v>
      </c>
      <c r="G3463" s="360" t="s">
        <v>9626</v>
      </c>
      <c r="H3463" s="361">
        <v>43192</v>
      </c>
      <c r="I3463" s="343" t="s">
        <v>166</v>
      </c>
      <c r="J3463" s="343" t="s">
        <v>327</v>
      </c>
      <c r="K3463" s="343" t="s">
        <v>168</v>
      </c>
    </row>
    <row r="3464" spans="1:11" ht="26.25" customHeight="1">
      <c r="A3464" s="343" t="s">
        <v>5582</v>
      </c>
      <c r="B3464" s="344" t="s">
        <v>162</v>
      </c>
      <c r="C3464" s="344">
        <v>8506</v>
      </c>
      <c r="D3464" s="343" t="s">
        <v>8741</v>
      </c>
      <c r="E3464" s="344">
        <v>6223306</v>
      </c>
      <c r="F3464" s="343" t="s">
        <v>8743</v>
      </c>
      <c r="G3464" s="360" t="s">
        <v>10074</v>
      </c>
      <c r="H3464" s="361">
        <v>43192</v>
      </c>
      <c r="I3464" s="343" t="s">
        <v>301</v>
      </c>
      <c r="J3464" s="343" t="s">
        <v>1113</v>
      </c>
      <c r="K3464" s="343" t="s">
        <v>168</v>
      </c>
    </row>
    <row r="3465" spans="1:11" ht="26.25" customHeight="1">
      <c r="A3465" s="343" t="s">
        <v>5582</v>
      </c>
      <c r="B3465" s="344" t="s">
        <v>162</v>
      </c>
      <c r="C3465" s="344">
        <v>8506</v>
      </c>
      <c r="D3465" s="343" t="s">
        <v>8741</v>
      </c>
      <c r="E3465" s="344">
        <v>6002121</v>
      </c>
      <c r="F3465" s="343" t="s">
        <v>8744</v>
      </c>
      <c r="G3465" s="360" t="s">
        <v>9457</v>
      </c>
      <c r="H3465" s="361">
        <v>43192</v>
      </c>
      <c r="I3465" s="343" t="s">
        <v>193</v>
      </c>
      <c r="J3465" s="343" t="s">
        <v>637</v>
      </c>
      <c r="K3465" s="343" t="s">
        <v>168</v>
      </c>
    </row>
    <row r="3466" spans="1:11" ht="26.25" customHeight="1">
      <c r="A3466" s="343" t="s">
        <v>5582</v>
      </c>
      <c r="B3466" s="344" t="s">
        <v>162</v>
      </c>
      <c r="C3466" s="344">
        <v>7532</v>
      </c>
      <c r="D3466" s="343" t="s">
        <v>5649</v>
      </c>
      <c r="E3466" s="344">
        <v>6874878</v>
      </c>
      <c r="F3466" s="343" t="s">
        <v>8745</v>
      </c>
      <c r="G3466" s="360" t="s">
        <v>12684</v>
      </c>
      <c r="H3466" s="361">
        <v>43192</v>
      </c>
      <c r="I3466" s="343" t="s">
        <v>271</v>
      </c>
      <c r="J3466" s="343" t="s">
        <v>333</v>
      </c>
      <c r="K3466" s="343" t="s">
        <v>168</v>
      </c>
    </row>
    <row r="3467" spans="1:11" ht="26.25" customHeight="1">
      <c r="A3467" s="343" t="s">
        <v>5582</v>
      </c>
      <c r="B3467" s="344" t="s">
        <v>162</v>
      </c>
      <c r="C3467" s="344">
        <v>6703</v>
      </c>
      <c r="D3467" s="343" t="s">
        <v>6005</v>
      </c>
      <c r="E3467" s="344">
        <v>5762395</v>
      </c>
      <c r="F3467" s="343" t="s">
        <v>8746</v>
      </c>
      <c r="G3467" s="360" t="s">
        <v>10960</v>
      </c>
      <c r="H3467" s="361">
        <v>43192</v>
      </c>
      <c r="I3467" s="343" t="s">
        <v>166</v>
      </c>
      <c r="J3467" s="343" t="s">
        <v>327</v>
      </c>
      <c r="K3467" s="343" t="s">
        <v>168</v>
      </c>
    </row>
    <row r="3468" spans="1:11" ht="26.25" customHeight="1">
      <c r="A3468" s="343" t="s">
        <v>5582</v>
      </c>
      <c r="B3468" s="344" t="s">
        <v>162</v>
      </c>
      <c r="C3468" s="344">
        <v>9841</v>
      </c>
      <c r="D3468" s="343" t="s">
        <v>5719</v>
      </c>
      <c r="E3468" s="344">
        <v>6408334</v>
      </c>
      <c r="F3468" s="343" t="s">
        <v>8747</v>
      </c>
      <c r="G3468" s="360" t="s">
        <v>12685</v>
      </c>
      <c r="H3468" s="361">
        <v>43192</v>
      </c>
      <c r="I3468" s="343" t="s">
        <v>8748</v>
      </c>
      <c r="J3468" s="343" t="s">
        <v>12686</v>
      </c>
      <c r="K3468" s="343" t="s">
        <v>168</v>
      </c>
    </row>
    <row r="3469" spans="1:11" ht="26.25" customHeight="1">
      <c r="A3469" s="343" t="s">
        <v>5582</v>
      </c>
      <c r="B3469" s="344" t="s">
        <v>162</v>
      </c>
      <c r="C3469" s="344">
        <v>7013</v>
      </c>
      <c r="D3469" s="343" t="s">
        <v>5781</v>
      </c>
      <c r="E3469" s="344">
        <v>5684895</v>
      </c>
      <c r="F3469" s="343" t="s">
        <v>6086</v>
      </c>
      <c r="G3469" s="360" t="s">
        <v>12687</v>
      </c>
      <c r="H3469" s="361">
        <v>43192</v>
      </c>
      <c r="I3469" s="343" t="s">
        <v>166</v>
      </c>
      <c r="J3469" s="343" t="s">
        <v>327</v>
      </c>
      <c r="K3469" s="343" t="s">
        <v>168</v>
      </c>
    </row>
    <row r="3470" spans="1:11" ht="26.25" customHeight="1">
      <c r="A3470" s="343" t="s">
        <v>5582</v>
      </c>
      <c r="B3470" s="344" t="s">
        <v>162</v>
      </c>
      <c r="C3470" s="344">
        <v>9194</v>
      </c>
      <c r="D3470" s="343" t="s">
        <v>6071</v>
      </c>
      <c r="E3470" s="344">
        <v>5964321</v>
      </c>
      <c r="F3470" s="343" t="s">
        <v>8749</v>
      </c>
      <c r="G3470" s="360" t="s">
        <v>9490</v>
      </c>
      <c r="H3470" s="361">
        <v>43193</v>
      </c>
      <c r="I3470" s="343" t="s">
        <v>5659</v>
      </c>
      <c r="J3470" s="343" t="s">
        <v>11766</v>
      </c>
      <c r="K3470" s="343" t="s">
        <v>168</v>
      </c>
    </row>
    <row r="3471" spans="1:11" ht="26.25" customHeight="1">
      <c r="A3471" s="343" t="s">
        <v>5582</v>
      </c>
      <c r="B3471" s="344" t="s">
        <v>162</v>
      </c>
      <c r="C3471" s="344">
        <v>7515</v>
      </c>
      <c r="D3471" s="343" t="s">
        <v>5638</v>
      </c>
      <c r="E3471" s="344">
        <v>6969716</v>
      </c>
      <c r="F3471" s="343" t="s">
        <v>8750</v>
      </c>
      <c r="G3471" s="360" t="s">
        <v>12688</v>
      </c>
      <c r="H3471" s="361">
        <v>43193</v>
      </c>
      <c r="I3471" s="343" t="s">
        <v>166</v>
      </c>
      <c r="J3471" s="343" t="s">
        <v>9752</v>
      </c>
      <c r="K3471" s="343" t="s">
        <v>248</v>
      </c>
    </row>
    <row r="3472" spans="1:11" ht="26.25" customHeight="1">
      <c r="A3472" s="343" t="s">
        <v>5582</v>
      </c>
      <c r="B3472" s="344" t="s">
        <v>162</v>
      </c>
      <c r="C3472" s="344">
        <v>7538</v>
      </c>
      <c r="D3472" s="343" t="s">
        <v>5669</v>
      </c>
      <c r="E3472" s="344">
        <v>6948345</v>
      </c>
      <c r="F3472" s="343" t="s">
        <v>8751</v>
      </c>
      <c r="G3472" s="360" t="s">
        <v>12689</v>
      </c>
      <c r="H3472" s="361">
        <v>43193</v>
      </c>
      <c r="I3472" s="343" t="s">
        <v>301</v>
      </c>
      <c r="J3472" s="343" t="s">
        <v>1113</v>
      </c>
      <c r="K3472" s="343" t="s">
        <v>168</v>
      </c>
    </row>
    <row r="3473" spans="1:11" ht="26.25" customHeight="1">
      <c r="A3473" s="343" t="s">
        <v>5582</v>
      </c>
      <c r="B3473" s="344" t="s">
        <v>162</v>
      </c>
      <c r="C3473" s="344">
        <v>9880</v>
      </c>
      <c r="D3473" s="343" t="s">
        <v>5714</v>
      </c>
      <c r="E3473" s="344">
        <v>6436031</v>
      </c>
      <c r="F3473" s="343" t="s">
        <v>8752</v>
      </c>
      <c r="G3473" s="360" t="s">
        <v>9972</v>
      </c>
      <c r="H3473" s="361">
        <v>43193</v>
      </c>
      <c r="I3473" s="343" t="s">
        <v>219</v>
      </c>
      <c r="J3473" s="343" t="s">
        <v>220</v>
      </c>
      <c r="K3473" s="343" t="s">
        <v>173</v>
      </c>
    </row>
    <row r="3474" spans="1:11" ht="26.25" customHeight="1">
      <c r="A3474" s="343" t="s">
        <v>5582</v>
      </c>
      <c r="B3474" s="344" t="s">
        <v>162</v>
      </c>
      <c r="C3474" s="344">
        <v>8506</v>
      </c>
      <c r="D3474" s="343" t="s">
        <v>8741</v>
      </c>
      <c r="E3474" s="344">
        <v>6165504</v>
      </c>
      <c r="F3474" s="343" t="s">
        <v>8753</v>
      </c>
      <c r="G3474" s="360" t="s">
        <v>12125</v>
      </c>
      <c r="H3474" s="361">
        <v>43193</v>
      </c>
      <c r="I3474" s="343" t="s">
        <v>166</v>
      </c>
      <c r="J3474" s="343" t="s">
        <v>327</v>
      </c>
      <c r="K3474" s="343" t="s">
        <v>168</v>
      </c>
    </row>
    <row r="3475" spans="1:11" ht="26.25" customHeight="1">
      <c r="A3475" s="343" t="s">
        <v>5582</v>
      </c>
      <c r="B3475" s="344" t="s">
        <v>162</v>
      </c>
      <c r="C3475" s="344">
        <v>9540</v>
      </c>
      <c r="D3475" s="343" t="s">
        <v>5590</v>
      </c>
      <c r="E3475" s="344">
        <v>6350347</v>
      </c>
      <c r="F3475" s="343" t="s">
        <v>8754</v>
      </c>
      <c r="G3475" s="360" t="s">
        <v>12690</v>
      </c>
      <c r="H3475" s="361">
        <v>43193</v>
      </c>
      <c r="I3475" s="343" t="s">
        <v>211</v>
      </c>
      <c r="J3475" s="343" t="s">
        <v>909</v>
      </c>
      <c r="K3475" s="343" t="s">
        <v>168</v>
      </c>
    </row>
    <row r="3476" spans="1:11" ht="26.25" customHeight="1">
      <c r="A3476" s="343" t="s">
        <v>5582</v>
      </c>
      <c r="B3476" s="344" t="s">
        <v>162</v>
      </c>
      <c r="C3476" s="344">
        <v>12163</v>
      </c>
      <c r="D3476" s="343" t="s">
        <v>5912</v>
      </c>
      <c r="E3476" s="344">
        <v>4689278</v>
      </c>
      <c r="F3476" s="343" t="s">
        <v>5812</v>
      </c>
      <c r="G3476" s="360" t="s">
        <v>12691</v>
      </c>
      <c r="H3476" s="361">
        <v>43193</v>
      </c>
      <c r="I3476" s="343" t="s">
        <v>211</v>
      </c>
      <c r="J3476" s="343" t="s">
        <v>909</v>
      </c>
      <c r="K3476" s="343" t="s">
        <v>168</v>
      </c>
    </row>
    <row r="3477" spans="1:11" ht="26.25" customHeight="1">
      <c r="A3477" s="343" t="s">
        <v>5582</v>
      </c>
      <c r="B3477" s="344" t="s">
        <v>162</v>
      </c>
      <c r="C3477" s="344">
        <v>7525</v>
      </c>
      <c r="D3477" s="343" t="s">
        <v>5643</v>
      </c>
      <c r="E3477" s="344">
        <v>6554129</v>
      </c>
      <c r="F3477" s="343" t="s">
        <v>8755</v>
      </c>
      <c r="G3477" s="360" t="s">
        <v>12582</v>
      </c>
      <c r="H3477" s="361">
        <v>43193</v>
      </c>
      <c r="I3477" s="343" t="s">
        <v>166</v>
      </c>
      <c r="J3477" s="343" t="s">
        <v>327</v>
      </c>
      <c r="K3477" s="343" t="s">
        <v>168</v>
      </c>
    </row>
    <row r="3478" spans="1:11" ht="26.25" customHeight="1">
      <c r="A3478" s="343" t="s">
        <v>5582</v>
      </c>
      <c r="B3478" s="344" t="s">
        <v>162</v>
      </c>
      <c r="C3478" s="344">
        <v>9842</v>
      </c>
      <c r="D3478" s="343" t="s">
        <v>5759</v>
      </c>
      <c r="E3478" s="344">
        <v>6312389</v>
      </c>
      <c r="F3478" s="343" t="s">
        <v>5771</v>
      </c>
      <c r="G3478" s="360" t="s">
        <v>11127</v>
      </c>
      <c r="H3478" s="361">
        <v>43193</v>
      </c>
      <c r="I3478" s="343" t="s">
        <v>8756</v>
      </c>
      <c r="J3478" s="343" t="s">
        <v>12692</v>
      </c>
      <c r="K3478" s="343" t="s">
        <v>248</v>
      </c>
    </row>
    <row r="3479" spans="1:11" ht="26.25" customHeight="1">
      <c r="A3479" s="343" t="s">
        <v>5582</v>
      </c>
      <c r="B3479" s="344" t="s">
        <v>162</v>
      </c>
      <c r="C3479" s="344">
        <v>9922</v>
      </c>
      <c r="D3479" s="343" t="s">
        <v>5748</v>
      </c>
      <c r="E3479" s="344">
        <v>4942718</v>
      </c>
      <c r="F3479" s="343" t="s">
        <v>5757</v>
      </c>
      <c r="G3479" s="360" t="s">
        <v>12693</v>
      </c>
      <c r="H3479" s="361">
        <v>43195</v>
      </c>
      <c r="I3479" s="343" t="s">
        <v>180</v>
      </c>
      <c r="J3479" s="343" t="s">
        <v>12694</v>
      </c>
      <c r="K3479" s="343" t="s">
        <v>168</v>
      </c>
    </row>
    <row r="3480" spans="1:11" ht="26.25" customHeight="1">
      <c r="A3480" s="343" t="s">
        <v>5582</v>
      </c>
      <c r="B3480" s="344" t="s">
        <v>162</v>
      </c>
      <c r="C3480" s="344">
        <v>8506</v>
      </c>
      <c r="D3480" s="343" t="s">
        <v>8741</v>
      </c>
      <c r="E3480" s="344">
        <v>5989507</v>
      </c>
      <c r="F3480" s="343" t="s">
        <v>8757</v>
      </c>
      <c r="G3480" s="360" t="s">
        <v>10072</v>
      </c>
      <c r="H3480" s="361">
        <v>43199</v>
      </c>
      <c r="I3480" s="343" t="s">
        <v>198</v>
      </c>
      <c r="J3480" s="343" t="s">
        <v>198</v>
      </c>
      <c r="K3480" s="343" t="s">
        <v>168</v>
      </c>
    </row>
    <row r="3481" spans="1:11" ht="26.25" customHeight="1">
      <c r="A3481" s="343" t="s">
        <v>5582</v>
      </c>
      <c r="B3481" s="344" t="s">
        <v>162</v>
      </c>
      <c r="C3481" s="344">
        <v>6686</v>
      </c>
      <c r="D3481" s="343" t="s">
        <v>5980</v>
      </c>
      <c r="E3481" s="344">
        <v>6070591</v>
      </c>
      <c r="F3481" s="343" t="s">
        <v>8758</v>
      </c>
      <c r="G3481" s="360" t="s">
        <v>9488</v>
      </c>
      <c r="H3481" s="361">
        <v>43202</v>
      </c>
      <c r="I3481" s="343" t="s">
        <v>166</v>
      </c>
      <c r="J3481" s="343" t="s">
        <v>327</v>
      </c>
      <c r="K3481" s="343" t="s">
        <v>168</v>
      </c>
    </row>
    <row r="3482" spans="1:11" ht="26.25" customHeight="1">
      <c r="A3482" s="343" t="s">
        <v>5582</v>
      </c>
      <c r="B3482" s="344" t="s">
        <v>162</v>
      </c>
      <c r="C3482" s="344">
        <v>6687</v>
      </c>
      <c r="D3482" s="343" t="s">
        <v>5984</v>
      </c>
      <c r="E3482" s="344">
        <v>6035389</v>
      </c>
      <c r="F3482" s="343" t="s">
        <v>8760</v>
      </c>
      <c r="G3482" s="360" t="s">
        <v>9466</v>
      </c>
      <c r="H3482" s="361">
        <v>43202</v>
      </c>
      <c r="I3482" s="343" t="s">
        <v>166</v>
      </c>
      <c r="J3482" s="343" t="s">
        <v>327</v>
      </c>
      <c r="K3482" s="343" t="s">
        <v>168</v>
      </c>
    </row>
    <row r="3483" spans="1:11" ht="26.25" customHeight="1">
      <c r="A3483" s="343" t="s">
        <v>5582</v>
      </c>
      <c r="B3483" s="344" t="s">
        <v>162</v>
      </c>
      <c r="C3483" s="344">
        <v>6695</v>
      </c>
      <c r="D3483" s="343" t="s">
        <v>6085</v>
      </c>
      <c r="E3483" s="344">
        <v>6213042</v>
      </c>
      <c r="F3483" s="343" t="s">
        <v>8761</v>
      </c>
      <c r="G3483" s="360" t="s">
        <v>9512</v>
      </c>
      <c r="H3483" s="361">
        <v>43202</v>
      </c>
      <c r="I3483" s="343" t="s">
        <v>8762</v>
      </c>
      <c r="J3483" s="343" t="s">
        <v>12695</v>
      </c>
      <c r="K3483" s="343" t="s">
        <v>168</v>
      </c>
    </row>
    <row r="3484" spans="1:11" ht="26.25" customHeight="1">
      <c r="A3484" s="343" t="s">
        <v>5582</v>
      </c>
      <c r="B3484" s="344" t="s">
        <v>162</v>
      </c>
      <c r="C3484" s="344">
        <v>6686</v>
      </c>
      <c r="D3484" s="343" t="s">
        <v>5980</v>
      </c>
      <c r="E3484" s="344">
        <v>6181788</v>
      </c>
      <c r="F3484" s="343" t="s">
        <v>8763</v>
      </c>
      <c r="G3484" s="360" t="s">
        <v>9479</v>
      </c>
      <c r="H3484" s="361">
        <v>43202</v>
      </c>
      <c r="I3484" s="343" t="s">
        <v>198</v>
      </c>
      <c r="J3484" s="343" t="s">
        <v>198</v>
      </c>
      <c r="K3484" s="343" t="s">
        <v>168</v>
      </c>
    </row>
    <row r="3485" spans="1:11" ht="26.25" customHeight="1">
      <c r="A3485" s="343" t="s">
        <v>5582</v>
      </c>
      <c r="B3485" s="344" t="s">
        <v>162</v>
      </c>
      <c r="C3485" s="344">
        <v>6686</v>
      </c>
      <c r="D3485" s="343" t="s">
        <v>5980</v>
      </c>
      <c r="E3485" s="344">
        <v>6474267</v>
      </c>
      <c r="F3485" s="343" t="s">
        <v>8764</v>
      </c>
      <c r="G3485" s="360" t="s">
        <v>9367</v>
      </c>
      <c r="H3485" s="361">
        <v>43202</v>
      </c>
      <c r="I3485" s="343" t="s">
        <v>166</v>
      </c>
      <c r="J3485" s="343" t="s">
        <v>296</v>
      </c>
      <c r="K3485" s="343" t="s">
        <v>168</v>
      </c>
    </row>
    <row r="3486" spans="1:11" ht="26.25" customHeight="1">
      <c r="A3486" s="343" t="s">
        <v>5582</v>
      </c>
      <c r="B3486" s="344" t="s">
        <v>162</v>
      </c>
      <c r="C3486" s="344">
        <v>7512</v>
      </c>
      <c r="D3486" s="343" t="s">
        <v>5680</v>
      </c>
      <c r="E3486" s="344">
        <v>6842794</v>
      </c>
      <c r="F3486" s="343" t="s">
        <v>8765</v>
      </c>
      <c r="G3486" s="360" t="s">
        <v>9540</v>
      </c>
      <c r="H3486" s="361">
        <v>43202</v>
      </c>
      <c r="I3486" s="343" t="s">
        <v>193</v>
      </c>
      <c r="J3486" s="343" t="s">
        <v>637</v>
      </c>
      <c r="K3486" s="343" t="s">
        <v>168</v>
      </c>
    </row>
    <row r="3487" spans="1:11" ht="26.25" customHeight="1">
      <c r="A3487" s="343" t="s">
        <v>5582</v>
      </c>
      <c r="B3487" s="344" t="s">
        <v>162</v>
      </c>
      <c r="C3487" s="344">
        <v>11730</v>
      </c>
      <c r="D3487" s="343" t="s">
        <v>5729</v>
      </c>
      <c r="E3487" s="344">
        <v>6720297</v>
      </c>
      <c r="F3487" s="343" t="s">
        <v>8766</v>
      </c>
      <c r="G3487" s="360" t="s">
        <v>12696</v>
      </c>
      <c r="H3487" s="361">
        <v>43202</v>
      </c>
      <c r="I3487" s="343" t="s">
        <v>8767</v>
      </c>
      <c r="J3487" s="343" t="s">
        <v>12697</v>
      </c>
      <c r="K3487" s="343" t="s">
        <v>173</v>
      </c>
    </row>
    <row r="3488" spans="1:11" ht="26.25" customHeight="1">
      <c r="A3488" s="343" t="s">
        <v>5582</v>
      </c>
      <c r="B3488" s="344" t="s">
        <v>162</v>
      </c>
      <c r="C3488" s="344">
        <v>12839</v>
      </c>
      <c r="D3488" s="343" t="s">
        <v>6055</v>
      </c>
      <c r="E3488" s="344">
        <v>5715809</v>
      </c>
      <c r="F3488" s="343" t="s">
        <v>8768</v>
      </c>
      <c r="G3488" s="360" t="s">
        <v>9936</v>
      </c>
      <c r="H3488" s="361">
        <v>43202</v>
      </c>
      <c r="I3488" s="343" t="s">
        <v>193</v>
      </c>
      <c r="J3488" s="343" t="s">
        <v>637</v>
      </c>
      <c r="K3488" s="343" t="s">
        <v>168</v>
      </c>
    </row>
    <row r="3489" spans="1:11" ht="26.25" customHeight="1">
      <c r="A3489" s="343" t="s">
        <v>5582</v>
      </c>
      <c r="B3489" s="344" t="s">
        <v>162</v>
      </c>
      <c r="C3489" s="344">
        <v>7537</v>
      </c>
      <c r="D3489" s="343" t="s">
        <v>5689</v>
      </c>
      <c r="E3489" s="344">
        <v>6738190</v>
      </c>
      <c r="F3489" s="343" t="s">
        <v>8769</v>
      </c>
      <c r="G3489" s="360" t="s">
        <v>12698</v>
      </c>
      <c r="H3489" s="361">
        <v>43202</v>
      </c>
      <c r="I3489" s="343" t="s">
        <v>166</v>
      </c>
      <c r="J3489" s="343" t="s">
        <v>327</v>
      </c>
      <c r="K3489" s="343" t="s">
        <v>168</v>
      </c>
    </row>
    <row r="3490" spans="1:11" ht="26.25" customHeight="1">
      <c r="A3490" s="343" t="s">
        <v>5582</v>
      </c>
      <c r="B3490" s="344" t="s">
        <v>162</v>
      </c>
      <c r="C3490" s="344">
        <v>12868</v>
      </c>
      <c r="D3490" s="343" t="s">
        <v>5860</v>
      </c>
      <c r="E3490" s="344">
        <v>5666212</v>
      </c>
      <c r="F3490" s="343" t="s">
        <v>8770</v>
      </c>
      <c r="G3490" s="360" t="s">
        <v>12693</v>
      </c>
      <c r="H3490" s="361">
        <v>43214</v>
      </c>
      <c r="I3490" s="343" t="s">
        <v>198</v>
      </c>
      <c r="J3490" s="343" t="s">
        <v>198</v>
      </c>
      <c r="K3490" s="343" t="s">
        <v>168</v>
      </c>
    </row>
    <row r="3491" spans="1:11" ht="26.25" customHeight="1">
      <c r="A3491" s="343" t="s">
        <v>5582</v>
      </c>
      <c r="B3491" s="344" t="s">
        <v>162</v>
      </c>
      <c r="C3491" s="344">
        <v>9098</v>
      </c>
      <c r="D3491" s="343" t="s">
        <v>6095</v>
      </c>
      <c r="E3491" s="344">
        <v>6308141</v>
      </c>
      <c r="F3491" s="343" t="s">
        <v>8771</v>
      </c>
      <c r="G3491" s="360" t="s">
        <v>12661</v>
      </c>
      <c r="H3491" s="361">
        <v>43214</v>
      </c>
      <c r="I3491" s="343" t="s">
        <v>1182</v>
      </c>
      <c r="J3491" s="343" t="s">
        <v>9518</v>
      </c>
      <c r="K3491" s="343" t="s">
        <v>173</v>
      </c>
    </row>
    <row r="3492" spans="1:11" ht="26.25" customHeight="1">
      <c r="A3492" s="343" t="s">
        <v>5582</v>
      </c>
      <c r="B3492" s="344" t="s">
        <v>162</v>
      </c>
      <c r="C3492" s="344">
        <v>12383</v>
      </c>
      <c r="D3492" s="343" t="s">
        <v>6100</v>
      </c>
      <c r="E3492" s="344">
        <v>5943495</v>
      </c>
      <c r="F3492" s="343" t="s">
        <v>8772</v>
      </c>
      <c r="G3492" s="360" t="s">
        <v>11046</v>
      </c>
      <c r="H3492" s="361">
        <v>43214</v>
      </c>
      <c r="I3492" s="343" t="s">
        <v>366</v>
      </c>
      <c r="J3492" s="343" t="s">
        <v>366</v>
      </c>
      <c r="K3492" s="343" t="s">
        <v>168</v>
      </c>
    </row>
    <row r="3493" spans="1:11" ht="26.25" customHeight="1">
      <c r="A3493" s="343" t="s">
        <v>5582</v>
      </c>
      <c r="B3493" s="344" t="s">
        <v>162</v>
      </c>
      <c r="C3493" s="344">
        <v>7010</v>
      </c>
      <c r="D3493" s="343" t="s">
        <v>5890</v>
      </c>
      <c r="E3493" s="344">
        <v>5965882</v>
      </c>
      <c r="F3493" s="343" t="s">
        <v>8773</v>
      </c>
      <c r="G3493" s="360" t="s">
        <v>10337</v>
      </c>
      <c r="H3493" s="361">
        <v>43214</v>
      </c>
      <c r="I3493" s="343" t="s">
        <v>4026</v>
      </c>
      <c r="J3493" s="343" t="s">
        <v>12699</v>
      </c>
      <c r="K3493" s="343" t="s">
        <v>168</v>
      </c>
    </row>
    <row r="3494" spans="1:11" ht="26.25" customHeight="1">
      <c r="A3494" s="343" t="s">
        <v>5582</v>
      </c>
      <c r="B3494" s="344" t="s">
        <v>162</v>
      </c>
      <c r="C3494" s="344">
        <v>6691</v>
      </c>
      <c r="D3494" s="343" t="s">
        <v>8774</v>
      </c>
      <c r="E3494" s="344">
        <v>6075566</v>
      </c>
      <c r="F3494" s="343" t="s">
        <v>8775</v>
      </c>
      <c r="G3494" s="360" t="s">
        <v>9582</v>
      </c>
      <c r="H3494" s="361">
        <v>43214</v>
      </c>
      <c r="I3494" s="343" t="s">
        <v>275</v>
      </c>
      <c r="J3494" s="343" t="s">
        <v>9392</v>
      </c>
      <c r="K3494" s="343" t="s">
        <v>173</v>
      </c>
    </row>
    <row r="3495" spans="1:11" ht="26.25" customHeight="1">
      <c r="A3495" s="343" t="s">
        <v>5582</v>
      </c>
      <c r="B3495" s="344" t="s">
        <v>162</v>
      </c>
      <c r="C3495" s="344">
        <v>8468</v>
      </c>
      <c r="D3495" s="343" t="s">
        <v>5596</v>
      </c>
      <c r="E3495" s="344">
        <v>6393737</v>
      </c>
      <c r="F3495" s="343" t="s">
        <v>8776</v>
      </c>
      <c r="G3495" s="360" t="s">
        <v>12700</v>
      </c>
      <c r="H3495" s="361">
        <v>43214</v>
      </c>
      <c r="I3495" s="343" t="s">
        <v>284</v>
      </c>
      <c r="J3495" s="343" t="s">
        <v>10432</v>
      </c>
      <c r="K3495" s="343" t="s">
        <v>168</v>
      </c>
    </row>
    <row r="3496" spans="1:11" ht="26.25" customHeight="1">
      <c r="A3496" s="343" t="s">
        <v>5582</v>
      </c>
      <c r="B3496" s="344" t="s">
        <v>162</v>
      </c>
      <c r="C3496" s="344">
        <v>9756</v>
      </c>
      <c r="D3496" s="343" t="s">
        <v>6087</v>
      </c>
      <c r="E3496" s="344">
        <v>6669044</v>
      </c>
      <c r="F3496" s="343" t="s">
        <v>8777</v>
      </c>
      <c r="G3496" s="360" t="s">
        <v>12701</v>
      </c>
      <c r="H3496" s="361">
        <v>43214</v>
      </c>
      <c r="I3496" s="343" t="s">
        <v>193</v>
      </c>
      <c r="J3496" s="343" t="s">
        <v>637</v>
      </c>
      <c r="K3496" s="343" t="s">
        <v>168</v>
      </c>
    </row>
    <row r="3497" spans="1:11" ht="26.25" customHeight="1">
      <c r="A3497" s="343" t="s">
        <v>5582</v>
      </c>
      <c r="B3497" s="344" t="s">
        <v>162</v>
      </c>
      <c r="C3497" s="344">
        <v>6691</v>
      </c>
      <c r="D3497" s="343" t="s">
        <v>8774</v>
      </c>
      <c r="E3497" s="344">
        <v>5964759</v>
      </c>
      <c r="F3497" s="343" t="s">
        <v>7991</v>
      </c>
      <c r="G3497" s="360" t="s">
        <v>11177</v>
      </c>
      <c r="H3497" s="361">
        <v>43214</v>
      </c>
      <c r="I3497" s="343" t="s">
        <v>7992</v>
      </c>
      <c r="J3497" s="343" t="s">
        <v>12702</v>
      </c>
      <c r="K3497" s="343" t="s">
        <v>168</v>
      </c>
    </row>
    <row r="3498" spans="1:11" ht="26.25" customHeight="1">
      <c r="A3498" s="343" t="s">
        <v>5582</v>
      </c>
      <c r="B3498" s="344" t="s">
        <v>162</v>
      </c>
      <c r="C3498" s="344">
        <v>7515</v>
      </c>
      <c r="D3498" s="343" t="s">
        <v>5638</v>
      </c>
      <c r="E3498" s="344">
        <v>6464917</v>
      </c>
      <c r="F3498" s="343" t="s">
        <v>8778</v>
      </c>
      <c r="G3498" s="360" t="s">
        <v>12703</v>
      </c>
      <c r="H3498" s="361">
        <v>43220</v>
      </c>
      <c r="I3498" s="343" t="s">
        <v>211</v>
      </c>
      <c r="J3498" s="343" t="s">
        <v>909</v>
      </c>
      <c r="K3498" s="343" t="s">
        <v>168</v>
      </c>
    </row>
    <row r="3499" spans="1:11" ht="26.25" customHeight="1">
      <c r="A3499" s="343" t="s">
        <v>5582</v>
      </c>
      <c r="B3499" s="344" t="s">
        <v>162</v>
      </c>
      <c r="C3499" s="344">
        <v>6690</v>
      </c>
      <c r="D3499" s="343" t="s">
        <v>6038</v>
      </c>
      <c r="E3499" s="344">
        <v>6501880</v>
      </c>
      <c r="F3499" s="343" t="s">
        <v>8779</v>
      </c>
      <c r="G3499" s="360" t="s">
        <v>9706</v>
      </c>
      <c r="H3499" s="361">
        <v>43220</v>
      </c>
      <c r="I3499" s="343" t="s">
        <v>8724</v>
      </c>
      <c r="J3499" s="343" t="s">
        <v>12672</v>
      </c>
      <c r="K3499" s="343" t="s">
        <v>168</v>
      </c>
    </row>
    <row r="3500" spans="1:11" ht="26.25" customHeight="1">
      <c r="A3500" s="343" t="s">
        <v>5582</v>
      </c>
      <c r="B3500" s="344" t="s">
        <v>162</v>
      </c>
      <c r="C3500" s="344">
        <v>8551</v>
      </c>
      <c r="D3500" s="343" t="s">
        <v>6078</v>
      </c>
      <c r="E3500" s="344">
        <v>5974350</v>
      </c>
      <c r="F3500" s="343" t="s">
        <v>8780</v>
      </c>
      <c r="G3500" s="360" t="s">
        <v>12704</v>
      </c>
      <c r="H3500" s="361">
        <v>43220</v>
      </c>
      <c r="I3500" s="343" t="s">
        <v>166</v>
      </c>
      <c r="J3500" s="343" t="s">
        <v>296</v>
      </c>
      <c r="K3500" s="343" t="s">
        <v>168</v>
      </c>
    </row>
    <row r="3501" spans="1:11" ht="26.25" customHeight="1">
      <c r="A3501" s="343" t="s">
        <v>5582</v>
      </c>
      <c r="B3501" s="344" t="s">
        <v>162</v>
      </c>
      <c r="C3501" s="344">
        <v>9455</v>
      </c>
      <c r="D3501" s="343" t="s">
        <v>5996</v>
      </c>
      <c r="E3501" s="344">
        <v>6376060</v>
      </c>
      <c r="F3501" s="343" t="s">
        <v>7656</v>
      </c>
      <c r="G3501" s="360" t="s">
        <v>12705</v>
      </c>
      <c r="H3501" s="361">
        <v>43220</v>
      </c>
      <c r="I3501" s="343" t="s">
        <v>193</v>
      </c>
      <c r="J3501" s="343" t="s">
        <v>9500</v>
      </c>
      <c r="K3501" s="343" t="s">
        <v>168</v>
      </c>
    </row>
    <row r="3502" spans="1:11" ht="26.25" customHeight="1">
      <c r="A3502" s="343" t="s">
        <v>5582</v>
      </c>
      <c r="B3502" s="344" t="s">
        <v>162</v>
      </c>
      <c r="C3502" s="344">
        <v>12383</v>
      </c>
      <c r="D3502" s="343" t="s">
        <v>6100</v>
      </c>
      <c r="E3502" s="344">
        <v>6380682</v>
      </c>
      <c r="F3502" s="343" t="s">
        <v>8007</v>
      </c>
      <c r="G3502" s="360" t="s">
        <v>9706</v>
      </c>
      <c r="H3502" s="361">
        <v>43220</v>
      </c>
      <c r="I3502" s="343" t="s">
        <v>662</v>
      </c>
      <c r="J3502" s="343" t="s">
        <v>663</v>
      </c>
      <c r="K3502" s="343" t="s">
        <v>248</v>
      </c>
    </row>
    <row r="3503" spans="1:11" ht="26.25" customHeight="1">
      <c r="A3503" s="343" t="s">
        <v>5582</v>
      </c>
      <c r="B3503" s="344" t="s">
        <v>162</v>
      </c>
      <c r="C3503" s="344">
        <v>9921</v>
      </c>
      <c r="D3503" s="343" t="s">
        <v>7651</v>
      </c>
      <c r="E3503" s="344">
        <v>6263300</v>
      </c>
      <c r="F3503" s="343" t="s">
        <v>8781</v>
      </c>
      <c r="G3503" s="360" t="s">
        <v>12706</v>
      </c>
      <c r="H3503" s="361">
        <v>43192</v>
      </c>
      <c r="I3503" s="343" t="s">
        <v>198</v>
      </c>
      <c r="J3503" s="343" t="s">
        <v>198</v>
      </c>
      <c r="K3503" s="343" t="s">
        <v>168</v>
      </c>
    </row>
    <row r="3504" spans="1:11" ht="26.25" customHeight="1">
      <c r="A3504" s="343" t="s">
        <v>5582</v>
      </c>
      <c r="B3504" s="344" t="s">
        <v>162</v>
      </c>
      <c r="C3504" s="344">
        <v>6696</v>
      </c>
      <c r="D3504" s="343" t="s">
        <v>6042</v>
      </c>
      <c r="E3504" s="344">
        <v>6007320</v>
      </c>
      <c r="F3504" s="343" t="s">
        <v>8782</v>
      </c>
      <c r="G3504" s="360" t="s">
        <v>9493</v>
      </c>
      <c r="H3504" s="361">
        <v>43220</v>
      </c>
      <c r="I3504" s="343" t="s">
        <v>166</v>
      </c>
      <c r="J3504" s="343" t="s">
        <v>327</v>
      </c>
      <c r="K3504" s="343" t="s">
        <v>168</v>
      </c>
    </row>
    <row r="3505" spans="1:11" ht="26.25" customHeight="1">
      <c r="A3505" s="343" t="s">
        <v>5582</v>
      </c>
      <c r="B3505" s="344" t="s">
        <v>162</v>
      </c>
      <c r="C3505" s="344">
        <v>7533</v>
      </c>
      <c r="D3505" s="343" t="s">
        <v>5655</v>
      </c>
      <c r="E3505" s="344">
        <v>6421630</v>
      </c>
      <c r="F3505" s="343" t="s">
        <v>8783</v>
      </c>
      <c r="G3505" s="360" t="s">
        <v>10496</v>
      </c>
      <c r="H3505" s="361">
        <v>43228</v>
      </c>
      <c r="I3505" s="343" t="s">
        <v>3752</v>
      </c>
      <c r="J3505" s="343" t="s">
        <v>12707</v>
      </c>
      <c r="K3505" s="343" t="s">
        <v>168</v>
      </c>
    </row>
    <row r="3506" spans="1:11" ht="26.25" customHeight="1">
      <c r="A3506" s="343" t="s">
        <v>5582</v>
      </c>
      <c r="B3506" s="344" t="s">
        <v>162</v>
      </c>
      <c r="C3506" s="344">
        <v>12163</v>
      </c>
      <c r="D3506" s="343" t="s">
        <v>5912</v>
      </c>
      <c r="E3506" s="344">
        <v>6226091</v>
      </c>
      <c r="F3506" s="343" t="s">
        <v>7220</v>
      </c>
      <c r="G3506" s="360" t="s">
        <v>12708</v>
      </c>
      <c r="H3506" s="361">
        <v>43229</v>
      </c>
      <c r="I3506" s="343" t="s">
        <v>166</v>
      </c>
      <c r="J3506" s="343" t="s">
        <v>296</v>
      </c>
      <c r="K3506" s="343" t="s">
        <v>168</v>
      </c>
    </row>
    <row r="3507" spans="1:11" ht="26.25" customHeight="1">
      <c r="A3507" s="343" t="s">
        <v>5582</v>
      </c>
      <c r="B3507" s="344" t="s">
        <v>162</v>
      </c>
      <c r="C3507" s="344">
        <v>6697</v>
      </c>
      <c r="D3507" s="343" t="s">
        <v>6070</v>
      </c>
      <c r="E3507" s="344">
        <v>5968320</v>
      </c>
      <c r="F3507" s="343" t="s">
        <v>5601</v>
      </c>
      <c r="G3507" s="360" t="s">
        <v>11625</v>
      </c>
      <c r="H3507" s="361">
        <v>43229</v>
      </c>
      <c r="I3507" s="343" t="s">
        <v>5466</v>
      </c>
      <c r="J3507" s="343" t="s">
        <v>12709</v>
      </c>
      <c r="K3507" s="343" t="s">
        <v>173</v>
      </c>
    </row>
    <row r="3508" spans="1:11" ht="26.25" customHeight="1">
      <c r="A3508" s="343" t="s">
        <v>5582</v>
      </c>
      <c r="B3508" s="344" t="s">
        <v>162</v>
      </c>
      <c r="C3508" s="344">
        <v>7025</v>
      </c>
      <c r="D3508" s="343" t="s">
        <v>5947</v>
      </c>
      <c r="E3508" s="344">
        <v>6220959</v>
      </c>
      <c r="F3508" s="343" t="s">
        <v>8784</v>
      </c>
      <c r="G3508" s="360" t="s">
        <v>10422</v>
      </c>
      <c r="H3508" s="361">
        <v>43229</v>
      </c>
      <c r="I3508" s="343" t="s">
        <v>465</v>
      </c>
      <c r="J3508" s="343" t="s">
        <v>9697</v>
      </c>
      <c r="K3508" s="343" t="s">
        <v>168</v>
      </c>
    </row>
    <row r="3509" spans="1:11" ht="26.25" customHeight="1">
      <c r="A3509" s="343" t="s">
        <v>5582</v>
      </c>
      <c r="B3509" s="344" t="s">
        <v>162</v>
      </c>
      <c r="C3509" s="344">
        <v>8468</v>
      </c>
      <c r="D3509" s="343" t="s">
        <v>5596</v>
      </c>
      <c r="E3509" s="344">
        <v>6562986</v>
      </c>
      <c r="F3509" s="343" t="s">
        <v>8785</v>
      </c>
      <c r="G3509" s="360" t="s">
        <v>12710</v>
      </c>
      <c r="H3509" s="361">
        <v>43229</v>
      </c>
      <c r="I3509" s="343" t="s">
        <v>3920</v>
      </c>
      <c r="J3509" s="343" t="s">
        <v>11641</v>
      </c>
      <c r="K3509" s="343" t="s">
        <v>168</v>
      </c>
    </row>
    <row r="3510" spans="1:11" ht="26.25" customHeight="1">
      <c r="A3510" s="343" t="s">
        <v>5582</v>
      </c>
      <c r="B3510" s="344" t="s">
        <v>162</v>
      </c>
      <c r="C3510" s="344">
        <v>7238</v>
      </c>
      <c r="D3510" s="343" t="s">
        <v>8786</v>
      </c>
      <c r="E3510" s="344">
        <v>6279448</v>
      </c>
      <c r="F3510" s="343" t="s">
        <v>8787</v>
      </c>
      <c r="G3510" s="360" t="s">
        <v>12711</v>
      </c>
      <c r="H3510" s="361">
        <v>43229</v>
      </c>
      <c r="I3510" s="343" t="s">
        <v>349</v>
      </c>
      <c r="J3510" s="343" t="s">
        <v>1248</v>
      </c>
      <c r="K3510" s="343" t="s">
        <v>168</v>
      </c>
    </row>
    <row r="3511" spans="1:11" ht="26.25" customHeight="1">
      <c r="A3511" s="343" t="s">
        <v>5582</v>
      </c>
      <c r="B3511" s="344" t="s">
        <v>162</v>
      </c>
      <c r="C3511" s="344">
        <v>8970</v>
      </c>
      <c r="D3511" s="343" t="s">
        <v>6096</v>
      </c>
      <c r="E3511" s="344">
        <v>7028987</v>
      </c>
      <c r="F3511" s="343" t="s">
        <v>8788</v>
      </c>
      <c r="G3511" s="360" t="s">
        <v>10278</v>
      </c>
      <c r="H3511" s="361">
        <v>43229</v>
      </c>
      <c r="I3511" s="343" t="s">
        <v>166</v>
      </c>
      <c r="J3511" s="343" t="s">
        <v>327</v>
      </c>
      <c r="K3511" s="343" t="s">
        <v>168</v>
      </c>
    </row>
    <row r="3512" spans="1:11" ht="26.25" customHeight="1">
      <c r="A3512" s="343" t="s">
        <v>5582</v>
      </c>
      <c r="B3512" s="344" t="s">
        <v>162</v>
      </c>
      <c r="C3512" s="344">
        <v>9880</v>
      </c>
      <c r="D3512" s="343" t="s">
        <v>5714</v>
      </c>
      <c r="E3512" s="344">
        <v>6947962</v>
      </c>
      <c r="F3512" s="343" t="s">
        <v>8789</v>
      </c>
      <c r="G3512" s="360" t="s">
        <v>12712</v>
      </c>
      <c r="H3512" s="361">
        <v>43229</v>
      </c>
      <c r="I3512" s="343" t="s">
        <v>8790</v>
      </c>
      <c r="J3512" s="343" t="s">
        <v>12713</v>
      </c>
      <c r="K3512" s="343" t="s">
        <v>168</v>
      </c>
    </row>
    <row r="3513" spans="1:11" ht="26.25" customHeight="1">
      <c r="A3513" s="343" t="s">
        <v>5582</v>
      </c>
      <c r="B3513" s="344" t="s">
        <v>162</v>
      </c>
      <c r="C3513" s="344">
        <v>12161</v>
      </c>
      <c r="D3513" s="343" t="s">
        <v>5920</v>
      </c>
      <c r="E3513" s="344">
        <v>5991144</v>
      </c>
      <c r="F3513" s="343" t="s">
        <v>8791</v>
      </c>
      <c r="G3513" s="360" t="s">
        <v>9885</v>
      </c>
      <c r="H3513" s="361">
        <v>43230</v>
      </c>
      <c r="I3513" s="343" t="s">
        <v>4978</v>
      </c>
      <c r="J3513" s="343" t="s">
        <v>12714</v>
      </c>
      <c r="K3513" s="343" t="s">
        <v>168</v>
      </c>
    </row>
    <row r="3514" spans="1:11" ht="26.25" customHeight="1">
      <c r="A3514" s="343" t="s">
        <v>5582</v>
      </c>
      <c r="B3514" s="344" t="s">
        <v>162</v>
      </c>
      <c r="C3514" s="344">
        <v>12865</v>
      </c>
      <c r="D3514" s="343" t="s">
        <v>5937</v>
      </c>
      <c r="E3514" s="344">
        <v>5649350</v>
      </c>
      <c r="F3514" s="343" t="s">
        <v>5989</v>
      </c>
      <c r="G3514" s="360" t="s">
        <v>12715</v>
      </c>
      <c r="H3514" s="361">
        <v>43231</v>
      </c>
      <c r="I3514" s="343" t="s">
        <v>7240</v>
      </c>
      <c r="J3514" s="343" t="s">
        <v>12716</v>
      </c>
      <c r="K3514" s="343" t="s">
        <v>168</v>
      </c>
    </row>
    <row r="3515" spans="1:11" ht="26.25" customHeight="1">
      <c r="A3515" s="343" t="s">
        <v>5582</v>
      </c>
      <c r="B3515" s="344" t="s">
        <v>162</v>
      </c>
      <c r="C3515" s="344">
        <v>7022</v>
      </c>
      <c r="D3515" s="343" t="s">
        <v>5909</v>
      </c>
      <c r="E3515" s="344">
        <v>4864585</v>
      </c>
      <c r="F3515" s="343" t="s">
        <v>8792</v>
      </c>
      <c r="G3515" s="360" t="s">
        <v>10621</v>
      </c>
      <c r="H3515" s="361">
        <v>43231</v>
      </c>
      <c r="I3515" s="343" t="s">
        <v>198</v>
      </c>
      <c r="J3515" s="343" t="s">
        <v>198</v>
      </c>
      <c r="K3515" s="343" t="s">
        <v>168</v>
      </c>
    </row>
    <row r="3516" spans="1:11" ht="26.25" customHeight="1">
      <c r="A3516" s="343" t="s">
        <v>5582</v>
      </c>
      <c r="B3516" s="344" t="s">
        <v>162</v>
      </c>
      <c r="C3516" s="344">
        <v>12865</v>
      </c>
      <c r="D3516" s="343" t="s">
        <v>5937</v>
      </c>
      <c r="E3516" s="344">
        <v>5814718</v>
      </c>
      <c r="F3516" s="343" t="s">
        <v>8793</v>
      </c>
      <c r="G3516" s="360" t="s">
        <v>12717</v>
      </c>
      <c r="H3516" s="361">
        <v>43231</v>
      </c>
      <c r="I3516" s="343" t="s">
        <v>366</v>
      </c>
      <c r="J3516" s="343" t="s">
        <v>366</v>
      </c>
      <c r="K3516" s="343" t="s">
        <v>168</v>
      </c>
    </row>
    <row r="3517" spans="1:11" ht="26.25" customHeight="1">
      <c r="A3517" s="343" t="s">
        <v>5582</v>
      </c>
      <c r="B3517" s="344" t="s">
        <v>162</v>
      </c>
      <c r="C3517" s="344">
        <v>9898</v>
      </c>
      <c r="D3517" s="343" t="s">
        <v>5581</v>
      </c>
      <c r="E3517" s="344">
        <v>6698362</v>
      </c>
      <c r="F3517" s="343" t="s">
        <v>8794</v>
      </c>
      <c r="G3517" s="360" t="s">
        <v>12718</v>
      </c>
      <c r="H3517" s="361">
        <v>43231</v>
      </c>
      <c r="I3517" s="343" t="s">
        <v>166</v>
      </c>
      <c r="J3517" s="343" t="s">
        <v>296</v>
      </c>
      <c r="K3517" s="343" t="s">
        <v>168</v>
      </c>
    </row>
    <row r="3518" spans="1:11" ht="26.25" customHeight="1">
      <c r="A3518" s="343" t="s">
        <v>5582</v>
      </c>
      <c r="B3518" s="344" t="s">
        <v>162</v>
      </c>
      <c r="C3518" s="344">
        <v>9455</v>
      </c>
      <c r="D3518" s="343" t="s">
        <v>5996</v>
      </c>
      <c r="E3518" s="344">
        <v>6463382</v>
      </c>
      <c r="F3518" s="343" t="s">
        <v>8795</v>
      </c>
      <c r="G3518" s="360" t="s">
        <v>12186</v>
      </c>
      <c r="H3518" s="361">
        <v>43231</v>
      </c>
      <c r="I3518" s="343" t="s">
        <v>211</v>
      </c>
      <c r="J3518" s="343" t="s">
        <v>211</v>
      </c>
      <c r="K3518" s="343" t="s">
        <v>168</v>
      </c>
    </row>
    <row r="3519" spans="1:11" ht="26.25" customHeight="1">
      <c r="A3519" s="343" t="s">
        <v>5582</v>
      </c>
      <c r="B3519" s="344" t="s">
        <v>162</v>
      </c>
      <c r="C3519" s="344">
        <v>7505</v>
      </c>
      <c r="D3519" s="343" t="s">
        <v>5587</v>
      </c>
      <c r="E3519" s="344">
        <v>6938717</v>
      </c>
      <c r="F3519" s="343" t="s">
        <v>8796</v>
      </c>
      <c r="G3519" s="360" t="s">
        <v>10245</v>
      </c>
      <c r="H3519" s="361">
        <v>43231</v>
      </c>
      <c r="I3519" s="343" t="s">
        <v>8797</v>
      </c>
      <c r="J3519" s="343" t="s">
        <v>12719</v>
      </c>
      <c r="K3519" s="343" t="s">
        <v>168</v>
      </c>
    </row>
    <row r="3520" spans="1:11" ht="26.25" customHeight="1">
      <c r="A3520" s="343" t="s">
        <v>5582</v>
      </c>
      <c r="B3520" s="344" t="s">
        <v>162</v>
      </c>
      <c r="C3520" s="344">
        <v>9842</v>
      </c>
      <c r="D3520" s="343" t="s">
        <v>5759</v>
      </c>
      <c r="E3520" s="344">
        <v>6632771</v>
      </c>
      <c r="F3520" s="343" t="s">
        <v>8798</v>
      </c>
      <c r="G3520" s="360" t="s">
        <v>10948</v>
      </c>
      <c r="H3520" s="361">
        <v>43231</v>
      </c>
      <c r="I3520" s="343" t="s">
        <v>166</v>
      </c>
      <c r="J3520" s="343" t="s">
        <v>327</v>
      </c>
      <c r="K3520" s="343" t="s">
        <v>168</v>
      </c>
    </row>
    <row r="3521" spans="1:11" ht="26.25" customHeight="1">
      <c r="A3521" s="343" t="s">
        <v>5582</v>
      </c>
      <c r="B3521" s="344" t="s">
        <v>162</v>
      </c>
      <c r="C3521" s="344">
        <v>12865</v>
      </c>
      <c r="D3521" s="343" t="s">
        <v>5937</v>
      </c>
      <c r="E3521" s="344">
        <v>5972850</v>
      </c>
      <c r="F3521" s="343" t="s">
        <v>4220</v>
      </c>
      <c r="G3521" s="360" t="s">
        <v>1314</v>
      </c>
      <c r="H3521" s="361">
        <v>43231</v>
      </c>
      <c r="I3521" s="343" t="s">
        <v>8799</v>
      </c>
      <c r="J3521" s="343" t="s">
        <v>12720</v>
      </c>
      <c r="K3521" s="343" t="s">
        <v>168</v>
      </c>
    </row>
    <row r="3522" spans="1:11" ht="26.25" customHeight="1">
      <c r="A3522" s="343" t="s">
        <v>5582</v>
      </c>
      <c r="B3522" s="344" t="s">
        <v>162</v>
      </c>
      <c r="C3522" s="344">
        <v>7506</v>
      </c>
      <c r="D3522" s="343" t="s">
        <v>5666</v>
      </c>
      <c r="E3522" s="344">
        <v>6630806</v>
      </c>
      <c r="F3522" s="343" t="s">
        <v>8800</v>
      </c>
      <c r="G3522" s="360" t="s">
        <v>10526</v>
      </c>
      <c r="H3522" s="361">
        <v>43231</v>
      </c>
      <c r="I3522" s="343" t="s">
        <v>465</v>
      </c>
      <c r="J3522" s="343" t="s">
        <v>9697</v>
      </c>
      <c r="K3522" s="343" t="s">
        <v>168</v>
      </c>
    </row>
    <row r="3523" spans="1:11" ht="26.25" customHeight="1">
      <c r="A3523" s="343" t="s">
        <v>5582</v>
      </c>
      <c r="B3523" s="344" t="s">
        <v>162</v>
      </c>
      <c r="C3523" s="344">
        <v>12179</v>
      </c>
      <c r="D3523" s="343" t="s">
        <v>5873</v>
      </c>
      <c r="E3523" s="344">
        <v>4783989</v>
      </c>
      <c r="F3523" s="343" t="s">
        <v>8801</v>
      </c>
      <c r="G3523" s="360" t="s">
        <v>9805</v>
      </c>
      <c r="H3523" s="361">
        <v>43231</v>
      </c>
      <c r="I3523" s="343" t="s">
        <v>198</v>
      </c>
      <c r="J3523" s="343" t="s">
        <v>198</v>
      </c>
      <c r="K3523" s="343" t="s">
        <v>168</v>
      </c>
    </row>
    <row r="3524" spans="1:11" ht="26.25" customHeight="1">
      <c r="A3524" s="343" t="s">
        <v>5582</v>
      </c>
      <c r="B3524" s="344" t="s">
        <v>162</v>
      </c>
      <c r="C3524" s="344">
        <v>7524</v>
      </c>
      <c r="D3524" s="343" t="s">
        <v>5612</v>
      </c>
      <c r="E3524" s="344">
        <v>6908698</v>
      </c>
      <c r="F3524" s="343" t="s">
        <v>8802</v>
      </c>
      <c r="G3524" s="360" t="s">
        <v>12721</v>
      </c>
      <c r="H3524" s="361">
        <v>43231</v>
      </c>
      <c r="I3524" s="343" t="s">
        <v>193</v>
      </c>
      <c r="J3524" s="343" t="s">
        <v>603</v>
      </c>
      <c r="K3524" s="343" t="s">
        <v>168</v>
      </c>
    </row>
    <row r="3525" spans="1:11" ht="26.25" customHeight="1">
      <c r="A3525" s="343" t="s">
        <v>5582</v>
      </c>
      <c r="B3525" s="344" t="s">
        <v>162</v>
      </c>
      <c r="C3525" s="344">
        <v>8970</v>
      </c>
      <c r="D3525" s="343" t="s">
        <v>6096</v>
      </c>
      <c r="E3525" s="344">
        <v>6254878</v>
      </c>
      <c r="F3525" s="343" t="s">
        <v>8803</v>
      </c>
      <c r="G3525" s="360" t="s">
        <v>11226</v>
      </c>
      <c r="H3525" s="361">
        <v>43231</v>
      </c>
      <c r="I3525" s="343" t="s">
        <v>198</v>
      </c>
      <c r="J3525" s="343" t="s">
        <v>198</v>
      </c>
      <c r="K3525" s="343" t="s">
        <v>168</v>
      </c>
    </row>
    <row r="3526" spans="1:11" ht="26.25" customHeight="1">
      <c r="A3526" s="343" t="s">
        <v>5582</v>
      </c>
      <c r="B3526" s="344" t="s">
        <v>162</v>
      </c>
      <c r="C3526" s="344">
        <v>6701</v>
      </c>
      <c r="D3526" s="343" t="s">
        <v>6024</v>
      </c>
      <c r="E3526" s="344">
        <v>6527762</v>
      </c>
      <c r="F3526" s="343" t="s">
        <v>8804</v>
      </c>
      <c r="G3526" s="360" t="s">
        <v>10722</v>
      </c>
      <c r="H3526" s="361">
        <v>43231</v>
      </c>
      <c r="I3526" s="343" t="s">
        <v>193</v>
      </c>
      <c r="J3526" s="343" t="s">
        <v>509</v>
      </c>
      <c r="K3526" s="343" t="s">
        <v>168</v>
      </c>
    </row>
    <row r="3527" spans="1:11" ht="26.25" customHeight="1">
      <c r="A3527" s="343" t="s">
        <v>5582</v>
      </c>
      <c r="B3527" s="344" t="s">
        <v>162</v>
      </c>
      <c r="C3527" s="344">
        <v>7022</v>
      </c>
      <c r="D3527" s="343" t="s">
        <v>5909</v>
      </c>
      <c r="E3527" s="344">
        <v>5686767</v>
      </c>
      <c r="F3527" s="343" t="s">
        <v>8805</v>
      </c>
      <c r="G3527" s="360" t="s">
        <v>10614</v>
      </c>
      <c r="H3527" s="361">
        <v>43231</v>
      </c>
      <c r="I3527" s="343" t="s">
        <v>193</v>
      </c>
      <c r="J3527" s="343" t="s">
        <v>637</v>
      </c>
      <c r="K3527" s="343" t="s">
        <v>168</v>
      </c>
    </row>
    <row r="3528" spans="1:11" ht="26.25" customHeight="1">
      <c r="A3528" s="343" t="s">
        <v>5582</v>
      </c>
      <c r="B3528" s="344" t="s">
        <v>162</v>
      </c>
      <c r="C3528" s="344">
        <v>12164</v>
      </c>
      <c r="D3528" s="343" t="s">
        <v>5804</v>
      </c>
      <c r="E3528" s="344">
        <v>3506873</v>
      </c>
      <c r="F3528" s="343" t="s">
        <v>8806</v>
      </c>
      <c r="G3528" s="360" t="s">
        <v>10785</v>
      </c>
      <c r="H3528" s="361">
        <v>43231</v>
      </c>
      <c r="I3528" s="343" t="s">
        <v>1182</v>
      </c>
      <c r="J3528" s="343" t="s">
        <v>10913</v>
      </c>
      <c r="K3528" s="343" t="s">
        <v>173</v>
      </c>
    </row>
    <row r="3529" spans="1:11" ht="26.25" customHeight="1">
      <c r="A3529" s="343" t="s">
        <v>5582</v>
      </c>
      <c r="B3529" s="344" t="s">
        <v>162</v>
      </c>
      <c r="C3529" s="344">
        <v>7004</v>
      </c>
      <c r="D3529" s="343" t="s">
        <v>8807</v>
      </c>
      <c r="E3529" s="344">
        <v>5312813</v>
      </c>
      <c r="F3529" s="343" t="s">
        <v>8808</v>
      </c>
      <c r="G3529" s="360" t="s">
        <v>12722</v>
      </c>
      <c r="H3529" s="361">
        <v>43231</v>
      </c>
      <c r="I3529" s="343" t="s">
        <v>366</v>
      </c>
      <c r="J3529" s="343" t="s">
        <v>366</v>
      </c>
      <c r="K3529" s="343" t="s">
        <v>168</v>
      </c>
    </row>
    <row r="3530" spans="1:11" ht="26.25" customHeight="1">
      <c r="A3530" s="343" t="s">
        <v>5582</v>
      </c>
      <c r="B3530" s="344" t="s">
        <v>162</v>
      </c>
      <c r="C3530" s="344">
        <v>6685</v>
      </c>
      <c r="D3530" s="343" t="s">
        <v>6017</v>
      </c>
      <c r="E3530" s="344">
        <v>6175267</v>
      </c>
      <c r="F3530" s="343" t="s">
        <v>8809</v>
      </c>
      <c r="G3530" s="360" t="s">
        <v>9584</v>
      </c>
      <c r="H3530" s="361">
        <v>43231</v>
      </c>
      <c r="I3530" s="343" t="s">
        <v>193</v>
      </c>
      <c r="J3530" s="343" t="s">
        <v>637</v>
      </c>
      <c r="K3530" s="343" t="s">
        <v>168</v>
      </c>
    </row>
    <row r="3531" spans="1:11" ht="26.25" customHeight="1">
      <c r="A3531" s="343" t="s">
        <v>5582</v>
      </c>
      <c r="B3531" s="344" t="s">
        <v>162</v>
      </c>
      <c r="C3531" s="344">
        <v>9301</v>
      </c>
      <c r="D3531" s="343" t="s">
        <v>5810</v>
      </c>
      <c r="E3531" s="344">
        <v>3783155</v>
      </c>
      <c r="F3531" s="343" t="s">
        <v>8810</v>
      </c>
      <c r="G3531" s="360" t="s">
        <v>12723</v>
      </c>
      <c r="H3531" s="361">
        <v>43235</v>
      </c>
      <c r="I3531" s="343" t="s">
        <v>198</v>
      </c>
      <c r="J3531" s="343" t="s">
        <v>198</v>
      </c>
      <c r="K3531" s="343" t="s">
        <v>168</v>
      </c>
    </row>
    <row r="3532" spans="1:11" ht="26.25" customHeight="1">
      <c r="A3532" s="343" t="s">
        <v>5582</v>
      </c>
      <c r="B3532" s="344" t="s">
        <v>162</v>
      </c>
      <c r="C3532" s="344">
        <v>6699</v>
      </c>
      <c r="D3532" s="343" t="s">
        <v>6058</v>
      </c>
      <c r="E3532" s="344">
        <v>6581738</v>
      </c>
      <c r="F3532" s="343" t="s">
        <v>8811</v>
      </c>
      <c r="G3532" s="360" t="s">
        <v>9673</v>
      </c>
      <c r="H3532" s="361">
        <v>43236</v>
      </c>
      <c r="I3532" s="343" t="s">
        <v>166</v>
      </c>
      <c r="J3532" s="343" t="s">
        <v>327</v>
      </c>
      <c r="K3532" s="343" t="s">
        <v>168</v>
      </c>
    </row>
    <row r="3533" spans="1:11" ht="26.25" customHeight="1">
      <c r="A3533" s="343" t="s">
        <v>5582</v>
      </c>
      <c r="B3533" s="344" t="s">
        <v>162</v>
      </c>
      <c r="C3533" s="344">
        <v>11692</v>
      </c>
      <c r="D3533" s="343" t="s">
        <v>5772</v>
      </c>
      <c r="E3533" s="344">
        <v>6759446</v>
      </c>
      <c r="F3533" s="343" t="s">
        <v>8813</v>
      </c>
      <c r="G3533" s="360" t="s">
        <v>12724</v>
      </c>
      <c r="H3533" s="361">
        <v>43236</v>
      </c>
      <c r="I3533" s="343" t="s">
        <v>8814</v>
      </c>
      <c r="J3533" s="343" t="s">
        <v>12725</v>
      </c>
      <c r="K3533" s="343" t="s">
        <v>168</v>
      </c>
    </row>
    <row r="3534" spans="1:11" ht="26.25" customHeight="1">
      <c r="A3534" s="343" t="s">
        <v>5582</v>
      </c>
      <c r="B3534" s="344" t="s">
        <v>162</v>
      </c>
      <c r="C3534" s="344">
        <v>6690</v>
      </c>
      <c r="D3534" s="343" t="s">
        <v>6038</v>
      </c>
      <c r="E3534" s="344">
        <v>6501462</v>
      </c>
      <c r="F3534" s="343" t="s">
        <v>8815</v>
      </c>
      <c r="G3534" s="360" t="s">
        <v>11072</v>
      </c>
      <c r="H3534" s="361">
        <v>43236</v>
      </c>
      <c r="I3534" s="343" t="s">
        <v>211</v>
      </c>
      <c r="J3534" s="343" t="s">
        <v>211</v>
      </c>
      <c r="K3534" s="343" t="s">
        <v>168</v>
      </c>
    </row>
    <row r="3535" spans="1:11" ht="26.25" customHeight="1">
      <c r="A3535" s="343" t="s">
        <v>5582</v>
      </c>
      <c r="B3535" s="344" t="s">
        <v>162</v>
      </c>
      <c r="C3535" s="344">
        <v>6690</v>
      </c>
      <c r="D3535" s="343" t="s">
        <v>6038</v>
      </c>
      <c r="E3535" s="344">
        <v>6298343</v>
      </c>
      <c r="F3535" s="343" t="s">
        <v>8816</v>
      </c>
      <c r="G3535" s="360" t="s">
        <v>11904</v>
      </c>
      <c r="H3535" s="361">
        <v>43236</v>
      </c>
      <c r="I3535" s="343" t="s">
        <v>802</v>
      </c>
      <c r="J3535" s="343" t="s">
        <v>1172</v>
      </c>
      <c r="K3535" s="343" t="s">
        <v>168</v>
      </c>
    </row>
    <row r="3536" spans="1:11" ht="26.25" customHeight="1">
      <c r="A3536" s="343" t="s">
        <v>5582</v>
      </c>
      <c r="B3536" s="344" t="s">
        <v>162</v>
      </c>
      <c r="C3536" s="344">
        <v>7533</v>
      </c>
      <c r="D3536" s="343" t="s">
        <v>5655</v>
      </c>
      <c r="E3536" s="344">
        <v>6511117</v>
      </c>
      <c r="F3536" s="343" t="s">
        <v>8817</v>
      </c>
      <c r="G3536" s="360" t="s">
        <v>12726</v>
      </c>
      <c r="H3536" s="361">
        <v>43236</v>
      </c>
      <c r="I3536" s="343" t="s">
        <v>1082</v>
      </c>
      <c r="J3536" s="343" t="s">
        <v>12727</v>
      </c>
      <c r="K3536" s="343" t="s">
        <v>173</v>
      </c>
    </row>
    <row r="3537" spans="1:11" ht="26.25" customHeight="1">
      <c r="A3537" s="343" t="s">
        <v>5582</v>
      </c>
      <c r="B3537" s="344" t="s">
        <v>162</v>
      </c>
      <c r="C3537" s="344">
        <v>6703</v>
      </c>
      <c r="D3537" s="343" t="s">
        <v>6005</v>
      </c>
      <c r="E3537" s="344">
        <v>5800537</v>
      </c>
      <c r="F3537" s="343" t="s">
        <v>6009</v>
      </c>
      <c r="G3537" s="360" t="s">
        <v>12164</v>
      </c>
      <c r="H3537" s="361">
        <v>43236</v>
      </c>
      <c r="I3537" s="343" t="s">
        <v>193</v>
      </c>
      <c r="J3537" s="343" t="s">
        <v>637</v>
      </c>
      <c r="K3537" s="343" t="s">
        <v>168</v>
      </c>
    </row>
    <row r="3538" spans="1:11" ht="26.25" customHeight="1">
      <c r="A3538" s="343" t="s">
        <v>5582</v>
      </c>
      <c r="B3538" s="344" t="s">
        <v>162</v>
      </c>
      <c r="C3538" s="344">
        <v>13480</v>
      </c>
      <c r="D3538" s="343" t="s">
        <v>8818</v>
      </c>
      <c r="E3538" s="344">
        <v>6367694</v>
      </c>
      <c r="F3538" s="343" t="s">
        <v>6051</v>
      </c>
      <c r="G3538" s="360" t="s">
        <v>9698</v>
      </c>
      <c r="H3538" s="361">
        <v>43236</v>
      </c>
      <c r="I3538" s="343" t="s">
        <v>211</v>
      </c>
      <c r="J3538" s="343" t="s">
        <v>12728</v>
      </c>
      <c r="K3538" s="343" t="s">
        <v>168</v>
      </c>
    </row>
    <row r="3539" spans="1:11" ht="26.25" customHeight="1">
      <c r="A3539" s="343" t="s">
        <v>5582</v>
      </c>
      <c r="B3539" s="344" t="s">
        <v>162</v>
      </c>
      <c r="C3539" s="344">
        <v>13480</v>
      </c>
      <c r="D3539" s="343" t="s">
        <v>8818</v>
      </c>
      <c r="E3539" s="344">
        <v>5196537</v>
      </c>
      <c r="F3539" s="343" t="s">
        <v>6050</v>
      </c>
      <c r="G3539" s="360" t="s">
        <v>12729</v>
      </c>
      <c r="H3539" s="361">
        <v>43236</v>
      </c>
      <c r="I3539" s="343" t="s">
        <v>166</v>
      </c>
      <c r="J3539" s="343" t="s">
        <v>327</v>
      </c>
      <c r="K3539" s="343" t="s">
        <v>168</v>
      </c>
    </row>
    <row r="3540" spans="1:11" ht="26.25" customHeight="1">
      <c r="A3540" s="343" t="s">
        <v>5582</v>
      </c>
      <c r="B3540" s="344" t="s">
        <v>162</v>
      </c>
      <c r="C3540" s="344">
        <v>6686</v>
      </c>
      <c r="D3540" s="343" t="s">
        <v>5980</v>
      </c>
      <c r="E3540" s="344">
        <v>6324907</v>
      </c>
      <c r="F3540" s="343" t="s">
        <v>8819</v>
      </c>
      <c r="G3540" s="360" t="s">
        <v>12579</v>
      </c>
      <c r="H3540" s="361">
        <v>43238</v>
      </c>
      <c r="I3540" s="343" t="s">
        <v>4225</v>
      </c>
      <c r="J3540" s="343" t="s">
        <v>12044</v>
      </c>
      <c r="K3540" s="343" t="s">
        <v>173</v>
      </c>
    </row>
    <row r="3541" spans="1:11" ht="26.25" customHeight="1">
      <c r="A3541" s="343" t="s">
        <v>5582</v>
      </c>
      <c r="B3541" s="344" t="s">
        <v>162</v>
      </c>
      <c r="C3541" s="344">
        <v>7540</v>
      </c>
      <c r="D3541" s="343" t="s">
        <v>5672</v>
      </c>
      <c r="E3541" s="344">
        <v>6354700</v>
      </c>
      <c r="F3541" s="343" t="s">
        <v>8821</v>
      </c>
      <c r="G3541" s="360" t="s">
        <v>517</v>
      </c>
      <c r="H3541" s="361">
        <v>43238</v>
      </c>
      <c r="I3541" s="343" t="s">
        <v>261</v>
      </c>
      <c r="J3541" s="343" t="s">
        <v>631</v>
      </c>
      <c r="K3541" s="343" t="s">
        <v>168</v>
      </c>
    </row>
    <row r="3542" spans="1:11" ht="26.25" customHeight="1">
      <c r="A3542" s="343" t="s">
        <v>5582</v>
      </c>
      <c r="B3542" s="344" t="s">
        <v>162</v>
      </c>
      <c r="C3542" s="344">
        <v>7540</v>
      </c>
      <c r="D3542" s="343" t="s">
        <v>5672</v>
      </c>
      <c r="E3542" s="344">
        <v>6644001</v>
      </c>
      <c r="F3542" s="343" t="s">
        <v>8822</v>
      </c>
      <c r="G3542" s="360" t="s">
        <v>12019</v>
      </c>
      <c r="H3542" s="361">
        <v>43238</v>
      </c>
      <c r="I3542" s="343" t="s">
        <v>301</v>
      </c>
      <c r="J3542" s="343" t="s">
        <v>1113</v>
      </c>
      <c r="K3542" s="343" t="s">
        <v>168</v>
      </c>
    </row>
    <row r="3543" spans="1:11" ht="26.25" customHeight="1">
      <c r="A3543" s="343" t="s">
        <v>5582</v>
      </c>
      <c r="B3543" s="344" t="s">
        <v>162</v>
      </c>
      <c r="C3543" s="344">
        <v>7537</v>
      </c>
      <c r="D3543" s="343" t="s">
        <v>5689</v>
      </c>
      <c r="E3543" s="344">
        <v>6666031</v>
      </c>
      <c r="F3543" s="343" t="s">
        <v>8823</v>
      </c>
      <c r="G3543" s="360" t="s">
        <v>12730</v>
      </c>
      <c r="H3543" s="361">
        <v>43238</v>
      </c>
      <c r="I3543" s="343" t="s">
        <v>166</v>
      </c>
      <c r="J3543" s="343" t="s">
        <v>296</v>
      </c>
      <c r="K3543" s="343" t="s">
        <v>168</v>
      </c>
    </row>
    <row r="3544" spans="1:11" ht="26.25" customHeight="1">
      <c r="A3544" s="343" t="s">
        <v>5582</v>
      </c>
      <c r="B3544" s="344" t="s">
        <v>162</v>
      </c>
      <c r="C3544" s="344">
        <v>7004</v>
      </c>
      <c r="D3544" s="343" t="s">
        <v>8807</v>
      </c>
      <c r="E3544" s="344">
        <v>4599408</v>
      </c>
      <c r="F3544" s="343" t="s">
        <v>8824</v>
      </c>
      <c r="G3544" s="360" t="s">
        <v>758</v>
      </c>
      <c r="H3544" s="361">
        <v>43238</v>
      </c>
      <c r="I3544" s="343" t="s">
        <v>193</v>
      </c>
      <c r="J3544" s="343" t="s">
        <v>637</v>
      </c>
      <c r="K3544" s="343" t="s">
        <v>168</v>
      </c>
    </row>
    <row r="3545" spans="1:11" ht="26.25" customHeight="1">
      <c r="A3545" s="343" t="s">
        <v>5582</v>
      </c>
      <c r="B3545" s="344" t="s">
        <v>162</v>
      </c>
      <c r="C3545" s="344">
        <v>12164</v>
      </c>
      <c r="D3545" s="343" t="s">
        <v>5804</v>
      </c>
      <c r="E3545" s="344">
        <v>6028407</v>
      </c>
      <c r="F3545" s="343" t="s">
        <v>8825</v>
      </c>
      <c r="G3545" s="360" t="s">
        <v>12731</v>
      </c>
      <c r="H3545" s="361">
        <v>43238</v>
      </c>
      <c r="I3545" s="343" t="s">
        <v>8826</v>
      </c>
      <c r="J3545" s="343" t="s">
        <v>12732</v>
      </c>
      <c r="K3545" s="343" t="s">
        <v>248</v>
      </c>
    </row>
    <row r="3546" spans="1:11" ht="26.25" customHeight="1">
      <c r="A3546" s="343" t="s">
        <v>5582</v>
      </c>
      <c r="B3546" s="344" t="s">
        <v>162</v>
      </c>
      <c r="C3546" s="344">
        <v>9487</v>
      </c>
      <c r="D3546" s="343" t="s">
        <v>5734</v>
      </c>
      <c r="E3546" s="344">
        <v>7072424</v>
      </c>
      <c r="F3546" s="343" t="s">
        <v>8827</v>
      </c>
      <c r="G3546" s="360" t="s">
        <v>10384</v>
      </c>
      <c r="H3546" s="361">
        <v>43241</v>
      </c>
      <c r="I3546" s="343" t="s">
        <v>166</v>
      </c>
      <c r="J3546" s="343" t="s">
        <v>296</v>
      </c>
      <c r="K3546" s="343" t="s">
        <v>168</v>
      </c>
    </row>
    <row r="3547" spans="1:11" ht="26.25" customHeight="1">
      <c r="A3547" s="343" t="s">
        <v>5582</v>
      </c>
      <c r="B3547" s="344" t="s">
        <v>162</v>
      </c>
      <c r="C3547" s="344">
        <v>6701</v>
      </c>
      <c r="D3547" s="343" t="s">
        <v>6024</v>
      </c>
      <c r="E3547" s="344">
        <v>6447060</v>
      </c>
      <c r="F3547" s="343" t="s">
        <v>8828</v>
      </c>
      <c r="G3547" s="360" t="s">
        <v>10062</v>
      </c>
      <c r="H3547" s="361">
        <v>43241</v>
      </c>
      <c r="I3547" s="343" t="s">
        <v>349</v>
      </c>
      <c r="J3547" s="343" t="s">
        <v>12733</v>
      </c>
      <c r="K3547" s="343" t="s">
        <v>168</v>
      </c>
    </row>
    <row r="3548" spans="1:11" ht="26.25" customHeight="1">
      <c r="A3548" s="343" t="s">
        <v>5582</v>
      </c>
      <c r="B3548" s="344" t="s">
        <v>162</v>
      </c>
      <c r="C3548" s="344">
        <v>7538</v>
      </c>
      <c r="D3548" s="343" t="s">
        <v>5669</v>
      </c>
      <c r="E3548" s="344">
        <v>6756739</v>
      </c>
      <c r="F3548" s="343" t="s">
        <v>8829</v>
      </c>
      <c r="G3548" s="360" t="s">
        <v>12734</v>
      </c>
      <c r="H3548" s="361">
        <v>43241</v>
      </c>
      <c r="I3548" s="343" t="s">
        <v>7752</v>
      </c>
      <c r="J3548" s="343" t="s">
        <v>9605</v>
      </c>
      <c r="K3548" s="343" t="s">
        <v>168</v>
      </c>
    </row>
    <row r="3549" spans="1:11" ht="26.25" customHeight="1">
      <c r="A3549" s="343" t="s">
        <v>5582</v>
      </c>
      <c r="B3549" s="344" t="s">
        <v>162</v>
      </c>
      <c r="C3549" s="344">
        <v>7529</v>
      </c>
      <c r="D3549" s="343" t="s">
        <v>8830</v>
      </c>
      <c r="E3549" s="344">
        <v>7077594</v>
      </c>
      <c r="F3549" s="343" t="s">
        <v>8831</v>
      </c>
      <c r="G3549" s="360" t="s">
        <v>11540</v>
      </c>
      <c r="H3549" s="361">
        <v>43241</v>
      </c>
      <c r="I3549" s="343" t="s">
        <v>193</v>
      </c>
      <c r="J3549" s="343" t="s">
        <v>10697</v>
      </c>
      <c r="K3549" s="343" t="s">
        <v>168</v>
      </c>
    </row>
    <row r="3550" spans="1:11" ht="26.25" customHeight="1">
      <c r="A3550" s="343" t="s">
        <v>5582</v>
      </c>
      <c r="B3550" s="344" t="s">
        <v>162</v>
      </c>
      <c r="C3550" s="344">
        <v>9455</v>
      </c>
      <c r="D3550" s="343" t="s">
        <v>5996</v>
      </c>
      <c r="E3550" s="344">
        <v>5788245</v>
      </c>
      <c r="F3550" s="343" t="s">
        <v>7115</v>
      </c>
      <c r="G3550" s="360" t="s">
        <v>291</v>
      </c>
      <c r="H3550" s="361">
        <v>43241</v>
      </c>
      <c r="I3550" s="343" t="s">
        <v>219</v>
      </c>
      <c r="J3550" s="343" t="s">
        <v>220</v>
      </c>
      <c r="K3550" s="343" t="s">
        <v>173</v>
      </c>
    </row>
    <row r="3551" spans="1:11" ht="26.25" customHeight="1">
      <c r="A3551" s="343" t="s">
        <v>5582</v>
      </c>
      <c r="B3551" s="344" t="s">
        <v>162</v>
      </c>
      <c r="C3551" s="344">
        <v>13480</v>
      </c>
      <c r="D3551" s="343" t="s">
        <v>8818</v>
      </c>
      <c r="E3551" s="344">
        <v>5740992</v>
      </c>
      <c r="F3551" s="343" t="s">
        <v>7376</v>
      </c>
      <c r="G3551" s="360" t="s">
        <v>646</v>
      </c>
      <c r="H3551" s="361">
        <v>43244</v>
      </c>
      <c r="I3551" s="343" t="s">
        <v>193</v>
      </c>
      <c r="J3551" s="343" t="s">
        <v>637</v>
      </c>
      <c r="K3551" s="343" t="s">
        <v>168</v>
      </c>
    </row>
    <row r="3552" spans="1:11" ht="26.25" customHeight="1">
      <c r="A3552" s="343" t="s">
        <v>5582</v>
      </c>
      <c r="B3552" s="344" t="s">
        <v>162</v>
      </c>
      <c r="C3552" s="344">
        <v>9842</v>
      </c>
      <c r="D3552" s="343" t="s">
        <v>5759</v>
      </c>
      <c r="E3552" s="344">
        <v>6038635</v>
      </c>
      <c r="F3552" s="343" t="s">
        <v>8832</v>
      </c>
      <c r="G3552" s="360" t="s">
        <v>11586</v>
      </c>
      <c r="H3552" s="361">
        <v>43245</v>
      </c>
      <c r="I3552" s="343" t="s">
        <v>193</v>
      </c>
      <c r="J3552" s="343" t="s">
        <v>637</v>
      </c>
      <c r="K3552" s="343" t="s">
        <v>168</v>
      </c>
    </row>
    <row r="3553" spans="1:11" ht="26.25" customHeight="1">
      <c r="A3553" s="343" t="s">
        <v>5582</v>
      </c>
      <c r="B3553" s="344" t="s">
        <v>162</v>
      </c>
      <c r="C3553" s="344">
        <v>9912</v>
      </c>
      <c r="D3553" s="343" t="s">
        <v>8834</v>
      </c>
      <c r="E3553" s="344">
        <v>3468377</v>
      </c>
      <c r="F3553" s="343" t="s">
        <v>8835</v>
      </c>
      <c r="G3553" s="360" t="s">
        <v>12365</v>
      </c>
      <c r="H3553" s="361">
        <v>43249</v>
      </c>
      <c r="I3553" s="343" t="s">
        <v>211</v>
      </c>
      <c r="J3553" s="343" t="s">
        <v>211</v>
      </c>
      <c r="K3553" s="343" t="s">
        <v>168</v>
      </c>
    </row>
    <row r="3554" spans="1:11" ht="26.25" customHeight="1">
      <c r="A3554" s="343" t="s">
        <v>5582</v>
      </c>
      <c r="B3554" s="344" t="s">
        <v>162</v>
      </c>
      <c r="C3554" s="344">
        <v>8686</v>
      </c>
      <c r="D3554" s="343" t="s">
        <v>5906</v>
      </c>
      <c r="E3554" s="344">
        <v>6473683</v>
      </c>
      <c r="F3554" s="343" t="s">
        <v>5774</v>
      </c>
      <c r="G3554" s="360" t="s">
        <v>12735</v>
      </c>
      <c r="H3554" s="361">
        <v>43249</v>
      </c>
      <c r="I3554" s="343" t="s">
        <v>366</v>
      </c>
      <c r="J3554" s="343" t="s">
        <v>366</v>
      </c>
      <c r="K3554" s="343" t="s">
        <v>168</v>
      </c>
    </row>
    <row r="3555" spans="1:11" ht="26.25" customHeight="1">
      <c r="A3555" s="343" t="s">
        <v>5582</v>
      </c>
      <c r="B3555" s="344" t="s">
        <v>162</v>
      </c>
      <c r="C3555" s="344">
        <v>9921</v>
      </c>
      <c r="D3555" s="343" t="s">
        <v>7651</v>
      </c>
      <c r="E3555" s="344">
        <v>6007038</v>
      </c>
      <c r="F3555" s="343" t="s">
        <v>8836</v>
      </c>
      <c r="G3555" s="360" t="s">
        <v>10636</v>
      </c>
      <c r="H3555" s="361">
        <v>43249</v>
      </c>
      <c r="I3555" s="343" t="s">
        <v>166</v>
      </c>
      <c r="J3555" s="343" t="s">
        <v>373</v>
      </c>
      <c r="K3555" s="343" t="s">
        <v>168</v>
      </c>
    </row>
    <row r="3556" spans="1:11" ht="26.25" customHeight="1">
      <c r="A3556" s="343" t="s">
        <v>5582</v>
      </c>
      <c r="B3556" s="344" t="s">
        <v>162</v>
      </c>
      <c r="C3556" s="344">
        <v>9880</v>
      </c>
      <c r="D3556" s="343" t="s">
        <v>5714</v>
      </c>
      <c r="E3556" s="344">
        <v>6873071</v>
      </c>
      <c r="F3556" s="343" t="s">
        <v>8837</v>
      </c>
      <c r="G3556" s="360" t="s">
        <v>12736</v>
      </c>
      <c r="H3556" s="361">
        <v>43249</v>
      </c>
      <c r="I3556" s="343" t="s">
        <v>193</v>
      </c>
      <c r="J3556" s="343" t="s">
        <v>9765</v>
      </c>
      <c r="K3556" s="343" t="s">
        <v>168</v>
      </c>
    </row>
    <row r="3557" spans="1:11" ht="26.25" customHeight="1">
      <c r="A3557" s="343" t="s">
        <v>5582</v>
      </c>
      <c r="B3557" s="344" t="s">
        <v>162</v>
      </c>
      <c r="C3557" s="344">
        <v>6690</v>
      </c>
      <c r="D3557" s="343" t="s">
        <v>6038</v>
      </c>
      <c r="E3557" s="344">
        <v>5714761</v>
      </c>
      <c r="F3557" s="343" t="s">
        <v>8838</v>
      </c>
      <c r="G3557" s="360" t="s">
        <v>9936</v>
      </c>
      <c r="H3557" s="361">
        <v>43249</v>
      </c>
      <c r="I3557" s="343" t="s">
        <v>166</v>
      </c>
      <c r="J3557" s="343" t="s">
        <v>327</v>
      </c>
      <c r="K3557" s="343" t="s">
        <v>168</v>
      </c>
    </row>
    <row r="3558" spans="1:11" ht="26.25" customHeight="1">
      <c r="A3558" s="343" t="s">
        <v>5582</v>
      </c>
      <c r="B3558" s="344" t="s">
        <v>162</v>
      </c>
      <c r="C3558" s="344">
        <v>13480</v>
      </c>
      <c r="D3558" s="343" t="s">
        <v>8818</v>
      </c>
      <c r="E3558" s="344">
        <v>5845686</v>
      </c>
      <c r="F3558" s="343" t="s">
        <v>8839</v>
      </c>
      <c r="G3558" s="360" t="s">
        <v>633</v>
      </c>
      <c r="H3558" s="361">
        <v>43250</v>
      </c>
      <c r="I3558" s="343" t="s">
        <v>305</v>
      </c>
      <c r="J3558" s="343" t="s">
        <v>12737</v>
      </c>
      <c r="K3558" s="343" t="s">
        <v>173</v>
      </c>
    </row>
    <row r="3559" spans="1:11" ht="26.25" customHeight="1">
      <c r="A3559" s="343" t="s">
        <v>5582</v>
      </c>
      <c r="B3559" s="344" t="s">
        <v>162</v>
      </c>
      <c r="C3559" s="344">
        <v>7028</v>
      </c>
      <c r="D3559" s="343" t="s">
        <v>5851</v>
      </c>
      <c r="E3559" s="344">
        <v>7053156</v>
      </c>
      <c r="F3559" s="343" t="s">
        <v>8840</v>
      </c>
      <c r="G3559" s="360" t="s">
        <v>12738</v>
      </c>
      <c r="H3559" s="361">
        <v>43250</v>
      </c>
      <c r="I3559" s="343" t="s">
        <v>8841</v>
      </c>
      <c r="J3559" s="343" t="s">
        <v>12739</v>
      </c>
      <c r="K3559" s="343" t="s">
        <v>248</v>
      </c>
    </row>
    <row r="3560" spans="1:11" ht="26.25" customHeight="1">
      <c r="A3560" s="343" t="s">
        <v>5582</v>
      </c>
      <c r="B3560" s="344" t="s">
        <v>162</v>
      </c>
      <c r="C3560" s="344">
        <v>9194</v>
      </c>
      <c r="D3560" s="343" t="s">
        <v>6071</v>
      </c>
      <c r="E3560" s="344">
        <v>6738403</v>
      </c>
      <c r="F3560" s="343" t="s">
        <v>8842</v>
      </c>
      <c r="G3560" s="360" t="s">
        <v>9594</v>
      </c>
      <c r="H3560" s="361">
        <v>43250</v>
      </c>
      <c r="I3560" s="343" t="s">
        <v>349</v>
      </c>
      <c r="J3560" s="343" t="s">
        <v>9927</v>
      </c>
      <c r="K3560" s="343" t="s">
        <v>168</v>
      </c>
    </row>
    <row r="3561" spans="1:11" ht="26.25" customHeight="1">
      <c r="A3561" s="343" t="s">
        <v>5582</v>
      </c>
      <c r="B3561" s="344" t="s">
        <v>162</v>
      </c>
      <c r="C3561" s="344">
        <v>7238</v>
      </c>
      <c r="D3561" s="343" t="s">
        <v>8786</v>
      </c>
      <c r="E3561" s="344">
        <v>6385201</v>
      </c>
      <c r="F3561" s="343" t="s">
        <v>8843</v>
      </c>
      <c r="G3561" s="360" t="s">
        <v>12740</v>
      </c>
      <c r="H3561" s="361">
        <v>43250</v>
      </c>
      <c r="I3561" s="343" t="s">
        <v>211</v>
      </c>
      <c r="J3561" s="343" t="s">
        <v>909</v>
      </c>
      <c r="K3561" s="343" t="s">
        <v>168</v>
      </c>
    </row>
    <row r="3562" spans="1:11" ht="26.25" customHeight="1">
      <c r="A3562" s="343" t="s">
        <v>5582</v>
      </c>
      <c r="B3562" s="344" t="s">
        <v>162</v>
      </c>
      <c r="C3562" s="344">
        <v>7528</v>
      </c>
      <c r="D3562" s="343" t="s">
        <v>5676</v>
      </c>
      <c r="E3562" s="344">
        <v>6927495</v>
      </c>
      <c r="F3562" s="343" t="s">
        <v>8844</v>
      </c>
      <c r="G3562" s="360" t="s">
        <v>12741</v>
      </c>
      <c r="H3562" s="361">
        <v>43250</v>
      </c>
      <c r="I3562" s="343" t="s">
        <v>166</v>
      </c>
      <c r="J3562" s="343" t="s">
        <v>327</v>
      </c>
      <c r="K3562" s="343" t="s">
        <v>168</v>
      </c>
    </row>
    <row r="3563" spans="1:11" ht="26.25" customHeight="1">
      <c r="A3563" s="343" t="s">
        <v>5582</v>
      </c>
      <c r="B3563" s="344" t="s">
        <v>162</v>
      </c>
      <c r="C3563" s="344">
        <v>7238</v>
      </c>
      <c r="D3563" s="343" t="s">
        <v>8786</v>
      </c>
      <c r="E3563" s="344">
        <v>7063729</v>
      </c>
      <c r="F3563" s="343" t="s">
        <v>8845</v>
      </c>
      <c r="G3563" s="360" t="s">
        <v>12023</v>
      </c>
      <c r="H3563" s="361">
        <v>43250</v>
      </c>
      <c r="I3563" s="343" t="s">
        <v>198</v>
      </c>
      <c r="J3563" s="343" t="s">
        <v>198</v>
      </c>
      <c r="K3563" s="343" t="s">
        <v>168</v>
      </c>
    </row>
    <row r="3564" spans="1:11" ht="26.25" customHeight="1">
      <c r="A3564" s="343" t="s">
        <v>5582</v>
      </c>
      <c r="B3564" s="344" t="s">
        <v>162</v>
      </c>
      <c r="C3564" s="344">
        <v>7498</v>
      </c>
      <c r="D3564" s="343" t="s">
        <v>8846</v>
      </c>
      <c r="E3564" s="344">
        <v>6337814</v>
      </c>
      <c r="F3564" s="343" t="s">
        <v>8847</v>
      </c>
      <c r="G3564" s="360" t="s">
        <v>10577</v>
      </c>
      <c r="H3564" s="361">
        <v>43250</v>
      </c>
      <c r="I3564" s="343" t="s">
        <v>193</v>
      </c>
      <c r="J3564" s="343" t="s">
        <v>637</v>
      </c>
      <c r="K3564" s="343" t="s">
        <v>168</v>
      </c>
    </row>
    <row r="3565" spans="1:11" ht="26.25" customHeight="1">
      <c r="A3565" s="343" t="s">
        <v>5582</v>
      </c>
      <c r="B3565" s="344" t="s">
        <v>162</v>
      </c>
      <c r="C3565" s="344">
        <v>7502</v>
      </c>
      <c r="D3565" s="343" t="s">
        <v>5628</v>
      </c>
      <c r="E3565" s="344">
        <v>6937870</v>
      </c>
      <c r="F3565" s="343" t="s">
        <v>8848</v>
      </c>
      <c r="G3565" s="360" t="s">
        <v>11590</v>
      </c>
      <c r="H3565" s="361">
        <v>43250</v>
      </c>
      <c r="I3565" s="343" t="s">
        <v>284</v>
      </c>
      <c r="J3565" s="343" t="s">
        <v>12742</v>
      </c>
      <c r="K3565" s="343" t="s">
        <v>168</v>
      </c>
    </row>
    <row r="3566" spans="1:11" ht="26.25" customHeight="1">
      <c r="A3566" s="343" t="s">
        <v>5582</v>
      </c>
      <c r="B3566" s="344" t="s">
        <v>162</v>
      </c>
      <c r="C3566" s="344">
        <v>9842</v>
      </c>
      <c r="D3566" s="343" t="s">
        <v>5759</v>
      </c>
      <c r="E3566" s="344">
        <v>5976824</v>
      </c>
      <c r="F3566" s="343" t="s">
        <v>7235</v>
      </c>
      <c r="G3566" s="360" t="s">
        <v>12743</v>
      </c>
      <c r="H3566" s="361">
        <v>43250</v>
      </c>
      <c r="I3566" s="343" t="s">
        <v>8849</v>
      </c>
      <c r="J3566" s="343" t="s">
        <v>12744</v>
      </c>
      <c r="K3566" s="343" t="s">
        <v>248</v>
      </c>
    </row>
    <row r="3567" spans="1:11" ht="26.25" customHeight="1">
      <c r="A3567" s="343" t="s">
        <v>5582</v>
      </c>
      <c r="B3567" s="344" t="s">
        <v>162</v>
      </c>
      <c r="C3567" s="344">
        <v>13480</v>
      </c>
      <c r="D3567" s="343" t="s">
        <v>8818</v>
      </c>
      <c r="E3567" s="344">
        <v>5861898</v>
      </c>
      <c r="F3567" s="343" t="s">
        <v>6069</v>
      </c>
      <c r="G3567" s="360" t="s">
        <v>12745</v>
      </c>
      <c r="H3567" s="361">
        <v>43259</v>
      </c>
      <c r="I3567" s="343" t="s">
        <v>193</v>
      </c>
      <c r="J3567" s="343" t="s">
        <v>637</v>
      </c>
      <c r="K3567" s="343" t="s">
        <v>168</v>
      </c>
    </row>
    <row r="3568" spans="1:11" ht="26.25" customHeight="1">
      <c r="A3568" s="343" t="s">
        <v>5582</v>
      </c>
      <c r="B3568" s="344" t="s">
        <v>162</v>
      </c>
      <c r="C3568" s="344">
        <v>9457</v>
      </c>
      <c r="D3568" s="343" t="s">
        <v>5985</v>
      </c>
      <c r="E3568" s="344">
        <v>7043398</v>
      </c>
      <c r="F3568" s="343" t="s">
        <v>8850</v>
      </c>
      <c r="G3568" s="360" t="s">
        <v>9486</v>
      </c>
      <c r="H3568" s="361">
        <v>43259</v>
      </c>
      <c r="I3568" s="343" t="s">
        <v>8851</v>
      </c>
      <c r="J3568" s="343" t="s">
        <v>12746</v>
      </c>
      <c r="K3568" s="343" t="s">
        <v>168</v>
      </c>
    </row>
    <row r="3569" spans="1:11" ht="26.25" customHeight="1">
      <c r="A3569" s="343" t="s">
        <v>5582</v>
      </c>
      <c r="B3569" s="344" t="s">
        <v>162</v>
      </c>
      <c r="C3569" s="344">
        <v>7538</v>
      </c>
      <c r="D3569" s="343" t="s">
        <v>5669</v>
      </c>
      <c r="E3569" s="344">
        <v>6948313</v>
      </c>
      <c r="F3569" s="343" t="s">
        <v>8852</v>
      </c>
      <c r="G3569" s="360" t="s">
        <v>12747</v>
      </c>
      <c r="H3569" s="361">
        <v>43259</v>
      </c>
      <c r="I3569" s="343" t="s">
        <v>366</v>
      </c>
      <c r="J3569" s="343" t="s">
        <v>366</v>
      </c>
      <c r="K3569" s="343" t="s">
        <v>168</v>
      </c>
    </row>
    <row r="3570" spans="1:11" ht="26.25" customHeight="1">
      <c r="A3570" s="343" t="s">
        <v>5582</v>
      </c>
      <c r="B3570" s="344" t="s">
        <v>162</v>
      </c>
      <c r="C3570" s="344">
        <v>7536</v>
      </c>
      <c r="D3570" s="343" t="s">
        <v>5641</v>
      </c>
      <c r="E3570" s="344">
        <v>6250436</v>
      </c>
      <c r="F3570" s="343" t="s">
        <v>8853</v>
      </c>
      <c r="G3570" s="360" t="s">
        <v>9764</v>
      </c>
      <c r="H3570" s="361">
        <v>43259</v>
      </c>
      <c r="I3570" s="343" t="s">
        <v>166</v>
      </c>
      <c r="J3570" s="343" t="s">
        <v>327</v>
      </c>
      <c r="K3570" s="343" t="s">
        <v>168</v>
      </c>
    </row>
    <row r="3571" spans="1:11" ht="26.25" customHeight="1">
      <c r="A3571" s="343" t="s">
        <v>5582</v>
      </c>
      <c r="B3571" s="344" t="s">
        <v>162</v>
      </c>
      <c r="C3571" s="344">
        <v>7522</v>
      </c>
      <c r="D3571" s="343" t="s">
        <v>5694</v>
      </c>
      <c r="E3571" s="344">
        <v>6597810</v>
      </c>
      <c r="F3571" s="343" t="s">
        <v>8854</v>
      </c>
      <c r="G3571" s="360" t="s">
        <v>12748</v>
      </c>
      <c r="H3571" s="361">
        <v>43259</v>
      </c>
      <c r="I3571" s="343" t="s">
        <v>271</v>
      </c>
      <c r="J3571" s="343" t="s">
        <v>12749</v>
      </c>
      <c r="K3571" s="343" t="s">
        <v>168</v>
      </c>
    </row>
    <row r="3572" spans="1:11" ht="26.25" customHeight="1">
      <c r="A3572" s="343" t="s">
        <v>5582</v>
      </c>
      <c r="B3572" s="344" t="s">
        <v>162</v>
      </c>
      <c r="C3572" s="344">
        <v>12383</v>
      </c>
      <c r="D3572" s="343" t="s">
        <v>6100</v>
      </c>
      <c r="E3572" s="344">
        <v>6224908</v>
      </c>
      <c r="F3572" s="343" t="s">
        <v>8855</v>
      </c>
      <c r="G3572" s="360" t="s">
        <v>9591</v>
      </c>
      <c r="H3572" s="361">
        <v>43259</v>
      </c>
      <c r="I3572" s="343" t="s">
        <v>465</v>
      </c>
      <c r="J3572" s="343" t="s">
        <v>466</v>
      </c>
      <c r="K3572" s="343" t="s">
        <v>168</v>
      </c>
    </row>
    <row r="3573" spans="1:11" ht="26.25" customHeight="1">
      <c r="A3573" s="343" t="s">
        <v>5582</v>
      </c>
      <c r="B3573" s="344" t="s">
        <v>162</v>
      </c>
      <c r="C3573" s="344">
        <v>6686</v>
      </c>
      <c r="D3573" s="343" t="s">
        <v>5980</v>
      </c>
      <c r="E3573" s="344">
        <v>6029068</v>
      </c>
      <c r="F3573" s="343" t="s">
        <v>8856</v>
      </c>
      <c r="G3573" s="360" t="s">
        <v>12750</v>
      </c>
      <c r="H3573" s="361">
        <v>43259</v>
      </c>
      <c r="I3573" s="343" t="s">
        <v>366</v>
      </c>
      <c r="J3573" s="343" t="s">
        <v>366</v>
      </c>
      <c r="K3573" s="343" t="s">
        <v>168</v>
      </c>
    </row>
    <row r="3574" spans="1:11" ht="26.25" customHeight="1">
      <c r="A3574" s="343" t="s">
        <v>5582</v>
      </c>
      <c r="B3574" s="344" t="s">
        <v>162</v>
      </c>
      <c r="C3574" s="344">
        <v>9880</v>
      </c>
      <c r="D3574" s="343" t="s">
        <v>5714</v>
      </c>
      <c r="E3574" s="344">
        <v>6983436</v>
      </c>
      <c r="F3574" s="343" t="s">
        <v>8857</v>
      </c>
      <c r="G3574" s="360" t="s">
        <v>10190</v>
      </c>
      <c r="H3574" s="361">
        <v>43259</v>
      </c>
      <c r="I3574" s="343" t="s">
        <v>7710</v>
      </c>
      <c r="J3574" s="343" t="s">
        <v>12751</v>
      </c>
      <c r="K3574" s="343" t="s">
        <v>168</v>
      </c>
    </row>
    <row r="3575" spans="1:11" ht="26.25" customHeight="1">
      <c r="A3575" s="343" t="s">
        <v>5582</v>
      </c>
      <c r="B3575" s="344" t="s">
        <v>162</v>
      </c>
      <c r="C3575" s="344">
        <v>6690</v>
      </c>
      <c r="D3575" s="343" t="s">
        <v>6038</v>
      </c>
      <c r="E3575" s="344">
        <v>6135982</v>
      </c>
      <c r="F3575" s="343" t="s">
        <v>8858</v>
      </c>
      <c r="G3575" s="360" t="s">
        <v>9638</v>
      </c>
      <c r="H3575" s="361">
        <v>43259</v>
      </c>
      <c r="I3575" s="343" t="s">
        <v>7752</v>
      </c>
      <c r="J3575" s="343" t="s">
        <v>9605</v>
      </c>
      <c r="K3575" s="343" t="s">
        <v>168</v>
      </c>
    </row>
    <row r="3576" spans="1:11" ht="26.25" customHeight="1">
      <c r="A3576" s="343" t="s">
        <v>5582</v>
      </c>
      <c r="B3576" s="344" t="s">
        <v>162</v>
      </c>
      <c r="C3576" s="344">
        <v>7522</v>
      </c>
      <c r="D3576" s="343" t="s">
        <v>5694</v>
      </c>
      <c r="E3576" s="344">
        <v>7074581</v>
      </c>
      <c r="F3576" s="343" t="s">
        <v>8859</v>
      </c>
      <c r="G3576" s="360" t="s">
        <v>12752</v>
      </c>
      <c r="H3576" s="361">
        <v>43259</v>
      </c>
      <c r="I3576" s="343" t="s">
        <v>271</v>
      </c>
      <c r="J3576" s="343" t="s">
        <v>12749</v>
      </c>
      <c r="K3576" s="343" t="s">
        <v>168</v>
      </c>
    </row>
    <row r="3577" spans="1:11" ht="26.25" customHeight="1">
      <c r="A3577" s="343" t="s">
        <v>5582</v>
      </c>
      <c r="B3577" s="344" t="s">
        <v>162</v>
      </c>
      <c r="C3577" s="344">
        <v>11692</v>
      </c>
      <c r="D3577" s="343" t="s">
        <v>5772</v>
      </c>
      <c r="E3577" s="344">
        <v>6854967</v>
      </c>
      <c r="F3577" s="343" t="s">
        <v>8860</v>
      </c>
      <c r="G3577" s="360" t="s">
        <v>10058</v>
      </c>
      <c r="H3577" s="361">
        <v>43259</v>
      </c>
      <c r="I3577" s="343" t="s">
        <v>166</v>
      </c>
      <c r="J3577" s="343" t="s">
        <v>12753</v>
      </c>
      <c r="K3577" s="343" t="s">
        <v>248</v>
      </c>
    </row>
    <row r="3578" spans="1:11" ht="26.25" customHeight="1">
      <c r="A3578" s="343" t="s">
        <v>5582</v>
      </c>
      <c r="B3578" s="344" t="s">
        <v>162</v>
      </c>
      <c r="C3578" s="344">
        <v>9841</v>
      </c>
      <c r="D3578" s="343" t="s">
        <v>5719</v>
      </c>
      <c r="E3578" s="344">
        <v>6923297</v>
      </c>
      <c r="F3578" s="343" t="s">
        <v>8861</v>
      </c>
      <c r="G3578" s="360" t="s">
        <v>9502</v>
      </c>
      <c r="H3578" s="361">
        <v>43259</v>
      </c>
      <c r="I3578" s="343" t="s">
        <v>8862</v>
      </c>
      <c r="J3578" s="343" t="s">
        <v>12754</v>
      </c>
      <c r="K3578" s="343" t="s">
        <v>248</v>
      </c>
    </row>
    <row r="3579" spans="1:11" ht="26.25" customHeight="1">
      <c r="A3579" s="343" t="s">
        <v>5582</v>
      </c>
      <c r="B3579" s="344" t="s">
        <v>162</v>
      </c>
      <c r="C3579" s="344">
        <v>8970</v>
      </c>
      <c r="D3579" s="343" t="s">
        <v>6096</v>
      </c>
      <c r="E3579" s="344">
        <v>6314989</v>
      </c>
      <c r="F3579" s="343" t="s">
        <v>8863</v>
      </c>
      <c r="G3579" s="360" t="s">
        <v>12755</v>
      </c>
      <c r="H3579" s="361">
        <v>43259</v>
      </c>
      <c r="I3579" s="343" t="s">
        <v>366</v>
      </c>
      <c r="J3579" s="343" t="s">
        <v>366</v>
      </c>
      <c r="K3579" s="343" t="s">
        <v>168</v>
      </c>
    </row>
    <row r="3580" spans="1:11" ht="26.25" customHeight="1">
      <c r="A3580" s="343" t="s">
        <v>5582</v>
      </c>
      <c r="B3580" s="344" t="s">
        <v>162</v>
      </c>
      <c r="C3580" s="344">
        <v>7527</v>
      </c>
      <c r="D3580" s="343" t="s">
        <v>5711</v>
      </c>
      <c r="E3580" s="344">
        <v>6853142</v>
      </c>
      <c r="F3580" s="343" t="s">
        <v>9152</v>
      </c>
      <c r="G3580" s="360" t="s">
        <v>10654</v>
      </c>
      <c r="H3580" s="361">
        <v>43271</v>
      </c>
      <c r="I3580" s="343" t="s">
        <v>193</v>
      </c>
      <c r="J3580" s="343" t="s">
        <v>9532</v>
      </c>
      <c r="K3580" s="343" t="s">
        <v>168</v>
      </c>
    </row>
    <row r="3581" spans="1:11" ht="26.25" customHeight="1">
      <c r="A3581" s="343" t="s">
        <v>5582</v>
      </c>
      <c r="B3581" s="344" t="s">
        <v>162</v>
      </c>
      <c r="C3581" s="344">
        <v>11692</v>
      </c>
      <c r="D3581" s="343" t="s">
        <v>5772</v>
      </c>
      <c r="E3581" s="344">
        <v>5853507</v>
      </c>
      <c r="F3581" s="343" t="s">
        <v>9153</v>
      </c>
      <c r="G3581" s="360" t="s">
        <v>12027</v>
      </c>
      <c r="H3581" s="361">
        <v>43271</v>
      </c>
      <c r="I3581" s="343" t="s">
        <v>193</v>
      </c>
      <c r="J3581" s="343" t="s">
        <v>637</v>
      </c>
      <c r="K3581" s="343" t="s">
        <v>168</v>
      </c>
    </row>
    <row r="3582" spans="1:11" ht="26.25" customHeight="1">
      <c r="A3582" s="343" t="s">
        <v>5582</v>
      </c>
      <c r="B3582" s="344" t="s">
        <v>162</v>
      </c>
      <c r="C3582" s="344">
        <v>12383</v>
      </c>
      <c r="D3582" s="343" t="s">
        <v>6100</v>
      </c>
      <c r="E3582" s="344">
        <v>5906790</v>
      </c>
      <c r="F3582" s="343" t="s">
        <v>9154</v>
      </c>
      <c r="G3582" s="360" t="s">
        <v>1272</v>
      </c>
      <c r="H3582" s="361">
        <v>43271</v>
      </c>
      <c r="I3582" s="343" t="s">
        <v>166</v>
      </c>
      <c r="J3582" s="343" t="s">
        <v>296</v>
      </c>
      <c r="K3582" s="343" t="s">
        <v>168</v>
      </c>
    </row>
    <row r="3583" spans="1:11" ht="26.25" customHeight="1">
      <c r="A3583" s="343" t="s">
        <v>5582</v>
      </c>
      <c r="B3583" s="344" t="s">
        <v>162</v>
      </c>
      <c r="C3583" s="344">
        <v>7238</v>
      </c>
      <c r="D3583" s="343" t="s">
        <v>8786</v>
      </c>
      <c r="E3583" s="344">
        <v>5836895</v>
      </c>
      <c r="F3583" s="343" t="s">
        <v>9155</v>
      </c>
      <c r="G3583" s="360" t="s">
        <v>9398</v>
      </c>
      <c r="H3583" s="361">
        <v>43271</v>
      </c>
      <c r="I3583" s="343" t="s">
        <v>193</v>
      </c>
      <c r="J3583" s="343" t="s">
        <v>509</v>
      </c>
      <c r="K3583" s="343" t="s">
        <v>168</v>
      </c>
    </row>
    <row r="3584" spans="1:11" ht="26.25" customHeight="1">
      <c r="A3584" s="343" t="s">
        <v>5582</v>
      </c>
      <c r="B3584" s="344" t="s">
        <v>162</v>
      </c>
      <c r="C3584" s="344">
        <v>7517</v>
      </c>
      <c r="D3584" s="343" t="s">
        <v>5701</v>
      </c>
      <c r="E3584" s="344">
        <v>6998764</v>
      </c>
      <c r="F3584" s="343" t="s">
        <v>9156</v>
      </c>
      <c r="G3584" s="360" t="s">
        <v>12756</v>
      </c>
      <c r="H3584" s="361">
        <v>43271</v>
      </c>
      <c r="I3584" s="343" t="s">
        <v>193</v>
      </c>
      <c r="J3584" s="343" t="s">
        <v>637</v>
      </c>
      <c r="K3584" s="343" t="s">
        <v>168</v>
      </c>
    </row>
    <row r="3585" spans="1:11" ht="26.25" customHeight="1">
      <c r="A3585" s="343" t="s">
        <v>5582</v>
      </c>
      <c r="B3585" s="344" t="s">
        <v>162</v>
      </c>
      <c r="C3585" s="344">
        <v>9540</v>
      </c>
      <c r="D3585" s="343" t="s">
        <v>5590</v>
      </c>
      <c r="E3585" s="344">
        <v>6696494</v>
      </c>
      <c r="F3585" s="343" t="s">
        <v>7965</v>
      </c>
      <c r="G3585" s="360" t="s">
        <v>12756</v>
      </c>
      <c r="H3585" s="361">
        <v>43271</v>
      </c>
      <c r="I3585" s="343" t="s">
        <v>166</v>
      </c>
      <c r="J3585" s="343" t="s">
        <v>10536</v>
      </c>
      <c r="K3585" s="343" t="s">
        <v>168</v>
      </c>
    </row>
    <row r="3586" spans="1:11" ht="26.25" customHeight="1">
      <c r="A3586" s="343" t="s">
        <v>5582</v>
      </c>
      <c r="B3586" s="344" t="s">
        <v>162</v>
      </c>
      <c r="C3586" s="344">
        <v>12159</v>
      </c>
      <c r="D3586" s="343" t="s">
        <v>9290</v>
      </c>
      <c r="E3586" s="344">
        <v>5989963</v>
      </c>
      <c r="F3586" s="343" t="s">
        <v>8759</v>
      </c>
      <c r="G3586" s="360" t="s">
        <v>12757</v>
      </c>
      <c r="H3586" s="361">
        <v>43271</v>
      </c>
      <c r="I3586" s="343" t="s">
        <v>193</v>
      </c>
      <c r="J3586" s="343" t="s">
        <v>12758</v>
      </c>
      <c r="K3586" s="343" t="s">
        <v>168</v>
      </c>
    </row>
    <row r="3587" spans="1:11" ht="26.25" customHeight="1">
      <c r="A3587" s="343" t="s">
        <v>5582</v>
      </c>
      <c r="B3587" s="344" t="s">
        <v>162</v>
      </c>
      <c r="C3587" s="344">
        <v>6696</v>
      </c>
      <c r="D3587" s="343" t="s">
        <v>6042</v>
      </c>
      <c r="E3587" s="344">
        <v>6453174</v>
      </c>
      <c r="F3587" s="343" t="s">
        <v>9157</v>
      </c>
      <c r="G3587" s="360" t="s">
        <v>11008</v>
      </c>
      <c r="H3587" s="361">
        <v>43271</v>
      </c>
      <c r="I3587" s="343" t="s">
        <v>301</v>
      </c>
      <c r="J3587" s="343" t="s">
        <v>1113</v>
      </c>
      <c r="K3587" s="343" t="s">
        <v>168</v>
      </c>
    </row>
    <row r="3588" spans="1:11" ht="26.25" customHeight="1">
      <c r="A3588" s="343" t="s">
        <v>5582</v>
      </c>
      <c r="B3588" s="344" t="s">
        <v>162</v>
      </c>
      <c r="C3588" s="344">
        <v>7501</v>
      </c>
      <c r="D3588" s="343" t="s">
        <v>5614</v>
      </c>
      <c r="E3588" s="344">
        <v>6047825</v>
      </c>
      <c r="F3588" s="343" t="s">
        <v>9158</v>
      </c>
      <c r="G3588" s="360" t="s">
        <v>9606</v>
      </c>
      <c r="H3588" s="361">
        <v>43271</v>
      </c>
      <c r="I3588" s="343" t="s">
        <v>166</v>
      </c>
      <c r="J3588" s="343" t="s">
        <v>327</v>
      </c>
      <c r="K3588" s="343" t="s">
        <v>168</v>
      </c>
    </row>
    <row r="3589" spans="1:11" ht="26.25" customHeight="1">
      <c r="A3589" s="343" t="s">
        <v>5582</v>
      </c>
      <c r="B3589" s="344" t="s">
        <v>162</v>
      </c>
      <c r="C3589" s="344">
        <v>6701</v>
      </c>
      <c r="D3589" s="343" t="s">
        <v>6024</v>
      </c>
      <c r="E3589" s="344">
        <v>6713274</v>
      </c>
      <c r="F3589" s="343" t="s">
        <v>9159</v>
      </c>
      <c r="G3589" s="360" t="s">
        <v>11788</v>
      </c>
      <c r="H3589" s="361">
        <v>43271</v>
      </c>
      <c r="I3589" s="343" t="s">
        <v>193</v>
      </c>
      <c r="J3589" s="343" t="s">
        <v>637</v>
      </c>
      <c r="K3589" s="343" t="s">
        <v>168</v>
      </c>
    </row>
    <row r="3590" spans="1:11" ht="26.25" customHeight="1">
      <c r="A3590" s="343" t="s">
        <v>5582</v>
      </c>
      <c r="B3590" s="344" t="s">
        <v>162</v>
      </c>
      <c r="C3590" s="344">
        <v>7528</v>
      </c>
      <c r="D3590" s="343" t="s">
        <v>5676</v>
      </c>
      <c r="E3590" s="344">
        <v>6948350</v>
      </c>
      <c r="F3590" s="343" t="s">
        <v>8015</v>
      </c>
      <c r="G3590" s="360" t="s">
        <v>10714</v>
      </c>
      <c r="H3590" s="361">
        <v>43271</v>
      </c>
      <c r="I3590" s="343" t="s">
        <v>287</v>
      </c>
      <c r="J3590" s="343" t="s">
        <v>9480</v>
      </c>
      <c r="K3590" s="343" t="s">
        <v>168</v>
      </c>
    </row>
    <row r="3591" spans="1:11" ht="26.25" customHeight="1">
      <c r="A3591" s="343" t="s">
        <v>5582</v>
      </c>
      <c r="B3591" s="344" t="s">
        <v>162</v>
      </c>
      <c r="C3591" s="344">
        <v>8551</v>
      </c>
      <c r="D3591" s="343" t="s">
        <v>6078</v>
      </c>
      <c r="E3591" s="344">
        <v>5807521</v>
      </c>
      <c r="F3591" s="343" t="s">
        <v>9160</v>
      </c>
      <c r="G3591" s="360" t="s">
        <v>10979</v>
      </c>
      <c r="H3591" s="361">
        <v>43271</v>
      </c>
      <c r="I3591" s="343" t="s">
        <v>193</v>
      </c>
      <c r="J3591" s="343" t="s">
        <v>509</v>
      </c>
      <c r="K3591" s="343" t="s">
        <v>168</v>
      </c>
    </row>
    <row r="3592" spans="1:11" ht="26.25" customHeight="1">
      <c r="A3592" s="343" t="s">
        <v>5582</v>
      </c>
      <c r="B3592" s="344" t="s">
        <v>162</v>
      </c>
      <c r="C3592" s="344">
        <v>7505</v>
      </c>
      <c r="D3592" s="343" t="s">
        <v>5587</v>
      </c>
      <c r="E3592" s="344">
        <v>6854153</v>
      </c>
      <c r="F3592" s="343" t="s">
        <v>9162</v>
      </c>
      <c r="G3592" s="360" t="s">
        <v>10690</v>
      </c>
      <c r="H3592" s="361">
        <v>43271</v>
      </c>
      <c r="I3592" s="343" t="s">
        <v>193</v>
      </c>
      <c r="J3592" s="343" t="s">
        <v>637</v>
      </c>
      <c r="K3592" s="343" t="s">
        <v>168</v>
      </c>
    </row>
    <row r="3593" spans="1:11" ht="26.25" customHeight="1">
      <c r="A3593" s="343" t="s">
        <v>5582</v>
      </c>
      <c r="B3593" s="344" t="s">
        <v>162</v>
      </c>
      <c r="C3593" s="344">
        <v>6689</v>
      </c>
      <c r="D3593" s="343" t="s">
        <v>6046</v>
      </c>
      <c r="E3593" s="344">
        <v>6066477</v>
      </c>
      <c r="F3593" s="343" t="s">
        <v>9163</v>
      </c>
      <c r="G3593" s="360" t="s">
        <v>12759</v>
      </c>
      <c r="H3593" s="361">
        <v>43271</v>
      </c>
      <c r="I3593" s="343" t="s">
        <v>180</v>
      </c>
      <c r="J3593" s="343" t="s">
        <v>12760</v>
      </c>
      <c r="K3593" s="343" t="s">
        <v>173</v>
      </c>
    </row>
    <row r="3594" spans="1:11" ht="26.25" customHeight="1">
      <c r="A3594" s="343" t="s">
        <v>5582</v>
      </c>
      <c r="B3594" s="344" t="s">
        <v>162</v>
      </c>
      <c r="C3594" s="344">
        <v>7504</v>
      </c>
      <c r="D3594" s="343" t="s">
        <v>5631</v>
      </c>
      <c r="E3594" s="344">
        <v>6948470</v>
      </c>
      <c r="F3594" s="343" t="s">
        <v>9164</v>
      </c>
      <c r="G3594" s="360" t="s">
        <v>12761</v>
      </c>
      <c r="H3594" s="361">
        <v>43272</v>
      </c>
      <c r="I3594" s="343" t="s">
        <v>284</v>
      </c>
      <c r="J3594" s="343" t="s">
        <v>10432</v>
      </c>
      <c r="K3594" s="343" t="s">
        <v>168</v>
      </c>
    </row>
    <row r="3595" spans="1:11" ht="26.25" customHeight="1">
      <c r="A3595" s="343" t="s">
        <v>5582</v>
      </c>
      <c r="B3595" s="344" t="s">
        <v>162</v>
      </c>
      <c r="C3595" s="344">
        <v>6693</v>
      </c>
      <c r="D3595" s="343" t="s">
        <v>5992</v>
      </c>
      <c r="E3595" s="344">
        <v>6673879</v>
      </c>
      <c r="F3595" s="343" t="s">
        <v>5592</v>
      </c>
      <c r="G3595" s="360" t="s">
        <v>10053</v>
      </c>
      <c r="H3595" s="361">
        <v>43293</v>
      </c>
      <c r="I3595" s="343" t="s">
        <v>166</v>
      </c>
      <c r="J3595" s="343" t="s">
        <v>327</v>
      </c>
      <c r="K3595" s="343" t="s">
        <v>168</v>
      </c>
    </row>
    <row r="3596" spans="1:11" ht="26.25" customHeight="1">
      <c r="A3596" s="343" t="s">
        <v>5582</v>
      </c>
      <c r="B3596" s="344" t="s">
        <v>162</v>
      </c>
      <c r="C3596" s="344">
        <v>9098</v>
      </c>
      <c r="D3596" s="343" t="s">
        <v>6095</v>
      </c>
      <c r="E3596" s="344">
        <v>6114465</v>
      </c>
      <c r="F3596" s="343" t="s">
        <v>9316</v>
      </c>
      <c r="G3596" s="360" t="s">
        <v>9664</v>
      </c>
      <c r="H3596" s="361">
        <v>43293</v>
      </c>
      <c r="I3596" s="343" t="s">
        <v>166</v>
      </c>
      <c r="J3596" s="343" t="s">
        <v>296</v>
      </c>
      <c r="K3596" s="343" t="s">
        <v>168</v>
      </c>
    </row>
    <row r="3597" spans="1:11" ht="26.25" customHeight="1">
      <c r="A3597" s="343" t="s">
        <v>5582</v>
      </c>
      <c r="B3597" s="344" t="s">
        <v>162</v>
      </c>
      <c r="C3597" s="344">
        <v>10494</v>
      </c>
      <c r="D3597" s="343" t="s">
        <v>6073</v>
      </c>
      <c r="E3597" s="344">
        <v>6644924</v>
      </c>
      <c r="F3597" s="343" t="s">
        <v>9313</v>
      </c>
      <c r="G3597" s="360" t="s">
        <v>197</v>
      </c>
      <c r="H3597" s="361">
        <v>43293</v>
      </c>
      <c r="I3597" s="343" t="s">
        <v>366</v>
      </c>
      <c r="J3597" s="343" t="s">
        <v>366</v>
      </c>
      <c r="K3597" s="343" t="s">
        <v>168</v>
      </c>
    </row>
    <row r="3598" spans="1:11" ht="26.25" customHeight="1">
      <c r="A3598" s="343" t="s">
        <v>5582</v>
      </c>
      <c r="B3598" s="344" t="s">
        <v>162</v>
      </c>
      <c r="C3598" s="344">
        <v>12159</v>
      </c>
      <c r="D3598" s="343" t="s">
        <v>9290</v>
      </c>
      <c r="E3598" s="344">
        <v>4917203</v>
      </c>
      <c r="F3598" s="343" t="s">
        <v>9317</v>
      </c>
      <c r="G3598" s="360" t="s">
        <v>10452</v>
      </c>
      <c r="H3598" s="361">
        <v>43293</v>
      </c>
      <c r="I3598" s="343" t="s">
        <v>193</v>
      </c>
      <c r="J3598" s="343" t="s">
        <v>637</v>
      </c>
      <c r="K3598" s="343" t="s">
        <v>168</v>
      </c>
    </row>
    <row r="3599" spans="1:11" ht="26.25" customHeight="1">
      <c r="A3599" s="343" t="s">
        <v>5582</v>
      </c>
      <c r="B3599" s="344" t="s">
        <v>162</v>
      </c>
      <c r="C3599" s="344">
        <v>12159</v>
      </c>
      <c r="D3599" s="343" t="s">
        <v>9290</v>
      </c>
      <c r="E3599" s="344">
        <v>5192905</v>
      </c>
      <c r="F3599" s="343" t="s">
        <v>9318</v>
      </c>
      <c r="G3599" s="360" t="s">
        <v>12762</v>
      </c>
      <c r="H3599" s="361">
        <v>43293</v>
      </c>
      <c r="I3599" s="343" t="s">
        <v>187</v>
      </c>
      <c r="J3599" s="343" t="s">
        <v>187</v>
      </c>
      <c r="K3599" s="343" t="s">
        <v>168</v>
      </c>
    </row>
    <row r="3600" spans="1:11" ht="26.25" customHeight="1">
      <c r="A3600" s="343" t="s">
        <v>5582</v>
      </c>
      <c r="B3600" s="344" t="s">
        <v>162</v>
      </c>
      <c r="C3600" s="344">
        <v>9921</v>
      </c>
      <c r="D3600" s="343" t="s">
        <v>7651</v>
      </c>
      <c r="E3600" s="344">
        <v>6101957</v>
      </c>
      <c r="F3600" s="343" t="s">
        <v>9300</v>
      </c>
      <c r="G3600" s="360" t="s">
        <v>9990</v>
      </c>
      <c r="H3600" s="361">
        <v>43293</v>
      </c>
      <c r="I3600" s="343" t="s">
        <v>9301</v>
      </c>
      <c r="J3600" s="343" t="s">
        <v>12763</v>
      </c>
      <c r="K3600" s="343" t="s">
        <v>248</v>
      </c>
    </row>
    <row r="3601" spans="1:11" ht="26.25" customHeight="1">
      <c r="A3601" s="343" t="s">
        <v>5582</v>
      </c>
      <c r="B3601" s="344" t="s">
        <v>162</v>
      </c>
      <c r="C3601" s="344">
        <v>12159</v>
      </c>
      <c r="D3601" s="343" t="s">
        <v>9290</v>
      </c>
      <c r="E3601" s="344">
        <v>5693744</v>
      </c>
      <c r="F3601" s="343" t="s">
        <v>9307</v>
      </c>
      <c r="G3601" s="360" t="s">
        <v>1100</v>
      </c>
      <c r="H3601" s="361">
        <v>43293</v>
      </c>
      <c r="I3601" s="343" t="s">
        <v>193</v>
      </c>
      <c r="J3601" s="343" t="s">
        <v>637</v>
      </c>
      <c r="K3601" s="343" t="s">
        <v>168</v>
      </c>
    </row>
    <row r="3602" spans="1:11" ht="26.25" customHeight="1">
      <c r="A3602" s="343" t="s">
        <v>5582</v>
      </c>
      <c r="B3602" s="344" t="s">
        <v>162</v>
      </c>
      <c r="C3602" s="344">
        <v>7014</v>
      </c>
      <c r="D3602" s="343" t="s">
        <v>5902</v>
      </c>
      <c r="E3602" s="344">
        <v>5962804</v>
      </c>
      <c r="F3602" s="343" t="s">
        <v>9314</v>
      </c>
      <c r="G3602" s="360" t="s">
        <v>11656</v>
      </c>
      <c r="H3602" s="361">
        <v>43293</v>
      </c>
      <c r="I3602" s="343" t="s">
        <v>802</v>
      </c>
      <c r="J3602" s="343" t="s">
        <v>1075</v>
      </c>
      <c r="K3602" s="343" t="s">
        <v>168</v>
      </c>
    </row>
    <row r="3603" spans="1:11" ht="26.25" customHeight="1">
      <c r="A3603" s="343" t="s">
        <v>5582</v>
      </c>
      <c r="B3603" s="344" t="s">
        <v>162</v>
      </c>
      <c r="C3603" s="344">
        <v>6688</v>
      </c>
      <c r="D3603" s="343" t="s">
        <v>6022</v>
      </c>
      <c r="E3603" s="344">
        <v>5815061</v>
      </c>
      <c r="F3603" s="343" t="s">
        <v>9299</v>
      </c>
      <c r="G3603" s="360" t="s">
        <v>9995</v>
      </c>
      <c r="H3603" s="361">
        <v>43293</v>
      </c>
      <c r="I3603" s="343" t="s">
        <v>366</v>
      </c>
      <c r="J3603" s="343" t="s">
        <v>366</v>
      </c>
      <c r="K3603" s="343" t="s">
        <v>168</v>
      </c>
    </row>
    <row r="3604" spans="1:11" ht="26.25" customHeight="1">
      <c r="A3604" s="343" t="s">
        <v>5582</v>
      </c>
      <c r="B3604" s="344" t="s">
        <v>162</v>
      </c>
      <c r="C3604" s="344">
        <v>9487</v>
      </c>
      <c r="D3604" s="343" t="s">
        <v>5734</v>
      </c>
      <c r="E3604" s="344">
        <v>4987688</v>
      </c>
      <c r="F3604" s="343" t="s">
        <v>9304</v>
      </c>
      <c r="G3604" s="360" t="s">
        <v>12764</v>
      </c>
      <c r="H3604" s="361">
        <v>43293</v>
      </c>
      <c r="I3604" s="343" t="s">
        <v>211</v>
      </c>
      <c r="J3604" s="343" t="s">
        <v>909</v>
      </c>
      <c r="K3604" s="343" t="s">
        <v>168</v>
      </c>
    </row>
    <row r="3605" spans="1:11" ht="26.25" customHeight="1">
      <c r="A3605" s="343" t="s">
        <v>5582</v>
      </c>
      <c r="B3605" s="344" t="s">
        <v>162</v>
      </c>
      <c r="C3605" s="344">
        <v>7517</v>
      </c>
      <c r="D3605" s="343" t="s">
        <v>5701</v>
      </c>
      <c r="E3605" s="344">
        <v>6848979</v>
      </c>
      <c r="F3605" s="343" t="s">
        <v>9308</v>
      </c>
      <c r="G3605" s="360" t="s">
        <v>12765</v>
      </c>
      <c r="H3605" s="361">
        <v>43293</v>
      </c>
      <c r="I3605" s="343" t="s">
        <v>166</v>
      </c>
      <c r="J3605" s="343" t="s">
        <v>12660</v>
      </c>
      <c r="K3605" s="343" t="s">
        <v>168</v>
      </c>
    </row>
    <row r="3606" spans="1:11" ht="26.25" customHeight="1">
      <c r="A3606" s="343" t="s">
        <v>5582</v>
      </c>
      <c r="B3606" s="344" t="s">
        <v>162</v>
      </c>
      <c r="C3606" s="344">
        <v>8970</v>
      </c>
      <c r="D3606" s="343" t="s">
        <v>6096</v>
      </c>
      <c r="E3606" s="344">
        <v>5988856</v>
      </c>
      <c r="F3606" s="343" t="s">
        <v>8833</v>
      </c>
      <c r="G3606" s="360" t="s">
        <v>11543</v>
      </c>
      <c r="H3606" s="361">
        <v>43293</v>
      </c>
      <c r="I3606" s="343" t="s">
        <v>166</v>
      </c>
      <c r="J3606" s="343" t="s">
        <v>327</v>
      </c>
      <c r="K3606" s="343" t="s">
        <v>168</v>
      </c>
    </row>
    <row r="3607" spans="1:11" ht="26.25" customHeight="1">
      <c r="A3607" s="343" t="s">
        <v>5582</v>
      </c>
      <c r="B3607" s="344" t="s">
        <v>162</v>
      </c>
      <c r="C3607" s="344">
        <v>7504</v>
      </c>
      <c r="D3607" s="343" t="s">
        <v>5631</v>
      </c>
      <c r="E3607" s="344">
        <v>6585213</v>
      </c>
      <c r="F3607" s="343" t="s">
        <v>5633</v>
      </c>
      <c r="G3607" s="360" t="s">
        <v>12766</v>
      </c>
      <c r="H3607" s="361">
        <v>43304</v>
      </c>
      <c r="I3607" s="343" t="s">
        <v>193</v>
      </c>
      <c r="J3607" s="343" t="s">
        <v>12767</v>
      </c>
      <c r="K3607" s="343" t="s">
        <v>168</v>
      </c>
    </row>
    <row r="3608" spans="1:11" ht="26.25" customHeight="1">
      <c r="A3608" s="343" t="s">
        <v>5582</v>
      </c>
      <c r="B3608" s="344" t="s">
        <v>162</v>
      </c>
      <c r="C3608" s="344">
        <v>12162</v>
      </c>
      <c r="D3608" s="343" t="s">
        <v>5876</v>
      </c>
      <c r="E3608" s="344">
        <v>5861985</v>
      </c>
      <c r="F3608" s="343" t="s">
        <v>9293</v>
      </c>
      <c r="G3608" s="360" t="s">
        <v>605</v>
      </c>
      <c r="H3608" s="361">
        <v>43318</v>
      </c>
      <c r="I3608" s="343" t="s">
        <v>8915</v>
      </c>
      <c r="J3608" s="343" t="s">
        <v>12768</v>
      </c>
      <c r="K3608" s="343" t="s">
        <v>168</v>
      </c>
    </row>
    <row r="3609" spans="1:11" ht="26.25" customHeight="1">
      <c r="A3609" s="343" t="s">
        <v>5582</v>
      </c>
      <c r="B3609" s="344" t="s">
        <v>162</v>
      </c>
      <c r="C3609" s="344">
        <v>6689</v>
      </c>
      <c r="D3609" s="343" t="s">
        <v>6046</v>
      </c>
      <c r="E3609" s="344">
        <v>6029185</v>
      </c>
      <c r="F3609" s="343" t="s">
        <v>9306</v>
      </c>
      <c r="G3609" s="360" t="s">
        <v>12000</v>
      </c>
      <c r="H3609" s="361">
        <v>43318</v>
      </c>
      <c r="I3609" s="343" t="s">
        <v>166</v>
      </c>
      <c r="J3609" s="343" t="s">
        <v>327</v>
      </c>
      <c r="K3609" s="343" t="s">
        <v>168</v>
      </c>
    </row>
    <row r="3610" spans="1:11" ht="26.25" customHeight="1">
      <c r="A3610" s="343" t="s">
        <v>5582</v>
      </c>
      <c r="B3610" s="344" t="s">
        <v>162</v>
      </c>
      <c r="C3610" s="344">
        <v>6695</v>
      </c>
      <c r="D3610" s="343" t="s">
        <v>6085</v>
      </c>
      <c r="E3610" s="344">
        <v>6438940</v>
      </c>
      <c r="F3610" s="343" t="s">
        <v>9289</v>
      </c>
      <c r="G3610" s="360" t="s">
        <v>11105</v>
      </c>
      <c r="H3610" s="361">
        <v>43318</v>
      </c>
      <c r="I3610" s="343" t="s">
        <v>193</v>
      </c>
      <c r="J3610" s="343" t="s">
        <v>637</v>
      </c>
      <c r="K3610" s="343" t="s">
        <v>168</v>
      </c>
    </row>
    <row r="3611" spans="1:11" ht="26.25" customHeight="1">
      <c r="A3611" s="343" t="s">
        <v>5582</v>
      </c>
      <c r="B3611" s="344" t="s">
        <v>162</v>
      </c>
      <c r="C3611" s="344">
        <v>9880</v>
      </c>
      <c r="D3611" s="343" t="s">
        <v>5714</v>
      </c>
      <c r="E3611" s="344">
        <v>6836942</v>
      </c>
      <c r="F3611" s="343" t="s">
        <v>9295</v>
      </c>
      <c r="G3611" s="360" t="s">
        <v>12769</v>
      </c>
      <c r="H3611" s="361">
        <v>43318</v>
      </c>
      <c r="I3611" s="343" t="s">
        <v>193</v>
      </c>
      <c r="J3611" s="343" t="s">
        <v>603</v>
      </c>
      <c r="K3611" s="343" t="s">
        <v>168</v>
      </c>
    </row>
    <row r="3612" spans="1:11" ht="26.25" customHeight="1">
      <c r="A3612" s="343" t="s">
        <v>5582</v>
      </c>
      <c r="B3612" s="344" t="s">
        <v>162</v>
      </c>
      <c r="C3612" s="344">
        <v>7519</v>
      </c>
      <c r="D3612" s="343" t="s">
        <v>5703</v>
      </c>
      <c r="E3612" s="344">
        <v>6880164</v>
      </c>
      <c r="F3612" s="343" t="s">
        <v>9297</v>
      </c>
      <c r="G3612" s="360" t="s">
        <v>12770</v>
      </c>
      <c r="H3612" s="361">
        <v>43318</v>
      </c>
      <c r="I3612" s="343" t="s">
        <v>271</v>
      </c>
      <c r="J3612" s="343" t="s">
        <v>12771</v>
      </c>
      <c r="K3612" s="343" t="s">
        <v>168</v>
      </c>
    </row>
    <row r="3613" spans="1:11" ht="26.25" customHeight="1">
      <c r="A3613" s="343" t="s">
        <v>5582</v>
      </c>
      <c r="B3613" s="344" t="s">
        <v>162</v>
      </c>
      <c r="C3613" s="344">
        <v>7533</v>
      </c>
      <c r="D3613" s="343" t="s">
        <v>5655</v>
      </c>
      <c r="E3613" s="344">
        <v>6676346</v>
      </c>
      <c r="F3613" s="343" t="s">
        <v>5658</v>
      </c>
      <c r="G3613" s="360" t="s">
        <v>10963</v>
      </c>
      <c r="H3613" s="361">
        <v>43318</v>
      </c>
      <c r="I3613" s="343" t="s">
        <v>5043</v>
      </c>
      <c r="J3613" s="343" t="s">
        <v>12772</v>
      </c>
      <c r="K3613" s="343" t="s">
        <v>248</v>
      </c>
    </row>
    <row r="3614" spans="1:11" ht="26.25" customHeight="1">
      <c r="A3614" s="343" t="s">
        <v>5582</v>
      </c>
      <c r="B3614" s="344" t="s">
        <v>162</v>
      </c>
      <c r="C3614" s="344">
        <v>6693</v>
      </c>
      <c r="D3614" s="343" t="s">
        <v>5992</v>
      </c>
      <c r="E3614" s="344">
        <v>5938004</v>
      </c>
      <c r="F3614" s="343" t="s">
        <v>9294</v>
      </c>
      <c r="G3614" s="360" t="s">
        <v>9638</v>
      </c>
      <c r="H3614" s="361">
        <v>43318</v>
      </c>
      <c r="I3614" s="343" t="s">
        <v>166</v>
      </c>
      <c r="J3614" s="343" t="s">
        <v>327</v>
      </c>
      <c r="K3614" s="343" t="s">
        <v>168</v>
      </c>
    </row>
    <row r="3615" spans="1:11" ht="26.25" customHeight="1">
      <c r="A3615" s="343" t="s">
        <v>5582</v>
      </c>
      <c r="B3615" s="344" t="s">
        <v>162</v>
      </c>
      <c r="C3615" s="344">
        <v>8551</v>
      </c>
      <c r="D3615" s="343" t="s">
        <v>6078</v>
      </c>
      <c r="E3615" s="344">
        <v>5968216</v>
      </c>
      <c r="F3615" s="343" t="s">
        <v>9288</v>
      </c>
      <c r="G3615" s="360" t="s">
        <v>12759</v>
      </c>
      <c r="H3615" s="361">
        <v>43318</v>
      </c>
      <c r="I3615" s="343" t="s">
        <v>198</v>
      </c>
      <c r="J3615" s="343" t="s">
        <v>198</v>
      </c>
      <c r="K3615" s="343" t="s">
        <v>168</v>
      </c>
    </row>
    <row r="3616" spans="1:11" ht="26.25" customHeight="1">
      <c r="A3616" s="343" t="s">
        <v>5582</v>
      </c>
      <c r="B3616" s="344" t="s">
        <v>162</v>
      </c>
      <c r="C3616" s="344">
        <v>9540</v>
      </c>
      <c r="D3616" s="343" t="s">
        <v>5590</v>
      </c>
      <c r="E3616" s="344">
        <v>7017072</v>
      </c>
      <c r="F3616" s="343" t="s">
        <v>9312</v>
      </c>
      <c r="G3616" s="360" t="s">
        <v>12773</v>
      </c>
      <c r="H3616" s="361">
        <v>43318</v>
      </c>
      <c r="I3616" s="343" t="s">
        <v>193</v>
      </c>
      <c r="J3616" s="343" t="s">
        <v>12774</v>
      </c>
      <c r="K3616" s="343" t="s">
        <v>168</v>
      </c>
    </row>
    <row r="3617" spans="1:11" ht="26.25" customHeight="1">
      <c r="A3617" s="343" t="s">
        <v>5582</v>
      </c>
      <c r="B3617" s="344" t="s">
        <v>162</v>
      </c>
      <c r="C3617" s="344">
        <v>7517</v>
      </c>
      <c r="D3617" s="343" t="s">
        <v>5701</v>
      </c>
      <c r="E3617" s="344">
        <v>6862248</v>
      </c>
      <c r="F3617" s="343" t="s">
        <v>9298</v>
      </c>
      <c r="G3617" s="360" t="s">
        <v>12775</v>
      </c>
      <c r="H3617" s="361">
        <v>43318</v>
      </c>
      <c r="I3617" s="343" t="s">
        <v>193</v>
      </c>
      <c r="J3617" s="343" t="s">
        <v>603</v>
      </c>
      <c r="K3617" s="343" t="s">
        <v>168</v>
      </c>
    </row>
    <row r="3618" spans="1:11" ht="26.25" customHeight="1">
      <c r="A3618" s="343" t="s">
        <v>5582</v>
      </c>
      <c r="B3618" s="344" t="s">
        <v>162</v>
      </c>
      <c r="C3618" s="344">
        <v>7517</v>
      </c>
      <c r="D3618" s="343" t="s">
        <v>5701</v>
      </c>
      <c r="E3618" s="344">
        <v>6853249</v>
      </c>
      <c r="F3618" s="343" t="s">
        <v>9161</v>
      </c>
      <c r="G3618" s="360" t="s">
        <v>10009</v>
      </c>
      <c r="H3618" s="361">
        <v>43318</v>
      </c>
      <c r="I3618" s="343" t="s">
        <v>9292</v>
      </c>
      <c r="J3618" s="343" t="s">
        <v>12776</v>
      </c>
      <c r="K3618" s="343" t="s">
        <v>168</v>
      </c>
    </row>
    <row r="3619" spans="1:11" ht="26.25" customHeight="1">
      <c r="A3619" s="343" t="s">
        <v>5582</v>
      </c>
      <c r="B3619" s="344" t="s">
        <v>162</v>
      </c>
      <c r="C3619" s="344">
        <v>7537</v>
      </c>
      <c r="D3619" s="343" t="s">
        <v>5689</v>
      </c>
      <c r="E3619" s="344">
        <v>6499362</v>
      </c>
      <c r="F3619" s="343" t="s">
        <v>5690</v>
      </c>
      <c r="G3619" s="360" t="s">
        <v>12058</v>
      </c>
      <c r="H3619" s="361">
        <v>43318</v>
      </c>
      <c r="I3619" s="343" t="s">
        <v>166</v>
      </c>
      <c r="J3619" s="343" t="s">
        <v>327</v>
      </c>
      <c r="K3619" s="343" t="s">
        <v>168</v>
      </c>
    </row>
    <row r="3620" spans="1:11" ht="26.25" customHeight="1">
      <c r="A3620" s="343" t="s">
        <v>5582</v>
      </c>
      <c r="B3620" s="344" t="s">
        <v>162</v>
      </c>
      <c r="C3620" s="344">
        <v>7540</v>
      </c>
      <c r="D3620" s="343" t="s">
        <v>5672</v>
      </c>
      <c r="E3620" s="344">
        <v>7072952</v>
      </c>
      <c r="F3620" s="343" t="s">
        <v>9310</v>
      </c>
      <c r="G3620" s="360" t="s">
        <v>12777</v>
      </c>
      <c r="H3620" s="361">
        <v>43318</v>
      </c>
      <c r="I3620" s="343" t="s">
        <v>9311</v>
      </c>
      <c r="J3620" s="343" t="s">
        <v>12778</v>
      </c>
      <c r="K3620" s="343" t="s">
        <v>248</v>
      </c>
    </row>
    <row r="3621" spans="1:11" ht="26.25" customHeight="1">
      <c r="A3621" s="343" t="s">
        <v>5582</v>
      </c>
      <c r="B3621" s="344" t="s">
        <v>162</v>
      </c>
      <c r="C3621" s="344">
        <v>12522</v>
      </c>
      <c r="D3621" s="343" t="s">
        <v>6044</v>
      </c>
      <c r="E3621" s="344">
        <v>6731446</v>
      </c>
      <c r="F3621" s="343" t="s">
        <v>7958</v>
      </c>
      <c r="G3621" s="360" t="s">
        <v>12779</v>
      </c>
      <c r="H3621" s="361">
        <v>43320</v>
      </c>
      <c r="I3621" s="343" t="s">
        <v>580</v>
      </c>
      <c r="J3621" s="343" t="s">
        <v>12780</v>
      </c>
      <c r="K3621" s="343" t="s">
        <v>248</v>
      </c>
    </row>
    <row r="3622" spans="1:11" ht="26.25" customHeight="1">
      <c r="A3622" s="343" t="s">
        <v>5582</v>
      </c>
      <c r="B3622" s="344" t="s">
        <v>162</v>
      </c>
      <c r="C3622" s="344">
        <v>12522</v>
      </c>
      <c r="D3622" s="343" t="s">
        <v>6044</v>
      </c>
      <c r="E3622" s="344">
        <v>6501312</v>
      </c>
      <c r="F3622" s="343" t="s">
        <v>9291</v>
      </c>
      <c r="G3622" s="360" t="s">
        <v>10198</v>
      </c>
      <c r="H3622" s="361">
        <v>43326</v>
      </c>
      <c r="I3622" s="343" t="s">
        <v>166</v>
      </c>
      <c r="J3622" s="343" t="s">
        <v>327</v>
      </c>
      <c r="K3622" s="343" t="s">
        <v>168</v>
      </c>
    </row>
    <row r="3623" spans="1:11" ht="26.25" customHeight="1">
      <c r="A3623" s="343" t="s">
        <v>5582</v>
      </c>
      <c r="B3623" s="344" t="s">
        <v>162</v>
      </c>
      <c r="C3623" s="344">
        <v>7517</v>
      </c>
      <c r="D3623" s="343" t="s">
        <v>5701</v>
      </c>
      <c r="E3623" s="344">
        <v>6862228</v>
      </c>
      <c r="F3623" s="343" t="s">
        <v>9296</v>
      </c>
      <c r="G3623" s="360" t="s">
        <v>12775</v>
      </c>
      <c r="H3623" s="361">
        <v>43326</v>
      </c>
      <c r="I3623" s="343" t="s">
        <v>193</v>
      </c>
      <c r="J3623" s="343" t="s">
        <v>603</v>
      </c>
      <c r="K3623" s="343" t="s">
        <v>168</v>
      </c>
    </row>
    <row r="3624" spans="1:11" ht="26.25" customHeight="1">
      <c r="A3624" s="343" t="s">
        <v>5582</v>
      </c>
      <c r="B3624" s="344" t="s">
        <v>162</v>
      </c>
      <c r="C3624" s="344">
        <v>12159</v>
      </c>
      <c r="D3624" s="343" t="s">
        <v>9290</v>
      </c>
      <c r="E3624" s="344">
        <v>5706223</v>
      </c>
      <c r="F3624" s="343" t="s">
        <v>9302</v>
      </c>
      <c r="G3624" s="360" t="s">
        <v>12781</v>
      </c>
      <c r="H3624" s="361">
        <v>43326</v>
      </c>
      <c r="I3624" s="343" t="s">
        <v>9303</v>
      </c>
      <c r="J3624" s="343" t="s">
        <v>12782</v>
      </c>
      <c r="K3624" s="343" t="s">
        <v>168</v>
      </c>
    </row>
    <row r="3625" spans="1:11" ht="26.25" customHeight="1">
      <c r="A3625" s="343" t="s">
        <v>5582</v>
      </c>
      <c r="B3625" s="344" t="s">
        <v>162</v>
      </c>
      <c r="C3625" s="344">
        <v>7536</v>
      </c>
      <c r="D3625" s="343" t="s">
        <v>5641</v>
      </c>
      <c r="E3625" s="344">
        <v>6966750</v>
      </c>
      <c r="F3625" s="343" t="s">
        <v>8820</v>
      </c>
      <c r="G3625" s="360" t="s">
        <v>9721</v>
      </c>
      <c r="H3625" s="361">
        <v>43326</v>
      </c>
      <c r="I3625" s="343" t="s">
        <v>193</v>
      </c>
      <c r="J3625" s="343" t="s">
        <v>637</v>
      </c>
      <c r="K3625" s="343" t="s">
        <v>168</v>
      </c>
    </row>
    <row r="3626" spans="1:11" ht="26.25" customHeight="1">
      <c r="A3626" s="343" t="s">
        <v>5582</v>
      </c>
      <c r="B3626" s="344" t="s">
        <v>162</v>
      </c>
      <c r="C3626" s="344">
        <v>9842</v>
      </c>
      <c r="D3626" s="343" t="s">
        <v>5759</v>
      </c>
      <c r="E3626" s="344">
        <v>6607063</v>
      </c>
      <c r="F3626" s="343" t="s">
        <v>5769</v>
      </c>
      <c r="G3626" s="360" t="s">
        <v>11990</v>
      </c>
      <c r="H3626" s="361">
        <v>43326</v>
      </c>
      <c r="I3626" s="343" t="s">
        <v>802</v>
      </c>
      <c r="J3626" s="343" t="s">
        <v>3587</v>
      </c>
      <c r="K3626" s="343" t="s">
        <v>3587</v>
      </c>
    </row>
    <row r="3627" spans="1:11" ht="26.25" customHeight="1">
      <c r="A3627" s="343" t="s">
        <v>5582</v>
      </c>
      <c r="B3627" s="344" t="s">
        <v>162</v>
      </c>
      <c r="C3627" s="344">
        <v>9842</v>
      </c>
      <c r="D3627" s="343" t="s">
        <v>5759</v>
      </c>
      <c r="E3627" s="344">
        <v>6607063</v>
      </c>
      <c r="F3627" s="343" t="s">
        <v>5769</v>
      </c>
      <c r="G3627" s="360" t="s">
        <v>11990</v>
      </c>
      <c r="H3627" s="361">
        <v>43326</v>
      </c>
      <c r="I3627" s="343" t="s">
        <v>9305</v>
      </c>
      <c r="J3627" s="343" t="s">
        <v>12783</v>
      </c>
      <c r="K3627" s="343" t="s">
        <v>248</v>
      </c>
    </row>
    <row r="3628" spans="1:11" ht="26.25" customHeight="1">
      <c r="A3628" s="343" t="s">
        <v>5582</v>
      </c>
      <c r="B3628" s="344" t="s">
        <v>162</v>
      </c>
      <c r="C3628" s="344">
        <v>11692</v>
      </c>
      <c r="D3628" s="343" t="s">
        <v>5772</v>
      </c>
      <c r="E3628" s="344">
        <v>6234724</v>
      </c>
      <c r="F3628" s="343" t="s">
        <v>9309</v>
      </c>
      <c r="G3628" s="360" t="s">
        <v>11495</v>
      </c>
      <c r="H3628" s="361">
        <v>43326</v>
      </c>
      <c r="I3628" s="343" t="s">
        <v>1182</v>
      </c>
      <c r="J3628" s="343" t="s">
        <v>1330</v>
      </c>
      <c r="K3628" s="343" t="s">
        <v>173</v>
      </c>
    </row>
    <row r="3629" spans="1:11" ht="26.25" customHeight="1">
      <c r="A3629" s="343" t="s">
        <v>5582</v>
      </c>
      <c r="B3629" s="344" t="s">
        <v>162</v>
      </c>
      <c r="C3629" s="344">
        <v>7526</v>
      </c>
      <c r="D3629" s="343" t="s">
        <v>5602</v>
      </c>
      <c r="E3629" s="344">
        <v>6829883</v>
      </c>
      <c r="F3629" s="343" t="s">
        <v>12784</v>
      </c>
      <c r="G3629" s="360" t="s">
        <v>502</v>
      </c>
      <c r="H3629" s="361">
        <v>43332</v>
      </c>
      <c r="I3629" s="343" t="s">
        <v>193</v>
      </c>
      <c r="J3629" s="343" t="s">
        <v>637</v>
      </c>
      <c r="K3629" s="343" t="s">
        <v>168</v>
      </c>
    </row>
    <row r="3630" spans="1:11" ht="26.25" customHeight="1">
      <c r="A3630" s="343" t="s">
        <v>5582</v>
      </c>
      <c r="B3630" s="344" t="s">
        <v>162</v>
      </c>
      <c r="C3630" s="344">
        <v>7536</v>
      </c>
      <c r="D3630" s="343" t="s">
        <v>5641</v>
      </c>
      <c r="E3630" s="344">
        <v>6705875</v>
      </c>
      <c r="F3630" s="343" t="s">
        <v>12785</v>
      </c>
      <c r="G3630" s="360" t="s">
        <v>9657</v>
      </c>
      <c r="H3630" s="361">
        <v>43332</v>
      </c>
      <c r="I3630" s="343" t="s">
        <v>1242</v>
      </c>
      <c r="J3630" s="343" t="s">
        <v>1243</v>
      </c>
      <c r="K3630" s="343" t="s">
        <v>168</v>
      </c>
    </row>
    <row r="3631" spans="1:11" ht="26.25" customHeight="1">
      <c r="A3631" s="343" t="s">
        <v>5582</v>
      </c>
      <c r="B3631" s="344" t="s">
        <v>162</v>
      </c>
      <c r="C3631" s="344">
        <v>7519</v>
      </c>
      <c r="D3631" s="343" t="s">
        <v>5703</v>
      </c>
      <c r="E3631" s="344">
        <v>6671824</v>
      </c>
      <c r="F3631" s="343" t="s">
        <v>5707</v>
      </c>
      <c r="G3631" s="360" t="s">
        <v>10093</v>
      </c>
      <c r="H3631" s="361">
        <v>43332</v>
      </c>
      <c r="I3631" s="343" t="s">
        <v>271</v>
      </c>
      <c r="J3631" s="343" t="s">
        <v>11452</v>
      </c>
      <c r="K3631" s="343" t="s">
        <v>168</v>
      </c>
    </row>
    <row r="3632" spans="1:11" ht="26.25" customHeight="1">
      <c r="A3632" s="343" t="s">
        <v>5582</v>
      </c>
      <c r="B3632" s="344" t="s">
        <v>162</v>
      </c>
      <c r="C3632" s="344">
        <v>12162</v>
      </c>
      <c r="D3632" s="343" t="s">
        <v>5876</v>
      </c>
      <c r="E3632" s="344">
        <v>6227330</v>
      </c>
      <c r="F3632" s="343" t="s">
        <v>12786</v>
      </c>
      <c r="G3632" s="360" t="s">
        <v>12787</v>
      </c>
      <c r="H3632" s="361">
        <v>43332</v>
      </c>
      <c r="I3632" s="343" t="s">
        <v>211</v>
      </c>
      <c r="J3632" s="343" t="s">
        <v>909</v>
      </c>
      <c r="K3632" s="343" t="s">
        <v>168</v>
      </c>
    </row>
    <row r="3633" spans="1:11" ht="26.25" customHeight="1">
      <c r="A3633" s="343" t="s">
        <v>5582</v>
      </c>
      <c r="B3633" s="344" t="s">
        <v>162</v>
      </c>
      <c r="C3633" s="344">
        <v>7519</v>
      </c>
      <c r="D3633" s="343" t="s">
        <v>5703</v>
      </c>
      <c r="E3633" s="344">
        <v>6670956</v>
      </c>
      <c r="F3633" s="343" t="s">
        <v>7428</v>
      </c>
      <c r="G3633" s="360" t="s">
        <v>12788</v>
      </c>
      <c r="H3633" s="361">
        <v>43332</v>
      </c>
      <c r="I3633" s="343" t="s">
        <v>271</v>
      </c>
      <c r="J3633" s="343" t="s">
        <v>11452</v>
      </c>
      <c r="K3633" s="343" t="s">
        <v>168</v>
      </c>
    </row>
    <row r="3634" spans="1:11" ht="26.25" customHeight="1">
      <c r="A3634" s="343" t="s">
        <v>5582</v>
      </c>
      <c r="B3634" s="344" t="s">
        <v>162</v>
      </c>
      <c r="C3634" s="344">
        <v>9921</v>
      </c>
      <c r="D3634" s="343" t="s">
        <v>7651</v>
      </c>
      <c r="E3634" s="344">
        <v>5918208</v>
      </c>
      <c r="F3634" s="343" t="s">
        <v>12789</v>
      </c>
      <c r="G3634" s="360" t="s">
        <v>1185</v>
      </c>
      <c r="H3634" s="361">
        <v>43332</v>
      </c>
      <c r="I3634" s="343" t="s">
        <v>313</v>
      </c>
      <c r="J3634" s="343" t="s">
        <v>397</v>
      </c>
      <c r="K3634" s="343" t="s">
        <v>173</v>
      </c>
    </row>
    <row r="3635" spans="1:11" ht="26.25" customHeight="1">
      <c r="A3635" s="343" t="s">
        <v>5582</v>
      </c>
      <c r="B3635" s="344" t="s">
        <v>162</v>
      </c>
      <c r="C3635" s="344">
        <v>11692</v>
      </c>
      <c r="D3635" s="343" t="s">
        <v>5772</v>
      </c>
      <c r="E3635" s="344">
        <v>6043813</v>
      </c>
      <c r="F3635" s="343" t="s">
        <v>12790</v>
      </c>
      <c r="G3635" s="360" t="s">
        <v>9604</v>
      </c>
      <c r="H3635" s="361">
        <v>43332</v>
      </c>
      <c r="I3635" s="343" t="s">
        <v>193</v>
      </c>
      <c r="J3635" s="343" t="s">
        <v>637</v>
      </c>
      <c r="K3635" s="343" t="s">
        <v>168</v>
      </c>
    </row>
    <row r="3636" spans="1:11" ht="26.25" customHeight="1">
      <c r="A3636" s="343" t="s">
        <v>5582</v>
      </c>
      <c r="B3636" s="344" t="s">
        <v>162</v>
      </c>
      <c r="C3636" s="344">
        <v>7013</v>
      </c>
      <c r="D3636" s="343" t="s">
        <v>5781</v>
      </c>
      <c r="E3636" s="344">
        <v>5709638</v>
      </c>
      <c r="F3636" s="343" t="s">
        <v>12791</v>
      </c>
      <c r="G3636" s="360" t="s">
        <v>11548</v>
      </c>
      <c r="H3636" s="361">
        <v>43332</v>
      </c>
      <c r="I3636" s="343" t="s">
        <v>9301</v>
      </c>
      <c r="J3636" s="343" t="s">
        <v>12792</v>
      </c>
      <c r="K3636" s="343" t="s">
        <v>248</v>
      </c>
    </row>
    <row r="3637" spans="1:11" ht="26.25" customHeight="1">
      <c r="A3637" s="343" t="s">
        <v>5582</v>
      </c>
      <c r="B3637" s="344" t="s">
        <v>162</v>
      </c>
      <c r="C3637" s="344">
        <v>9098</v>
      </c>
      <c r="D3637" s="343" t="s">
        <v>6095</v>
      </c>
      <c r="E3637" s="344">
        <v>5871626</v>
      </c>
      <c r="F3637" s="343" t="s">
        <v>12793</v>
      </c>
      <c r="G3637" s="360" t="s">
        <v>11659</v>
      </c>
      <c r="H3637" s="361">
        <v>43339</v>
      </c>
      <c r="I3637" s="343" t="s">
        <v>166</v>
      </c>
      <c r="J3637" s="343" t="s">
        <v>327</v>
      </c>
      <c r="K3637" s="343" t="s">
        <v>168</v>
      </c>
    </row>
    <row r="3638" spans="1:11" ht="26.25" customHeight="1">
      <c r="A3638" s="343" t="s">
        <v>5582</v>
      </c>
      <c r="B3638" s="344" t="s">
        <v>162</v>
      </c>
      <c r="C3638" s="344">
        <v>9756</v>
      </c>
      <c r="D3638" s="343" t="s">
        <v>6087</v>
      </c>
      <c r="E3638" s="344">
        <v>6387027</v>
      </c>
      <c r="F3638" s="343" t="s">
        <v>12794</v>
      </c>
      <c r="G3638" s="360" t="s">
        <v>9637</v>
      </c>
      <c r="H3638" s="361">
        <v>43339</v>
      </c>
      <c r="I3638" s="343" t="s">
        <v>166</v>
      </c>
      <c r="J3638" s="343" t="s">
        <v>296</v>
      </c>
      <c r="K3638" s="343" t="s">
        <v>168</v>
      </c>
    </row>
    <row r="3639" spans="1:11" ht="26.25" customHeight="1">
      <c r="A3639" s="343" t="s">
        <v>5582</v>
      </c>
      <c r="B3639" s="344" t="s">
        <v>162</v>
      </c>
      <c r="C3639" s="344">
        <v>6697</v>
      </c>
      <c r="D3639" s="343" t="s">
        <v>6070</v>
      </c>
      <c r="E3639" s="344">
        <v>6438223</v>
      </c>
      <c r="F3639" s="343" t="s">
        <v>12795</v>
      </c>
      <c r="G3639" s="360" t="s">
        <v>9664</v>
      </c>
      <c r="H3639" s="361">
        <v>43339</v>
      </c>
      <c r="I3639" s="343" t="s">
        <v>1362</v>
      </c>
      <c r="J3639" s="343" t="s">
        <v>12796</v>
      </c>
      <c r="K3639" s="343" t="s">
        <v>248</v>
      </c>
    </row>
    <row r="3640" spans="1:11" ht="26.25" customHeight="1">
      <c r="A3640" s="343" t="s">
        <v>5582</v>
      </c>
      <c r="B3640" s="344" t="s">
        <v>162</v>
      </c>
      <c r="C3640" s="344">
        <v>9098</v>
      </c>
      <c r="D3640" s="343" t="s">
        <v>6095</v>
      </c>
      <c r="E3640" s="344">
        <v>5918002</v>
      </c>
      <c r="F3640" s="343" t="s">
        <v>12797</v>
      </c>
      <c r="G3640" s="360" t="s">
        <v>11757</v>
      </c>
      <c r="H3640" s="361">
        <v>43339</v>
      </c>
      <c r="I3640" s="343" t="s">
        <v>166</v>
      </c>
      <c r="J3640" s="343" t="s">
        <v>327</v>
      </c>
      <c r="K3640" s="343" t="s">
        <v>168</v>
      </c>
    </row>
    <row r="3641" spans="1:11" ht="26.25" customHeight="1">
      <c r="A3641" s="343" t="s">
        <v>5582</v>
      </c>
      <c r="B3641" s="344" t="s">
        <v>162</v>
      </c>
      <c r="C3641" s="344">
        <v>7540</v>
      </c>
      <c r="D3641" s="343" t="s">
        <v>5672</v>
      </c>
      <c r="E3641" s="344">
        <v>6836329</v>
      </c>
      <c r="F3641" s="343" t="s">
        <v>12798</v>
      </c>
      <c r="G3641" s="360" t="s">
        <v>12479</v>
      </c>
      <c r="H3641" s="361">
        <v>43339</v>
      </c>
      <c r="I3641" s="343" t="s">
        <v>12799</v>
      </c>
      <c r="J3641" s="343" t="s">
        <v>12800</v>
      </c>
      <c r="K3641" s="343" t="s">
        <v>173</v>
      </c>
    </row>
    <row r="3642" spans="1:11" ht="26.25" customHeight="1">
      <c r="A3642" s="343" t="s">
        <v>5582</v>
      </c>
      <c r="B3642" s="344" t="s">
        <v>162</v>
      </c>
      <c r="C3642" s="344">
        <v>12799</v>
      </c>
      <c r="D3642" s="343" t="s">
        <v>6067</v>
      </c>
      <c r="E3642" s="344">
        <v>6266465</v>
      </c>
      <c r="F3642" s="343" t="s">
        <v>9315</v>
      </c>
      <c r="G3642" s="360" t="s">
        <v>12801</v>
      </c>
      <c r="H3642" s="361">
        <v>43339</v>
      </c>
      <c r="I3642" s="343" t="s">
        <v>166</v>
      </c>
      <c r="J3642" s="343" t="s">
        <v>12802</v>
      </c>
      <c r="K3642" s="343" t="s">
        <v>168</v>
      </c>
    </row>
    <row r="3643" spans="1:11" ht="26.25" customHeight="1">
      <c r="A3643" s="343" t="s">
        <v>5582</v>
      </c>
      <c r="B3643" s="344" t="s">
        <v>162</v>
      </c>
      <c r="C3643" s="344">
        <v>9540</v>
      </c>
      <c r="D3643" s="343" t="s">
        <v>5590</v>
      </c>
      <c r="E3643" s="344">
        <v>6931117</v>
      </c>
      <c r="F3643" s="343" t="s">
        <v>12803</v>
      </c>
      <c r="G3643" s="360" t="s">
        <v>12804</v>
      </c>
      <c r="H3643" s="361">
        <v>43339</v>
      </c>
      <c r="I3643" s="343" t="s">
        <v>198</v>
      </c>
      <c r="J3643" s="343" t="s">
        <v>198</v>
      </c>
      <c r="K3643" s="343" t="s">
        <v>168</v>
      </c>
    </row>
    <row r="3644" spans="1:11" ht="26.25" customHeight="1">
      <c r="A3644" s="343" t="s">
        <v>5582</v>
      </c>
      <c r="B3644" s="344" t="s">
        <v>162</v>
      </c>
      <c r="C3644" s="344">
        <v>9880</v>
      </c>
      <c r="D3644" s="343" t="s">
        <v>5714</v>
      </c>
      <c r="E3644" s="344">
        <v>6952649</v>
      </c>
      <c r="F3644" s="343" t="s">
        <v>8812</v>
      </c>
      <c r="G3644" s="360" t="s">
        <v>12805</v>
      </c>
      <c r="H3644" s="361">
        <v>43339</v>
      </c>
      <c r="I3644" s="343" t="s">
        <v>802</v>
      </c>
      <c r="J3644" s="343" t="s">
        <v>1172</v>
      </c>
      <c r="K3644" s="343" t="s">
        <v>168</v>
      </c>
    </row>
    <row r="3645" spans="1:11" ht="26.25" customHeight="1">
      <c r="A3645" s="343" t="s">
        <v>6104</v>
      </c>
      <c r="B3645" s="344" t="s">
        <v>162</v>
      </c>
      <c r="C3645" s="344">
        <v>6826</v>
      </c>
      <c r="D3645" s="343" t="s">
        <v>6213</v>
      </c>
      <c r="E3645" s="344">
        <v>4667740</v>
      </c>
      <c r="F3645" s="343" t="s">
        <v>6215</v>
      </c>
      <c r="G3645" s="360" t="s">
        <v>12806</v>
      </c>
      <c r="H3645" s="361">
        <v>42331</v>
      </c>
      <c r="I3645" s="343" t="s">
        <v>211</v>
      </c>
      <c r="J3645" s="343" t="s">
        <v>12807</v>
      </c>
      <c r="K3645" s="343" t="s">
        <v>168</v>
      </c>
    </row>
    <row r="3646" spans="1:11" ht="26.25" customHeight="1">
      <c r="A3646" s="343" t="s">
        <v>6104</v>
      </c>
      <c r="B3646" s="344" t="s">
        <v>162</v>
      </c>
      <c r="C3646" s="344">
        <v>9346</v>
      </c>
      <c r="D3646" s="343" t="s">
        <v>6246</v>
      </c>
      <c r="E3646" s="344">
        <v>3555683</v>
      </c>
      <c r="F3646" s="343" t="s">
        <v>6247</v>
      </c>
      <c r="G3646" s="360" t="s">
        <v>12808</v>
      </c>
      <c r="H3646" s="361">
        <v>42121</v>
      </c>
      <c r="I3646" s="343" t="s">
        <v>211</v>
      </c>
      <c r="J3646" s="343" t="s">
        <v>211</v>
      </c>
      <c r="K3646" s="343" t="s">
        <v>168</v>
      </c>
    </row>
    <row r="3647" spans="1:11" ht="26.25" customHeight="1">
      <c r="A3647" s="343" t="s">
        <v>6104</v>
      </c>
      <c r="B3647" s="344" t="s">
        <v>162</v>
      </c>
      <c r="C3647" s="344">
        <v>6826</v>
      </c>
      <c r="D3647" s="343" t="s">
        <v>6213</v>
      </c>
      <c r="E3647" s="344">
        <v>4538988</v>
      </c>
      <c r="F3647" s="343" t="s">
        <v>6214</v>
      </c>
      <c r="G3647" s="360" t="s">
        <v>12809</v>
      </c>
      <c r="H3647" s="361">
        <v>42277</v>
      </c>
      <c r="I3647" s="343" t="s">
        <v>211</v>
      </c>
      <c r="J3647" s="343" t="s">
        <v>12810</v>
      </c>
      <c r="K3647" s="343" t="s">
        <v>168</v>
      </c>
    </row>
    <row r="3648" spans="1:11" ht="26.25" customHeight="1">
      <c r="A3648" s="343" t="s">
        <v>6104</v>
      </c>
      <c r="B3648" s="344" t="s">
        <v>162</v>
      </c>
      <c r="C3648" s="344">
        <v>7162</v>
      </c>
      <c r="D3648" s="343" t="s">
        <v>6292</v>
      </c>
      <c r="E3648" s="344">
        <v>5484186</v>
      </c>
      <c r="F3648" s="343" t="s">
        <v>6295</v>
      </c>
      <c r="G3648" s="360" t="s">
        <v>11812</v>
      </c>
      <c r="H3648" s="361">
        <v>42234</v>
      </c>
      <c r="I3648" s="343" t="s">
        <v>6296</v>
      </c>
      <c r="J3648" s="343" t="s">
        <v>12811</v>
      </c>
      <c r="K3648" s="343" t="s">
        <v>248</v>
      </c>
    </row>
    <row r="3649" spans="1:11" ht="26.25" customHeight="1">
      <c r="A3649" s="343" t="s">
        <v>6104</v>
      </c>
      <c r="B3649" s="344" t="s">
        <v>162</v>
      </c>
      <c r="C3649" s="344">
        <v>7167</v>
      </c>
      <c r="D3649" s="343" t="s">
        <v>6270</v>
      </c>
      <c r="E3649" s="344">
        <v>4666131</v>
      </c>
      <c r="F3649" s="343" t="s">
        <v>6271</v>
      </c>
      <c r="G3649" s="360" t="s">
        <v>12812</v>
      </c>
      <c r="H3649" s="361">
        <v>42249</v>
      </c>
      <c r="I3649" s="343" t="s">
        <v>211</v>
      </c>
      <c r="J3649" s="343" t="s">
        <v>12813</v>
      </c>
      <c r="K3649" s="343" t="s">
        <v>168</v>
      </c>
    </row>
    <row r="3650" spans="1:11" ht="26.25" customHeight="1">
      <c r="A3650" s="343" t="s">
        <v>6104</v>
      </c>
      <c r="B3650" s="344" t="s">
        <v>162</v>
      </c>
      <c r="C3650" s="344">
        <v>7038</v>
      </c>
      <c r="D3650" s="343" t="s">
        <v>6237</v>
      </c>
      <c r="E3650" s="344">
        <v>4851293</v>
      </c>
      <c r="F3650" s="343" t="s">
        <v>6241</v>
      </c>
      <c r="G3650" s="360" t="s">
        <v>12814</v>
      </c>
      <c r="H3650" s="361">
        <v>42181</v>
      </c>
      <c r="I3650" s="343" t="s">
        <v>187</v>
      </c>
      <c r="J3650" s="343" t="s">
        <v>12815</v>
      </c>
      <c r="K3650" s="343" t="s">
        <v>168</v>
      </c>
    </row>
    <row r="3651" spans="1:11" ht="26.25" customHeight="1">
      <c r="A3651" s="343" t="s">
        <v>6104</v>
      </c>
      <c r="B3651" s="344" t="s">
        <v>162</v>
      </c>
      <c r="C3651" s="344">
        <v>7044</v>
      </c>
      <c r="D3651" s="343" t="s">
        <v>6275</v>
      </c>
      <c r="E3651" s="344">
        <v>4211338</v>
      </c>
      <c r="F3651" s="343" t="s">
        <v>6278</v>
      </c>
      <c r="G3651" s="360" t="s">
        <v>12816</v>
      </c>
      <c r="H3651" s="361">
        <v>42158</v>
      </c>
      <c r="I3651" s="343" t="s">
        <v>211</v>
      </c>
      <c r="J3651" s="343" t="s">
        <v>948</v>
      </c>
      <c r="K3651" s="343" t="s">
        <v>168</v>
      </c>
    </row>
    <row r="3652" spans="1:11" ht="26.25" customHeight="1">
      <c r="A3652" s="343" t="s">
        <v>6104</v>
      </c>
      <c r="B3652" s="344" t="s">
        <v>162</v>
      </c>
      <c r="C3652" s="344">
        <v>7160</v>
      </c>
      <c r="D3652" s="343" t="s">
        <v>6298</v>
      </c>
      <c r="E3652" s="344">
        <v>4915333</v>
      </c>
      <c r="F3652" s="343" t="s">
        <v>6299</v>
      </c>
      <c r="G3652" s="360" t="s">
        <v>12817</v>
      </c>
      <c r="H3652" s="361">
        <v>42171</v>
      </c>
      <c r="I3652" s="343" t="s">
        <v>366</v>
      </c>
      <c r="J3652" s="343" t="s">
        <v>366</v>
      </c>
      <c r="K3652" s="343" t="s">
        <v>168</v>
      </c>
    </row>
    <row r="3653" spans="1:11" ht="26.25" customHeight="1">
      <c r="A3653" s="343" t="s">
        <v>6104</v>
      </c>
      <c r="B3653" s="344" t="s">
        <v>162</v>
      </c>
      <c r="C3653" s="344">
        <v>12114</v>
      </c>
      <c r="D3653" s="343" t="s">
        <v>6314</v>
      </c>
      <c r="E3653" s="344">
        <v>4490955</v>
      </c>
      <c r="F3653" s="343" t="s">
        <v>6317</v>
      </c>
      <c r="G3653" s="360" t="s">
        <v>11254</v>
      </c>
      <c r="H3653" s="361">
        <v>42164</v>
      </c>
      <c r="I3653" s="343" t="s">
        <v>709</v>
      </c>
      <c r="J3653" s="343" t="s">
        <v>9629</v>
      </c>
      <c r="K3653" s="343" t="s">
        <v>168</v>
      </c>
    </row>
    <row r="3654" spans="1:11" ht="26.25" customHeight="1">
      <c r="A3654" s="343" t="s">
        <v>6104</v>
      </c>
      <c r="B3654" s="344" t="s">
        <v>162</v>
      </c>
      <c r="C3654" s="344">
        <v>11856</v>
      </c>
      <c r="D3654" s="343" t="s">
        <v>6196</v>
      </c>
      <c r="E3654" s="344">
        <v>4969883</v>
      </c>
      <c r="F3654" s="343" t="s">
        <v>6198</v>
      </c>
      <c r="G3654" s="360" t="s">
        <v>12818</v>
      </c>
      <c r="H3654" s="361">
        <v>42080</v>
      </c>
      <c r="I3654" s="343" t="s">
        <v>261</v>
      </c>
      <c r="J3654" s="343" t="s">
        <v>12819</v>
      </c>
      <c r="K3654" s="343" t="s">
        <v>168</v>
      </c>
    </row>
    <row r="3655" spans="1:11" ht="26.25" customHeight="1">
      <c r="A3655" s="343" t="s">
        <v>6104</v>
      </c>
      <c r="B3655" s="344" t="s">
        <v>162</v>
      </c>
      <c r="C3655" s="344">
        <v>7046</v>
      </c>
      <c r="D3655" s="343" t="s">
        <v>6326</v>
      </c>
      <c r="E3655" s="344">
        <v>3790174</v>
      </c>
      <c r="F3655" s="343" t="s">
        <v>6329</v>
      </c>
      <c r="G3655" s="360" t="s">
        <v>12820</v>
      </c>
      <c r="H3655" s="361">
        <v>42151</v>
      </c>
      <c r="I3655" s="343" t="s">
        <v>4594</v>
      </c>
      <c r="J3655" s="343" t="s">
        <v>4594</v>
      </c>
      <c r="K3655" s="343" t="s">
        <v>173</v>
      </c>
    </row>
    <row r="3656" spans="1:11" ht="26.25" customHeight="1">
      <c r="A3656" s="343" t="s">
        <v>6104</v>
      </c>
      <c r="B3656" s="344" t="s">
        <v>162</v>
      </c>
      <c r="C3656" s="344">
        <v>9346</v>
      </c>
      <c r="D3656" s="343" t="s">
        <v>6246</v>
      </c>
      <c r="E3656" s="344">
        <v>5313617</v>
      </c>
      <c r="F3656" s="343" t="s">
        <v>6249</v>
      </c>
      <c r="G3656" s="360" t="s">
        <v>12821</v>
      </c>
      <c r="H3656" s="361">
        <v>42121</v>
      </c>
      <c r="I3656" s="343" t="s">
        <v>1463</v>
      </c>
      <c r="J3656" s="343" t="s">
        <v>12822</v>
      </c>
      <c r="K3656" s="343" t="s">
        <v>248</v>
      </c>
    </row>
    <row r="3657" spans="1:11" ht="26.25" customHeight="1">
      <c r="A3657" s="343" t="s">
        <v>6104</v>
      </c>
      <c r="B3657" s="344" t="s">
        <v>162</v>
      </c>
      <c r="C3657" s="344">
        <v>7044</v>
      </c>
      <c r="D3657" s="343" t="s">
        <v>6275</v>
      </c>
      <c r="E3657" s="344">
        <v>4889224</v>
      </c>
      <c r="F3657" s="343" t="s">
        <v>6277</v>
      </c>
      <c r="G3657" s="360" t="s">
        <v>12823</v>
      </c>
      <c r="H3657" s="361">
        <v>42096</v>
      </c>
      <c r="I3657" s="343" t="s">
        <v>211</v>
      </c>
      <c r="J3657" s="343" t="s">
        <v>12824</v>
      </c>
      <c r="K3657" s="343" t="s">
        <v>168</v>
      </c>
    </row>
    <row r="3658" spans="1:11" ht="26.25" customHeight="1">
      <c r="A3658" s="343" t="s">
        <v>6104</v>
      </c>
      <c r="B3658" s="344" t="s">
        <v>162</v>
      </c>
      <c r="C3658" s="344">
        <v>7546</v>
      </c>
      <c r="D3658" s="343" t="s">
        <v>6122</v>
      </c>
      <c r="E3658" s="344">
        <v>6204287</v>
      </c>
      <c r="F3658" s="343" t="s">
        <v>6125</v>
      </c>
      <c r="G3658" s="360" t="s">
        <v>12825</v>
      </c>
      <c r="H3658" s="361">
        <v>42401</v>
      </c>
      <c r="I3658" s="343" t="s">
        <v>6126</v>
      </c>
      <c r="J3658" s="343" t="s">
        <v>12826</v>
      </c>
      <c r="K3658" s="343" t="s">
        <v>168</v>
      </c>
    </row>
    <row r="3659" spans="1:11" ht="26.25" customHeight="1">
      <c r="A3659" s="343" t="s">
        <v>6104</v>
      </c>
      <c r="B3659" s="344" t="s">
        <v>162</v>
      </c>
      <c r="C3659" s="344">
        <v>9721</v>
      </c>
      <c r="D3659" s="343" t="s">
        <v>6171</v>
      </c>
      <c r="E3659" s="344">
        <v>6374748</v>
      </c>
      <c r="F3659" s="343" t="s">
        <v>6172</v>
      </c>
      <c r="G3659" s="360" t="s">
        <v>12827</v>
      </c>
      <c r="H3659" s="361">
        <v>42405</v>
      </c>
      <c r="I3659" s="343" t="s">
        <v>301</v>
      </c>
      <c r="J3659" s="343" t="s">
        <v>302</v>
      </c>
      <c r="K3659" s="343" t="s">
        <v>168</v>
      </c>
    </row>
    <row r="3660" spans="1:11" ht="26.25" customHeight="1">
      <c r="A3660" s="343" t="s">
        <v>6104</v>
      </c>
      <c r="B3660" s="344" t="s">
        <v>162</v>
      </c>
      <c r="C3660" s="344">
        <v>7520</v>
      </c>
      <c r="D3660" s="343" t="s">
        <v>6114</v>
      </c>
      <c r="E3660" s="344">
        <v>6283599</v>
      </c>
      <c r="F3660" s="343" t="s">
        <v>6116</v>
      </c>
      <c r="G3660" s="360" t="s">
        <v>10611</v>
      </c>
      <c r="H3660" s="361">
        <v>42422</v>
      </c>
      <c r="I3660" s="343" t="s">
        <v>166</v>
      </c>
      <c r="J3660" s="343" t="s">
        <v>11385</v>
      </c>
      <c r="K3660" s="343" t="s">
        <v>168</v>
      </c>
    </row>
    <row r="3661" spans="1:11" ht="26.25" customHeight="1">
      <c r="A3661" s="343" t="s">
        <v>6104</v>
      </c>
      <c r="B3661" s="344" t="s">
        <v>162</v>
      </c>
      <c r="C3661" s="344">
        <v>12019</v>
      </c>
      <c r="D3661" s="343" t="s">
        <v>6231</v>
      </c>
      <c r="E3661" s="344">
        <v>4241830</v>
      </c>
      <c r="F3661" s="343" t="s">
        <v>6232</v>
      </c>
      <c r="G3661" s="360" t="s">
        <v>12828</v>
      </c>
      <c r="H3661" s="361">
        <v>42425</v>
      </c>
      <c r="I3661" s="343" t="s">
        <v>193</v>
      </c>
      <c r="J3661" s="343" t="s">
        <v>12829</v>
      </c>
      <c r="K3661" s="343" t="s">
        <v>168</v>
      </c>
    </row>
    <row r="3662" spans="1:11" ht="26.25" customHeight="1">
      <c r="A3662" s="343" t="s">
        <v>6104</v>
      </c>
      <c r="B3662" s="344" t="s">
        <v>162</v>
      </c>
      <c r="C3662" s="344">
        <v>11667</v>
      </c>
      <c r="D3662" s="343" t="s">
        <v>6194</v>
      </c>
      <c r="E3662" s="344">
        <v>6161814</v>
      </c>
      <c r="F3662" s="343" t="s">
        <v>6195</v>
      </c>
      <c r="G3662" s="360" t="s">
        <v>481</v>
      </c>
      <c r="H3662" s="361">
        <v>42443</v>
      </c>
      <c r="I3662" s="343" t="s">
        <v>166</v>
      </c>
      <c r="J3662" s="343" t="s">
        <v>344</v>
      </c>
      <c r="K3662" s="343" t="s">
        <v>168</v>
      </c>
    </row>
    <row r="3663" spans="1:11" ht="26.25" customHeight="1">
      <c r="A3663" s="343" t="s">
        <v>6104</v>
      </c>
      <c r="B3663" s="344" t="s">
        <v>162</v>
      </c>
      <c r="C3663" s="344">
        <v>6675</v>
      </c>
      <c r="D3663" s="343" t="s">
        <v>6369</v>
      </c>
      <c r="E3663" s="344">
        <v>5120362</v>
      </c>
      <c r="F3663" s="343" t="s">
        <v>6371</v>
      </c>
      <c r="G3663" s="360" t="s">
        <v>1155</v>
      </c>
      <c r="H3663" s="361">
        <v>42440</v>
      </c>
      <c r="I3663" s="343" t="s">
        <v>261</v>
      </c>
      <c r="J3663" s="343" t="s">
        <v>262</v>
      </c>
      <c r="K3663" s="343" t="s">
        <v>168</v>
      </c>
    </row>
    <row r="3664" spans="1:11" ht="26.25" customHeight="1">
      <c r="A3664" s="343" t="s">
        <v>6104</v>
      </c>
      <c r="B3664" s="344" t="s">
        <v>162</v>
      </c>
      <c r="C3664" s="344">
        <v>6679</v>
      </c>
      <c r="D3664" s="343" t="s">
        <v>6351</v>
      </c>
      <c r="E3664" s="344">
        <v>5260277</v>
      </c>
      <c r="F3664" s="343" t="s">
        <v>6352</v>
      </c>
      <c r="G3664" s="360" t="s">
        <v>12830</v>
      </c>
      <c r="H3664" s="361">
        <v>42443</v>
      </c>
      <c r="I3664" s="343" t="s">
        <v>166</v>
      </c>
      <c r="J3664" s="343" t="s">
        <v>344</v>
      </c>
      <c r="K3664" s="343" t="s">
        <v>168</v>
      </c>
    </row>
    <row r="3665" spans="1:11" ht="26.25" customHeight="1">
      <c r="A3665" s="343" t="s">
        <v>6104</v>
      </c>
      <c r="B3665" s="344" t="s">
        <v>162</v>
      </c>
      <c r="C3665" s="344">
        <v>6824</v>
      </c>
      <c r="D3665" s="343" t="s">
        <v>6410</v>
      </c>
      <c r="E3665" s="344">
        <v>5574533</v>
      </c>
      <c r="F3665" s="343" t="s">
        <v>6413</v>
      </c>
      <c r="G3665" s="360" t="s">
        <v>12831</v>
      </c>
      <c r="H3665" s="361">
        <v>42444</v>
      </c>
      <c r="I3665" s="343" t="s">
        <v>6414</v>
      </c>
      <c r="J3665" s="343" t="s">
        <v>12832</v>
      </c>
      <c r="K3665" s="343" t="s">
        <v>173</v>
      </c>
    </row>
    <row r="3666" spans="1:11" ht="26.25" customHeight="1">
      <c r="A3666" s="343" t="s">
        <v>6104</v>
      </c>
      <c r="B3666" s="344" t="s">
        <v>162</v>
      </c>
      <c r="C3666" s="344">
        <v>9346</v>
      </c>
      <c r="D3666" s="343" t="s">
        <v>6246</v>
      </c>
      <c r="E3666" s="344">
        <v>5899721</v>
      </c>
      <c r="F3666" s="343" t="s">
        <v>6251</v>
      </c>
      <c r="G3666" s="360" t="s">
        <v>11828</v>
      </c>
      <c r="H3666" s="361">
        <v>42446</v>
      </c>
      <c r="I3666" s="343" t="s">
        <v>211</v>
      </c>
      <c r="J3666" s="343" t="s">
        <v>12813</v>
      </c>
      <c r="K3666" s="343" t="s">
        <v>168</v>
      </c>
    </row>
    <row r="3667" spans="1:11" ht="26.25" customHeight="1">
      <c r="A3667" s="343" t="s">
        <v>6104</v>
      </c>
      <c r="B3667" s="344" t="s">
        <v>162</v>
      </c>
      <c r="C3667" s="344">
        <v>9346</v>
      </c>
      <c r="D3667" s="343" t="s">
        <v>6246</v>
      </c>
      <c r="E3667" s="344">
        <v>5626191</v>
      </c>
      <c r="F3667" s="343" t="s">
        <v>6253</v>
      </c>
      <c r="G3667" s="360" t="s">
        <v>10028</v>
      </c>
      <c r="H3667" s="361">
        <v>42446</v>
      </c>
      <c r="I3667" s="343" t="s">
        <v>211</v>
      </c>
      <c r="J3667" s="343" t="s">
        <v>12813</v>
      </c>
      <c r="K3667" s="343" t="s">
        <v>168</v>
      </c>
    </row>
    <row r="3668" spans="1:11" ht="26.25" customHeight="1">
      <c r="A3668" s="343" t="s">
        <v>6104</v>
      </c>
      <c r="B3668" s="344" t="s">
        <v>162</v>
      </c>
      <c r="C3668" s="344">
        <v>7162</v>
      </c>
      <c r="D3668" s="343" t="s">
        <v>6292</v>
      </c>
      <c r="E3668" s="344">
        <v>6124127</v>
      </c>
      <c r="F3668" s="343" t="s">
        <v>6297</v>
      </c>
      <c r="G3668" s="360" t="s">
        <v>12833</v>
      </c>
      <c r="H3668" s="361">
        <v>42465</v>
      </c>
      <c r="I3668" s="343" t="s">
        <v>366</v>
      </c>
      <c r="J3668" s="343" t="s">
        <v>366</v>
      </c>
      <c r="K3668" s="343" t="s">
        <v>168</v>
      </c>
    </row>
    <row r="3669" spans="1:11" ht="26.25" customHeight="1">
      <c r="A3669" s="343" t="s">
        <v>6104</v>
      </c>
      <c r="B3669" s="344" t="s">
        <v>162</v>
      </c>
      <c r="C3669" s="344">
        <v>11527</v>
      </c>
      <c r="D3669" s="343" t="s">
        <v>8016</v>
      </c>
      <c r="E3669" s="344">
        <v>5865203</v>
      </c>
      <c r="F3669" s="343" t="s">
        <v>6364</v>
      </c>
      <c r="G3669" s="360" t="s">
        <v>10196</v>
      </c>
      <c r="H3669" s="361">
        <v>42466</v>
      </c>
      <c r="I3669" s="343" t="s">
        <v>313</v>
      </c>
      <c r="J3669" s="343" t="s">
        <v>314</v>
      </c>
      <c r="K3669" s="343" t="s">
        <v>173</v>
      </c>
    </row>
    <row r="3670" spans="1:11" ht="26.25" customHeight="1">
      <c r="A3670" s="343" t="s">
        <v>6104</v>
      </c>
      <c r="B3670" s="344" t="s">
        <v>162</v>
      </c>
      <c r="C3670" s="344">
        <v>7162</v>
      </c>
      <c r="D3670" s="343" t="s">
        <v>6292</v>
      </c>
      <c r="E3670" s="344">
        <v>4945519</v>
      </c>
      <c r="F3670" s="343" t="s">
        <v>6293</v>
      </c>
      <c r="G3670" s="360" t="s">
        <v>12834</v>
      </c>
      <c r="H3670" s="361">
        <v>42460</v>
      </c>
      <c r="I3670" s="343" t="s">
        <v>6294</v>
      </c>
      <c r="J3670" s="343" t="s">
        <v>12835</v>
      </c>
      <c r="K3670" s="343" t="s">
        <v>168</v>
      </c>
    </row>
    <row r="3671" spans="1:11" ht="26.25" customHeight="1">
      <c r="A3671" s="343" t="s">
        <v>6104</v>
      </c>
      <c r="B3671" s="344" t="s">
        <v>162</v>
      </c>
      <c r="C3671" s="344">
        <v>7037</v>
      </c>
      <c r="D3671" s="343" t="s">
        <v>6272</v>
      </c>
      <c r="E3671" s="344">
        <v>6291845</v>
      </c>
      <c r="F3671" s="343" t="s">
        <v>6273</v>
      </c>
      <c r="G3671" s="360" t="s">
        <v>11346</v>
      </c>
      <c r="H3671" s="361">
        <v>42489</v>
      </c>
      <c r="I3671" s="343" t="s">
        <v>580</v>
      </c>
      <c r="J3671" s="343" t="s">
        <v>12836</v>
      </c>
      <c r="K3671" s="343" t="s">
        <v>248</v>
      </c>
    </row>
    <row r="3672" spans="1:11" ht="26.25" customHeight="1">
      <c r="A3672" s="343" t="s">
        <v>6104</v>
      </c>
      <c r="B3672" s="344" t="s">
        <v>162</v>
      </c>
      <c r="C3672" s="344">
        <v>12019</v>
      </c>
      <c r="D3672" s="343" t="s">
        <v>6231</v>
      </c>
      <c r="E3672" s="344">
        <v>5096518</v>
      </c>
      <c r="F3672" s="343" t="s">
        <v>6236</v>
      </c>
      <c r="G3672" s="360" t="s">
        <v>12837</v>
      </c>
      <c r="H3672" s="361">
        <v>42475</v>
      </c>
      <c r="I3672" s="343" t="s">
        <v>166</v>
      </c>
      <c r="J3672" s="343" t="s">
        <v>243</v>
      </c>
      <c r="K3672" s="343" t="s">
        <v>168</v>
      </c>
    </row>
    <row r="3673" spans="1:11" ht="26.25" customHeight="1">
      <c r="A3673" s="343" t="s">
        <v>6104</v>
      </c>
      <c r="B3673" s="344" t="s">
        <v>162</v>
      </c>
      <c r="C3673" s="344">
        <v>7046</v>
      </c>
      <c r="D3673" s="343" t="s">
        <v>6326</v>
      </c>
      <c r="E3673" s="344">
        <v>6482748</v>
      </c>
      <c r="F3673" s="343" t="s">
        <v>6327</v>
      </c>
      <c r="G3673" s="360" t="s">
        <v>12838</v>
      </c>
      <c r="H3673" s="361">
        <v>42475</v>
      </c>
      <c r="I3673" s="343" t="s">
        <v>193</v>
      </c>
      <c r="J3673" s="343" t="s">
        <v>429</v>
      </c>
      <c r="K3673" s="343" t="s">
        <v>168</v>
      </c>
    </row>
    <row r="3674" spans="1:11" ht="26.25" customHeight="1">
      <c r="A3674" s="343" t="s">
        <v>6104</v>
      </c>
      <c r="B3674" s="344" t="s">
        <v>162</v>
      </c>
      <c r="C3674" s="344">
        <v>7038</v>
      </c>
      <c r="D3674" s="343" t="s">
        <v>6237</v>
      </c>
      <c r="E3674" s="344">
        <v>5010648</v>
      </c>
      <c r="F3674" s="343" t="s">
        <v>6243</v>
      </c>
      <c r="G3674" s="360" t="s">
        <v>12839</v>
      </c>
      <c r="H3674" s="361">
        <v>42486</v>
      </c>
      <c r="I3674" s="343" t="s">
        <v>6244</v>
      </c>
      <c r="J3674" s="343" t="s">
        <v>12840</v>
      </c>
      <c r="K3674" s="343" t="s">
        <v>168</v>
      </c>
    </row>
    <row r="3675" spans="1:11" ht="26.25" customHeight="1">
      <c r="A3675" s="343" t="s">
        <v>6104</v>
      </c>
      <c r="B3675" s="344" t="s">
        <v>162</v>
      </c>
      <c r="C3675" s="344">
        <v>8752</v>
      </c>
      <c r="D3675" s="343" t="s">
        <v>6312</v>
      </c>
      <c r="E3675" s="344">
        <v>5625004</v>
      </c>
      <c r="F3675" s="343" t="s">
        <v>6313</v>
      </c>
      <c r="G3675" s="360" t="s">
        <v>9659</v>
      </c>
      <c r="H3675" s="361">
        <v>42489</v>
      </c>
      <c r="I3675" s="343" t="s">
        <v>166</v>
      </c>
      <c r="J3675" s="343" t="s">
        <v>12841</v>
      </c>
      <c r="K3675" s="343" t="s">
        <v>168</v>
      </c>
    </row>
    <row r="3676" spans="1:11" ht="26.25" customHeight="1">
      <c r="A3676" s="343" t="s">
        <v>6104</v>
      </c>
      <c r="B3676" s="344" t="s">
        <v>162</v>
      </c>
      <c r="C3676" s="344">
        <v>7546</v>
      </c>
      <c r="D3676" s="343" t="s">
        <v>6122</v>
      </c>
      <c r="E3676" s="344">
        <v>6252929</v>
      </c>
      <c r="F3676" s="343" t="s">
        <v>6124</v>
      </c>
      <c r="G3676" s="360" t="s">
        <v>9455</v>
      </c>
      <c r="H3676" s="361">
        <v>42493</v>
      </c>
      <c r="I3676" s="343" t="s">
        <v>193</v>
      </c>
      <c r="J3676" s="343" t="s">
        <v>12842</v>
      </c>
      <c r="K3676" s="343" t="s">
        <v>168</v>
      </c>
    </row>
    <row r="3677" spans="1:11" ht="26.25" customHeight="1">
      <c r="A3677" s="343" t="s">
        <v>6104</v>
      </c>
      <c r="B3677" s="344" t="s">
        <v>162</v>
      </c>
      <c r="C3677" s="344">
        <v>7534</v>
      </c>
      <c r="D3677" s="343" t="s">
        <v>6139</v>
      </c>
      <c r="E3677" s="344">
        <v>6363607</v>
      </c>
      <c r="F3677" s="343" t="s">
        <v>6144</v>
      </c>
      <c r="G3677" s="360" t="s">
        <v>9475</v>
      </c>
      <c r="H3677" s="361">
        <v>42485</v>
      </c>
      <c r="I3677" s="343" t="s">
        <v>284</v>
      </c>
      <c r="J3677" s="343" t="s">
        <v>12843</v>
      </c>
      <c r="K3677" s="343" t="s">
        <v>168</v>
      </c>
    </row>
    <row r="3678" spans="1:11" ht="26.25" customHeight="1">
      <c r="A3678" s="343" t="s">
        <v>6104</v>
      </c>
      <c r="B3678" s="344" t="s">
        <v>162</v>
      </c>
      <c r="C3678" s="344">
        <v>7481</v>
      </c>
      <c r="D3678" s="343" t="s">
        <v>6152</v>
      </c>
      <c r="E3678" s="344">
        <v>6372139</v>
      </c>
      <c r="F3678" s="343" t="s">
        <v>6155</v>
      </c>
      <c r="G3678" s="360" t="s">
        <v>12844</v>
      </c>
      <c r="H3678" s="361">
        <v>42503</v>
      </c>
      <c r="I3678" s="343" t="s">
        <v>193</v>
      </c>
      <c r="J3678" s="343" t="s">
        <v>12845</v>
      </c>
      <c r="K3678" s="343" t="s">
        <v>168</v>
      </c>
    </row>
    <row r="3679" spans="1:11" ht="26.25" customHeight="1">
      <c r="A3679" s="343" t="s">
        <v>6104</v>
      </c>
      <c r="B3679" s="344" t="s">
        <v>162</v>
      </c>
      <c r="C3679" s="344">
        <v>7552</v>
      </c>
      <c r="D3679" s="343" t="s">
        <v>6136</v>
      </c>
      <c r="E3679" s="344">
        <v>6391588</v>
      </c>
      <c r="F3679" s="343" t="s">
        <v>6138</v>
      </c>
      <c r="G3679" s="360" t="s">
        <v>12846</v>
      </c>
      <c r="H3679" s="361">
        <v>42494</v>
      </c>
      <c r="I3679" s="343" t="s">
        <v>423</v>
      </c>
      <c r="J3679" s="343" t="s">
        <v>12847</v>
      </c>
      <c r="K3679" s="343" t="s">
        <v>168</v>
      </c>
    </row>
    <row r="3680" spans="1:11" ht="26.25" customHeight="1">
      <c r="A3680" s="343" t="s">
        <v>6104</v>
      </c>
      <c r="B3680" s="344" t="s">
        <v>162</v>
      </c>
      <c r="C3680" s="344">
        <v>7557</v>
      </c>
      <c r="D3680" s="343" t="s">
        <v>6108</v>
      </c>
      <c r="E3680" s="344">
        <v>6420652</v>
      </c>
      <c r="F3680" s="343" t="s">
        <v>6110</v>
      </c>
      <c r="G3680" s="360" t="s">
        <v>10029</v>
      </c>
      <c r="H3680" s="361">
        <v>42509</v>
      </c>
      <c r="I3680" s="343" t="s">
        <v>423</v>
      </c>
      <c r="J3680" s="343" t="s">
        <v>12848</v>
      </c>
      <c r="K3680" s="343" t="s">
        <v>168</v>
      </c>
    </row>
    <row r="3681" spans="1:11" ht="26.25" customHeight="1">
      <c r="A3681" s="343" t="s">
        <v>6104</v>
      </c>
      <c r="B3681" s="344" t="s">
        <v>162</v>
      </c>
      <c r="C3681" s="344">
        <v>7552</v>
      </c>
      <c r="D3681" s="343" t="s">
        <v>6136</v>
      </c>
      <c r="E3681" s="344">
        <v>6349129</v>
      </c>
      <c r="F3681" s="343" t="s">
        <v>6137</v>
      </c>
      <c r="G3681" s="360" t="s">
        <v>468</v>
      </c>
      <c r="H3681" s="361">
        <v>42514</v>
      </c>
      <c r="I3681" s="343" t="s">
        <v>349</v>
      </c>
      <c r="J3681" s="343" t="s">
        <v>12849</v>
      </c>
      <c r="K3681" s="343" t="s">
        <v>168</v>
      </c>
    </row>
    <row r="3682" spans="1:11" ht="26.25" customHeight="1">
      <c r="A3682" s="343" t="s">
        <v>6104</v>
      </c>
      <c r="B3682" s="344" t="s">
        <v>162</v>
      </c>
      <c r="C3682" s="344">
        <v>7038</v>
      </c>
      <c r="D3682" s="343" t="s">
        <v>6237</v>
      </c>
      <c r="E3682" s="344">
        <v>4715155</v>
      </c>
      <c r="F3682" s="343" t="s">
        <v>6239</v>
      </c>
      <c r="G3682" s="360" t="s">
        <v>10747</v>
      </c>
      <c r="H3682" s="361">
        <v>42551</v>
      </c>
      <c r="I3682" s="343" t="s">
        <v>193</v>
      </c>
      <c r="J3682" s="343" t="s">
        <v>536</v>
      </c>
      <c r="K3682" s="343" t="s">
        <v>168</v>
      </c>
    </row>
    <row r="3683" spans="1:11" ht="26.25" customHeight="1">
      <c r="A3683" s="343" t="s">
        <v>6104</v>
      </c>
      <c r="B3683" s="344" t="s">
        <v>162</v>
      </c>
      <c r="C3683" s="344">
        <v>8804</v>
      </c>
      <c r="D3683" s="343" t="s">
        <v>6174</v>
      </c>
      <c r="E3683" s="344">
        <v>6153663</v>
      </c>
      <c r="F3683" s="343" t="s">
        <v>6176</v>
      </c>
      <c r="G3683" s="360" t="s">
        <v>10450</v>
      </c>
      <c r="H3683" s="361">
        <v>42538</v>
      </c>
      <c r="I3683" s="343" t="s">
        <v>166</v>
      </c>
      <c r="J3683" s="343" t="s">
        <v>12850</v>
      </c>
      <c r="K3683" s="343" t="s">
        <v>248</v>
      </c>
    </row>
    <row r="3684" spans="1:11" ht="26.25" customHeight="1">
      <c r="A3684" s="343" t="s">
        <v>6104</v>
      </c>
      <c r="B3684" s="344" t="s">
        <v>162</v>
      </c>
      <c r="C3684" s="344">
        <v>8804</v>
      </c>
      <c r="D3684" s="343" t="s">
        <v>6174</v>
      </c>
      <c r="E3684" s="344">
        <v>6190048</v>
      </c>
      <c r="F3684" s="343" t="s">
        <v>6175</v>
      </c>
      <c r="G3684" s="360" t="s">
        <v>298</v>
      </c>
      <c r="H3684" s="361">
        <v>42538</v>
      </c>
      <c r="I3684" s="343" t="s">
        <v>166</v>
      </c>
      <c r="J3684" s="343" t="s">
        <v>12851</v>
      </c>
      <c r="K3684" s="343" t="s">
        <v>168</v>
      </c>
    </row>
    <row r="3685" spans="1:11" ht="26.25" customHeight="1">
      <c r="A3685" s="343" t="s">
        <v>6104</v>
      </c>
      <c r="B3685" s="344" t="s">
        <v>162</v>
      </c>
      <c r="C3685" s="344">
        <v>11623</v>
      </c>
      <c r="D3685" s="343" t="s">
        <v>6202</v>
      </c>
      <c r="E3685" s="344">
        <v>6044345</v>
      </c>
      <c r="F3685" s="343" t="s">
        <v>6209</v>
      </c>
      <c r="G3685" s="360" t="s">
        <v>12852</v>
      </c>
      <c r="H3685" s="361">
        <v>42562</v>
      </c>
      <c r="I3685" s="343" t="s">
        <v>193</v>
      </c>
      <c r="J3685" s="343" t="s">
        <v>536</v>
      </c>
      <c r="K3685" s="343" t="s">
        <v>168</v>
      </c>
    </row>
    <row r="3686" spans="1:11" ht="26.25" customHeight="1">
      <c r="A3686" s="343" t="s">
        <v>6104</v>
      </c>
      <c r="B3686" s="344" t="s">
        <v>162</v>
      </c>
      <c r="C3686" s="344">
        <v>7531</v>
      </c>
      <c r="D3686" s="343" t="s">
        <v>6189</v>
      </c>
      <c r="E3686" s="344">
        <v>6139564</v>
      </c>
      <c r="F3686" s="343" t="s">
        <v>6190</v>
      </c>
      <c r="G3686" s="360" t="s">
        <v>320</v>
      </c>
      <c r="H3686" s="361">
        <v>42578</v>
      </c>
      <c r="I3686" s="343" t="s">
        <v>336</v>
      </c>
      <c r="J3686" s="343" t="s">
        <v>12853</v>
      </c>
      <c r="K3686" s="343" t="s">
        <v>168</v>
      </c>
    </row>
    <row r="3687" spans="1:11" ht="26.25" customHeight="1">
      <c r="A3687" s="343" t="s">
        <v>6104</v>
      </c>
      <c r="B3687" s="344" t="s">
        <v>162</v>
      </c>
      <c r="C3687" s="344">
        <v>7547</v>
      </c>
      <c r="D3687" s="343" t="s">
        <v>6184</v>
      </c>
      <c r="E3687" s="344">
        <v>6315324</v>
      </c>
      <c r="F3687" s="343" t="s">
        <v>6185</v>
      </c>
      <c r="G3687" s="360" t="s">
        <v>12854</v>
      </c>
      <c r="H3687" s="361">
        <v>42587</v>
      </c>
      <c r="I3687" s="343" t="s">
        <v>166</v>
      </c>
      <c r="J3687" s="343" t="s">
        <v>344</v>
      </c>
      <c r="K3687" s="343" t="s">
        <v>168</v>
      </c>
    </row>
    <row r="3688" spans="1:11" ht="26.25" customHeight="1">
      <c r="A3688" s="343" t="s">
        <v>6104</v>
      </c>
      <c r="B3688" s="344" t="s">
        <v>162</v>
      </c>
      <c r="C3688" s="344">
        <v>7032</v>
      </c>
      <c r="D3688" s="343" t="s">
        <v>6320</v>
      </c>
      <c r="E3688" s="344">
        <v>4479704</v>
      </c>
      <c r="F3688" s="343" t="s">
        <v>6323</v>
      </c>
      <c r="G3688" s="360" t="s">
        <v>12855</v>
      </c>
      <c r="H3688" s="361">
        <v>41915</v>
      </c>
      <c r="I3688" s="343" t="s">
        <v>366</v>
      </c>
      <c r="J3688" s="343" t="s">
        <v>12856</v>
      </c>
      <c r="K3688" s="343" t="s">
        <v>168</v>
      </c>
    </row>
    <row r="3689" spans="1:11" ht="26.25" customHeight="1">
      <c r="A3689" s="343" t="s">
        <v>6104</v>
      </c>
      <c r="B3689" s="344" t="s">
        <v>162</v>
      </c>
      <c r="C3689" s="344">
        <v>7032</v>
      </c>
      <c r="D3689" s="343" t="s">
        <v>6320</v>
      </c>
      <c r="E3689" s="344">
        <v>4419328</v>
      </c>
      <c r="F3689" s="343" t="s">
        <v>6321</v>
      </c>
      <c r="G3689" s="360" t="s">
        <v>864</v>
      </c>
      <c r="H3689" s="361">
        <v>41915</v>
      </c>
      <c r="I3689" s="343" t="s">
        <v>366</v>
      </c>
      <c r="J3689" s="343" t="s">
        <v>12857</v>
      </c>
      <c r="K3689" s="343" t="s">
        <v>168</v>
      </c>
    </row>
    <row r="3690" spans="1:11" ht="26.25" customHeight="1">
      <c r="A3690" s="343" t="s">
        <v>6104</v>
      </c>
      <c r="B3690" s="344" t="s">
        <v>162</v>
      </c>
      <c r="C3690" s="344">
        <v>7534</v>
      </c>
      <c r="D3690" s="343" t="s">
        <v>6139</v>
      </c>
      <c r="E3690" s="344">
        <v>6019623</v>
      </c>
      <c r="F3690" s="343" t="s">
        <v>6142</v>
      </c>
      <c r="G3690" s="360" t="s">
        <v>10684</v>
      </c>
      <c r="H3690" s="361">
        <v>42600</v>
      </c>
      <c r="I3690" s="343" t="s">
        <v>193</v>
      </c>
      <c r="J3690" s="343" t="s">
        <v>12858</v>
      </c>
      <c r="K3690" s="343" t="s">
        <v>168</v>
      </c>
    </row>
    <row r="3691" spans="1:11" ht="26.25" customHeight="1">
      <c r="A3691" s="343" t="s">
        <v>6104</v>
      </c>
      <c r="B3691" s="344" t="s">
        <v>162</v>
      </c>
      <c r="C3691" s="344">
        <v>7534</v>
      </c>
      <c r="D3691" s="343" t="s">
        <v>6139</v>
      </c>
      <c r="E3691" s="344">
        <v>6240353</v>
      </c>
      <c r="F3691" s="343" t="s">
        <v>6141</v>
      </c>
      <c r="G3691" s="360" t="s">
        <v>9689</v>
      </c>
      <c r="H3691" s="361">
        <v>42612</v>
      </c>
      <c r="I3691" s="343" t="s">
        <v>313</v>
      </c>
      <c r="J3691" s="343" t="s">
        <v>314</v>
      </c>
      <c r="K3691" s="343" t="s">
        <v>173</v>
      </c>
    </row>
    <row r="3692" spans="1:11" ht="26.25" customHeight="1">
      <c r="A3692" s="343" t="s">
        <v>6104</v>
      </c>
      <c r="B3692" s="344" t="s">
        <v>162</v>
      </c>
      <c r="C3692" s="344">
        <v>9178</v>
      </c>
      <c r="D3692" s="343" t="s">
        <v>6415</v>
      </c>
      <c r="E3692" s="344">
        <v>6178571</v>
      </c>
      <c r="F3692" s="343" t="s">
        <v>6416</v>
      </c>
      <c r="G3692" s="360" t="s">
        <v>1164</v>
      </c>
      <c r="H3692" s="361">
        <v>42612</v>
      </c>
      <c r="I3692" s="343" t="s">
        <v>3850</v>
      </c>
      <c r="J3692" s="343" t="s">
        <v>11369</v>
      </c>
      <c r="K3692" s="343" t="s">
        <v>168</v>
      </c>
    </row>
    <row r="3693" spans="1:11" ht="26.25" customHeight="1">
      <c r="A3693" s="343" t="s">
        <v>6104</v>
      </c>
      <c r="B3693" s="344" t="s">
        <v>162</v>
      </c>
      <c r="C3693" s="344">
        <v>7168</v>
      </c>
      <c r="D3693" s="343" t="s">
        <v>6284</v>
      </c>
      <c r="E3693" s="344">
        <v>5750369</v>
      </c>
      <c r="F3693" s="343" t="s">
        <v>6285</v>
      </c>
      <c r="G3693" s="360" t="s">
        <v>12859</v>
      </c>
      <c r="H3693" s="361">
        <v>42629</v>
      </c>
      <c r="I3693" s="343" t="s">
        <v>6286</v>
      </c>
      <c r="J3693" s="343" t="s">
        <v>12860</v>
      </c>
      <c r="K3693" s="343" t="s">
        <v>173</v>
      </c>
    </row>
    <row r="3694" spans="1:11" ht="26.25" customHeight="1">
      <c r="A3694" s="343" t="s">
        <v>6104</v>
      </c>
      <c r="B3694" s="344" t="s">
        <v>162</v>
      </c>
      <c r="C3694" s="344">
        <v>11623</v>
      </c>
      <c r="D3694" s="343" t="s">
        <v>6202</v>
      </c>
      <c r="E3694" s="344">
        <v>5704263</v>
      </c>
      <c r="F3694" s="343" t="s">
        <v>6210</v>
      </c>
      <c r="G3694" s="360" t="s">
        <v>10826</v>
      </c>
      <c r="H3694" s="361">
        <v>42646</v>
      </c>
      <c r="I3694" s="343" t="s">
        <v>366</v>
      </c>
      <c r="J3694" s="343" t="s">
        <v>9849</v>
      </c>
      <c r="K3694" s="343" t="s">
        <v>168</v>
      </c>
    </row>
    <row r="3695" spans="1:11" ht="26.25" customHeight="1">
      <c r="A3695" s="343" t="s">
        <v>6104</v>
      </c>
      <c r="B3695" s="344" t="s">
        <v>162</v>
      </c>
      <c r="C3695" s="344">
        <v>8947</v>
      </c>
      <c r="D3695" s="343" t="s">
        <v>6418</v>
      </c>
      <c r="E3695" s="344">
        <v>6010234</v>
      </c>
      <c r="F3695" s="343" t="s">
        <v>6420</v>
      </c>
      <c r="G3695" s="360" t="s">
        <v>1121</v>
      </c>
      <c r="H3695" s="361">
        <v>42646</v>
      </c>
      <c r="I3695" s="343" t="s">
        <v>198</v>
      </c>
      <c r="J3695" s="343" t="s">
        <v>12861</v>
      </c>
      <c r="K3695" s="343" t="s">
        <v>168</v>
      </c>
    </row>
    <row r="3696" spans="1:11" ht="26.25" customHeight="1">
      <c r="A3696" s="343" t="s">
        <v>6104</v>
      </c>
      <c r="B3696" s="344" t="s">
        <v>162</v>
      </c>
      <c r="C3696" s="344">
        <v>7507</v>
      </c>
      <c r="D3696" s="343" t="s">
        <v>6129</v>
      </c>
      <c r="E3696" s="344">
        <v>6434205</v>
      </c>
      <c r="F3696" s="343" t="s">
        <v>6131</v>
      </c>
      <c r="G3696" s="360" t="s">
        <v>9617</v>
      </c>
      <c r="H3696" s="361">
        <v>42646</v>
      </c>
      <c r="I3696" s="343" t="s">
        <v>423</v>
      </c>
      <c r="J3696" s="343" t="s">
        <v>12862</v>
      </c>
      <c r="K3696" s="343" t="s">
        <v>168</v>
      </c>
    </row>
    <row r="3697" spans="1:11" ht="26.25" customHeight="1">
      <c r="A3697" s="343" t="s">
        <v>6104</v>
      </c>
      <c r="B3697" s="344" t="s">
        <v>162</v>
      </c>
      <c r="C3697" s="344">
        <v>7032</v>
      </c>
      <c r="D3697" s="343" t="s">
        <v>6320</v>
      </c>
      <c r="E3697" s="344">
        <v>6388609</v>
      </c>
      <c r="F3697" s="343" t="s">
        <v>6324</v>
      </c>
      <c r="G3697" s="360" t="s">
        <v>9965</v>
      </c>
      <c r="H3697" s="361">
        <v>42646</v>
      </c>
      <c r="I3697" s="343" t="s">
        <v>198</v>
      </c>
      <c r="J3697" s="343" t="s">
        <v>1327</v>
      </c>
      <c r="K3697" s="343" t="s">
        <v>168</v>
      </c>
    </row>
    <row r="3698" spans="1:11" ht="26.25" customHeight="1">
      <c r="A3698" s="343" t="s">
        <v>6104</v>
      </c>
      <c r="B3698" s="344" t="s">
        <v>162</v>
      </c>
      <c r="C3698" s="344">
        <v>12114</v>
      </c>
      <c r="D3698" s="343" t="s">
        <v>6314</v>
      </c>
      <c r="E3698" s="344">
        <v>4678538</v>
      </c>
      <c r="F3698" s="343" t="s">
        <v>6315</v>
      </c>
      <c r="G3698" s="360" t="s">
        <v>12863</v>
      </c>
      <c r="H3698" s="361">
        <v>42654</v>
      </c>
      <c r="I3698" s="343" t="s">
        <v>709</v>
      </c>
      <c r="J3698" s="343" t="s">
        <v>10359</v>
      </c>
      <c r="K3698" s="343" t="s">
        <v>168</v>
      </c>
    </row>
    <row r="3699" spans="1:11" ht="26.25" customHeight="1">
      <c r="A3699" s="343" t="s">
        <v>6104</v>
      </c>
      <c r="B3699" s="344" t="s">
        <v>162</v>
      </c>
      <c r="C3699" s="344">
        <v>6814</v>
      </c>
      <c r="D3699" s="343" t="s">
        <v>6337</v>
      </c>
      <c r="E3699" s="344">
        <v>5667410</v>
      </c>
      <c r="F3699" s="343" t="s">
        <v>6339</v>
      </c>
      <c r="G3699" s="360" t="s">
        <v>619</v>
      </c>
      <c r="H3699" s="361">
        <v>42678</v>
      </c>
      <c r="I3699" s="343" t="s">
        <v>193</v>
      </c>
      <c r="J3699" s="343" t="s">
        <v>637</v>
      </c>
      <c r="K3699" s="343" t="s">
        <v>168</v>
      </c>
    </row>
    <row r="3700" spans="1:11" ht="26.25" customHeight="1">
      <c r="A3700" s="343" t="s">
        <v>6104</v>
      </c>
      <c r="B3700" s="344" t="s">
        <v>162</v>
      </c>
      <c r="C3700" s="344">
        <v>11856</v>
      </c>
      <c r="D3700" s="343" t="s">
        <v>6196</v>
      </c>
      <c r="E3700" s="344">
        <v>5115456</v>
      </c>
      <c r="F3700" s="343" t="s">
        <v>6197</v>
      </c>
      <c r="G3700" s="360" t="s">
        <v>12864</v>
      </c>
      <c r="H3700" s="361">
        <v>42685</v>
      </c>
      <c r="I3700" s="343" t="s">
        <v>4048</v>
      </c>
      <c r="J3700" s="343" t="s">
        <v>12865</v>
      </c>
      <c r="K3700" s="343" t="s">
        <v>168</v>
      </c>
    </row>
    <row r="3701" spans="1:11" ht="26.25" customHeight="1">
      <c r="A3701" s="343" t="s">
        <v>6104</v>
      </c>
      <c r="B3701" s="344" t="s">
        <v>162</v>
      </c>
      <c r="C3701" s="344">
        <v>7481</v>
      </c>
      <c r="D3701" s="343" t="s">
        <v>6152</v>
      </c>
      <c r="E3701" s="344">
        <v>6375748</v>
      </c>
      <c r="F3701" s="343" t="s">
        <v>6156</v>
      </c>
      <c r="G3701" s="360" t="s">
        <v>522</v>
      </c>
      <c r="H3701" s="361">
        <v>42690</v>
      </c>
      <c r="I3701" s="343" t="s">
        <v>284</v>
      </c>
      <c r="J3701" s="343" t="s">
        <v>12866</v>
      </c>
      <c r="K3701" s="343" t="s">
        <v>168</v>
      </c>
    </row>
    <row r="3702" spans="1:11" ht="26.25" customHeight="1">
      <c r="A3702" s="343" t="s">
        <v>6104</v>
      </c>
      <c r="B3702" s="344" t="s">
        <v>162</v>
      </c>
      <c r="C3702" s="344">
        <v>7556</v>
      </c>
      <c r="D3702" s="343" t="s">
        <v>6150</v>
      </c>
      <c r="E3702" s="344">
        <v>6484415</v>
      </c>
      <c r="F3702" s="343" t="s">
        <v>6151</v>
      </c>
      <c r="G3702" s="360" t="s">
        <v>12867</v>
      </c>
      <c r="H3702" s="361">
        <v>42690</v>
      </c>
      <c r="I3702" s="343" t="s">
        <v>193</v>
      </c>
      <c r="J3702" s="343" t="s">
        <v>377</v>
      </c>
      <c r="K3702" s="343" t="s">
        <v>168</v>
      </c>
    </row>
    <row r="3703" spans="1:11" ht="26.25" customHeight="1">
      <c r="A3703" s="343" t="s">
        <v>6104</v>
      </c>
      <c r="B3703" s="344" t="s">
        <v>162</v>
      </c>
      <c r="C3703" s="344">
        <v>7558</v>
      </c>
      <c r="D3703" s="343" t="s">
        <v>6112</v>
      </c>
      <c r="E3703" s="344">
        <v>6407742</v>
      </c>
      <c r="F3703" s="343" t="s">
        <v>6113</v>
      </c>
      <c r="G3703" s="360" t="s">
        <v>9617</v>
      </c>
      <c r="H3703" s="361">
        <v>42690</v>
      </c>
      <c r="I3703" s="343" t="s">
        <v>4251</v>
      </c>
      <c r="J3703" s="343" t="s">
        <v>12868</v>
      </c>
      <c r="K3703" s="343" t="s">
        <v>173</v>
      </c>
    </row>
    <row r="3704" spans="1:11" ht="26.25" customHeight="1">
      <c r="A3704" s="343" t="s">
        <v>6104</v>
      </c>
      <c r="B3704" s="344" t="s">
        <v>162</v>
      </c>
      <c r="C3704" s="344">
        <v>12114</v>
      </c>
      <c r="D3704" s="343" t="s">
        <v>6314</v>
      </c>
      <c r="E3704" s="344">
        <v>4490848</v>
      </c>
      <c r="F3704" s="343" t="s">
        <v>6318</v>
      </c>
      <c r="G3704" s="360" t="s">
        <v>12869</v>
      </c>
      <c r="H3704" s="361">
        <v>41687</v>
      </c>
      <c r="I3704" s="343" t="s">
        <v>1038</v>
      </c>
      <c r="J3704" s="343" t="s">
        <v>1165</v>
      </c>
      <c r="K3704" s="343" t="s">
        <v>168</v>
      </c>
    </row>
    <row r="3705" spans="1:11" ht="26.25" customHeight="1">
      <c r="A3705" s="343" t="s">
        <v>6104</v>
      </c>
      <c r="B3705" s="344" t="s">
        <v>162</v>
      </c>
      <c r="C3705" s="344">
        <v>7550</v>
      </c>
      <c r="D3705" s="343" t="s">
        <v>6168</v>
      </c>
      <c r="E3705" s="344">
        <v>6403020</v>
      </c>
      <c r="F3705" s="343" t="s">
        <v>6169</v>
      </c>
      <c r="G3705" s="360" t="s">
        <v>12565</v>
      </c>
      <c r="H3705" s="361">
        <v>42709</v>
      </c>
      <c r="I3705" s="343" t="s">
        <v>271</v>
      </c>
      <c r="J3705" s="343" t="s">
        <v>12870</v>
      </c>
      <c r="K3705" s="343" t="s">
        <v>168</v>
      </c>
    </row>
    <row r="3706" spans="1:11" ht="26.25" customHeight="1">
      <c r="A3706" s="343" t="s">
        <v>6104</v>
      </c>
      <c r="B3706" s="344" t="s">
        <v>162</v>
      </c>
      <c r="C3706" s="344">
        <v>9346</v>
      </c>
      <c r="D3706" s="343" t="s">
        <v>6246</v>
      </c>
      <c r="E3706" s="344">
        <v>3979667</v>
      </c>
      <c r="F3706" s="343" t="s">
        <v>6252</v>
      </c>
      <c r="G3706" s="360" t="s">
        <v>12871</v>
      </c>
      <c r="H3706" s="361">
        <v>41934</v>
      </c>
      <c r="I3706" s="343" t="s">
        <v>211</v>
      </c>
      <c r="J3706" s="343" t="s">
        <v>212</v>
      </c>
      <c r="K3706" s="343" t="s">
        <v>168</v>
      </c>
    </row>
    <row r="3707" spans="1:11" ht="26.25" customHeight="1">
      <c r="A3707" s="343" t="s">
        <v>6104</v>
      </c>
      <c r="B3707" s="344" t="s">
        <v>162</v>
      </c>
      <c r="C3707" s="344">
        <v>7047</v>
      </c>
      <c r="D3707" s="343" t="s">
        <v>6227</v>
      </c>
      <c r="E3707" s="344">
        <v>4707515</v>
      </c>
      <c r="F3707" s="343" t="s">
        <v>6229</v>
      </c>
      <c r="G3707" s="360" t="s">
        <v>12872</v>
      </c>
      <c r="H3707" s="361">
        <v>40982</v>
      </c>
      <c r="I3707" s="343" t="s">
        <v>211</v>
      </c>
      <c r="J3707" s="343" t="s">
        <v>211</v>
      </c>
      <c r="K3707" s="343" t="s">
        <v>168</v>
      </c>
    </row>
    <row r="3708" spans="1:11" ht="26.25" customHeight="1">
      <c r="A3708" s="343" t="s">
        <v>6104</v>
      </c>
      <c r="B3708" s="344" t="s">
        <v>162</v>
      </c>
      <c r="C3708" s="344">
        <v>7041</v>
      </c>
      <c r="D3708" s="343" t="s">
        <v>6220</v>
      </c>
      <c r="E3708" s="344">
        <v>4542156</v>
      </c>
      <c r="F3708" s="343" t="s">
        <v>6221</v>
      </c>
      <c r="G3708" s="360" t="s">
        <v>12277</v>
      </c>
      <c r="H3708" s="361">
        <v>41115</v>
      </c>
      <c r="I3708" s="343" t="s">
        <v>211</v>
      </c>
      <c r="J3708" s="343" t="s">
        <v>211</v>
      </c>
      <c r="K3708" s="343" t="s">
        <v>168</v>
      </c>
    </row>
    <row r="3709" spans="1:11" ht="26.25" customHeight="1">
      <c r="A3709" s="343" t="s">
        <v>6104</v>
      </c>
      <c r="B3709" s="344" t="s">
        <v>162</v>
      </c>
      <c r="C3709" s="344">
        <v>7042</v>
      </c>
      <c r="D3709" s="343" t="s">
        <v>6260</v>
      </c>
      <c r="E3709" s="344">
        <v>3875141</v>
      </c>
      <c r="F3709" s="343" t="s">
        <v>6261</v>
      </c>
      <c r="G3709" s="360" t="s">
        <v>12281</v>
      </c>
      <c r="H3709" s="361">
        <v>41872</v>
      </c>
      <c r="I3709" s="343" t="s">
        <v>366</v>
      </c>
      <c r="J3709" s="343" t="s">
        <v>366</v>
      </c>
      <c r="K3709" s="343" t="s">
        <v>168</v>
      </c>
    </row>
    <row r="3710" spans="1:11" ht="26.25" customHeight="1">
      <c r="A3710" s="343" t="s">
        <v>6104</v>
      </c>
      <c r="B3710" s="344" t="s">
        <v>162</v>
      </c>
      <c r="C3710" s="344">
        <v>7168</v>
      </c>
      <c r="D3710" s="343" t="s">
        <v>6284</v>
      </c>
      <c r="E3710" s="344">
        <v>5848396</v>
      </c>
      <c r="F3710" s="343" t="s">
        <v>6287</v>
      </c>
      <c r="G3710" s="360" t="s">
        <v>12873</v>
      </c>
      <c r="H3710" s="361">
        <v>41344</v>
      </c>
      <c r="I3710" s="343" t="s">
        <v>547</v>
      </c>
      <c r="J3710" s="343" t="s">
        <v>1028</v>
      </c>
      <c r="K3710" s="343" t="s">
        <v>248</v>
      </c>
    </row>
    <row r="3711" spans="1:11" ht="26.25" customHeight="1">
      <c r="A3711" s="343" t="s">
        <v>6104</v>
      </c>
      <c r="B3711" s="344" t="s">
        <v>162</v>
      </c>
      <c r="C3711" s="344">
        <v>6826</v>
      </c>
      <c r="D3711" s="343" t="s">
        <v>6213</v>
      </c>
      <c r="E3711" s="344">
        <v>4111588</v>
      </c>
      <c r="F3711" s="343" t="s">
        <v>6216</v>
      </c>
      <c r="G3711" s="360" t="s">
        <v>12874</v>
      </c>
      <c r="H3711" s="361">
        <v>41347</v>
      </c>
      <c r="I3711" s="343" t="s">
        <v>1322</v>
      </c>
      <c r="J3711" s="343" t="s">
        <v>12875</v>
      </c>
      <c r="K3711" s="343" t="s">
        <v>168</v>
      </c>
    </row>
    <row r="3712" spans="1:11" ht="26.25" customHeight="1">
      <c r="A3712" s="343" t="s">
        <v>6104</v>
      </c>
      <c r="B3712" s="344" t="s">
        <v>162</v>
      </c>
      <c r="C3712" s="344">
        <v>9844</v>
      </c>
      <c r="D3712" s="343" t="s">
        <v>6279</v>
      </c>
      <c r="E3712" s="344">
        <v>3600329</v>
      </c>
      <c r="F3712" s="343" t="s">
        <v>6280</v>
      </c>
      <c r="G3712" s="360" t="s">
        <v>12876</v>
      </c>
      <c r="H3712" s="361">
        <v>41841</v>
      </c>
      <c r="I3712" s="343" t="s">
        <v>709</v>
      </c>
      <c r="J3712" s="343" t="s">
        <v>978</v>
      </c>
      <c r="K3712" s="343" t="s">
        <v>173</v>
      </c>
    </row>
    <row r="3713" spans="1:11" ht="26.25" customHeight="1">
      <c r="A3713" s="343" t="s">
        <v>6104</v>
      </c>
      <c r="B3713" s="344" t="s">
        <v>162</v>
      </c>
      <c r="C3713" s="344">
        <v>7042</v>
      </c>
      <c r="D3713" s="343" t="s">
        <v>6260</v>
      </c>
      <c r="E3713" s="344">
        <v>3777077</v>
      </c>
      <c r="F3713" s="343" t="s">
        <v>6262</v>
      </c>
      <c r="G3713" s="360" t="s">
        <v>12877</v>
      </c>
      <c r="H3713" s="361">
        <v>41843</v>
      </c>
      <c r="I3713" s="343" t="s">
        <v>6263</v>
      </c>
      <c r="J3713" s="343" t="s">
        <v>12878</v>
      </c>
      <c r="K3713" s="343" t="s">
        <v>168</v>
      </c>
    </row>
    <row r="3714" spans="1:11" ht="26.25" customHeight="1">
      <c r="A3714" s="343" t="s">
        <v>6104</v>
      </c>
      <c r="B3714" s="344" t="s">
        <v>162</v>
      </c>
      <c r="C3714" s="344">
        <v>11622</v>
      </c>
      <c r="D3714" s="343" t="s">
        <v>6199</v>
      </c>
      <c r="E3714" s="344">
        <v>4741706</v>
      </c>
      <c r="F3714" s="343" t="s">
        <v>6200</v>
      </c>
      <c r="G3714" s="360" t="s">
        <v>12879</v>
      </c>
      <c r="H3714" s="361">
        <v>41695</v>
      </c>
      <c r="I3714" s="343" t="s">
        <v>211</v>
      </c>
      <c r="J3714" s="343" t="s">
        <v>212</v>
      </c>
      <c r="K3714" s="343" t="s">
        <v>168</v>
      </c>
    </row>
    <row r="3715" spans="1:11" ht="26.25" customHeight="1">
      <c r="A3715" s="343" t="s">
        <v>6104</v>
      </c>
      <c r="B3715" s="344" t="s">
        <v>162</v>
      </c>
      <c r="C3715" s="344">
        <v>7042</v>
      </c>
      <c r="D3715" s="343" t="s">
        <v>6260</v>
      </c>
      <c r="E3715" s="344">
        <v>4430153</v>
      </c>
      <c r="F3715" s="343" t="s">
        <v>6266</v>
      </c>
      <c r="G3715" s="360" t="s">
        <v>12880</v>
      </c>
      <c r="H3715" s="361">
        <v>41516</v>
      </c>
      <c r="I3715" s="343" t="s">
        <v>187</v>
      </c>
      <c r="J3715" s="343" t="s">
        <v>12881</v>
      </c>
      <c r="K3715" s="343" t="s">
        <v>168</v>
      </c>
    </row>
    <row r="3716" spans="1:11" ht="26.25" customHeight="1">
      <c r="A3716" s="343" t="s">
        <v>6104</v>
      </c>
      <c r="B3716" s="344" t="s">
        <v>162</v>
      </c>
      <c r="C3716" s="344">
        <v>7035</v>
      </c>
      <c r="D3716" s="343" t="s">
        <v>6267</v>
      </c>
      <c r="E3716" s="344">
        <v>4755982</v>
      </c>
      <c r="F3716" s="343" t="s">
        <v>6269</v>
      </c>
      <c r="G3716" s="360" t="s">
        <v>12882</v>
      </c>
      <c r="H3716" s="361">
        <v>41373</v>
      </c>
      <c r="I3716" s="343" t="s">
        <v>4086</v>
      </c>
      <c r="J3716" s="343" t="s">
        <v>4086</v>
      </c>
      <c r="K3716" s="343" t="s">
        <v>248</v>
      </c>
    </row>
    <row r="3717" spans="1:11" ht="26.25" customHeight="1">
      <c r="A3717" s="343" t="s">
        <v>6104</v>
      </c>
      <c r="B3717" s="344" t="s">
        <v>162</v>
      </c>
      <c r="C3717" s="344">
        <v>7038</v>
      </c>
      <c r="D3717" s="343" t="s">
        <v>6237</v>
      </c>
      <c r="E3717" s="344">
        <v>3473781</v>
      </c>
      <c r="F3717" s="343" t="s">
        <v>6242</v>
      </c>
      <c r="G3717" s="360" t="s">
        <v>12883</v>
      </c>
      <c r="H3717" s="361">
        <v>41507</v>
      </c>
      <c r="I3717" s="343" t="s">
        <v>366</v>
      </c>
      <c r="J3717" s="343" t="s">
        <v>366</v>
      </c>
      <c r="K3717" s="343" t="s">
        <v>168</v>
      </c>
    </row>
    <row r="3718" spans="1:11" ht="26.25" customHeight="1">
      <c r="A3718" s="343" t="s">
        <v>6104</v>
      </c>
      <c r="B3718" s="344" t="s">
        <v>162</v>
      </c>
      <c r="C3718" s="344">
        <v>7037</v>
      </c>
      <c r="D3718" s="343" t="s">
        <v>6272</v>
      </c>
      <c r="E3718" s="344">
        <v>4719467</v>
      </c>
      <c r="F3718" s="343" t="s">
        <v>6274</v>
      </c>
      <c r="G3718" s="360" t="s">
        <v>796</v>
      </c>
      <c r="H3718" s="361">
        <v>41387</v>
      </c>
      <c r="I3718" s="343" t="s">
        <v>780</v>
      </c>
      <c r="J3718" s="343" t="s">
        <v>780</v>
      </c>
      <c r="K3718" s="343" t="s">
        <v>168</v>
      </c>
    </row>
    <row r="3719" spans="1:11" ht="26.25" customHeight="1">
      <c r="A3719" s="343" t="s">
        <v>6104</v>
      </c>
      <c r="B3719" s="344" t="s">
        <v>162</v>
      </c>
      <c r="C3719" s="344">
        <v>7047</v>
      </c>
      <c r="D3719" s="343" t="s">
        <v>6227</v>
      </c>
      <c r="E3719" s="344">
        <v>4503541</v>
      </c>
      <c r="F3719" s="343" t="s">
        <v>6228</v>
      </c>
      <c r="G3719" s="360" t="s">
        <v>10380</v>
      </c>
      <c r="H3719" s="361">
        <v>41414</v>
      </c>
      <c r="I3719" s="343" t="s">
        <v>1305</v>
      </c>
      <c r="J3719" s="343" t="s">
        <v>12884</v>
      </c>
      <c r="K3719" s="343" t="s">
        <v>168</v>
      </c>
    </row>
    <row r="3720" spans="1:11" ht="26.25" customHeight="1">
      <c r="A3720" s="343" t="s">
        <v>6104</v>
      </c>
      <c r="B3720" s="344" t="s">
        <v>162</v>
      </c>
      <c r="C3720" s="344">
        <v>7038</v>
      </c>
      <c r="D3720" s="343" t="s">
        <v>6237</v>
      </c>
      <c r="E3720" s="344">
        <v>4584272</v>
      </c>
      <c r="F3720" s="343" t="s">
        <v>6238</v>
      </c>
      <c r="G3720" s="360" t="s">
        <v>12885</v>
      </c>
      <c r="H3720" s="361">
        <v>41428</v>
      </c>
      <c r="I3720" s="343" t="s">
        <v>4428</v>
      </c>
      <c r="J3720" s="343" t="s">
        <v>12886</v>
      </c>
      <c r="K3720" s="343" t="s">
        <v>168</v>
      </c>
    </row>
    <row r="3721" spans="1:11" ht="26.25" customHeight="1">
      <c r="A3721" s="343" t="s">
        <v>6104</v>
      </c>
      <c r="B3721" s="344" t="s">
        <v>162</v>
      </c>
      <c r="C3721" s="344">
        <v>7045</v>
      </c>
      <c r="D3721" s="343" t="s">
        <v>6289</v>
      </c>
      <c r="E3721" s="344">
        <v>5476462</v>
      </c>
      <c r="F3721" s="343" t="s">
        <v>6291</v>
      </c>
      <c r="G3721" s="360" t="s">
        <v>12887</v>
      </c>
      <c r="H3721" s="361">
        <v>41717</v>
      </c>
      <c r="I3721" s="343" t="s">
        <v>180</v>
      </c>
      <c r="J3721" s="343" t="s">
        <v>12888</v>
      </c>
      <c r="K3721" s="343" t="s">
        <v>173</v>
      </c>
    </row>
    <row r="3722" spans="1:11" ht="26.25" customHeight="1">
      <c r="A3722" s="343" t="s">
        <v>6104</v>
      </c>
      <c r="B3722" s="344" t="s">
        <v>162</v>
      </c>
      <c r="C3722" s="344">
        <v>9844</v>
      </c>
      <c r="D3722" s="343" t="s">
        <v>6279</v>
      </c>
      <c r="E3722" s="344">
        <v>4911689</v>
      </c>
      <c r="F3722" s="343" t="s">
        <v>6281</v>
      </c>
      <c r="G3722" s="360" t="s">
        <v>12889</v>
      </c>
      <c r="H3722" s="361">
        <v>41782</v>
      </c>
      <c r="I3722" s="343" t="s">
        <v>366</v>
      </c>
      <c r="J3722" s="343" t="s">
        <v>12890</v>
      </c>
      <c r="K3722" s="343" t="s">
        <v>168</v>
      </c>
    </row>
    <row r="3723" spans="1:11" ht="26.25" customHeight="1">
      <c r="A3723" s="343" t="s">
        <v>6104</v>
      </c>
      <c r="B3723" s="344" t="s">
        <v>162</v>
      </c>
      <c r="C3723" s="344">
        <v>6826</v>
      </c>
      <c r="D3723" s="343" t="s">
        <v>6213</v>
      </c>
      <c r="E3723" s="344">
        <v>4658667</v>
      </c>
      <c r="F3723" s="343" t="s">
        <v>6217</v>
      </c>
      <c r="G3723" s="360" t="s">
        <v>12891</v>
      </c>
      <c r="H3723" s="361">
        <v>41765</v>
      </c>
      <c r="I3723" s="343" t="s">
        <v>6218</v>
      </c>
      <c r="J3723" s="343" t="s">
        <v>6218</v>
      </c>
      <c r="K3723" s="343" t="s">
        <v>168</v>
      </c>
    </row>
    <row r="3724" spans="1:11" ht="26.25" customHeight="1">
      <c r="A3724" s="343" t="s">
        <v>6104</v>
      </c>
      <c r="B3724" s="344" t="s">
        <v>162</v>
      </c>
      <c r="C3724" s="344">
        <v>7045</v>
      </c>
      <c r="D3724" s="343" t="s">
        <v>6289</v>
      </c>
      <c r="E3724" s="344">
        <v>4466047</v>
      </c>
      <c r="F3724" s="343" t="s">
        <v>6290</v>
      </c>
      <c r="G3724" s="360" t="s">
        <v>12892</v>
      </c>
      <c r="H3724" s="361">
        <v>41743</v>
      </c>
      <c r="I3724" s="343" t="s">
        <v>547</v>
      </c>
      <c r="J3724" s="343" t="s">
        <v>1028</v>
      </c>
      <c r="K3724" s="343" t="s">
        <v>248</v>
      </c>
    </row>
    <row r="3725" spans="1:11" ht="26.25" customHeight="1">
      <c r="A3725" s="343" t="s">
        <v>6104</v>
      </c>
      <c r="B3725" s="344" t="s">
        <v>162</v>
      </c>
      <c r="C3725" s="344">
        <v>8955</v>
      </c>
      <c r="D3725" s="343" t="s">
        <v>6365</v>
      </c>
      <c r="E3725" s="344">
        <v>5933547</v>
      </c>
      <c r="F3725" s="343" t="s">
        <v>6367</v>
      </c>
      <c r="G3725" s="360" t="s">
        <v>9741</v>
      </c>
      <c r="H3725" s="361">
        <v>42723</v>
      </c>
      <c r="I3725" s="343" t="s">
        <v>271</v>
      </c>
      <c r="J3725" s="343" t="s">
        <v>12893</v>
      </c>
      <c r="K3725" s="343" t="s">
        <v>168</v>
      </c>
    </row>
    <row r="3726" spans="1:11" ht="26.25" customHeight="1">
      <c r="A3726" s="343" t="s">
        <v>6104</v>
      </c>
      <c r="B3726" s="344" t="s">
        <v>162</v>
      </c>
      <c r="C3726" s="344">
        <v>12114</v>
      </c>
      <c r="D3726" s="343" t="s">
        <v>6314</v>
      </c>
      <c r="E3726" s="344">
        <v>5292815</v>
      </c>
      <c r="F3726" s="343" t="s">
        <v>6319</v>
      </c>
      <c r="G3726" s="360" t="s">
        <v>12382</v>
      </c>
      <c r="H3726" s="361">
        <v>42732</v>
      </c>
      <c r="I3726" s="343" t="s">
        <v>211</v>
      </c>
      <c r="J3726" s="343" t="s">
        <v>12894</v>
      </c>
      <c r="K3726" s="343" t="s">
        <v>168</v>
      </c>
    </row>
    <row r="3727" spans="1:11" ht="26.25" customHeight="1">
      <c r="A3727" s="343" t="s">
        <v>6104</v>
      </c>
      <c r="B3727" s="344" t="s">
        <v>162</v>
      </c>
      <c r="C3727" s="344">
        <v>11807</v>
      </c>
      <c r="D3727" s="343" t="s">
        <v>6305</v>
      </c>
      <c r="E3727" s="344">
        <v>5208757</v>
      </c>
      <c r="F3727" s="343" t="s">
        <v>6306</v>
      </c>
      <c r="G3727" s="360" t="s">
        <v>12895</v>
      </c>
      <c r="H3727" s="361">
        <v>42786</v>
      </c>
      <c r="I3727" s="343" t="s">
        <v>580</v>
      </c>
      <c r="J3727" s="343" t="s">
        <v>12896</v>
      </c>
      <c r="K3727" s="343" t="s">
        <v>248</v>
      </c>
    </row>
    <row r="3728" spans="1:11" ht="26.25" customHeight="1">
      <c r="A3728" s="343" t="s">
        <v>6104</v>
      </c>
      <c r="B3728" s="344" t="s">
        <v>162</v>
      </c>
      <c r="C3728" s="344">
        <v>7038</v>
      </c>
      <c r="D3728" s="343" t="s">
        <v>6237</v>
      </c>
      <c r="E3728" s="344">
        <v>5968464</v>
      </c>
      <c r="F3728" s="343" t="s">
        <v>6240</v>
      </c>
      <c r="G3728" s="360" t="s">
        <v>12110</v>
      </c>
      <c r="H3728" s="361">
        <v>42745</v>
      </c>
      <c r="I3728" s="343" t="s">
        <v>166</v>
      </c>
      <c r="J3728" s="343" t="s">
        <v>327</v>
      </c>
      <c r="K3728" s="343" t="s">
        <v>168</v>
      </c>
    </row>
    <row r="3729" spans="1:11" ht="26.25" customHeight="1">
      <c r="A3729" s="343" t="s">
        <v>6104</v>
      </c>
      <c r="B3729" s="344" t="s">
        <v>162</v>
      </c>
      <c r="C3729" s="344">
        <v>8955</v>
      </c>
      <c r="D3729" s="343" t="s">
        <v>6365</v>
      </c>
      <c r="E3729" s="344">
        <v>6124438</v>
      </c>
      <c r="F3729" s="343" t="s">
        <v>6366</v>
      </c>
      <c r="G3729" s="360" t="s">
        <v>10657</v>
      </c>
      <c r="H3729" s="361">
        <v>42753</v>
      </c>
      <c r="I3729" s="343" t="s">
        <v>284</v>
      </c>
      <c r="J3729" s="343" t="s">
        <v>10432</v>
      </c>
      <c r="K3729" s="343" t="s">
        <v>168</v>
      </c>
    </row>
    <row r="3730" spans="1:11" ht="26.25" customHeight="1">
      <c r="A3730" s="343" t="s">
        <v>6104</v>
      </c>
      <c r="B3730" s="344" t="s">
        <v>162</v>
      </c>
      <c r="C3730" s="344">
        <v>12757</v>
      </c>
      <c r="D3730" s="343" t="s">
        <v>8017</v>
      </c>
      <c r="E3730" s="344">
        <v>6675059</v>
      </c>
      <c r="F3730" s="343" t="s">
        <v>6333</v>
      </c>
      <c r="G3730" s="360" t="s">
        <v>214</v>
      </c>
      <c r="H3730" s="361">
        <v>42762</v>
      </c>
      <c r="I3730" s="343" t="s">
        <v>166</v>
      </c>
      <c r="J3730" s="343" t="s">
        <v>296</v>
      </c>
      <c r="K3730" s="343" t="s">
        <v>168</v>
      </c>
    </row>
    <row r="3731" spans="1:11" ht="26.25" customHeight="1">
      <c r="A3731" s="343" t="s">
        <v>6104</v>
      </c>
      <c r="B3731" s="344" t="s">
        <v>162</v>
      </c>
      <c r="C3731" s="344">
        <v>12757</v>
      </c>
      <c r="D3731" s="343" t="s">
        <v>8017</v>
      </c>
      <c r="E3731" s="344">
        <v>6653486</v>
      </c>
      <c r="F3731" s="343" t="s">
        <v>6331</v>
      </c>
      <c r="G3731" s="360" t="s">
        <v>11208</v>
      </c>
      <c r="H3731" s="361">
        <v>42762</v>
      </c>
      <c r="I3731" s="343" t="s">
        <v>802</v>
      </c>
      <c r="J3731" s="343" t="s">
        <v>1075</v>
      </c>
      <c r="K3731" s="343" t="s">
        <v>168</v>
      </c>
    </row>
    <row r="3732" spans="1:11" ht="26.25" customHeight="1">
      <c r="A3732" s="343" t="s">
        <v>6104</v>
      </c>
      <c r="B3732" s="344" t="s">
        <v>162</v>
      </c>
      <c r="C3732" s="344">
        <v>6672</v>
      </c>
      <c r="D3732" s="343" t="s">
        <v>6394</v>
      </c>
      <c r="E3732" s="344">
        <v>5904164</v>
      </c>
      <c r="F3732" s="343" t="s">
        <v>6396</v>
      </c>
      <c r="G3732" s="360" t="s">
        <v>10969</v>
      </c>
      <c r="H3732" s="361">
        <v>42766</v>
      </c>
      <c r="I3732" s="343" t="s">
        <v>3606</v>
      </c>
      <c r="J3732" s="343" t="s">
        <v>3606</v>
      </c>
      <c r="K3732" s="343" t="s">
        <v>168</v>
      </c>
    </row>
    <row r="3733" spans="1:11" ht="26.25" customHeight="1">
      <c r="A3733" s="343" t="s">
        <v>6104</v>
      </c>
      <c r="B3733" s="344" t="s">
        <v>162</v>
      </c>
      <c r="C3733" s="344">
        <v>7543</v>
      </c>
      <c r="D3733" s="343" t="s">
        <v>6118</v>
      </c>
      <c r="E3733" s="344">
        <v>6570601</v>
      </c>
      <c r="F3733" s="343" t="s">
        <v>6120</v>
      </c>
      <c r="G3733" s="360" t="s">
        <v>12897</v>
      </c>
      <c r="H3733" s="361">
        <v>42768</v>
      </c>
      <c r="I3733" s="343" t="s">
        <v>166</v>
      </c>
      <c r="J3733" s="343" t="s">
        <v>327</v>
      </c>
      <c r="K3733" s="343" t="s">
        <v>168</v>
      </c>
    </row>
    <row r="3734" spans="1:11" ht="26.25" customHeight="1">
      <c r="A3734" s="343" t="s">
        <v>6104</v>
      </c>
      <c r="B3734" s="344" t="s">
        <v>162</v>
      </c>
      <c r="C3734" s="344">
        <v>12019</v>
      </c>
      <c r="D3734" s="343" t="s">
        <v>6231</v>
      </c>
      <c r="E3734" s="344">
        <v>5213786</v>
      </c>
      <c r="F3734" s="343" t="s">
        <v>6233</v>
      </c>
      <c r="G3734" s="360" t="s">
        <v>9411</v>
      </c>
      <c r="H3734" s="361">
        <v>42773</v>
      </c>
      <c r="I3734" s="343" t="s">
        <v>166</v>
      </c>
      <c r="J3734" s="343" t="s">
        <v>327</v>
      </c>
      <c r="K3734" s="343" t="s">
        <v>168</v>
      </c>
    </row>
    <row r="3735" spans="1:11" ht="26.25" customHeight="1">
      <c r="A3735" s="343" t="s">
        <v>6104</v>
      </c>
      <c r="B3735" s="344" t="s">
        <v>162</v>
      </c>
      <c r="C3735" s="344">
        <v>7550</v>
      </c>
      <c r="D3735" s="343" t="s">
        <v>6168</v>
      </c>
      <c r="E3735" s="344">
        <v>6719373</v>
      </c>
      <c r="F3735" s="343" t="s">
        <v>6170</v>
      </c>
      <c r="G3735" s="360" t="s">
        <v>12898</v>
      </c>
      <c r="H3735" s="361">
        <v>42775</v>
      </c>
      <c r="I3735" s="343" t="s">
        <v>1387</v>
      </c>
      <c r="J3735" s="343" t="s">
        <v>12899</v>
      </c>
      <c r="K3735" s="343" t="s">
        <v>173</v>
      </c>
    </row>
    <row r="3736" spans="1:11" ht="26.25" customHeight="1">
      <c r="A3736" s="343" t="s">
        <v>6104</v>
      </c>
      <c r="B3736" s="344" t="s">
        <v>162</v>
      </c>
      <c r="C3736" s="344">
        <v>12757</v>
      </c>
      <c r="D3736" s="343" t="s">
        <v>8017</v>
      </c>
      <c r="E3736" s="344">
        <v>5992325</v>
      </c>
      <c r="F3736" s="343" t="s">
        <v>6332</v>
      </c>
      <c r="G3736" s="360" t="s">
        <v>12900</v>
      </c>
      <c r="H3736" s="361">
        <v>42775</v>
      </c>
      <c r="I3736" s="343" t="s">
        <v>193</v>
      </c>
      <c r="J3736" s="343" t="s">
        <v>637</v>
      </c>
      <c r="K3736" s="343" t="s">
        <v>168</v>
      </c>
    </row>
    <row r="3737" spans="1:11" ht="26.25" customHeight="1">
      <c r="A3737" s="343" t="s">
        <v>6104</v>
      </c>
      <c r="B3737" s="344" t="s">
        <v>162</v>
      </c>
      <c r="C3737" s="344">
        <v>9556</v>
      </c>
      <c r="D3737" s="343" t="s">
        <v>6399</v>
      </c>
      <c r="E3737" s="344">
        <v>5841094</v>
      </c>
      <c r="F3737" s="343" t="s">
        <v>6400</v>
      </c>
      <c r="G3737" s="360" t="s">
        <v>10475</v>
      </c>
      <c r="H3737" s="361">
        <v>42776</v>
      </c>
      <c r="I3737" s="343" t="s">
        <v>180</v>
      </c>
      <c r="J3737" s="343" t="s">
        <v>12901</v>
      </c>
      <c r="K3737" s="343" t="s">
        <v>168</v>
      </c>
    </row>
    <row r="3738" spans="1:11" ht="26.25" customHeight="1">
      <c r="A3738" s="343" t="s">
        <v>6104</v>
      </c>
      <c r="B3738" s="344" t="s">
        <v>162</v>
      </c>
      <c r="C3738" s="344">
        <v>8947</v>
      </c>
      <c r="D3738" s="343" t="s">
        <v>6418</v>
      </c>
      <c r="E3738" s="344">
        <v>6185618</v>
      </c>
      <c r="F3738" s="343" t="s">
        <v>6419</v>
      </c>
      <c r="G3738" s="360" t="s">
        <v>11016</v>
      </c>
      <c r="H3738" s="361">
        <v>42786</v>
      </c>
      <c r="I3738" s="343" t="s">
        <v>166</v>
      </c>
      <c r="J3738" s="343" t="s">
        <v>327</v>
      </c>
      <c r="K3738" s="343" t="s">
        <v>168</v>
      </c>
    </row>
    <row r="3739" spans="1:11" ht="26.25" customHeight="1">
      <c r="A3739" s="343" t="s">
        <v>6104</v>
      </c>
      <c r="B3739" s="344" t="s">
        <v>162</v>
      </c>
      <c r="C3739" s="344">
        <v>9065</v>
      </c>
      <c r="D3739" s="343" t="s">
        <v>6386</v>
      </c>
      <c r="E3739" s="344">
        <v>5908462</v>
      </c>
      <c r="F3739" s="343" t="s">
        <v>6389</v>
      </c>
      <c r="G3739" s="360" t="s">
        <v>12612</v>
      </c>
      <c r="H3739" s="361">
        <v>42786</v>
      </c>
      <c r="I3739" s="343" t="s">
        <v>6390</v>
      </c>
      <c r="J3739" s="343" t="s">
        <v>12902</v>
      </c>
      <c r="K3739" s="343" t="s">
        <v>248</v>
      </c>
    </row>
    <row r="3740" spans="1:11" ht="26.25" customHeight="1">
      <c r="A3740" s="343" t="s">
        <v>6104</v>
      </c>
      <c r="B3740" s="344" t="s">
        <v>162</v>
      </c>
      <c r="C3740" s="344">
        <v>9065</v>
      </c>
      <c r="D3740" s="343" t="s">
        <v>6386</v>
      </c>
      <c r="E3740" s="344">
        <v>5791829</v>
      </c>
      <c r="F3740" s="343" t="s">
        <v>6387</v>
      </c>
      <c r="G3740" s="360" t="s">
        <v>222</v>
      </c>
      <c r="H3740" s="361">
        <v>42786</v>
      </c>
      <c r="I3740" s="343" t="s">
        <v>6388</v>
      </c>
      <c r="J3740" s="343" t="s">
        <v>12903</v>
      </c>
      <c r="K3740" s="343" t="s">
        <v>168</v>
      </c>
    </row>
    <row r="3741" spans="1:11" ht="26.25" customHeight="1">
      <c r="A3741" s="343" t="s">
        <v>6104</v>
      </c>
      <c r="B3741" s="344" t="s">
        <v>162</v>
      </c>
      <c r="C3741" s="344">
        <v>11623</v>
      </c>
      <c r="D3741" s="343" t="s">
        <v>6202</v>
      </c>
      <c r="E3741" s="344">
        <v>6000709</v>
      </c>
      <c r="F3741" s="343" t="s">
        <v>6207</v>
      </c>
      <c r="G3741" s="360" t="s">
        <v>11010</v>
      </c>
      <c r="H3741" s="361">
        <v>42786</v>
      </c>
      <c r="I3741" s="343" t="s">
        <v>670</v>
      </c>
      <c r="J3741" s="343" t="s">
        <v>671</v>
      </c>
      <c r="K3741" s="343" t="s">
        <v>173</v>
      </c>
    </row>
    <row r="3742" spans="1:11" ht="26.25" customHeight="1">
      <c r="A3742" s="343" t="s">
        <v>6104</v>
      </c>
      <c r="B3742" s="344" t="s">
        <v>162</v>
      </c>
      <c r="C3742" s="344">
        <v>6664</v>
      </c>
      <c r="D3742" s="343" t="s">
        <v>6361</v>
      </c>
      <c r="E3742" s="344">
        <v>5878589</v>
      </c>
      <c r="F3742" s="343" t="s">
        <v>6362</v>
      </c>
      <c r="G3742" s="360" t="s">
        <v>1235</v>
      </c>
      <c r="H3742" s="361">
        <v>42786</v>
      </c>
      <c r="I3742" s="343" t="s">
        <v>193</v>
      </c>
      <c r="J3742" s="343" t="s">
        <v>194</v>
      </c>
      <c r="K3742" s="343" t="s">
        <v>168</v>
      </c>
    </row>
    <row r="3743" spans="1:11" ht="26.25" customHeight="1">
      <c r="A3743" s="343" t="s">
        <v>6104</v>
      </c>
      <c r="B3743" s="344" t="s">
        <v>162</v>
      </c>
      <c r="C3743" s="344">
        <v>9382</v>
      </c>
      <c r="D3743" s="343" t="s">
        <v>6401</v>
      </c>
      <c r="E3743" s="344">
        <v>5851571</v>
      </c>
      <c r="F3743" s="343" t="s">
        <v>6405</v>
      </c>
      <c r="G3743" s="360" t="s">
        <v>9909</v>
      </c>
      <c r="H3743" s="361">
        <v>42786</v>
      </c>
      <c r="I3743" s="343" t="s">
        <v>465</v>
      </c>
      <c r="J3743" s="343" t="s">
        <v>1118</v>
      </c>
      <c r="K3743" s="343" t="s">
        <v>168</v>
      </c>
    </row>
    <row r="3744" spans="1:11" ht="26.25" customHeight="1">
      <c r="A3744" s="343" t="s">
        <v>6104</v>
      </c>
      <c r="B3744" s="344" t="s">
        <v>162</v>
      </c>
      <c r="C3744" s="344">
        <v>6682</v>
      </c>
      <c r="D3744" s="343" t="s">
        <v>6427</v>
      </c>
      <c r="E3744" s="344">
        <v>5991414</v>
      </c>
      <c r="F3744" s="343" t="s">
        <v>6428</v>
      </c>
      <c r="G3744" s="360" t="s">
        <v>9374</v>
      </c>
      <c r="H3744" s="361">
        <v>42786</v>
      </c>
      <c r="I3744" s="343" t="s">
        <v>211</v>
      </c>
      <c r="J3744" s="343" t="s">
        <v>909</v>
      </c>
      <c r="K3744" s="343" t="s">
        <v>168</v>
      </c>
    </row>
    <row r="3745" spans="1:11" ht="26.25" customHeight="1">
      <c r="A3745" s="343" t="s">
        <v>6104</v>
      </c>
      <c r="B3745" s="344" t="s">
        <v>162</v>
      </c>
      <c r="C3745" s="344">
        <v>6813</v>
      </c>
      <c r="D3745" s="343" t="s">
        <v>6373</v>
      </c>
      <c r="E3745" s="344">
        <v>6125726</v>
      </c>
      <c r="F3745" s="343" t="s">
        <v>6374</v>
      </c>
      <c r="G3745" s="360" t="s">
        <v>10438</v>
      </c>
      <c r="H3745" s="361">
        <v>42786</v>
      </c>
      <c r="I3745" s="343" t="s">
        <v>193</v>
      </c>
      <c r="J3745" s="343" t="s">
        <v>1089</v>
      </c>
      <c r="K3745" s="343" t="s">
        <v>168</v>
      </c>
    </row>
    <row r="3746" spans="1:11" ht="26.25" customHeight="1">
      <c r="A3746" s="343" t="s">
        <v>6104</v>
      </c>
      <c r="B3746" s="344" t="s">
        <v>162</v>
      </c>
      <c r="C3746" s="344">
        <v>6812</v>
      </c>
      <c r="D3746" s="343" t="s">
        <v>6382</v>
      </c>
      <c r="E3746" s="344">
        <v>6174439</v>
      </c>
      <c r="F3746" s="343" t="s">
        <v>6384</v>
      </c>
      <c r="G3746" s="360" t="s">
        <v>471</v>
      </c>
      <c r="H3746" s="361">
        <v>42786</v>
      </c>
      <c r="I3746" s="343" t="s">
        <v>6385</v>
      </c>
      <c r="J3746" s="343" t="s">
        <v>12904</v>
      </c>
      <c r="K3746" s="343" t="s">
        <v>168</v>
      </c>
    </row>
    <row r="3747" spans="1:11" ht="26.25" customHeight="1">
      <c r="A3747" s="343" t="s">
        <v>6104</v>
      </c>
      <c r="B3747" s="344" t="s">
        <v>162</v>
      </c>
      <c r="C3747" s="344">
        <v>6675</v>
      </c>
      <c r="D3747" s="343" t="s">
        <v>6369</v>
      </c>
      <c r="E3747" s="344">
        <v>5772006</v>
      </c>
      <c r="F3747" s="343" t="s">
        <v>6372</v>
      </c>
      <c r="G3747" s="360" t="s">
        <v>11007</v>
      </c>
      <c r="H3747" s="361">
        <v>42786</v>
      </c>
      <c r="I3747" s="343" t="s">
        <v>802</v>
      </c>
      <c r="J3747" s="343" t="s">
        <v>1172</v>
      </c>
      <c r="K3747" s="343" t="s">
        <v>168</v>
      </c>
    </row>
    <row r="3748" spans="1:11" ht="26.25" customHeight="1">
      <c r="A3748" s="343" t="s">
        <v>6104</v>
      </c>
      <c r="B3748" s="344" t="s">
        <v>162</v>
      </c>
      <c r="C3748" s="344">
        <v>6677</v>
      </c>
      <c r="D3748" s="343" t="s">
        <v>6334</v>
      </c>
      <c r="E3748" s="344">
        <v>6428437</v>
      </c>
      <c r="F3748" s="343" t="s">
        <v>6335</v>
      </c>
      <c r="G3748" s="360" t="s">
        <v>1235</v>
      </c>
      <c r="H3748" s="361">
        <v>42786</v>
      </c>
      <c r="I3748" s="343" t="s">
        <v>366</v>
      </c>
      <c r="J3748" s="343" t="s">
        <v>366</v>
      </c>
      <c r="K3748" s="343" t="s">
        <v>168</v>
      </c>
    </row>
    <row r="3749" spans="1:11" ht="26.25" customHeight="1">
      <c r="A3749" s="343" t="s">
        <v>6104</v>
      </c>
      <c r="B3749" s="344" t="s">
        <v>162</v>
      </c>
      <c r="C3749" s="344">
        <v>6672</v>
      </c>
      <c r="D3749" s="343" t="s">
        <v>6394</v>
      </c>
      <c r="E3749" s="344">
        <v>5939787</v>
      </c>
      <c r="F3749" s="343" t="s">
        <v>6395</v>
      </c>
      <c r="G3749" s="360" t="s">
        <v>9957</v>
      </c>
      <c r="H3749" s="361">
        <v>42802</v>
      </c>
      <c r="I3749" s="343" t="s">
        <v>180</v>
      </c>
      <c r="J3749" s="343" t="s">
        <v>12905</v>
      </c>
      <c r="K3749" s="343" t="s">
        <v>168</v>
      </c>
    </row>
    <row r="3750" spans="1:11" ht="26.25" customHeight="1">
      <c r="A3750" s="343" t="s">
        <v>6104</v>
      </c>
      <c r="B3750" s="344" t="s">
        <v>162</v>
      </c>
      <c r="C3750" s="344">
        <v>6816</v>
      </c>
      <c r="D3750" s="343" t="s">
        <v>6359</v>
      </c>
      <c r="E3750" s="344">
        <v>5745686</v>
      </c>
      <c r="F3750" s="343" t="s">
        <v>6360</v>
      </c>
      <c r="G3750" s="360" t="s">
        <v>9987</v>
      </c>
      <c r="H3750" s="361">
        <v>42783</v>
      </c>
      <c r="I3750" s="343" t="s">
        <v>1038</v>
      </c>
      <c r="J3750" s="343" t="s">
        <v>9369</v>
      </c>
      <c r="K3750" s="343" t="s">
        <v>168</v>
      </c>
    </row>
    <row r="3751" spans="1:11" ht="26.25" customHeight="1">
      <c r="A3751" s="343" t="s">
        <v>6104</v>
      </c>
      <c r="B3751" s="344" t="s">
        <v>162</v>
      </c>
      <c r="C3751" s="344">
        <v>6681</v>
      </c>
      <c r="D3751" s="343" t="s">
        <v>6342</v>
      </c>
      <c r="E3751" s="344">
        <v>6175161</v>
      </c>
      <c r="F3751" s="343" t="s">
        <v>6343</v>
      </c>
      <c r="G3751" s="360" t="s">
        <v>12906</v>
      </c>
      <c r="H3751" s="361">
        <v>42783</v>
      </c>
      <c r="I3751" s="343" t="s">
        <v>193</v>
      </c>
      <c r="J3751" s="343" t="s">
        <v>194</v>
      </c>
      <c r="K3751" s="343" t="s">
        <v>168</v>
      </c>
    </row>
    <row r="3752" spans="1:11" ht="26.25" customHeight="1">
      <c r="A3752" s="343" t="s">
        <v>6104</v>
      </c>
      <c r="B3752" s="344" t="s">
        <v>162</v>
      </c>
      <c r="C3752" s="344">
        <v>12757</v>
      </c>
      <c r="D3752" s="343" t="s">
        <v>8017</v>
      </c>
      <c r="E3752" s="344">
        <v>5900187</v>
      </c>
      <c r="F3752" s="343" t="s">
        <v>6330</v>
      </c>
      <c r="G3752" s="360" t="s">
        <v>12612</v>
      </c>
      <c r="H3752" s="361">
        <v>42783</v>
      </c>
      <c r="I3752" s="343" t="s">
        <v>193</v>
      </c>
      <c r="J3752" s="343" t="s">
        <v>472</v>
      </c>
      <c r="K3752" s="343" t="s">
        <v>168</v>
      </c>
    </row>
    <row r="3753" spans="1:11" ht="26.25" customHeight="1">
      <c r="A3753" s="343" t="s">
        <v>6104</v>
      </c>
      <c r="B3753" s="344" t="s">
        <v>162</v>
      </c>
      <c r="C3753" s="344">
        <v>7030</v>
      </c>
      <c r="D3753" s="343" t="s">
        <v>6254</v>
      </c>
      <c r="E3753" s="344">
        <v>5144100</v>
      </c>
      <c r="F3753" s="343" t="s">
        <v>6255</v>
      </c>
      <c r="G3753" s="360" t="s">
        <v>12907</v>
      </c>
      <c r="H3753" s="361">
        <v>42783</v>
      </c>
      <c r="I3753" s="343" t="s">
        <v>211</v>
      </c>
      <c r="J3753" s="343" t="s">
        <v>909</v>
      </c>
      <c r="K3753" s="343" t="s">
        <v>168</v>
      </c>
    </row>
    <row r="3754" spans="1:11" ht="26.25" customHeight="1">
      <c r="A3754" s="343" t="s">
        <v>6104</v>
      </c>
      <c r="B3754" s="344" t="s">
        <v>162</v>
      </c>
      <c r="C3754" s="344">
        <v>9896</v>
      </c>
      <c r="D3754" s="343" t="s">
        <v>6181</v>
      </c>
      <c r="E3754" s="344">
        <v>6570398</v>
      </c>
      <c r="F3754" s="343" t="s">
        <v>6182</v>
      </c>
      <c r="G3754" s="360" t="s">
        <v>12908</v>
      </c>
      <c r="H3754" s="361">
        <v>42783</v>
      </c>
      <c r="I3754" s="343" t="s">
        <v>166</v>
      </c>
      <c r="J3754" s="343" t="s">
        <v>327</v>
      </c>
      <c r="K3754" s="343" t="s">
        <v>168</v>
      </c>
    </row>
    <row r="3755" spans="1:11" ht="26.25" customHeight="1">
      <c r="A3755" s="343" t="s">
        <v>6104</v>
      </c>
      <c r="B3755" s="344" t="s">
        <v>162</v>
      </c>
      <c r="C3755" s="344">
        <v>6811</v>
      </c>
      <c r="D3755" s="343" t="s">
        <v>6429</v>
      </c>
      <c r="E3755" s="344">
        <v>6086952</v>
      </c>
      <c r="F3755" s="343" t="s">
        <v>6430</v>
      </c>
      <c r="G3755" s="360" t="s">
        <v>511</v>
      </c>
      <c r="H3755" s="361">
        <v>42783</v>
      </c>
      <c r="I3755" s="343" t="s">
        <v>6431</v>
      </c>
      <c r="J3755" s="343" t="s">
        <v>631</v>
      </c>
      <c r="K3755" s="343" t="s">
        <v>168</v>
      </c>
    </row>
    <row r="3756" spans="1:11" ht="26.25" customHeight="1">
      <c r="A3756" s="343" t="s">
        <v>6104</v>
      </c>
      <c r="B3756" s="344" t="s">
        <v>162</v>
      </c>
      <c r="C3756" s="344">
        <v>9432</v>
      </c>
      <c r="D3756" s="343" t="s">
        <v>6406</v>
      </c>
      <c r="E3756" s="344">
        <v>5839989</v>
      </c>
      <c r="F3756" s="343" t="s">
        <v>6409</v>
      </c>
      <c r="G3756" s="360" t="s">
        <v>11062</v>
      </c>
      <c r="H3756" s="361">
        <v>42786</v>
      </c>
      <c r="I3756" s="343" t="s">
        <v>166</v>
      </c>
      <c r="J3756" s="343" t="s">
        <v>327</v>
      </c>
      <c r="K3756" s="343" t="s">
        <v>168</v>
      </c>
    </row>
    <row r="3757" spans="1:11" ht="26.25" customHeight="1">
      <c r="A3757" s="343" t="s">
        <v>6104</v>
      </c>
      <c r="B3757" s="344" t="s">
        <v>162</v>
      </c>
      <c r="C3757" s="344">
        <v>9459</v>
      </c>
      <c r="D3757" s="343" t="s">
        <v>6375</v>
      </c>
      <c r="E3757" s="344">
        <v>5840670</v>
      </c>
      <c r="F3757" s="343" t="s">
        <v>6377</v>
      </c>
      <c r="G3757" s="360" t="s">
        <v>10534</v>
      </c>
      <c r="H3757" s="361">
        <v>42802</v>
      </c>
      <c r="I3757" s="343" t="s">
        <v>193</v>
      </c>
      <c r="J3757" s="343" t="s">
        <v>194</v>
      </c>
      <c r="K3757" s="343" t="s">
        <v>168</v>
      </c>
    </row>
    <row r="3758" spans="1:11" ht="26.25" customHeight="1">
      <c r="A3758" s="343" t="s">
        <v>6104</v>
      </c>
      <c r="B3758" s="344" t="s">
        <v>162</v>
      </c>
      <c r="C3758" s="344">
        <v>9459</v>
      </c>
      <c r="D3758" s="343" t="s">
        <v>6375</v>
      </c>
      <c r="E3758" s="344">
        <v>5812350</v>
      </c>
      <c r="F3758" s="343" t="s">
        <v>6376</v>
      </c>
      <c r="G3758" s="360" t="s">
        <v>9997</v>
      </c>
      <c r="H3758" s="361">
        <v>42802</v>
      </c>
      <c r="I3758" s="343" t="s">
        <v>193</v>
      </c>
      <c r="J3758" s="343" t="s">
        <v>194</v>
      </c>
      <c r="K3758" s="343" t="s">
        <v>168</v>
      </c>
    </row>
    <row r="3759" spans="1:11" ht="26.25" customHeight="1">
      <c r="A3759" s="343" t="s">
        <v>6104</v>
      </c>
      <c r="B3759" s="344" t="s">
        <v>162</v>
      </c>
      <c r="C3759" s="344">
        <v>7046</v>
      </c>
      <c r="D3759" s="343" t="s">
        <v>6326</v>
      </c>
      <c r="E3759" s="344">
        <v>5016301</v>
      </c>
      <c r="F3759" s="343" t="s">
        <v>6328</v>
      </c>
      <c r="G3759" s="360" t="s">
        <v>12909</v>
      </c>
      <c r="H3759" s="361">
        <v>42802</v>
      </c>
      <c r="I3759" s="343" t="s">
        <v>5268</v>
      </c>
      <c r="J3759" s="343" t="s">
        <v>12519</v>
      </c>
      <c r="K3759" s="343" t="s">
        <v>248</v>
      </c>
    </row>
    <row r="3760" spans="1:11" ht="26.25" customHeight="1">
      <c r="A3760" s="343" t="s">
        <v>6104</v>
      </c>
      <c r="B3760" s="344" t="s">
        <v>162</v>
      </c>
      <c r="C3760" s="344">
        <v>7033</v>
      </c>
      <c r="D3760" s="343" t="s">
        <v>6309</v>
      </c>
      <c r="E3760" s="344">
        <v>5634831</v>
      </c>
      <c r="F3760" s="343" t="s">
        <v>6310</v>
      </c>
      <c r="G3760" s="360" t="s">
        <v>12910</v>
      </c>
      <c r="H3760" s="361">
        <v>42802</v>
      </c>
      <c r="I3760" s="343" t="s">
        <v>1082</v>
      </c>
      <c r="J3760" s="343" t="s">
        <v>12911</v>
      </c>
      <c r="K3760" s="343" t="s">
        <v>248</v>
      </c>
    </row>
    <row r="3761" spans="1:11" ht="26.25" customHeight="1">
      <c r="A3761" s="343" t="s">
        <v>6104</v>
      </c>
      <c r="B3761" s="344" t="s">
        <v>162</v>
      </c>
      <c r="C3761" s="344">
        <v>11623</v>
      </c>
      <c r="D3761" s="343" t="s">
        <v>6202</v>
      </c>
      <c r="E3761" s="344">
        <v>6070396</v>
      </c>
      <c r="F3761" s="343" t="s">
        <v>6204</v>
      </c>
      <c r="G3761" s="360" t="s">
        <v>10925</v>
      </c>
      <c r="H3761" s="361">
        <v>42802</v>
      </c>
      <c r="I3761" s="343" t="s">
        <v>193</v>
      </c>
      <c r="J3761" s="343" t="s">
        <v>194</v>
      </c>
      <c r="K3761" s="343" t="s">
        <v>168</v>
      </c>
    </row>
    <row r="3762" spans="1:11" ht="26.25" customHeight="1">
      <c r="A3762" s="343" t="s">
        <v>6104</v>
      </c>
      <c r="B3762" s="344" t="s">
        <v>162</v>
      </c>
      <c r="C3762" s="344">
        <v>7159</v>
      </c>
      <c r="D3762" s="343" t="s">
        <v>6256</v>
      </c>
      <c r="E3762" s="344">
        <v>5144902</v>
      </c>
      <c r="F3762" s="343" t="s">
        <v>6257</v>
      </c>
      <c r="G3762" s="360" t="s">
        <v>1469</v>
      </c>
      <c r="H3762" s="361">
        <v>42821</v>
      </c>
      <c r="I3762" s="343" t="s">
        <v>193</v>
      </c>
      <c r="J3762" s="343" t="s">
        <v>194</v>
      </c>
      <c r="K3762" s="343" t="s">
        <v>168</v>
      </c>
    </row>
    <row r="3763" spans="1:11" ht="26.25" customHeight="1">
      <c r="A3763" s="343" t="s">
        <v>6104</v>
      </c>
      <c r="B3763" s="344" t="s">
        <v>162</v>
      </c>
      <c r="C3763" s="344">
        <v>9721</v>
      </c>
      <c r="D3763" s="343" t="s">
        <v>6171</v>
      </c>
      <c r="E3763" s="344">
        <v>6720154</v>
      </c>
      <c r="F3763" s="343" t="s">
        <v>6173</v>
      </c>
      <c r="G3763" s="360" t="s">
        <v>12912</v>
      </c>
      <c r="H3763" s="361">
        <v>42802</v>
      </c>
      <c r="I3763" s="343" t="s">
        <v>284</v>
      </c>
      <c r="J3763" s="343" t="s">
        <v>9963</v>
      </c>
      <c r="K3763" s="343" t="s">
        <v>168</v>
      </c>
    </row>
    <row r="3764" spans="1:11" ht="26.25" customHeight="1">
      <c r="A3764" s="343" t="s">
        <v>6104</v>
      </c>
      <c r="B3764" s="344" t="s">
        <v>162</v>
      </c>
      <c r="C3764" s="344">
        <v>7032</v>
      </c>
      <c r="D3764" s="343" t="s">
        <v>6320</v>
      </c>
      <c r="E3764" s="344">
        <v>4744413</v>
      </c>
      <c r="F3764" s="343" t="s">
        <v>6322</v>
      </c>
      <c r="G3764" s="360" t="s">
        <v>12913</v>
      </c>
      <c r="H3764" s="361">
        <v>42807</v>
      </c>
      <c r="I3764" s="343" t="s">
        <v>166</v>
      </c>
      <c r="J3764" s="343" t="s">
        <v>327</v>
      </c>
      <c r="K3764" s="343" t="s">
        <v>168</v>
      </c>
    </row>
    <row r="3765" spans="1:11" ht="26.25" customHeight="1">
      <c r="A3765" s="343" t="s">
        <v>6104</v>
      </c>
      <c r="B3765" s="344" t="s">
        <v>162</v>
      </c>
      <c r="C3765" s="344">
        <v>9844</v>
      </c>
      <c r="D3765" s="343" t="s">
        <v>6279</v>
      </c>
      <c r="E3765" s="344">
        <v>6514451</v>
      </c>
      <c r="F3765" s="343" t="s">
        <v>6282</v>
      </c>
      <c r="G3765" s="360" t="s">
        <v>12914</v>
      </c>
      <c r="H3765" s="361">
        <v>42804</v>
      </c>
      <c r="I3765" s="343" t="s">
        <v>211</v>
      </c>
      <c r="J3765" s="343" t="s">
        <v>909</v>
      </c>
      <c r="K3765" s="343" t="s">
        <v>168</v>
      </c>
    </row>
    <row r="3766" spans="1:11" ht="26.25" customHeight="1">
      <c r="A3766" s="343" t="s">
        <v>6104</v>
      </c>
      <c r="B3766" s="344" t="s">
        <v>162</v>
      </c>
      <c r="C3766" s="344">
        <v>7500</v>
      </c>
      <c r="D3766" s="343" t="s">
        <v>6164</v>
      </c>
      <c r="E3766" s="344">
        <v>6349496</v>
      </c>
      <c r="F3766" s="343" t="s">
        <v>6165</v>
      </c>
      <c r="G3766" s="360" t="s">
        <v>9662</v>
      </c>
      <c r="H3766" s="361">
        <v>42804</v>
      </c>
      <c r="I3766" s="343" t="s">
        <v>6166</v>
      </c>
      <c r="J3766" s="343" t="s">
        <v>12915</v>
      </c>
      <c r="K3766" s="343" t="s">
        <v>173</v>
      </c>
    </row>
    <row r="3767" spans="1:11" ht="26.25" customHeight="1">
      <c r="A3767" s="343" t="s">
        <v>6104</v>
      </c>
      <c r="B3767" s="344" t="s">
        <v>162</v>
      </c>
      <c r="C3767" s="344">
        <v>7557</v>
      </c>
      <c r="D3767" s="343" t="s">
        <v>6108</v>
      </c>
      <c r="E3767" s="344">
        <v>6012665</v>
      </c>
      <c r="F3767" s="343" t="s">
        <v>6109</v>
      </c>
      <c r="G3767" s="360" t="s">
        <v>12740</v>
      </c>
      <c r="H3767" s="361">
        <v>42804</v>
      </c>
      <c r="I3767" s="343" t="s">
        <v>271</v>
      </c>
      <c r="J3767" s="343" t="s">
        <v>1442</v>
      </c>
      <c r="K3767" s="343" t="s">
        <v>168</v>
      </c>
    </row>
    <row r="3768" spans="1:11" ht="26.25" customHeight="1">
      <c r="A3768" s="343" t="s">
        <v>6104</v>
      </c>
      <c r="B3768" s="344" t="s">
        <v>162</v>
      </c>
      <c r="C3768" s="344">
        <v>6812</v>
      </c>
      <c r="D3768" s="343" t="s">
        <v>6382</v>
      </c>
      <c r="E3768" s="344">
        <v>5909301</v>
      </c>
      <c r="F3768" s="343" t="s">
        <v>6383</v>
      </c>
      <c r="G3768" s="360" t="s">
        <v>10426</v>
      </c>
      <c r="H3768" s="361">
        <v>42804</v>
      </c>
      <c r="I3768" s="343" t="s">
        <v>6053</v>
      </c>
      <c r="J3768" s="343" t="s">
        <v>12629</v>
      </c>
      <c r="K3768" s="343" t="s">
        <v>248</v>
      </c>
    </row>
    <row r="3769" spans="1:11" ht="26.25" customHeight="1">
      <c r="A3769" s="343" t="s">
        <v>6104</v>
      </c>
      <c r="B3769" s="344" t="s">
        <v>162</v>
      </c>
      <c r="C3769" s="344">
        <v>7029</v>
      </c>
      <c r="D3769" s="343" t="s">
        <v>6301</v>
      </c>
      <c r="E3769" s="344">
        <v>5244952</v>
      </c>
      <c r="F3769" s="343" t="s">
        <v>6302</v>
      </c>
      <c r="G3769" s="360" t="s">
        <v>12916</v>
      </c>
      <c r="H3769" s="361">
        <v>42804</v>
      </c>
      <c r="I3769" s="343" t="s">
        <v>166</v>
      </c>
      <c r="J3769" s="343" t="s">
        <v>327</v>
      </c>
      <c r="K3769" s="343" t="s">
        <v>168</v>
      </c>
    </row>
    <row r="3770" spans="1:11" ht="26.25" customHeight="1">
      <c r="A3770" s="343" t="s">
        <v>6104</v>
      </c>
      <c r="B3770" s="344" t="s">
        <v>162</v>
      </c>
      <c r="C3770" s="344">
        <v>7507</v>
      </c>
      <c r="D3770" s="343" t="s">
        <v>6129</v>
      </c>
      <c r="E3770" s="344">
        <v>6572157</v>
      </c>
      <c r="F3770" s="343" t="s">
        <v>6130</v>
      </c>
      <c r="G3770" s="360" t="s">
        <v>12059</v>
      </c>
      <c r="H3770" s="361">
        <v>42804</v>
      </c>
      <c r="I3770" s="343" t="s">
        <v>301</v>
      </c>
      <c r="J3770" s="343" t="s">
        <v>1113</v>
      </c>
      <c r="K3770" s="343" t="s">
        <v>168</v>
      </c>
    </row>
    <row r="3771" spans="1:11" ht="26.25" customHeight="1">
      <c r="A3771" s="343" t="s">
        <v>6104</v>
      </c>
      <c r="B3771" s="344" t="s">
        <v>162</v>
      </c>
      <c r="C3771" s="344">
        <v>7029</v>
      </c>
      <c r="D3771" s="343" t="s">
        <v>6301</v>
      </c>
      <c r="E3771" s="344">
        <v>6033145</v>
      </c>
      <c r="F3771" s="343" t="s">
        <v>6304</v>
      </c>
      <c r="G3771" s="360" t="s">
        <v>10882</v>
      </c>
      <c r="H3771" s="361">
        <v>42804</v>
      </c>
      <c r="I3771" s="343" t="s">
        <v>193</v>
      </c>
      <c r="J3771" s="343" t="s">
        <v>194</v>
      </c>
      <c r="K3771" s="343" t="s">
        <v>168</v>
      </c>
    </row>
    <row r="3772" spans="1:11" ht="26.25" customHeight="1">
      <c r="A3772" s="343" t="s">
        <v>6104</v>
      </c>
      <c r="B3772" s="344" t="s">
        <v>162</v>
      </c>
      <c r="C3772" s="344">
        <v>9065</v>
      </c>
      <c r="D3772" s="343" t="s">
        <v>6386</v>
      </c>
      <c r="E3772" s="344">
        <v>5731480</v>
      </c>
      <c r="F3772" s="343" t="s">
        <v>6391</v>
      </c>
      <c r="G3772" s="360" t="s">
        <v>1102</v>
      </c>
      <c r="H3772" s="361">
        <v>42808</v>
      </c>
      <c r="I3772" s="343" t="s">
        <v>166</v>
      </c>
      <c r="J3772" s="343" t="s">
        <v>296</v>
      </c>
      <c r="K3772" s="343" t="s">
        <v>168</v>
      </c>
    </row>
    <row r="3773" spans="1:11" ht="26.25" customHeight="1">
      <c r="A3773" s="343" t="s">
        <v>6104</v>
      </c>
      <c r="B3773" s="344" t="s">
        <v>162</v>
      </c>
      <c r="C3773" s="344">
        <v>7545</v>
      </c>
      <c r="D3773" s="343" t="s">
        <v>6145</v>
      </c>
      <c r="E3773" s="344">
        <v>6335807</v>
      </c>
      <c r="F3773" s="343" t="s">
        <v>6147</v>
      </c>
      <c r="G3773" s="360" t="s">
        <v>12917</v>
      </c>
      <c r="H3773" s="361">
        <v>42810</v>
      </c>
      <c r="I3773" s="343" t="s">
        <v>271</v>
      </c>
      <c r="J3773" s="343" t="s">
        <v>333</v>
      </c>
      <c r="K3773" s="343" t="s">
        <v>168</v>
      </c>
    </row>
    <row r="3774" spans="1:11" ht="26.25" customHeight="1">
      <c r="A3774" s="343" t="s">
        <v>6104</v>
      </c>
      <c r="B3774" s="344" t="s">
        <v>162</v>
      </c>
      <c r="C3774" s="344">
        <v>9625</v>
      </c>
      <c r="D3774" s="343" t="s">
        <v>6159</v>
      </c>
      <c r="E3774" s="344">
        <v>6299094</v>
      </c>
      <c r="F3774" s="343" t="s">
        <v>6161</v>
      </c>
      <c r="G3774" s="360" t="s">
        <v>11870</v>
      </c>
      <c r="H3774" s="361">
        <v>42808</v>
      </c>
      <c r="I3774" s="343" t="s">
        <v>193</v>
      </c>
      <c r="J3774" s="343" t="s">
        <v>966</v>
      </c>
      <c r="K3774" s="343" t="s">
        <v>168</v>
      </c>
    </row>
    <row r="3775" spans="1:11" ht="26.25" customHeight="1">
      <c r="A3775" s="343" t="s">
        <v>6104</v>
      </c>
      <c r="B3775" s="344" t="s">
        <v>162</v>
      </c>
      <c r="C3775" s="344">
        <v>6818</v>
      </c>
      <c r="D3775" s="343" t="s">
        <v>6347</v>
      </c>
      <c r="E3775" s="344">
        <v>5806903</v>
      </c>
      <c r="F3775" s="343" t="s">
        <v>6348</v>
      </c>
      <c r="G3775" s="360" t="s">
        <v>11995</v>
      </c>
      <c r="H3775" s="361">
        <v>42808</v>
      </c>
      <c r="I3775" s="343" t="s">
        <v>6349</v>
      </c>
      <c r="J3775" s="343" t="s">
        <v>12918</v>
      </c>
      <c r="K3775" s="343" t="s">
        <v>173</v>
      </c>
    </row>
    <row r="3776" spans="1:11" ht="26.25" customHeight="1">
      <c r="A3776" s="343" t="s">
        <v>6104</v>
      </c>
      <c r="B3776" s="344" t="s">
        <v>162</v>
      </c>
      <c r="C3776" s="344">
        <v>7486</v>
      </c>
      <c r="D3776" s="343" t="s">
        <v>6177</v>
      </c>
      <c r="E3776" s="344">
        <v>6584583</v>
      </c>
      <c r="F3776" s="343" t="s">
        <v>6180</v>
      </c>
      <c r="G3776" s="360" t="s">
        <v>12919</v>
      </c>
      <c r="H3776" s="361">
        <v>42808</v>
      </c>
      <c r="I3776" s="343" t="s">
        <v>166</v>
      </c>
      <c r="J3776" s="343" t="s">
        <v>265</v>
      </c>
      <c r="K3776" s="343" t="s">
        <v>168</v>
      </c>
    </row>
    <row r="3777" spans="1:11" ht="26.25" customHeight="1">
      <c r="A3777" s="343" t="s">
        <v>6104</v>
      </c>
      <c r="B3777" s="344" t="s">
        <v>162</v>
      </c>
      <c r="C3777" s="344">
        <v>9459</v>
      </c>
      <c r="D3777" s="343" t="s">
        <v>6375</v>
      </c>
      <c r="E3777" s="344">
        <v>6103014</v>
      </c>
      <c r="F3777" s="343" t="s">
        <v>6378</v>
      </c>
      <c r="G3777" s="360" t="s">
        <v>1329</v>
      </c>
      <c r="H3777" s="361">
        <v>42808</v>
      </c>
      <c r="I3777" s="343" t="s">
        <v>709</v>
      </c>
      <c r="J3777" s="343" t="s">
        <v>9388</v>
      </c>
      <c r="K3777" s="343" t="s">
        <v>168</v>
      </c>
    </row>
    <row r="3778" spans="1:11" ht="26.25" customHeight="1">
      <c r="A3778" s="343" t="s">
        <v>6104</v>
      </c>
      <c r="B3778" s="344" t="s">
        <v>162</v>
      </c>
      <c r="C3778" s="344">
        <v>7481</v>
      </c>
      <c r="D3778" s="343" t="s">
        <v>6152</v>
      </c>
      <c r="E3778" s="344">
        <v>6706951</v>
      </c>
      <c r="F3778" s="343" t="s">
        <v>6157</v>
      </c>
      <c r="G3778" s="360" t="s">
        <v>12920</v>
      </c>
      <c r="H3778" s="361">
        <v>42816</v>
      </c>
      <c r="I3778" s="343" t="s">
        <v>6158</v>
      </c>
      <c r="J3778" s="343" t="s">
        <v>12921</v>
      </c>
      <c r="K3778" s="343" t="s">
        <v>248</v>
      </c>
    </row>
    <row r="3779" spans="1:11" ht="26.25" customHeight="1">
      <c r="A3779" s="343" t="s">
        <v>6104</v>
      </c>
      <c r="B3779" s="344" t="s">
        <v>162</v>
      </c>
      <c r="C3779" s="344">
        <v>7047</v>
      </c>
      <c r="D3779" s="343" t="s">
        <v>6227</v>
      </c>
      <c r="E3779" s="344">
        <v>4907951</v>
      </c>
      <c r="F3779" s="343" t="s">
        <v>6230</v>
      </c>
      <c r="G3779" s="360" t="s">
        <v>10353</v>
      </c>
      <c r="H3779" s="361">
        <v>42636</v>
      </c>
      <c r="I3779" s="343" t="s">
        <v>984</v>
      </c>
      <c r="J3779" s="343" t="s">
        <v>12160</v>
      </c>
      <c r="K3779" s="343" t="s">
        <v>168</v>
      </c>
    </row>
    <row r="3780" spans="1:11" ht="26.25" customHeight="1">
      <c r="A3780" s="343" t="s">
        <v>6104</v>
      </c>
      <c r="B3780" s="344" t="s">
        <v>162</v>
      </c>
      <c r="C3780" s="344">
        <v>7507</v>
      </c>
      <c r="D3780" s="343" t="s">
        <v>6129</v>
      </c>
      <c r="E3780" s="344">
        <v>6749694</v>
      </c>
      <c r="F3780" s="343" t="s">
        <v>6132</v>
      </c>
      <c r="G3780" s="360" t="s">
        <v>9783</v>
      </c>
      <c r="H3780" s="361">
        <v>42837</v>
      </c>
      <c r="I3780" s="343" t="s">
        <v>271</v>
      </c>
      <c r="J3780" s="343" t="s">
        <v>12922</v>
      </c>
      <c r="K3780" s="343" t="s">
        <v>168</v>
      </c>
    </row>
    <row r="3781" spans="1:11" ht="26.25" customHeight="1">
      <c r="A3781" s="343" t="s">
        <v>6104</v>
      </c>
      <c r="B3781" s="344" t="s">
        <v>162</v>
      </c>
      <c r="C3781" s="344">
        <v>6670</v>
      </c>
      <c r="D3781" s="343" t="s">
        <v>6380</v>
      </c>
      <c r="E3781" s="344">
        <v>6178385</v>
      </c>
      <c r="F3781" s="343" t="s">
        <v>6381</v>
      </c>
      <c r="G3781" s="360" t="s">
        <v>10438</v>
      </c>
      <c r="H3781" s="361">
        <v>42835</v>
      </c>
      <c r="I3781" s="343" t="s">
        <v>193</v>
      </c>
      <c r="J3781" s="343" t="s">
        <v>194</v>
      </c>
      <c r="K3781" s="343" t="s">
        <v>168</v>
      </c>
    </row>
    <row r="3782" spans="1:11" ht="26.25" customHeight="1">
      <c r="A3782" s="343" t="s">
        <v>6104</v>
      </c>
      <c r="B3782" s="344" t="s">
        <v>162</v>
      </c>
      <c r="C3782" s="344">
        <v>9178</v>
      </c>
      <c r="D3782" s="343" t="s">
        <v>6415</v>
      </c>
      <c r="E3782" s="344">
        <v>6260425</v>
      </c>
      <c r="F3782" s="343" t="s">
        <v>6417</v>
      </c>
      <c r="G3782" s="360" t="s">
        <v>11003</v>
      </c>
      <c r="H3782" s="361">
        <v>42842</v>
      </c>
      <c r="I3782" s="343" t="s">
        <v>193</v>
      </c>
      <c r="J3782" s="343" t="s">
        <v>194</v>
      </c>
      <c r="K3782" s="343" t="s">
        <v>168</v>
      </c>
    </row>
    <row r="3783" spans="1:11" ht="26.25" customHeight="1">
      <c r="A3783" s="343" t="s">
        <v>6104</v>
      </c>
      <c r="B3783" s="344" t="s">
        <v>162</v>
      </c>
      <c r="C3783" s="344">
        <v>11623</v>
      </c>
      <c r="D3783" s="343" t="s">
        <v>6202</v>
      </c>
      <c r="E3783" s="344">
        <v>5627608</v>
      </c>
      <c r="F3783" s="343" t="s">
        <v>6205</v>
      </c>
      <c r="G3783" s="360" t="s">
        <v>1085</v>
      </c>
      <c r="H3783" s="361">
        <v>42843</v>
      </c>
      <c r="I3783" s="343" t="s">
        <v>271</v>
      </c>
      <c r="J3783" s="343" t="s">
        <v>12923</v>
      </c>
      <c r="K3783" s="343" t="s">
        <v>168</v>
      </c>
    </row>
    <row r="3784" spans="1:11" ht="26.25" customHeight="1">
      <c r="A3784" s="343" t="s">
        <v>6104</v>
      </c>
      <c r="B3784" s="344" t="s">
        <v>162</v>
      </c>
      <c r="C3784" s="344">
        <v>11623</v>
      </c>
      <c r="D3784" s="343" t="s">
        <v>6202</v>
      </c>
      <c r="E3784" s="344">
        <v>5774536</v>
      </c>
      <c r="F3784" s="343" t="s">
        <v>6211</v>
      </c>
      <c r="G3784" s="360" t="s">
        <v>1104</v>
      </c>
      <c r="H3784" s="361">
        <v>42843</v>
      </c>
      <c r="I3784" s="343" t="s">
        <v>198</v>
      </c>
      <c r="J3784" s="343" t="s">
        <v>198</v>
      </c>
      <c r="K3784" s="343" t="s">
        <v>168</v>
      </c>
    </row>
    <row r="3785" spans="1:11" ht="26.25" customHeight="1">
      <c r="A3785" s="343" t="s">
        <v>6104</v>
      </c>
      <c r="B3785" s="344" t="s">
        <v>162</v>
      </c>
      <c r="C3785" s="344">
        <v>11623</v>
      </c>
      <c r="D3785" s="343" t="s">
        <v>6202</v>
      </c>
      <c r="E3785" s="344">
        <v>5784941</v>
      </c>
      <c r="F3785" s="343" t="s">
        <v>6212</v>
      </c>
      <c r="G3785" s="360" t="s">
        <v>12924</v>
      </c>
      <c r="H3785" s="361">
        <v>42843</v>
      </c>
      <c r="I3785" s="343" t="s">
        <v>193</v>
      </c>
      <c r="J3785" s="343" t="s">
        <v>966</v>
      </c>
      <c r="K3785" s="343" t="s">
        <v>168</v>
      </c>
    </row>
    <row r="3786" spans="1:11" ht="26.25" customHeight="1">
      <c r="A3786" s="343" t="s">
        <v>6104</v>
      </c>
      <c r="B3786" s="344" t="s">
        <v>162</v>
      </c>
      <c r="C3786" s="344">
        <v>6824</v>
      </c>
      <c r="D3786" s="343" t="s">
        <v>6410</v>
      </c>
      <c r="E3786" s="344">
        <v>6133989</v>
      </c>
      <c r="F3786" s="343" t="s">
        <v>6412</v>
      </c>
      <c r="G3786" s="360" t="s">
        <v>12579</v>
      </c>
      <c r="H3786" s="361">
        <v>42843</v>
      </c>
      <c r="I3786" s="343" t="s">
        <v>3850</v>
      </c>
      <c r="J3786" s="343" t="s">
        <v>9605</v>
      </c>
      <c r="K3786" s="343" t="s">
        <v>168</v>
      </c>
    </row>
    <row r="3787" spans="1:11" ht="26.25" customHeight="1">
      <c r="A3787" s="343" t="s">
        <v>6104</v>
      </c>
      <c r="B3787" s="344" t="s">
        <v>162</v>
      </c>
      <c r="C3787" s="344">
        <v>6826</v>
      </c>
      <c r="D3787" s="343" t="s">
        <v>6213</v>
      </c>
      <c r="E3787" s="344">
        <v>6008307</v>
      </c>
      <c r="F3787" s="343" t="s">
        <v>6219</v>
      </c>
      <c r="G3787" s="360" t="s">
        <v>10412</v>
      </c>
      <c r="H3787" s="361">
        <v>42843</v>
      </c>
      <c r="I3787" s="343" t="s">
        <v>284</v>
      </c>
      <c r="J3787" s="343" t="s">
        <v>10432</v>
      </c>
      <c r="K3787" s="343" t="s">
        <v>168</v>
      </c>
    </row>
    <row r="3788" spans="1:11" ht="26.25" customHeight="1">
      <c r="A3788" s="343" t="s">
        <v>6104</v>
      </c>
      <c r="B3788" s="344" t="s">
        <v>162</v>
      </c>
      <c r="C3788" s="344">
        <v>7044</v>
      </c>
      <c r="D3788" s="343" t="s">
        <v>6275</v>
      </c>
      <c r="E3788" s="344">
        <v>5702522</v>
      </c>
      <c r="F3788" s="343" t="s">
        <v>6276</v>
      </c>
      <c r="G3788" s="360" t="s">
        <v>12925</v>
      </c>
      <c r="H3788" s="361">
        <v>42858</v>
      </c>
      <c r="I3788" s="343" t="s">
        <v>547</v>
      </c>
      <c r="J3788" s="343" t="s">
        <v>936</v>
      </c>
      <c r="K3788" s="343" t="s">
        <v>248</v>
      </c>
    </row>
    <row r="3789" spans="1:11" ht="26.25" customHeight="1">
      <c r="A3789" s="343" t="s">
        <v>6104</v>
      </c>
      <c r="B3789" s="344" t="s">
        <v>162</v>
      </c>
      <c r="C3789" s="344">
        <v>6669</v>
      </c>
      <c r="D3789" s="343" t="s">
        <v>6355</v>
      </c>
      <c r="E3789" s="344">
        <v>6175538</v>
      </c>
      <c r="F3789" s="343" t="s">
        <v>6357</v>
      </c>
      <c r="G3789" s="360" t="s">
        <v>10606</v>
      </c>
      <c r="H3789" s="361">
        <v>42858</v>
      </c>
      <c r="I3789" s="343" t="s">
        <v>198</v>
      </c>
      <c r="J3789" s="343" t="s">
        <v>198</v>
      </c>
      <c r="K3789" s="343" t="s">
        <v>168</v>
      </c>
    </row>
    <row r="3790" spans="1:11" ht="26.25" customHeight="1">
      <c r="A3790" s="343" t="s">
        <v>6104</v>
      </c>
      <c r="B3790" s="344" t="s">
        <v>162</v>
      </c>
      <c r="C3790" s="344">
        <v>6681</v>
      </c>
      <c r="D3790" s="343" t="s">
        <v>6342</v>
      </c>
      <c r="E3790" s="344">
        <v>6281913</v>
      </c>
      <c r="F3790" s="343" t="s">
        <v>6345</v>
      </c>
      <c r="G3790" s="360" t="s">
        <v>203</v>
      </c>
      <c r="H3790" s="361">
        <v>42858</v>
      </c>
      <c r="I3790" s="343" t="s">
        <v>193</v>
      </c>
      <c r="J3790" s="343" t="s">
        <v>194</v>
      </c>
      <c r="K3790" s="343" t="s">
        <v>168</v>
      </c>
    </row>
    <row r="3791" spans="1:11" ht="26.25" customHeight="1">
      <c r="A3791" s="343" t="s">
        <v>6104</v>
      </c>
      <c r="B3791" s="344" t="s">
        <v>162</v>
      </c>
      <c r="C3791" s="344">
        <v>7543</v>
      </c>
      <c r="D3791" s="343" t="s">
        <v>6118</v>
      </c>
      <c r="E3791" s="344">
        <v>6457342</v>
      </c>
      <c r="F3791" s="343" t="s">
        <v>6119</v>
      </c>
      <c r="G3791" s="360" t="s">
        <v>12926</v>
      </c>
      <c r="H3791" s="361">
        <v>42858</v>
      </c>
      <c r="I3791" s="343" t="s">
        <v>1038</v>
      </c>
      <c r="J3791" s="343" t="s">
        <v>9369</v>
      </c>
      <c r="K3791" s="343" t="s">
        <v>168</v>
      </c>
    </row>
    <row r="3792" spans="1:11" ht="26.25" customHeight="1">
      <c r="A3792" s="343" t="s">
        <v>6104</v>
      </c>
      <c r="B3792" s="344" t="s">
        <v>162</v>
      </c>
      <c r="C3792" s="344">
        <v>7168</v>
      </c>
      <c r="D3792" s="343" t="s">
        <v>6284</v>
      </c>
      <c r="E3792" s="344">
        <v>5659209</v>
      </c>
      <c r="F3792" s="343" t="s">
        <v>6288</v>
      </c>
      <c r="G3792" s="360" t="s">
        <v>12927</v>
      </c>
      <c r="H3792" s="361">
        <v>42858</v>
      </c>
      <c r="I3792" s="343" t="s">
        <v>709</v>
      </c>
      <c r="J3792" s="343" t="s">
        <v>978</v>
      </c>
      <c r="K3792" s="343" t="s">
        <v>173</v>
      </c>
    </row>
    <row r="3793" spans="1:11" ht="26.25" customHeight="1">
      <c r="A3793" s="343" t="s">
        <v>6104</v>
      </c>
      <c r="B3793" s="344" t="s">
        <v>162</v>
      </c>
      <c r="C3793" s="344">
        <v>6669</v>
      </c>
      <c r="D3793" s="343" t="s">
        <v>6355</v>
      </c>
      <c r="E3793" s="344">
        <v>6445036</v>
      </c>
      <c r="F3793" s="343" t="s">
        <v>6356</v>
      </c>
      <c r="G3793" s="360" t="s">
        <v>9584</v>
      </c>
      <c r="H3793" s="361">
        <v>42865</v>
      </c>
      <c r="I3793" s="343" t="s">
        <v>193</v>
      </c>
      <c r="J3793" s="343" t="s">
        <v>194</v>
      </c>
      <c r="K3793" s="343" t="s">
        <v>168</v>
      </c>
    </row>
    <row r="3794" spans="1:11" ht="26.25" customHeight="1">
      <c r="A3794" s="343" t="s">
        <v>6104</v>
      </c>
      <c r="B3794" s="344" t="s">
        <v>162</v>
      </c>
      <c r="C3794" s="344">
        <v>7038</v>
      </c>
      <c r="D3794" s="343" t="s">
        <v>6237</v>
      </c>
      <c r="E3794" s="344">
        <v>5167615</v>
      </c>
      <c r="F3794" s="343" t="s">
        <v>6245</v>
      </c>
      <c r="G3794" s="360" t="s">
        <v>11458</v>
      </c>
      <c r="H3794" s="361">
        <v>42852</v>
      </c>
      <c r="I3794" s="343" t="s">
        <v>166</v>
      </c>
      <c r="J3794" s="343" t="s">
        <v>296</v>
      </c>
      <c r="K3794" s="343" t="s">
        <v>168</v>
      </c>
    </row>
    <row r="3795" spans="1:11" ht="26.25" customHeight="1">
      <c r="A3795" s="343" t="s">
        <v>6104</v>
      </c>
      <c r="B3795" s="344" t="s">
        <v>162</v>
      </c>
      <c r="C3795" s="344">
        <v>7033</v>
      </c>
      <c r="D3795" s="343" t="s">
        <v>6309</v>
      </c>
      <c r="E3795" s="344">
        <v>5779340</v>
      </c>
      <c r="F3795" s="343" t="s">
        <v>6311</v>
      </c>
      <c r="G3795" s="360" t="s">
        <v>12928</v>
      </c>
      <c r="H3795" s="361">
        <v>42852</v>
      </c>
      <c r="I3795" s="343" t="s">
        <v>284</v>
      </c>
      <c r="J3795" s="343" t="s">
        <v>10432</v>
      </c>
      <c r="K3795" s="343" t="s">
        <v>168</v>
      </c>
    </row>
    <row r="3796" spans="1:11" ht="26.25" customHeight="1">
      <c r="A3796" s="343" t="s">
        <v>6104</v>
      </c>
      <c r="B3796" s="344" t="s">
        <v>162</v>
      </c>
      <c r="C3796" s="344">
        <v>9382</v>
      </c>
      <c r="D3796" s="343" t="s">
        <v>6401</v>
      </c>
      <c r="E3796" s="344">
        <v>6234935</v>
      </c>
      <c r="F3796" s="343" t="s">
        <v>6403</v>
      </c>
      <c r="G3796" s="360" t="s">
        <v>227</v>
      </c>
      <c r="H3796" s="361">
        <v>42851</v>
      </c>
      <c r="I3796" s="343" t="s">
        <v>3583</v>
      </c>
      <c r="J3796" s="343" t="s">
        <v>9390</v>
      </c>
      <c r="K3796" s="343" t="s">
        <v>173</v>
      </c>
    </row>
    <row r="3797" spans="1:11" ht="26.25" customHeight="1">
      <c r="A3797" s="343" t="s">
        <v>6104</v>
      </c>
      <c r="B3797" s="344" t="s">
        <v>162</v>
      </c>
      <c r="C3797" s="344">
        <v>7543</v>
      </c>
      <c r="D3797" s="343" t="s">
        <v>6118</v>
      </c>
      <c r="E3797" s="344">
        <v>6420163</v>
      </c>
      <c r="F3797" s="343" t="s">
        <v>6121</v>
      </c>
      <c r="G3797" s="360" t="s">
        <v>12929</v>
      </c>
      <c r="H3797" s="361">
        <v>42879</v>
      </c>
      <c r="I3797" s="343" t="s">
        <v>166</v>
      </c>
      <c r="J3797" s="343" t="s">
        <v>296</v>
      </c>
      <c r="K3797" s="343" t="s">
        <v>168</v>
      </c>
    </row>
    <row r="3798" spans="1:11" ht="26.25" customHeight="1">
      <c r="A3798" s="343" t="s">
        <v>6104</v>
      </c>
      <c r="B3798" s="344" t="s">
        <v>162</v>
      </c>
      <c r="C3798" s="344">
        <v>6683</v>
      </c>
      <c r="D3798" s="343" t="s">
        <v>6425</v>
      </c>
      <c r="E3798" s="344">
        <v>6757004</v>
      </c>
      <c r="F3798" s="343" t="s">
        <v>6426</v>
      </c>
      <c r="G3798" s="360" t="s">
        <v>12186</v>
      </c>
      <c r="H3798" s="361">
        <v>42870</v>
      </c>
      <c r="I3798" s="343" t="s">
        <v>1182</v>
      </c>
      <c r="J3798" s="343" t="s">
        <v>10913</v>
      </c>
      <c r="K3798" s="343" t="s">
        <v>173</v>
      </c>
    </row>
    <row r="3799" spans="1:11" ht="26.25" customHeight="1">
      <c r="A3799" s="343" t="s">
        <v>6104</v>
      </c>
      <c r="B3799" s="344" t="s">
        <v>162</v>
      </c>
      <c r="C3799" s="344">
        <v>6664</v>
      </c>
      <c r="D3799" s="343" t="s">
        <v>6361</v>
      </c>
      <c r="E3799" s="344">
        <v>5933978</v>
      </c>
      <c r="F3799" s="343" t="s">
        <v>6363</v>
      </c>
      <c r="G3799" s="360" t="s">
        <v>9987</v>
      </c>
      <c r="H3799" s="361">
        <v>42873</v>
      </c>
      <c r="I3799" s="343" t="s">
        <v>802</v>
      </c>
      <c r="J3799" s="343" t="s">
        <v>1075</v>
      </c>
      <c r="K3799" s="343" t="s">
        <v>168</v>
      </c>
    </row>
    <row r="3800" spans="1:11" ht="26.25" customHeight="1">
      <c r="A3800" s="343" t="s">
        <v>6104</v>
      </c>
      <c r="B3800" s="344" t="s">
        <v>162</v>
      </c>
      <c r="C3800" s="344">
        <v>7545</v>
      </c>
      <c r="D3800" s="343" t="s">
        <v>6145</v>
      </c>
      <c r="E3800" s="344">
        <v>6755473</v>
      </c>
      <c r="F3800" s="343" t="s">
        <v>6146</v>
      </c>
      <c r="G3800" s="360" t="s">
        <v>12930</v>
      </c>
      <c r="H3800" s="361">
        <v>42885</v>
      </c>
      <c r="I3800" s="343" t="s">
        <v>284</v>
      </c>
      <c r="J3800" s="343" t="s">
        <v>9963</v>
      </c>
      <c r="K3800" s="343" t="s">
        <v>168</v>
      </c>
    </row>
    <row r="3801" spans="1:11" ht="26.25" customHeight="1">
      <c r="A3801" s="343" t="s">
        <v>6104</v>
      </c>
      <c r="B3801" s="344" t="s">
        <v>162</v>
      </c>
      <c r="C3801" s="344">
        <v>7481</v>
      </c>
      <c r="D3801" s="343" t="s">
        <v>6152</v>
      </c>
      <c r="E3801" s="344">
        <v>6572972</v>
      </c>
      <c r="F3801" s="343" t="s">
        <v>6153</v>
      </c>
      <c r="G3801" s="360" t="s">
        <v>11294</v>
      </c>
      <c r="H3801" s="361">
        <v>42878</v>
      </c>
      <c r="I3801" s="343" t="s">
        <v>166</v>
      </c>
      <c r="J3801" s="343" t="s">
        <v>265</v>
      </c>
      <c r="K3801" s="343" t="s">
        <v>168</v>
      </c>
    </row>
    <row r="3802" spans="1:11" ht="26.25" customHeight="1">
      <c r="A3802" s="343" t="s">
        <v>6104</v>
      </c>
      <c r="B3802" s="344" t="s">
        <v>162</v>
      </c>
      <c r="C3802" s="344">
        <v>9459</v>
      </c>
      <c r="D3802" s="343" t="s">
        <v>6375</v>
      </c>
      <c r="E3802" s="344">
        <v>6503148</v>
      </c>
      <c r="F3802" s="343" t="s">
        <v>6379</v>
      </c>
      <c r="G3802" s="360" t="s">
        <v>9370</v>
      </c>
      <c r="H3802" s="361">
        <v>42880</v>
      </c>
      <c r="I3802" s="343" t="s">
        <v>261</v>
      </c>
      <c r="J3802" s="343" t="s">
        <v>631</v>
      </c>
      <c r="K3802" s="343" t="s">
        <v>168</v>
      </c>
    </row>
    <row r="3803" spans="1:11" ht="26.25" customHeight="1">
      <c r="A3803" s="343" t="s">
        <v>6104</v>
      </c>
      <c r="B3803" s="344" t="s">
        <v>162</v>
      </c>
      <c r="C3803" s="344">
        <v>6672</v>
      </c>
      <c r="D3803" s="343" t="s">
        <v>6394</v>
      </c>
      <c r="E3803" s="344">
        <v>5266598</v>
      </c>
      <c r="F3803" s="343" t="s">
        <v>6397</v>
      </c>
      <c r="G3803" s="360" t="s">
        <v>10915</v>
      </c>
      <c r="H3803" s="361">
        <v>42881</v>
      </c>
      <c r="I3803" s="343" t="s">
        <v>490</v>
      </c>
      <c r="J3803" s="343" t="s">
        <v>667</v>
      </c>
      <c r="K3803" s="343" t="s">
        <v>168</v>
      </c>
    </row>
    <row r="3804" spans="1:11" ht="26.25" customHeight="1">
      <c r="A3804" s="343" t="s">
        <v>6104</v>
      </c>
      <c r="B3804" s="344" t="s">
        <v>162</v>
      </c>
      <c r="C3804" s="344">
        <v>9432</v>
      </c>
      <c r="D3804" s="343" t="s">
        <v>6406</v>
      </c>
      <c r="E3804" s="344">
        <v>6110604</v>
      </c>
      <c r="F3804" s="343" t="s">
        <v>6407</v>
      </c>
      <c r="G3804" s="360" t="s">
        <v>1220</v>
      </c>
      <c r="H3804" s="361">
        <v>42881</v>
      </c>
      <c r="I3804" s="343" t="s">
        <v>301</v>
      </c>
      <c r="J3804" s="343" t="s">
        <v>1113</v>
      </c>
      <c r="K3804" s="343" t="s">
        <v>168</v>
      </c>
    </row>
    <row r="3805" spans="1:11" ht="26.25" customHeight="1">
      <c r="A3805" s="343" t="s">
        <v>6104</v>
      </c>
      <c r="B3805" s="344" t="s">
        <v>162</v>
      </c>
      <c r="C3805" s="344">
        <v>7546</v>
      </c>
      <c r="D3805" s="343" t="s">
        <v>6122</v>
      </c>
      <c r="E3805" s="344">
        <v>6669271</v>
      </c>
      <c r="F3805" s="343" t="s">
        <v>6123</v>
      </c>
      <c r="G3805" s="360" t="s">
        <v>12931</v>
      </c>
      <c r="H3805" s="361">
        <v>42908</v>
      </c>
      <c r="I3805" s="343" t="s">
        <v>193</v>
      </c>
      <c r="J3805" s="343" t="s">
        <v>194</v>
      </c>
      <c r="K3805" s="343" t="s">
        <v>168</v>
      </c>
    </row>
    <row r="3806" spans="1:11" ht="26.25" customHeight="1">
      <c r="A3806" s="343" t="s">
        <v>6104</v>
      </c>
      <c r="B3806" s="344" t="s">
        <v>162</v>
      </c>
      <c r="C3806" s="344">
        <v>9432</v>
      </c>
      <c r="D3806" s="343" t="s">
        <v>6406</v>
      </c>
      <c r="E3806" s="344">
        <v>5925857</v>
      </c>
      <c r="F3806" s="343" t="s">
        <v>6408</v>
      </c>
      <c r="G3806" s="360" t="s">
        <v>12932</v>
      </c>
      <c r="H3806" s="361">
        <v>42908</v>
      </c>
      <c r="I3806" s="343" t="s">
        <v>802</v>
      </c>
      <c r="J3806" s="343" t="s">
        <v>1172</v>
      </c>
      <c r="K3806" s="343" t="s">
        <v>168</v>
      </c>
    </row>
    <row r="3807" spans="1:11" ht="26.25" customHeight="1">
      <c r="A3807" s="343" t="s">
        <v>6104</v>
      </c>
      <c r="B3807" s="344" t="s">
        <v>162</v>
      </c>
      <c r="C3807" s="344">
        <v>6676</v>
      </c>
      <c r="D3807" s="343" t="s">
        <v>6423</v>
      </c>
      <c r="E3807" s="344">
        <v>5983657</v>
      </c>
      <c r="F3807" s="343" t="s">
        <v>6424</v>
      </c>
      <c r="G3807" s="360" t="s">
        <v>669</v>
      </c>
      <c r="H3807" s="361">
        <v>42908</v>
      </c>
      <c r="I3807" s="343" t="s">
        <v>1182</v>
      </c>
      <c r="J3807" s="343" t="s">
        <v>10913</v>
      </c>
      <c r="K3807" s="343" t="s">
        <v>173</v>
      </c>
    </row>
    <row r="3808" spans="1:11" ht="26.25" customHeight="1">
      <c r="A3808" s="343" t="s">
        <v>6104</v>
      </c>
      <c r="B3808" s="344" t="s">
        <v>162</v>
      </c>
      <c r="C3808" s="344">
        <v>12019</v>
      </c>
      <c r="D3808" s="343" t="s">
        <v>6231</v>
      </c>
      <c r="E3808" s="344">
        <v>5217326</v>
      </c>
      <c r="F3808" s="343" t="s">
        <v>6234</v>
      </c>
      <c r="G3808" s="360" t="s">
        <v>12933</v>
      </c>
      <c r="H3808" s="361">
        <v>42888</v>
      </c>
      <c r="I3808" s="343" t="s">
        <v>6235</v>
      </c>
      <c r="J3808" s="343" t="s">
        <v>12934</v>
      </c>
      <c r="K3808" s="343" t="s">
        <v>168</v>
      </c>
    </row>
    <row r="3809" spans="1:11" ht="26.25" customHeight="1">
      <c r="A3809" s="343" t="s">
        <v>6104</v>
      </c>
      <c r="B3809" s="344" t="s">
        <v>162</v>
      </c>
      <c r="C3809" s="344">
        <v>7486</v>
      </c>
      <c r="D3809" s="343" t="s">
        <v>6177</v>
      </c>
      <c r="E3809" s="344">
        <v>6733627</v>
      </c>
      <c r="F3809" s="343" t="s">
        <v>6179</v>
      </c>
      <c r="G3809" s="360" t="s">
        <v>11201</v>
      </c>
      <c r="H3809" s="361">
        <v>42888</v>
      </c>
      <c r="I3809" s="343" t="s">
        <v>271</v>
      </c>
      <c r="J3809" s="343" t="s">
        <v>12935</v>
      </c>
      <c r="K3809" s="343" t="s">
        <v>168</v>
      </c>
    </row>
    <row r="3810" spans="1:11" ht="26.25" customHeight="1">
      <c r="A3810" s="343" t="s">
        <v>6104</v>
      </c>
      <c r="B3810" s="344" t="s">
        <v>162</v>
      </c>
      <c r="C3810" s="344">
        <v>7042</v>
      </c>
      <c r="D3810" s="343" t="s">
        <v>6260</v>
      </c>
      <c r="E3810" s="344">
        <v>4809784</v>
      </c>
      <c r="F3810" s="343" t="s">
        <v>6265</v>
      </c>
      <c r="G3810" s="360" t="s">
        <v>12936</v>
      </c>
      <c r="H3810" s="361">
        <v>42887</v>
      </c>
      <c r="I3810" s="343" t="s">
        <v>193</v>
      </c>
      <c r="J3810" s="343" t="s">
        <v>1089</v>
      </c>
      <c r="K3810" s="343" t="s">
        <v>168</v>
      </c>
    </row>
    <row r="3811" spans="1:11" ht="26.25" customHeight="1">
      <c r="A3811" s="343" t="s">
        <v>6104</v>
      </c>
      <c r="B3811" s="344" t="s">
        <v>162</v>
      </c>
      <c r="C3811" s="344">
        <v>9346</v>
      </c>
      <c r="D3811" s="343" t="s">
        <v>6246</v>
      </c>
      <c r="E3811" s="344">
        <v>6000862</v>
      </c>
      <c r="F3811" s="343" t="s">
        <v>6250</v>
      </c>
      <c r="G3811" s="360" t="s">
        <v>12937</v>
      </c>
      <c r="H3811" s="361">
        <v>42891</v>
      </c>
      <c r="I3811" s="343" t="s">
        <v>287</v>
      </c>
      <c r="J3811" s="343" t="s">
        <v>288</v>
      </c>
      <c r="K3811" s="343" t="s">
        <v>168</v>
      </c>
    </row>
    <row r="3812" spans="1:11" ht="26.25" customHeight="1">
      <c r="A3812" s="343" t="s">
        <v>6104</v>
      </c>
      <c r="B3812" s="344" t="s">
        <v>162</v>
      </c>
      <c r="C3812" s="344">
        <v>9844</v>
      </c>
      <c r="D3812" s="343" t="s">
        <v>6279</v>
      </c>
      <c r="E3812" s="344">
        <v>5607929</v>
      </c>
      <c r="F3812" s="343" t="s">
        <v>6283</v>
      </c>
      <c r="G3812" s="360" t="s">
        <v>11041</v>
      </c>
      <c r="H3812" s="361">
        <v>42891</v>
      </c>
      <c r="I3812" s="343" t="s">
        <v>193</v>
      </c>
      <c r="J3812" s="343" t="s">
        <v>194</v>
      </c>
      <c r="K3812" s="343" t="s">
        <v>168</v>
      </c>
    </row>
    <row r="3813" spans="1:11" ht="26.25" customHeight="1">
      <c r="A3813" s="343" t="s">
        <v>6104</v>
      </c>
      <c r="B3813" s="344" t="s">
        <v>162</v>
      </c>
      <c r="C3813" s="344">
        <v>7546</v>
      </c>
      <c r="D3813" s="343" t="s">
        <v>6122</v>
      </c>
      <c r="E3813" s="344">
        <v>6497536</v>
      </c>
      <c r="F3813" s="343" t="s">
        <v>6127</v>
      </c>
      <c r="G3813" s="360" t="s">
        <v>12938</v>
      </c>
      <c r="H3813" s="361">
        <v>42891</v>
      </c>
      <c r="I3813" s="343" t="s">
        <v>271</v>
      </c>
      <c r="J3813" s="343" t="s">
        <v>1442</v>
      </c>
      <c r="K3813" s="343" t="s">
        <v>168</v>
      </c>
    </row>
    <row r="3814" spans="1:11" ht="26.25" customHeight="1">
      <c r="A3814" s="343" t="s">
        <v>6104</v>
      </c>
      <c r="B3814" s="344" t="s">
        <v>162</v>
      </c>
      <c r="C3814" s="344">
        <v>9625</v>
      </c>
      <c r="D3814" s="343" t="s">
        <v>6159</v>
      </c>
      <c r="E3814" s="344">
        <v>6660471</v>
      </c>
      <c r="F3814" s="343" t="s">
        <v>6163</v>
      </c>
      <c r="G3814" s="360" t="s">
        <v>12939</v>
      </c>
      <c r="H3814" s="361">
        <v>42891</v>
      </c>
      <c r="I3814" s="343" t="s">
        <v>166</v>
      </c>
      <c r="J3814" s="343" t="s">
        <v>417</v>
      </c>
      <c r="K3814" s="343" t="s">
        <v>248</v>
      </c>
    </row>
    <row r="3815" spans="1:11" ht="26.25" customHeight="1">
      <c r="A3815" s="343" t="s">
        <v>6104</v>
      </c>
      <c r="B3815" s="344" t="s">
        <v>162</v>
      </c>
      <c r="C3815" s="344">
        <v>6672</v>
      </c>
      <c r="D3815" s="343" t="s">
        <v>6394</v>
      </c>
      <c r="E3815" s="344">
        <v>6602098</v>
      </c>
      <c r="F3815" s="343" t="s">
        <v>6398</v>
      </c>
      <c r="G3815" s="360" t="s">
        <v>11449</v>
      </c>
      <c r="H3815" s="361">
        <v>42891</v>
      </c>
      <c r="I3815" s="343" t="s">
        <v>1182</v>
      </c>
      <c r="J3815" s="343" t="s">
        <v>10913</v>
      </c>
      <c r="K3815" s="343" t="s">
        <v>173</v>
      </c>
    </row>
    <row r="3816" spans="1:11" ht="26.25" customHeight="1">
      <c r="A3816" s="343" t="s">
        <v>6104</v>
      </c>
      <c r="B3816" s="344" t="s">
        <v>162</v>
      </c>
      <c r="C3816" s="344">
        <v>11622</v>
      </c>
      <c r="D3816" s="343" t="s">
        <v>6199</v>
      </c>
      <c r="E3816" s="344">
        <v>5574751</v>
      </c>
      <c r="F3816" s="343" t="s">
        <v>6201</v>
      </c>
      <c r="G3816" s="360" t="s">
        <v>11032</v>
      </c>
      <c r="H3816" s="361">
        <v>42891</v>
      </c>
      <c r="I3816" s="343" t="s">
        <v>211</v>
      </c>
      <c r="J3816" s="343" t="s">
        <v>909</v>
      </c>
      <c r="K3816" s="343" t="s">
        <v>168</v>
      </c>
    </row>
    <row r="3817" spans="1:11" ht="26.25" customHeight="1">
      <c r="A3817" s="343" t="s">
        <v>6104</v>
      </c>
      <c r="B3817" s="344" t="s">
        <v>162</v>
      </c>
      <c r="C3817" s="344">
        <v>7031</v>
      </c>
      <c r="D3817" s="343" t="s">
        <v>6223</v>
      </c>
      <c r="E3817" s="344">
        <v>4424186</v>
      </c>
      <c r="F3817" s="343" t="s">
        <v>6224</v>
      </c>
      <c r="G3817" s="360" t="s">
        <v>12940</v>
      </c>
      <c r="H3817" s="361">
        <v>42908</v>
      </c>
      <c r="I3817" s="343" t="s">
        <v>211</v>
      </c>
      <c r="J3817" s="343" t="s">
        <v>909</v>
      </c>
      <c r="K3817" s="343" t="s">
        <v>168</v>
      </c>
    </row>
    <row r="3818" spans="1:11" ht="26.25" customHeight="1">
      <c r="A3818" s="343" t="s">
        <v>6104</v>
      </c>
      <c r="B3818" s="344" t="s">
        <v>162</v>
      </c>
      <c r="C3818" s="344">
        <v>6681</v>
      </c>
      <c r="D3818" s="343" t="s">
        <v>6342</v>
      </c>
      <c r="E3818" s="344">
        <v>6043527</v>
      </c>
      <c r="F3818" s="343" t="s">
        <v>6344</v>
      </c>
      <c r="G3818" s="360" t="s">
        <v>10040</v>
      </c>
      <c r="H3818" s="361">
        <v>42913</v>
      </c>
      <c r="I3818" s="343" t="s">
        <v>193</v>
      </c>
      <c r="J3818" s="343" t="s">
        <v>637</v>
      </c>
      <c r="K3818" s="343" t="s">
        <v>168</v>
      </c>
    </row>
    <row r="3819" spans="1:11" ht="26.25" customHeight="1">
      <c r="A3819" s="343" t="s">
        <v>6104</v>
      </c>
      <c r="B3819" s="344" t="s">
        <v>162</v>
      </c>
      <c r="C3819" s="344">
        <v>7520</v>
      </c>
      <c r="D3819" s="343" t="s">
        <v>6114</v>
      </c>
      <c r="E3819" s="344">
        <v>6212899</v>
      </c>
      <c r="F3819" s="343" t="s">
        <v>6115</v>
      </c>
      <c r="G3819" s="360" t="s">
        <v>12941</v>
      </c>
      <c r="H3819" s="361">
        <v>42920</v>
      </c>
      <c r="I3819" s="343" t="s">
        <v>198</v>
      </c>
      <c r="J3819" s="343" t="s">
        <v>198</v>
      </c>
      <c r="K3819" s="343" t="s">
        <v>173</v>
      </c>
    </row>
    <row r="3820" spans="1:11" ht="26.25" customHeight="1">
      <c r="A3820" s="343" t="s">
        <v>6104</v>
      </c>
      <c r="B3820" s="344" t="s">
        <v>162</v>
      </c>
      <c r="C3820" s="344">
        <v>7032</v>
      </c>
      <c r="D3820" s="343" t="s">
        <v>6320</v>
      </c>
      <c r="E3820" s="344">
        <v>4712266</v>
      </c>
      <c r="F3820" s="343" t="s">
        <v>6325</v>
      </c>
      <c r="G3820" s="360" t="s">
        <v>12942</v>
      </c>
      <c r="H3820" s="361">
        <v>42920</v>
      </c>
      <c r="I3820" s="343" t="s">
        <v>709</v>
      </c>
      <c r="J3820" s="343" t="s">
        <v>978</v>
      </c>
      <c r="K3820" s="343" t="s">
        <v>173</v>
      </c>
    </row>
    <row r="3821" spans="1:11" ht="26.25" customHeight="1">
      <c r="A3821" s="343" t="s">
        <v>6104</v>
      </c>
      <c r="B3821" s="344" t="s">
        <v>162</v>
      </c>
      <c r="C3821" s="344">
        <v>7545</v>
      </c>
      <c r="D3821" s="343" t="s">
        <v>6145</v>
      </c>
      <c r="E3821" s="344">
        <v>6613629</v>
      </c>
      <c r="F3821" s="343" t="s">
        <v>6149</v>
      </c>
      <c r="G3821" s="360" t="s">
        <v>12943</v>
      </c>
      <c r="H3821" s="361">
        <v>42923</v>
      </c>
      <c r="I3821" s="343" t="s">
        <v>354</v>
      </c>
      <c r="J3821" s="343" t="s">
        <v>9564</v>
      </c>
      <c r="K3821" s="343" t="s">
        <v>168</v>
      </c>
    </row>
    <row r="3822" spans="1:11" ht="26.25" customHeight="1">
      <c r="A3822" s="343" t="s">
        <v>6104</v>
      </c>
      <c r="B3822" s="344" t="s">
        <v>162</v>
      </c>
      <c r="C3822" s="344">
        <v>7557</v>
      </c>
      <c r="D3822" s="343" t="s">
        <v>6108</v>
      </c>
      <c r="E3822" s="344">
        <v>6147973</v>
      </c>
      <c r="F3822" s="343" t="s">
        <v>6111</v>
      </c>
      <c r="G3822" s="360" t="s">
        <v>12944</v>
      </c>
      <c r="H3822" s="361">
        <v>42929</v>
      </c>
      <c r="I3822" s="343" t="s">
        <v>271</v>
      </c>
      <c r="J3822" s="343" t="s">
        <v>333</v>
      </c>
      <c r="K3822" s="343" t="s">
        <v>168</v>
      </c>
    </row>
    <row r="3823" spans="1:11" ht="26.25" customHeight="1">
      <c r="A3823" s="343" t="s">
        <v>6104</v>
      </c>
      <c r="B3823" s="344" t="s">
        <v>162</v>
      </c>
      <c r="C3823" s="344">
        <v>7534</v>
      </c>
      <c r="D3823" s="343" t="s">
        <v>6139</v>
      </c>
      <c r="E3823" s="344">
        <v>6764319</v>
      </c>
      <c r="F3823" s="343" t="s">
        <v>6143</v>
      </c>
      <c r="G3823" s="360" t="s">
        <v>12777</v>
      </c>
      <c r="H3823" s="361">
        <v>42940</v>
      </c>
      <c r="I3823" s="343" t="s">
        <v>271</v>
      </c>
      <c r="J3823" s="343" t="s">
        <v>10924</v>
      </c>
      <c r="K3823" s="343" t="s">
        <v>168</v>
      </c>
    </row>
    <row r="3824" spans="1:11" ht="26.25" customHeight="1">
      <c r="A3824" s="343" t="s">
        <v>6104</v>
      </c>
      <c r="B3824" s="344" t="s">
        <v>162</v>
      </c>
      <c r="C3824" s="344">
        <v>7039</v>
      </c>
      <c r="D3824" s="343" t="s">
        <v>6258</v>
      </c>
      <c r="E3824" s="344">
        <v>4887259</v>
      </c>
      <c r="F3824" s="343" t="s">
        <v>6259</v>
      </c>
      <c r="G3824" s="360" t="s">
        <v>12945</v>
      </c>
      <c r="H3824" s="361">
        <v>42944</v>
      </c>
      <c r="I3824" s="343" t="s">
        <v>709</v>
      </c>
      <c r="J3824" s="343" t="s">
        <v>710</v>
      </c>
      <c r="K3824" s="343" t="s">
        <v>168</v>
      </c>
    </row>
    <row r="3825" spans="1:11" ht="26.25" customHeight="1">
      <c r="A3825" s="343" t="s">
        <v>6104</v>
      </c>
      <c r="B3825" s="344" t="s">
        <v>162</v>
      </c>
      <c r="C3825" s="344">
        <v>11560</v>
      </c>
      <c r="D3825" s="343" t="s">
        <v>6103</v>
      </c>
      <c r="E3825" s="344">
        <v>6640001</v>
      </c>
      <c r="F3825" s="343" t="s">
        <v>6105</v>
      </c>
      <c r="G3825" s="360" t="s">
        <v>12946</v>
      </c>
      <c r="H3825" s="361">
        <v>42944</v>
      </c>
      <c r="I3825" s="343" t="s">
        <v>6106</v>
      </c>
      <c r="J3825" s="343" t="s">
        <v>12947</v>
      </c>
      <c r="K3825" s="343" t="s">
        <v>168</v>
      </c>
    </row>
    <row r="3826" spans="1:11" ht="26.25" customHeight="1">
      <c r="A3826" s="343" t="s">
        <v>6104</v>
      </c>
      <c r="B3826" s="344" t="s">
        <v>162</v>
      </c>
      <c r="C3826" s="344">
        <v>11560</v>
      </c>
      <c r="D3826" s="343" t="s">
        <v>6103</v>
      </c>
      <c r="E3826" s="344">
        <v>6842275</v>
      </c>
      <c r="F3826" s="343" t="s">
        <v>6107</v>
      </c>
      <c r="G3826" s="360" t="s">
        <v>12948</v>
      </c>
      <c r="H3826" s="361">
        <v>42944</v>
      </c>
      <c r="I3826" s="343" t="s">
        <v>271</v>
      </c>
      <c r="J3826" s="343" t="s">
        <v>9522</v>
      </c>
      <c r="K3826" s="343" t="s">
        <v>168</v>
      </c>
    </row>
    <row r="3827" spans="1:11" ht="26.25" customHeight="1">
      <c r="A3827" s="343" t="s">
        <v>6104</v>
      </c>
      <c r="B3827" s="344" t="s">
        <v>162</v>
      </c>
      <c r="C3827" s="344">
        <v>10059</v>
      </c>
      <c r="D3827" s="343" t="s">
        <v>6353</v>
      </c>
      <c r="E3827" s="344">
        <v>6426666</v>
      </c>
      <c r="F3827" s="343" t="s">
        <v>6354</v>
      </c>
      <c r="G3827" s="360" t="s">
        <v>602</v>
      </c>
      <c r="H3827" s="361">
        <v>42531</v>
      </c>
      <c r="I3827" s="343" t="s">
        <v>6053</v>
      </c>
      <c r="J3827" s="343" t="s">
        <v>12949</v>
      </c>
      <c r="K3827" s="343" t="s">
        <v>248</v>
      </c>
    </row>
    <row r="3828" spans="1:11" ht="26.25" customHeight="1">
      <c r="A3828" s="343" t="s">
        <v>6104</v>
      </c>
      <c r="B3828" s="344" t="s">
        <v>162</v>
      </c>
      <c r="C3828" s="344">
        <v>7534</v>
      </c>
      <c r="D3828" s="343" t="s">
        <v>6139</v>
      </c>
      <c r="E3828" s="344">
        <v>6684812</v>
      </c>
      <c r="F3828" s="343" t="s">
        <v>6140</v>
      </c>
      <c r="G3828" s="360" t="s">
        <v>12950</v>
      </c>
      <c r="H3828" s="361">
        <v>42950</v>
      </c>
      <c r="I3828" s="343" t="s">
        <v>193</v>
      </c>
      <c r="J3828" s="343" t="s">
        <v>194</v>
      </c>
      <c r="K3828" s="343" t="s">
        <v>168</v>
      </c>
    </row>
    <row r="3829" spans="1:11" ht="26.25" customHeight="1">
      <c r="A3829" s="343" t="s">
        <v>6104</v>
      </c>
      <c r="B3829" s="344" t="s">
        <v>162</v>
      </c>
      <c r="C3829" s="344">
        <v>6827</v>
      </c>
      <c r="D3829" s="343" t="s">
        <v>6225</v>
      </c>
      <c r="E3829" s="344">
        <v>4360549</v>
      </c>
      <c r="F3829" s="343" t="s">
        <v>6226</v>
      </c>
      <c r="G3829" s="360" t="s">
        <v>12951</v>
      </c>
      <c r="H3829" s="361">
        <v>42958</v>
      </c>
      <c r="I3829" s="343" t="s">
        <v>211</v>
      </c>
      <c r="J3829" s="343" t="s">
        <v>909</v>
      </c>
      <c r="K3829" s="343" t="s">
        <v>168</v>
      </c>
    </row>
    <row r="3830" spans="1:11" ht="26.25" customHeight="1">
      <c r="A3830" s="343" t="s">
        <v>6104</v>
      </c>
      <c r="B3830" s="344" t="s">
        <v>162</v>
      </c>
      <c r="C3830" s="344">
        <v>7046</v>
      </c>
      <c r="D3830" s="343" t="s">
        <v>6326</v>
      </c>
      <c r="E3830" s="344">
        <v>4097555</v>
      </c>
      <c r="F3830" s="343" t="s">
        <v>7120</v>
      </c>
      <c r="G3830" s="360" t="s">
        <v>12952</v>
      </c>
      <c r="H3830" s="361">
        <v>42969</v>
      </c>
      <c r="I3830" s="343" t="s">
        <v>211</v>
      </c>
      <c r="J3830" s="343" t="s">
        <v>211</v>
      </c>
      <c r="K3830" s="343" t="s">
        <v>168</v>
      </c>
    </row>
    <row r="3831" spans="1:11" ht="26.25" customHeight="1">
      <c r="A3831" s="343" t="s">
        <v>6104</v>
      </c>
      <c r="B3831" s="344" t="s">
        <v>162</v>
      </c>
      <c r="C3831" s="344">
        <v>11623</v>
      </c>
      <c r="D3831" s="343" t="s">
        <v>6202</v>
      </c>
      <c r="E3831" s="344">
        <v>5883610</v>
      </c>
      <c r="F3831" s="343" t="s">
        <v>7127</v>
      </c>
      <c r="G3831" s="360" t="s">
        <v>1422</v>
      </c>
      <c r="H3831" s="361">
        <v>42969</v>
      </c>
      <c r="I3831" s="343" t="s">
        <v>301</v>
      </c>
      <c r="J3831" s="343" t="s">
        <v>1113</v>
      </c>
      <c r="K3831" s="343" t="s">
        <v>168</v>
      </c>
    </row>
    <row r="3832" spans="1:11" ht="26.25" customHeight="1">
      <c r="A3832" s="343" t="s">
        <v>6104</v>
      </c>
      <c r="B3832" s="344" t="s">
        <v>162</v>
      </c>
      <c r="C3832" s="344">
        <v>7551</v>
      </c>
      <c r="D3832" s="343" t="s">
        <v>6117</v>
      </c>
      <c r="E3832" s="344">
        <v>6708334</v>
      </c>
      <c r="F3832" s="343" t="s">
        <v>8864</v>
      </c>
      <c r="G3832" s="360" t="s">
        <v>12953</v>
      </c>
      <c r="H3832" s="361">
        <v>42976</v>
      </c>
      <c r="I3832" s="343" t="s">
        <v>8865</v>
      </c>
      <c r="J3832" s="343" t="s">
        <v>12954</v>
      </c>
      <c r="K3832" s="343" t="s">
        <v>173</v>
      </c>
    </row>
    <row r="3833" spans="1:11" ht="26.25" customHeight="1">
      <c r="A3833" s="343" t="s">
        <v>6104</v>
      </c>
      <c r="B3833" s="344" t="s">
        <v>162</v>
      </c>
      <c r="C3833" s="344">
        <v>7035</v>
      </c>
      <c r="D3833" s="343" t="s">
        <v>6267</v>
      </c>
      <c r="E3833" s="344">
        <v>4720863</v>
      </c>
      <c r="F3833" s="343" t="s">
        <v>7117</v>
      </c>
      <c r="G3833" s="360" t="s">
        <v>12955</v>
      </c>
      <c r="H3833" s="361">
        <v>42977</v>
      </c>
      <c r="I3833" s="343" t="s">
        <v>193</v>
      </c>
      <c r="J3833" s="343" t="s">
        <v>637</v>
      </c>
      <c r="K3833" s="343" t="s">
        <v>168</v>
      </c>
    </row>
    <row r="3834" spans="1:11" ht="26.25" customHeight="1">
      <c r="A3834" s="343" t="s">
        <v>6104</v>
      </c>
      <c r="B3834" s="344" t="s">
        <v>162</v>
      </c>
      <c r="C3834" s="344">
        <v>7168</v>
      </c>
      <c r="D3834" s="343" t="s">
        <v>6284</v>
      </c>
      <c r="E3834" s="344">
        <v>6628529</v>
      </c>
      <c r="F3834" s="343" t="s">
        <v>7123</v>
      </c>
      <c r="G3834" s="360" t="s">
        <v>9808</v>
      </c>
      <c r="H3834" s="361">
        <v>42978</v>
      </c>
      <c r="I3834" s="343" t="s">
        <v>193</v>
      </c>
      <c r="J3834" s="343" t="s">
        <v>12069</v>
      </c>
      <c r="K3834" s="343" t="s">
        <v>168</v>
      </c>
    </row>
    <row r="3835" spans="1:11" ht="26.25" customHeight="1">
      <c r="A3835" s="343" t="s">
        <v>6104</v>
      </c>
      <c r="B3835" s="344" t="s">
        <v>162</v>
      </c>
      <c r="C3835" s="344">
        <v>7548</v>
      </c>
      <c r="D3835" s="343" t="s">
        <v>6133</v>
      </c>
      <c r="E3835" s="344">
        <v>6321294</v>
      </c>
      <c r="F3835" s="343" t="s">
        <v>7124</v>
      </c>
      <c r="G3835" s="360" t="s">
        <v>260</v>
      </c>
      <c r="H3835" s="361">
        <v>42979</v>
      </c>
      <c r="I3835" s="343" t="s">
        <v>166</v>
      </c>
      <c r="J3835" s="343" t="s">
        <v>327</v>
      </c>
      <c r="K3835" s="343" t="s">
        <v>168</v>
      </c>
    </row>
    <row r="3836" spans="1:11" ht="26.25" customHeight="1">
      <c r="A3836" s="343" t="s">
        <v>6104</v>
      </c>
      <c r="B3836" s="344" t="s">
        <v>162</v>
      </c>
      <c r="C3836" s="344">
        <v>6672</v>
      </c>
      <c r="D3836" s="343" t="s">
        <v>6394</v>
      </c>
      <c r="E3836" s="344">
        <v>6370335</v>
      </c>
      <c r="F3836" s="343" t="s">
        <v>7110</v>
      </c>
      <c r="G3836" s="360" t="s">
        <v>10421</v>
      </c>
      <c r="H3836" s="361">
        <v>42979</v>
      </c>
      <c r="I3836" s="343" t="s">
        <v>7240</v>
      </c>
      <c r="J3836" s="343" t="s">
        <v>9605</v>
      </c>
      <c r="K3836" s="343" t="s">
        <v>168</v>
      </c>
    </row>
    <row r="3837" spans="1:11" ht="26.25" customHeight="1">
      <c r="A3837" s="343" t="s">
        <v>6104</v>
      </c>
      <c r="B3837" s="344" t="s">
        <v>162</v>
      </c>
      <c r="C3837" s="344">
        <v>7160</v>
      </c>
      <c r="D3837" s="343" t="s">
        <v>6298</v>
      </c>
      <c r="E3837" s="344">
        <v>5624388</v>
      </c>
      <c r="F3837" s="343" t="s">
        <v>7121</v>
      </c>
      <c r="G3837" s="360" t="s">
        <v>12956</v>
      </c>
      <c r="H3837" s="361">
        <v>42982</v>
      </c>
      <c r="I3837" s="343" t="s">
        <v>465</v>
      </c>
      <c r="J3837" s="343" t="s">
        <v>1118</v>
      </c>
      <c r="K3837" s="343" t="s">
        <v>168</v>
      </c>
    </row>
    <row r="3838" spans="1:11" ht="26.25" customHeight="1">
      <c r="A3838" s="343" t="s">
        <v>6104</v>
      </c>
      <c r="B3838" s="344" t="s">
        <v>162</v>
      </c>
      <c r="C3838" s="344">
        <v>6672</v>
      </c>
      <c r="D3838" s="343" t="s">
        <v>6394</v>
      </c>
      <c r="E3838" s="344">
        <v>6294554</v>
      </c>
      <c r="F3838" s="343" t="s">
        <v>7111</v>
      </c>
      <c r="G3838" s="360" t="s">
        <v>10003</v>
      </c>
      <c r="H3838" s="361">
        <v>42984</v>
      </c>
      <c r="I3838" s="343" t="s">
        <v>193</v>
      </c>
      <c r="J3838" s="343" t="s">
        <v>637</v>
      </c>
      <c r="K3838" s="343" t="s">
        <v>168</v>
      </c>
    </row>
    <row r="3839" spans="1:11" ht="26.25" customHeight="1">
      <c r="A3839" s="343" t="s">
        <v>6104</v>
      </c>
      <c r="B3839" s="344" t="s">
        <v>162</v>
      </c>
      <c r="C3839" s="344">
        <v>7556</v>
      </c>
      <c r="D3839" s="343" t="s">
        <v>6150</v>
      </c>
      <c r="E3839" s="344">
        <v>5965149</v>
      </c>
      <c r="F3839" s="343" t="s">
        <v>7125</v>
      </c>
      <c r="G3839" s="360" t="s">
        <v>11121</v>
      </c>
      <c r="H3839" s="361">
        <v>42993</v>
      </c>
      <c r="I3839" s="343" t="s">
        <v>261</v>
      </c>
      <c r="J3839" s="343" t="s">
        <v>12957</v>
      </c>
      <c r="K3839" s="343" t="s">
        <v>168</v>
      </c>
    </row>
    <row r="3840" spans="1:11" ht="26.25" customHeight="1">
      <c r="A3840" s="343" t="s">
        <v>6104</v>
      </c>
      <c r="B3840" s="344" t="s">
        <v>162</v>
      </c>
      <c r="C3840" s="344">
        <v>6672</v>
      </c>
      <c r="D3840" s="343" t="s">
        <v>6394</v>
      </c>
      <c r="E3840" s="344">
        <v>6364729</v>
      </c>
      <c r="F3840" s="343" t="s">
        <v>7112</v>
      </c>
      <c r="G3840" s="360" t="s">
        <v>10917</v>
      </c>
      <c r="H3840" s="361">
        <v>42997</v>
      </c>
      <c r="I3840" s="343" t="s">
        <v>301</v>
      </c>
      <c r="J3840" s="343" t="s">
        <v>1113</v>
      </c>
      <c r="K3840" s="343" t="s">
        <v>168</v>
      </c>
    </row>
    <row r="3841" spans="1:11" ht="26.25" customHeight="1">
      <c r="A3841" s="343" t="s">
        <v>6104</v>
      </c>
      <c r="B3841" s="344" t="s">
        <v>162</v>
      </c>
      <c r="C3841" s="344">
        <v>7040</v>
      </c>
      <c r="D3841" s="343" t="s">
        <v>6307</v>
      </c>
      <c r="E3841" s="344">
        <v>5801116</v>
      </c>
      <c r="F3841" s="343" t="s">
        <v>7118</v>
      </c>
      <c r="G3841" s="360" t="s">
        <v>12958</v>
      </c>
      <c r="H3841" s="361">
        <v>43004</v>
      </c>
      <c r="I3841" s="343" t="s">
        <v>211</v>
      </c>
      <c r="J3841" s="343" t="s">
        <v>909</v>
      </c>
      <c r="K3841" s="343" t="s">
        <v>168</v>
      </c>
    </row>
    <row r="3842" spans="1:11" ht="26.25" customHeight="1">
      <c r="A3842" s="343" t="s">
        <v>6104</v>
      </c>
      <c r="B3842" s="344" t="s">
        <v>162</v>
      </c>
      <c r="C3842" s="344">
        <v>7040</v>
      </c>
      <c r="D3842" s="343" t="s">
        <v>6307</v>
      </c>
      <c r="E3842" s="344">
        <v>5678962</v>
      </c>
      <c r="F3842" s="343" t="s">
        <v>7119</v>
      </c>
      <c r="G3842" s="360" t="s">
        <v>12959</v>
      </c>
      <c r="H3842" s="361">
        <v>43004</v>
      </c>
      <c r="I3842" s="343" t="s">
        <v>211</v>
      </c>
      <c r="J3842" s="343" t="s">
        <v>909</v>
      </c>
      <c r="K3842" s="343" t="s">
        <v>168</v>
      </c>
    </row>
    <row r="3843" spans="1:11" ht="26.25" customHeight="1">
      <c r="A3843" s="343" t="s">
        <v>6104</v>
      </c>
      <c r="B3843" s="344" t="s">
        <v>162</v>
      </c>
      <c r="C3843" s="344">
        <v>6672</v>
      </c>
      <c r="D3843" s="343" t="s">
        <v>6394</v>
      </c>
      <c r="E3843" s="344">
        <v>5807106</v>
      </c>
      <c r="F3843" s="343" t="s">
        <v>7113</v>
      </c>
      <c r="G3843" s="360" t="s">
        <v>12960</v>
      </c>
      <c r="H3843" s="361">
        <v>43005</v>
      </c>
      <c r="I3843" s="343" t="s">
        <v>193</v>
      </c>
      <c r="J3843" s="343" t="s">
        <v>637</v>
      </c>
      <c r="K3843" s="343" t="s">
        <v>168</v>
      </c>
    </row>
    <row r="3844" spans="1:11" ht="26.25" customHeight="1">
      <c r="A3844" s="343" t="s">
        <v>6104</v>
      </c>
      <c r="B3844" s="344" t="s">
        <v>162</v>
      </c>
      <c r="C3844" s="344">
        <v>11623</v>
      </c>
      <c r="D3844" s="343" t="s">
        <v>6202</v>
      </c>
      <c r="E3844" s="344">
        <v>6261263</v>
      </c>
      <c r="F3844" s="343" t="s">
        <v>7128</v>
      </c>
      <c r="G3844" s="360" t="s">
        <v>10229</v>
      </c>
      <c r="H3844" s="361">
        <v>43005</v>
      </c>
      <c r="I3844" s="343" t="s">
        <v>193</v>
      </c>
      <c r="J3844" s="343" t="s">
        <v>637</v>
      </c>
      <c r="K3844" s="343" t="s">
        <v>168</v>
      </c>
    </row>
    <row r="3845" spans="1:11" ht="26.25" customHeight="1">
      <c r="A3845" s="343" t="s">
        <v>6104</v>
      </c>
      <c r="B3845" s="344" t="s">
        <v>162</v>
      </c>
      <c r="C3845" s="344">
        <v>7041</v>
      </c>
      <c r="D3845" s="343" t="s">
        <v>6220</v>
      </c>
      <c r="E3845" s="344">
        <v>4203429</v>
      </c>
      <c r="F3845" s="343" t="s">
        <v>6222</v>
      </c>
      <c r="G3845" s="360" t="s">
        <v>12961</v>
      </c>
      <c r="H3845" s="361">
        <v>43005</v>
      </c>
      <c r="I3845" s="343" t="s">
        <v>211</v>
      </c>
      <c r="J3845" s="343" t="s">
        <v>211</v>
      </c>
      <c r="K3845" s="343" t="s">
        <v>168</v>
      </c>
    </row>
    <row r="3846" spans="1:11" ht="26.25" customHeight="1">
      <c r="A3846" s="343" t="s">
        <v>6104</v>
      </c>
      <c r="B3846" s="344" t="s">
        <v>162</v>
      </c>
      <c r="C3846" s="344">
        <v>9346</v>
      </c>
      <c r="D3846" s="343" t="s">
        <v>6246</v>
      </c>
      <c r="E3846" s="344">
        <v>5750185</v>
      </c>
      <c r="F3846" s="343" t="s">
        <v>6248</v>
      </c>
      <c r="G3846" s="360" t="s">
        <v>12962</v>
      </c>
      <c r="H3846" s="361">
        <v>43005</v>
      </c>
      <c r="I3846" s="343" t="s">
        <v>198</v>
      </c>
      <c r="J3846" s="343" t="s">
        <v>198</v>
      </c>
      <c r="K3846" s="343" t="s">
        <v>168</v>
      </c>
    </row>
    <row r="3847" spans="1:11" ht="26.25" customHeight="1">
      <c r="A3847" s="343" t="s">
        <v>6104</v>
      </c>
      <c r="B3847" s="344" t="s">
        <v>162</v>
      </c>
      <c r="C3847" s="344">
        <v>12114</v>
      </c>
      <c r="D3847" s="343" t="s">
        <v>6314</v>
      </c>
      <c r="E3847" s="344">
        <v>4183782</v>
      </c>
      <c r="F3847" s="343" t="s">
        <v>6316</v>
      </c>
      <c r="G3847" s="360" t="s">
        <v>11972</v>
      </c>
      <c r="H3847" s="361">
        <v>43005</v>
      </c>
      <c r="I3847" s="343" t="s">
        <v>211</v>
      </c>
      <c r="J3847" s="343" t="s">
        <v>211</v>
      </c>
      <c r="K3847" s="343" t="s">
        <v>168</v>
      </c>
    </row>
    <row r="3848" spans="1:11" ht="26.25" customHeight="1">
      <c r="A3848" s="343" t="s">
        <v>6104</v>
      </c>
      <c r="B3848" s="344" t="s">
        <v>162</v>
      </c>
      <c r="C3848" s="344">
        <v>6680</v>
      </c>
      <c r="D3848" s="343" t="s">
        <v>6346</v>
      </c>
      <c r="E3848" s="344">
        <v>5906105</v>
      </c>
      <c r="F3848" s="343" t="s">
        <v>7114</v>
      </c>
      <c r="G3848" s="360" t="s">
        <v>12202</v>
      </c>
      <c r="H3848" s="361">
        <v>43006</v>
      </c>
      <c r="I3848" s="343" t="s">
        <v>166</v>
      </c>
      <c r="J3848" s="343" t="s">
        <v>296</v>
      </c>
      <c r="K3848" s="343" t="s">
        <v>168</v>
      </c>
    </row>
    <row r="3849" spans="1:11" ht="26.25" customHeight="1">
      <c r="A3849" s="343" t="s">
        <v>6104</v>
      </c>
      <c r="B3849" s="344" t="s">
        <v>162</v>
      </c>
      <c r="C3849" s="344">
        <v>7040</v>
      </c>
      <c r="D3849" s="343" t="s">
        <v>6307</v>
      </c>
      <c r="E3849" s="344">
        <v>4416345</v>
      </c>
      <c r="F3849" s="343" t="s">
        <v>6308</v>
      </c>
      <c r="G3849" s="360" t="s">
        <v>12963</v>
      </c>
      <c r="H3849" s="361">
        <v>43006</v>
      </c>
      <c r="I3849" s="343" t="s">
        <v>187</v>
      </c>
      <c r="J3849" s="343" t="s">
        <v>187</v>
      </c>
      <c r="K3849" s="343" t="s">
        <v>173</v>
      </c>
    </row>
    <row r="3850" spans="1:11" ht="26.25" customHeight="1">
      <c r="A3850" s="343" t="s">
        <v>6104</v>
      </c>
      <c r="B3850" s="344" t="s">
        <v>162</v>
      </c>
      <c r="C3850" s="344">
        <v>7162</v>
      </c>
      <c r="D3850" s="343" t="s">
        <v>6292</v>
      </c>
      <c r="E3850" s="344">
        <v>5311082</v>
      </c>
      <c r="F3850" s="343" t="s">
        <v>7122</v>
      </c>
      <c r="G3850" s="360" t="s">
        <v>11012</v>
      </c>
      <c r="H3850" s="361">
        <v>43011</v>
      </c>
      <c r="I3850" s="343" t="s">
        <v>984</v>
      </c>
      <c r="J3850" s="343" t="s">
        <v>9373</v>
      </c>
      <c r="K3850" s="343" t="s">
        <v>168</v>
      </c>
    </row>
    <row r="3851" spans="1:11" ht="26.25" customHeight="1">
      <c r="A3851" s="343" t="s">
        <v>6104</v>
      </c>
      <c r="B3851" s="344" t="s">
        <v>162</v>
      </c>
      <c r="C3851" s="344">
        <v>9625</v>
      </c>
      <c r="D3851" s="343" t="s">
        <v>6159</v>
      </c>
      <c r="E3851" s="344">
        <v>6401137</v>
      </c>
      <c r="F3851" s="343" t="s">
        <v>6160</v>
      </c>
      <c r="G3851" s="360" t="s">
        <v>12964</v>
      </c>
      <c r="H3851" s="361">
        <v>43012</v>
      </c>
      <c r="I3851" s="343" t="s">
        <v>514</v>
      </c>
      <c r="J3851" s="343" t="s">
        <v>10950</v>
      </c>
      <c r="K3851" s="343" t="s">
        <v>168</v>
      </c>
    </row>
    <row r="3852" spans="1:11" ht="26.25" customHeight="1">
      <c r="A3852" s="343" t="s">
        <v>6104</v>
      </c>
      <c r="B3852" s="344" t="s">
        <v>162</v>
      </c>
      <c r="C3852" s="344">
        <v>6675</v>
      </c>
      <c r="D3852" s="343" t="s">
        <v>6369</v>
      </c>
      <c r="E3852" s="344">
        <v>6715591</v>
      </c>
      <c r="F3852" s="343" t="s">
        <v>7383</v>
      </c>
      <c r="G3852" s="360" t="s">
        <v>12706</v>
      </c>
      <c r="H3852" s="361">
        <v>43019</v>
      </c>
      <c r="I3852" s="343" t="s">
        <v>1038</v>
      </c>
      <c r="J3852" s="343" t="s">
        <v>9369</v>
      </c>
      <c r="K3852" s="343" t="s">
        <v>168</v>
      </c>
    </row>
    <row r="3853" spans="1:11" ht="26.25" customHeight="1">
      <c r="A3853" s="343" t="s">
        <v>6104</v>
      </c>
      <c r="B3853" s="344" t="s">
        <v>162</v>
      </c>
      <c r="C3853" s="344">
        <v>8804</v>
      </c>
      <c r="D3853" s="343" t="s">
        <v>6174</v>
      </c>
      <c r="E3853" s="344">
        <v>6820221</v>
      </c>
      <c r="F3853" s="343" t="s">
        <v>7390</v>
      </c>
      <c r="G3853" s="360" t="s">
        <v>12965</v>
      </c>
      <c r="H3853" s="361">
        <v>43032</v>
      </c>
      <c r="I3853" s="343" t="s">
        <v>166</v>
      </c>
      <c r="J3853" s="343" t="s">
        <v>11610</v>
      </c>
      <c r="K3853" s="343" t="s">
        <v>248</v>
      </c>
    </row>
    <row r="3854" spans="1:11" ht="26.25" customHeight="1">
      <c r="A3854" s="343" t="s">
        <v>6104</v>
      </c>
      <c r="B3854" s="344" t="s">
        <v>162</v>
      </c>
      <c r="C3854" s="344">
        <v>7040</v>
      </c>
      <c r="D3854" s="343" t="s">
        <v>6307</v>
      </c>
      <c r="E3854" s="344">
        <v>4414109</v>
      </c>
      <c r="F3854" s="343" t="s">
        <v>7386</v>
      </c>
      <c r="G3854" s="360" t="s">
        <v>12966</v>
      </c>
      <c r="H3854" s="361">
        <v>43032</v>
      </c>
      <c r="I3854" s="343" t="s">
        <v>211</v>
      </c>
      <c r="J3854" s="343" t="s">
        <v>211</v>
      </c>
      <c r="K3854" s="343" t="s">
        <v>168</v>
      </c>
    </row>
    <row r="3855" spans="1:11" ht="26.25" customHeight="1">
      <c r="A3855" s="343" t="s">
        <v>6104</v>
      </c>
      <c r="B3855" s="344" t="s">
        <v>162</v>
      </c>
      <c r="C3855" s="344">
        <v>12114</v>
      </c>
      <c r="D3855" s="343" t="s">
        <v>6314</v>
      </c>
      <c r="E3855" s="344">
        <v>5198525</v>
      </c>
      <c r="F3855" s="343" t="s">
        <v>7391</v>
      </c>
      <c r="G3855" s="360" t="s">
        <v>12916</v>
      </c>
      <c r="H3855" s="361">
        <v>43032</v>
      </c>
      <c r="I3855" s="343" t="s">
        <v>166</v>
      </c>
      <c r="J3855" s="343" t="s">
        <v>296</v>
      </c>
      <c r="K3855" s="343" t="s">
        <v>168</v>
      </c>
    </row>
    <row r="3856" spans="1:11" ht="26.25" customHeight="1">
      <c r="A3856" s="343" t="s">
        <v>6104</v>
      </c>
      <c r="B3856" s="344" t="s">
        <v>162</v>
      </c>
      <c r="C3856" s="344">
        <v>6664</v>
      </c>
      <c r="D3856" s="343" t="s">
        <v>6361</v>
      </c>
      <c r="E3856" s="344">
        <v>5846815</v>
      </c>
      <c r="F3856" s="343" t="s">
        <v>7381</v>
      </c>
      <c r="G3856" s="360" t="s">
        <v>12164</v>
      </c>
      <c r="H3856" s="361">
        <v>43032</v>
      </c>
      <c r="I3856" s="343" t="s">
        <v>193</v>
      </c>
      <c r="J3856" s="343" t="s">
        <v>637</v>
      </c>
      <c r="K3856" s="343" t="s">
        <v>168</v>
      </c>
    </row>
    <row r="3857" spans="1:11" ht="26.25" customHeight="1">
      <c r="A3857" s="343" t="s">
        <v>6104</v>
      </c>
      <c r="B3857" s="344" t="s">
        <v>162</v>
      </c>
      <c r="C3857" s="344">
        <v>6677</v>
      </c>
      <c r="D3857" s="343" t="s">
        <v>6334</v>
      </c>
      <c r="E3857" s="344">
        <v>6247226</v>
      </c>
      <c r="F3857" s="343" t="s">
        <v>7385</v>
      </c>
      <c r="G3857" s="360" t="s">
        <v>9639</v>
      </c>
      <c r="H3857" s="361">
        <v>43032</v>
      </c>
      <c r="I3857" s="343" t="s">
        <v>4251</v>
      </c>
      <c r="J3857" s="343" t="s">
        <v>12967</v>
      </c>
      <c r="K3857" s="343" t="s">
        <v>173</v>
      </c>
    </row>
    <row r="3858" spans="1:11" ht="26.25" customHeight="1">
      <c r="A3858" s="343" t="s">
        <v>6104</v>
      </c>
      <c r="B3858" s="344" t="s">
        <v>162</v>
      </c>
      <c r="C3858" s="344">
        <v>7550</v>
      </c>
      <c r="D3858" s="343" t="s">
        <v>6168</v>
      </c>
      <c r="E3858" s="344">
        <v>6685955</v>
      </c>
      <c r="F3858" s="343" t="s">
        <v>7389</v>
      </c>
      <c r="G3858" s="360" t="s">
        <v>12968</v>
      </c>
      <c r="H3858" s="361">
        <v>43032</v>
      </c>
      <c r="I3858" s="343" t="s">
        <v>3583</v>
      </c>
      <c r="J3858" s="343" t="s">
        <v>9613</v>
      </c>
      <c r="K3858" s="343" t="s">
        <v>173</v>
      </c>
    </row>
    <row r="3859" spans="1:11" ht="26.25" customHeight="1">
      <c r="A3859" s="343" t="s">
        <v>6104</v>
      </c>
      <c r="B3859" s="344" t="s">
        <v>162</v>
      </c>
      <c r="C3859" s="344">
        <v>7534</v>
      </c>
      <c r="D3859" s="343" t="s">
        <v>6139</v>
      </c>
      <c r="E3859" s="344">
        <v>6701590</v>
      </c>
      <c r="F3859" s="343" t="s">
        <v>7388</v>
      </c>
      <c r="G3859" s="360" t="s">
        <v>12969</v>
      </c>
      <c r="H3859" s="361">
        <v>43035</v>
      </c>
      <c r="I3859" s="343" t="s">
        <v>193</v>
      </c>
      <c r="J3859" s="343" t="s">
        <v>472</v>
      </c>
      <c r="K3859" s="343" t="s">
        <v>168</v>
      </c>
    </row>
    <row r="3860" spans="1:11" ht="26.25" customHeight="1">
      <c r="A3860" s="343" t="s">
        <v>6104</v>
      </c>
      <c r="B3860" s="344" t="s">
        <v>162</v>
      </c>
      <c r="C3860" s="344">
        <v>9896</v>
      </c>
      <c r="D3860" s="343" t="s">
        <v>6181</v>
      </c>
      <c r="E3860" s="344">
        <v>6559770</v>
      </c>
      <c r="F3860" s="343" t="s">
        <v>6183</v>
      </c>
      <c r="G3860" s="360" t="s">
        <v>12970</v>
      </c>
      <c r="H3860" s="361">
        <v>43046</v>
      </c>
      <c r="I3860" s="343" t="s">
        <v>193</v>
      </c>
      <c r="J3860" s="343" t="s">
        <v>12971</v>
      </c>
      <c r="K3860" s="343" t="s">
        <v>168</v>
      </c>
    </row>
    <row r="3861" spans="1:11" ht="26.25" customHeight="1">
      <c r="A3861" s="343" t="s">
        <v>6104</v>
      </c>
      <c r="B3861" s="344" t="s">
        <v>162</v>
      </c>
      <c r="C3861" s="344">
        <v>6676</v>
      </c>
      <c r="D3861" s="343" t="s">
        <v>6423</v>
      </c>
      <c r="E3861" s="344">
        <v>6541277</v>
      </c>
      <c r="F3861" s="343" t="s">
        <v>7384</v>
      </c>
      <c r="G3861" s="360" t="s">
        <v>12972</v>
      </c>
      <c r="H3861" s="361">
        <v>43049</v>
      </c>
      <c r="I3861" s="343" t="s">
        <v>1182</v>
      </c>
      <c r="J3861" s="343" t="s">
        <v>10913</v>
      </c>
      <c r="K3861" s="343" t="s">
        <v>173</v>
      </c>
    </row>
    <row r="3862" spans="1:11" ht="26.25" customHeight="1">
      <c r="A3862" s="343" t="s">
        <v>6104</v>
      </c>
      <c r="B3862" s="344" t="s">
        <v>162</v>
      </c>
      <c r="C3862" s="344">
        <v>9625</v>
      </c>
      <c r="D3862" s="343" t="s">
        <v>6159</v>
      </c>
      <c r="E3862" s="344">
        <v>6270743</v>
      </c>
      <c r="F3862" s="343" t="s">
        <v>6162</v>
      </c>
      <c r="G3862" s="360" t="s">
        <v>12973</v>
      </c>
      <c r="H3862" s="361">
        <v>43055</v>
      </c>
      <c r="I3862" s="343" t="s">
        <v>193</v>
      </c>
      <c r="J3862" s="343" t="s">
        <v>12069</v>
      </c>
      <c r="K3862" s="343" t="s">
        <v>168</v>
      </c>
    </row>
    <row r="3863" spans="1:11" ht="26.25" customHeight="1">
      <c r="A3863" s="343" t="s">
        <v>6104</v>
      </c>
      <c r="B3863" s="344" t="s">
        <v>162</v>
      </c>
      <c r="C3863" s="344">
        <v>7044</v>
      </c>
      <c r="D3863" s="343" t="s">
        <v>6275</v>
      </c>
      <c r="E3863" s="344">
        <v>4693109</v>
      </c>
      <c r="F3863" s="343" t="s">
        <v>7387</v>
      </c>
      <c r="G3863" s="360" t="s">
        <v>12974</v>
      </c>
      <c r="H3863" s="361">
        <v>43055</v>
      </c>
      <c r="I3863" s="343" t="s">
        <v>211</v>
      </c>
      <c r="J3863" s="343" t="s">
        <v>909</v>
      </c>
      <c r="K3863" s="343" t="s">
        <v>168</v>
      </c>
    </row>
    <row r="3864" spans="1:11" ht="26.25" customHeight="1">
      <c r="A3864" s="343" t="s">
        <v>6104</v>
      </c>
      <c r="B3864" s="344" t="s">
        <v>162</v>
      </c>
      <c r="C3864" s="344">
        <v>6671</v>
      </c>
      <c r="D3864" s="343" t="s">
        <v>6432</v>
      </c>
      <c r="E3864" s="344">
        <v>6151038</v>
      </c>
      <c r="F3864" s="343" t="s">
        <v>7382</v>
      </c>
      <c r="G3864" s="360" t="s">
        <v>11127</v>
      </c>
      <c r="H3864" s="361">
        <v>43062</v>
      </c>
      <c r="I3864" s="343" t="s">
        <v>180</v>
      </c>
      <c r="J3864" s="343" t="s">
        <v>12975</v>
      </c>
      <c r="K3864" s="343" t="s">
        <v>168</v>
      </c>
    </row>
    <row r="3865" spans="1:11" ht="26.25" customHeight="1">
      <c r="A3865" s="343" t="s">
        <v>6104</v>
      </c>
      <c r="B3865" s="344" t="s">
        <v>162</v>
      </c>
      <c r="C3865" s="344">
        <v>7043</v>
      </c>
      <c r="D3865" s="343" t="s">
        <v>7436</v>
      </c>
      <c r="E3865" s="344">
        <v>5095170</v>
      </c>
      <c r="F3865" s="343" t="s">
        <v>7437</v>
      </c>
      <c r="G3865" s="360" t="s">
        <v>12303</v>
      </c>
      <c r="H3865" s="361">
        <v>43076</v>
      </c>
      <c r="I3865" s="343" t="s">
        <v>211</v>
      </c>
      <c r="J3865" s="343" t="s">
        <v>909</v>
      </c>
      <c r="K3865" s="343" t="s">
        <v>168</v>
      </c>
    </row>
    <row r="3866" spans="1:11" ht="26.25" customHeight="1">
      <c r="A3866" s="343" t="s">
        <v>6104</v>
      </c>
      <c r="B3866" s="344" t="s">
        <v>162</v>
      </c>
      <c r="C3866" s="344">
        <v>7500</v>
      </c>
      <c r="D3866" s="343" t="s">
        <v>6164</v>
      </c>
      <c r="E3866" s="344">
        <v>6628030</v>
      </c>
      <c r="F3866" s="343" t="s">
        <v>7438</v>
      </c>
      <c r="G3866" s="360" t="s">
        <v>10131</v>
      </c>
      <c r="H3866" s="361">
        <v>43076</v>
      </c>
      <c r="I3866" s="343" t="s">
        <v>166</v>
      </c>
      <c r="J3866" s="343" t="s">
        <v>296</v>
      </c>
      <c r="K3866" s="343" t="s">
        <v>168</v>
      </c>
    </row>
    <row r="3867" spans="1:11" ht="26.25" customHeight="1">
      <c r="A3867" s="343" t="s">
        <v>6104</v>
      </c>
      <c r="B3867" s="344" t="s">
        <v>162</v>
      </c>
      <c r="C3867" s="344">
        <v>7031</v>
      </c>
      <c r="D3867" s="343" t="s">
        <v>6223</v>
      </c>
      <c r="E3867" s="344">
        <v>5582658</v>
      </c>
      <c r="F3867" s="343" t="s">
        <v>7435</v>
      </c>
      <c r="G3867" s="360" t="s">
        <v>12976</v>
      </c>
      <c r="H3867" s="361">
        <v>43076</v>
      </c>
      <c r="I3867" s="343" t="s">
        <v>193</v>
      </c>
      <c r="J3867" s="343" t="s">
        <v>637</v>
      </c>
      <c r="K3867" s="343" t="s">
        <v>168</v>
      </c>
    </row>
    <row r="3868" spans="1:11" ht="26.25" customHeight="1">
      <c r="A3868" s="343" t="s">
        <v>6104</v>
      </c>
      <c r="B3868" s="344" t="s">
        <v>162</v>
      </c>
      <c r="C3868" s="344">
        <v>6818</v>
      </c>
      <c r="D3868" s="343" t="s">
        <v>6347</v>
      </c>
      <c r="E3868" s="344">
        <v>5717294</v>
      </c>
      <c r="F3868" s="343" t="s">
        <v>6350</v>
      </c>
      <c r="G3868" s="360" t="s">
        <v>10456</v>
      </c>
      <c r="H3868" s="361">
        <v>43077</v>
      </c>
      <c r="I3868" s="343" t="s">
        <v>7509</v>
      </c>
      <c r="J3868" s="343" t="s">
        <v>12977</v>
      </c>
      <c r="K3868" s="343" t="s">
        <v>168</v>
      </c>
    </row>
    <row r="3869" spans="1:11" ht="26.25" customHeight="1">
      <c r="A3869" s="343" t="s">
        <v>6104</v>
      </c>
      <c r="B3869" s="344" t="s">
        <v>162</v>
      </c>
      <c r="C3869" s="344">
        <v>7556</v>
      </c>
      <c r="D3869" s="343" t="s">
        <v>6150</v>
      </c>
      <c r="E3869" s="344">
        <v>6641890</v>
      </c>
      <c r="F3869" s="343" t="s">
        <v>7126</v>
      </c>
      <c r="G3869" s="360" t="s">
        <v>11626</v>
      </c>
      <c r="H3869" s="361">
        <v>43080</v>
      </c>
      <c r="I3869" s="343" t="s">
        <v>166</v>
      </c>
      <c r="J3869" s="343" t="s">
        <v>9413</v>
      </c>
      <c r="K3869" s="343" t="s">
        <v>168</v>
      </c>
    </row>
    <row r="3870" spans="1:11" ht="26.25" customHeight="1">
      <c r="A3870" s="343" t="s">
        <v>6104</v>
      </c>
      <c r="B3870" s="344" t="s">
        <v>162</v>
      </c>
      <c r="C3870" s="344">
        <v>7029</v>
      </c>
      <c r="D3870" s="343" t="s">
        <v>6301</v>
      </c>
      <c r="E3870" s="344">
        <v>3929304</v>
      </c>
      <c r="F3870" s="343" t="s">
        <v>7510</v>
      </c>
      <c r="G3870" s="360" t="s">
        <v>12978</v>
      </c>
      <c r="H3870" s="361">
        <v>43088</v>
      </c>
      <c r="I3870" s="343" t="s">
        <v>166</v>
      </c>
      <c r="J3870" s="343" t="s">
        <v>12979</v>
      </c>
      <c r="K3870" s="343" t="s">
        <v>168</v>
      </c>
    </row>
    <row r="3871" spans="1:11" ht="26.25" customHeight="1">
      <c r="A3871" s="343" t="s">
        <v>6104</v>
      </c>
      <c r="B3871" s="344" t="s">
        <v>162</v>
      </c>
      <c r="C3871" s="344">
        <v>9178</v>
      </c>
      <c r="D3871" s="343" t="s">
        <v>6415</v>
      </c>
      <c r="E3871" s="344">
        <v>6151160</v>
      </c>
      <c r="F3871" s="343" t="s">
        <v>7512</v>
      </c>
      <c r="G3871" s="360" t="s">
        <v>12980</v>
      </c>
      <c r="H3871" s="361">
        <v>43122</v>
      </c>
      <c r="I3871" s="343" t="s">
        <v>802</v>
      </c>
      <c r="J3871" s="343" t="s">
        <v>1172</v>
      </c>
      <c r="K3871" s="343" t="s">
        <v>168</v>
      </c>
    </row>
    <row r="3872" spans="1:11" ht="26.25" customHeight="1">
      <c r="A3872" s="343" t="s">
        <v>6104</v>
      </c>
      <c r="B3872" s="344" t="s">
        <v>162</v>
      </c>
      <c r="C3872" s="344">
        <v>7029</v>
      </c>
      <c r="D3872" s="343" t="s">
        <v>6301</v>
      </c>
      <c r="E3872" s="344">
        <v>4965447</v>
      </c>
      <c r="F3872" s="343" t="s">
        <v>6303</v>
      </c>
      <c r="G3872" s="360" t="s">
        <v>12981</v>
      </c>
      <c r="H3872" s="361">
        <v>43122</v>
      </c>
      <c r="I3872" s="343" t="s">
        <v>7511</v>
      </c>
      <c r="J3872" s="343" t="s">
        <v>12982</v>
      </c>
      <c r="K3872" s="343" t="s">
        <v>248</v>
      </c>
    </row>
    <row r="3873" spans="1:11" ht="26.25" customHeight="1">
      <c r="A3873" s="343" t="s">
        <v>6104</v>
      </c>
      <c r="B3873" s="344" t="s">
        <v>162</v>
      </c>
      <c r="C3873" s="344">
        <v>7557</v>
      </c>
      <c r="D3873" s="343" t="s">
        <v>6108</v>
      </c>
      <c r="E3873" s="344">
        <v>6704831</v>
      </c>
      <c r="F3873" s="343" t="s">
        <v>7556</v>
      </c>
      <c r="G3873" s="360" t="s">
        <v>10158</v>
      </c>
      <c r="H3873" s="361">
        <v>43122</v>
      </c>
      <c r="I3873" s="343" t="s">
        <v>166</v>
      </c>
      <c r="J3873" s="343" t="s">
        <v>12983</v>
      </c>
      <c r="K3873" s="343" t="s">
        <v>248</v>
      </c>
    </row>
    <row r="3874" spans="1:11" ht="26.25" customHeight="1">
      <c r="A3874" s="343" t="s">
        <v>6104</v>
      </c>
      <c r="B3874" s="344" t="s">
        <v>162</v>
      </c>
      <c r="C3874" s="344">
        <v>6672</v>
      </c>
      <c r="D3874" s="343" t="s">
        <v>6394</v>
      </c>
      <c r="E3874" s="344">
        <v>6812435</v>
      </c>
      <c r="F3874" s="343" t="s">
        <v>7557</v>
      </c>
      <c r="G3874" s="360" t="s">
        <v>11782</v>
      </c>
      <c r="H3874" s="361">
        <v>43129</v>
      </c>
      <c r="I3874" s="343" t="s">
        <v>180</v>
      </c>
      <c r="J3874" s="343" t="s">
        <v>12984</v>
      </c>
      <c r="K3874" s="343" t="s">
        <v>168</v>
      </c>
    </row>
    <row r="3875" spans="1:11" ht="26.25" customHeight="1">
      <c r="A3875" s="343" t="s">
        <v>6104</v>
      </c>
      <c r="B3875" s="344" t="s">
        <v>162</v>
      </c>
      <c r="C3875" s="344">
        <v>11623</v>
      </c>
      <c r="D3875" s="343" t="s">
        <v>6202</v>
      </c>
      <c r="E3875" s="344">
        <v>6077760</v>
      </c>
      <c r="F3875" s="343" t="s">
        <v>6206</v>
      </c>
      <c r="G3875" s="360" t="s">
        <v>9554</v>
      </c>
      <c r="H3875" s="361">
        <v>43132</v>
      </c>
      <c r="I3875" s="343" t="s">
        <v>166</v>
      </c>
      <c r="J3875" s="343" t="s">
        <v>327</v>
      </c>
      <c r="K3875" s="343" t="s">
        <v>168</v>
      </c>
    </row>
    <row r="3876" spans="1:11" ht="26.25" customHeight="1">
      <c r="A3876" s="343" t="s">
        <v>6104</v>
      </c>
      <c r="B3876" s="344" t="s">
        <v>162</v>
      </c>
      <c r="C3876" s="344">
        <v>11623</v>
      </c>
      <c r="D3876" s="343" t="s">
        <v>6202</v>
      </c>
      <c r="E3876" s="344">
        <v>5989302</v>
      </c>
      <c r="F3876" s="343" t="s">
        <v>6208</v>
      </c>
      <c r="G3876" s="360" t="s">
        <v>10005</v>
      </c>
      <c r="H3876" s="361">
        <v>43132</v>
      </c>
      <c r="I3876" s="343" t="s">
        <v>4147</v>
      </c>
      <c r="J3876" s="343" t="s">
        <v>12985</v>
      </c>
      <c r="K3876" s="343" t="s">
        <v>173</v>
      </c>
    </row>
    <row r="3877" spans="1:11" ht="26.25" customHeight="1">
      <c r="A3877" s="343" t="s">
        <v>6104</v>
      </c>
      <c r="B3877" s="344" t="s">
        <v>162</v>
      </c>
      <c r="C3877" s="344">
        <v>7549</v>
      </c>
      <c r="D3877" s="343" t="s">
        <v>6186</v>
      </c>
      <c r="E3877" s="344">
        <v>6552711</v>
      </c>
      <c r="F3877" s="343" t="s">
        <v>7559</v>
      </c>
      <c r="G3877" s="360" t="s">
        <v>12671</v>
      </c>
      <c r="H3877" s="361">
        <v>43132</v>
      </c>
      <c r="I3877" s="343" t="s">
        <v>166</v>
      </c>
      <c r="J3877" s="343" t="s">
        <v>9413</v>
      </c>
      <c r="K3877" s="343" t="s">
        <v>168</v>
      </c>
    </row>
    <row r="3878" spans="1:11" ht="26.25" customHeight="1">
      <c r="A3878" s="343" t="s">
        <v>6104</v>
      </c>
      <c r="B3878" s="344" t="s">
        <v>162</v>
      </c>
      <c r="C3878" s="344">
        <v>6681</v>
      </c>
      <c r="D3878" s="343" t="s">
        <v>6342</v>
      </c>
      <c r="E3878" s="344">
        <v>6271955</v>
      </c>
      <c r="F3878" s="343" t="s">
        <v>7560</v>
      </c>
      <c r="G3878" s="360" t="s">
        <v>9712</v>
      </c>
      <c r="H3878" s="361">
        <v>43133</v>
      </c>
      <c r="I3878" s="343" t="s">
        <v>180</v>
      </c>
      <c r="J3878" s="343" t="s">
        <v>12986</v>
      </c>
      <c r="K3878" s="343" t="s">
        <v>168</v>
      </c>
    </row>
    <row r="3879" spans="1:11" ht="26.25" customHeight="1">
      <c r="A3879" s="343" t="s">
        <v>6104</v>
      </c>
      <c r="B3879" s="344" t="s">
        <v>162</v>
      </c>
      <c r="C3879" s="344">
        <v>6665</v>
      </c>
      <c r="D3879" s="343" t="s">
        <v>7562</v>
      </c>
      <c r="E3879" s="344">
        <v>6366747</v>
      </c>
      <c r="F3879" s="343" t="s">
        <v>7563</v>
      </c>
      <c r="G3879" s="360" t="s">
        <v>10652</v>
      </c>
      <c r="H3879" s="361">
        <v>43139</v>
      </c>
      <c r="I3879" s="343" t="s">
        <v>7564</v>
      </c>
      <c r="J3879" s="343" t="s">
        <v>12987</v>
      </c>
      <c r="K3879" s="343" t="s">
        <v>248</v>
      </c>
    </row>
    <row r="3880" spans="1:11" ht="26.25" customHeight="1">
      <c r="A3880" s="343" t="s">
        <v>6104</v>
      </c>
      <c r="B3880" s="344" t="s">
        <v>162</v>
      </c>
      <c r="C3880" s="344">
        <v>6672</v>
      </c>
      <c r="D3880" s="343" t="s">
        <v>6394</v>
      </c>
      <c r="E3880" s="344">
        <v>6704634</v>
      </c>
      <c r="F3880" s="343" t="s">
        <v>8018</v>
      </c>
      <c r="G3880" s="360" t="s">
        <v>1285</v>
      </c>
      <c r="H3880" s="361">
        <v>43147</v>
      </c>
      <c r="I3880" s="343" t="s">
        <v>6388</v>
      </c>
      <c r="J3880" s="343" t="s">
        <v>12988</v>
      </c>
      <c r="K3880" s="343" t="s">
        <v>173</v>
      </c>
    </row>
    <row r="3881" spans="1:11" ht="26.25" customHeight="1">
      <c r="A3881" s="343" t="s">
        <v>6104</v>
      </c>
      <c r="B3881" s="344" t="s">
        <v>162</v>
      </c>
      <c r="C3881" s="344">
        <v>6679</v>
      </c>
      <c r="D3881" s="343" t="s">
        <v>6351</v>
      </c>
      <c r="E3881" s="344">
        <v>6354420</v>
      </c>
      <c r="F3881" s="343" t="s">
        <v>8019</v>
      </c>
      <c r="G3881" s="360" t="s">
        <v>11177</v>
      </c>
      <c r="H3881" s="361">
        <v>43151</v>
      </c>
      <c r="I3881" s="343" t="s">
        <v>180</v>
      </c>
      <c r="J3881" s="343" t="s">
        <v>12989</v>
      </c>
      <c r="K3881" s="343" t="s">
        <v>168</v>
      </c>
    </row>
    <row r="3882" spans="1:11" ht="26.25" customHeight="1">
      <c r="A3882" s="343" t="s">
        <v>6104</v>
      </c>
      <c r="B3882" s="344" t="s">
        <v>162</v>
      </c>
      <c r="C3882" s="344">
        <v>6817</v>
      </c>
      <c r="D3882" s="343" t="s">
        <v>6340</v>
      </c>
      <c r="E3882" s="344">
        <v>6933899</v>
      </c>
      <c r="F3882" s="343" t="s">
        <v>8020</v>
      </c>
      <c r="G3882" s="360" t="s">
        <v>12990</v>
      </c>
      <c r="H3882" s="361">
        <v>43153</v>
      </c>
      <c r="I3882" s="343" t="s">
        <v>7720</v>
      </c>
      <c r="J3882" s="343" t="s">
        <v>12991</v>
      </c>
      <c r="K3882" s="343" t="s">
        <v>168</v>
      </c>
    </row>
    <row r="3883" spans="1:11" ht="26.25" customHeight="1">
      <c r="A3883" s="343" t="s">
        <v>6104</v>
      </c>
      <c r="B3883" s="344" t="s">
        <v>162</v>
      </c>
      <c r="C3883" s="344">
        <v>6813</v>
      </c>
      <c r="D3883" s="343" t="s">
        <v>6373</v>
      </c>
      <c r="E3883" s="344">
        <v>6391100</v>
      </c>
      <c r="F3883" s="343" t="s">
        <v>8021</v>
      </c>
      <c r="G3883" s="360" t="s">
        <v>10156</v>
      </c>
      <c r="H3883" s="361">
        <v>43153</v>
      </c>
      <c r="I3883" s="343" t="s">
        <v>193</v>
      </c>
      <c r="J3883" s="343" t="s">
        <v>637</v>
      </c>
      <c r="K3883" s="343" t="s">
        <v>168</v>
      </c>
    </row>
    <row r="3884" spans="1:11" ht="26.25" customHeight="1">
      <c r="A3884" s="343" t="s">
        <v>6104</v>
      </c>
      <c r="B3884" s="344" t="s">
        <v>162</v>
      </c>
      <c r="C3884" s="344">
        <v>7548</v>
      </c>
      <c r="D3884" s="343" t="s">
        <v>6133</v>
      </c>
      <c r="E3884" s="344">
        <v>6378829</v>
      </c>
      <c r="F3884" s="343" t="s">
        <v>6134</v>
      </c>
      <c r="G3884" s="360" t="s">
        <v>11722</v>
      </c>
      <c r="H3884" s="361">
        <v>43153</v>
      </c>
      <c r="I3884" s="343" t="s">
        <v>301</v>
      </c>
      <c r="J3884" s="343" t="s">
        <v>530</v>
      </c>
      <c r="K3884" s="343" t="s">
        <v>168</v>
      </c>
    </row>
    <row r="3885" spans="1:11" ht="26.25" customHeight="1">
      <c r="A3885" s="343" t="s">
        <v>6104</v>
      </c>
      <c r="B3885" s="344" t="s">
        <v>162</v>
      </c>
      <c r="C3885" s="344">
        <v>7557</v>
      </c>
      <c r="D3885" s="343" t="s">
        <v>6108</v>
      </c>
      <c r="E3885" s="344">
        <v>6724738</v>
      </c>
      <c r="F3885" s="343" t="s">
        <v>8022</v>
      </c>
      <c r="G3885" s="360" t="s">
        <v>12992</v>
      </c>
      <c r="H3885" s="361">
        <v>43153</v>
      </c>
      <c r="I3885" s="343" t="s">
        <v>166</v>
      </c>
      <c r="J3885" s="343" t="s">
        <v>296</v>
      </c>
      <c r="K3885" s="343" t="s">
        <v>168</v>
      </c>
    </row>
    <row r="3886" spans="1:11" ht="26.25" customHeight="1">
      <c r="A3886" s="343" t="s">
        <v>6104</v>
      </c>
      <c r="B3886" s="344" t="s">
        <v>162</v>
      </c>
      <c r="C3886" s="344">
        <v>6672</v>
      </c>
      <c r="D3886" s="343" t="s">
        <v>6394</v>
      </c>
      <c r="E3886" s="344">
        <v>6631716</v>
      </c>
      <c r="F3886" s="343" t="s">
        <v>6193</v>
      </c>
      <c r="G3886" s="360" t="s">
        <v>9677</v>
      </c>
      <c r="H3886" s="361">
        <v>43153</v>
      </c>
      <c r="I3886" s="343" t="s">
        <v>802</v>
      </c>
      <c r="J3886" s="343" t="s">
        <v>1172</v>
      </c>
      <c r="K3886" s="343" t="s">
        <v>168</v>
      </c>
    </row>
    <row r="3887" spans="1:11" ht="26.25" customHeight="1">
      <c r="A3887" s="343" t="s">
        <v>6104</v>
      </c>
      <c r="B3887" s="344" t="s">
        <v>162</v>
      </c>
      <c r="C3887" s="344">
        <v>11667</v>
      </c>
      <c r="D3887" s="343" t="s">
        <v>6194</v>
      </c>
      <c r="E3887" s="344">
        <v>6810029</v>
      </c>
      <c r="F3887" s="343" t="s">
        <v>8023</v>
      </c>
      <c r="G3887" s="360" t="s">
        <v>12993</v>
      </c>
      <c r="H3887" s="361">
        <v>43153</v>
      </c>
      <c r="I3887" s="343" t="s">
        <v>301</v>
      </c>
      <c r="J3887" s="343" t="s">
        <v>1113</v>
      </c>
      <c r="K3887" s="343" t="s">
        <v>168</v>
      </c>
    </row>
    <row r="3888" spans="1:11" ht="26.25" customHeight="1">
      <c r="A3888" s="343" t="s">
        <v>6104</v>
      </c>
      <c r="B3888" s="344" t="s">
        <v>162</v>
      </c>
      <c r="C3888" s="344">
        <v>7556</v>
      </c>
      <c r="D3888" s="343" t="s">
        <v>6150</v>
      </c>
      <c r="E3888" s="344">
        <v>6977451</v>
      </c>
      <c r="F3888" s="343" t="s">
        <v>8024</v>
      </c>
      <c r="G3888" s="360" t="s">
        <v>12994</v>
      </c>
      <c r="H3888" s="361">
        <v>43153</v>
      </c>
      <c r="I3888" s="343" t="s">
        <v>284</v>
      </c>
      <c r="J3888" s="343" t="s">
        <v>10521</v>
      </c>
      <c r="K3888" s="343" t="s">
        <v>168</v>
      </c>
    </row>
    <row r="3889" spans="1:11" ht="26.25" customHeight="1">
      <c r="A3889" s="343" t="s">
        <v>6104</v>
      </c>
      <c r="B3889" s="344" t="s">
        <v>162</v>
      </c>
      <c r="C3889" s="344">
        <v>7486</v>
      </c>
      <c r="D3889" s="343" t="s">
        <v>6177</v>
      </c>
      <c r="E3889" s="344">
        <v>6966633</v>
      </c>
      <c r="F3889" s="343" t="s">
        <v>8025</v>
      </c>
      <c r="G3889" s="360" t="s">
        <v>12995</v>
      </c>
      <c r="H3889" s="361">
        <v>43153</v>
      </c>
      <c r="I3889" s="343" t="s">
        <v>271</v>
      </c>
      <c r="J3889" s="343" t="s">
        <v>11761</v>
      </c>
      <c r="K3889" s="343" t="s">
        <v>168</v>
      </c>
    </row>
    <row r="3890" spans="1:11" ht="26.25" customHeight="1">
      <c r="A3890" s="343" t="s">
        <v>6104</v>
      </c>
      <c r="B3890" s="344" t="s">
        <v>162</v>
      </c>
      <c r="C3890" s="344">
        <v>9065</v>
      </c>
      <c r="D3890" s="343" t="s">
        <v>6386</v>
      </c>
      <c r="E3890" s="344">
        <v>5741982</v>
      </c>
      <c r="F3890" s="343" t="s">
        <v>8026</v>
      </c>
      <c r="G3890" s="360" t="s">
        <v>1077</v>
      </c>
      <c r="H3890" s="361">
        <v>43153</v>
      </c>
      <c r="I3890" s="343" t="s">
        <v>193</v>
      </c>
      <c r="J3890" s="343" t="s">
        <v>637</v>
      </c>
      <c r="K3890" s="343" t="s">
        <v>168</v>
      </c>
    </row>
    <row r="3891" spans="1:11" ht="26.25" customHeight="1">
      <c r="A3891" s="343" t="s">
        <v>6104</v>
      </c>
      <c r="B3891" s="344" t="s">
        <v>162</v>
      </c>
      <c r="C3891" s="344">
        <v>6668</v>
      </c>
      <c r="D3891" s="343" t="s">
        <v>8029</v>
      </c>
      <c r="E3891" s="344">
        <v>5946275</v>
      </c>
      <c r="F3891" s="343" t="s">
        <v>8030</v>
      </c>
      <c r="G3891" s="360" t="s">
        <v>11072</v>
      </c>
      <c r="H3891" s="361">
        <v>43153</v>
      </c>
      <c r="I3891" s="343" t="s">
        <v>8031</v>
      </c>
      <c r="J3891" s="343" t="s">
        <v>12996</v>
      </c>
      <c r="K3891" s="343" t="s">
        <v>168</v>
      </c>
    </row>
    <row r="3892" spans="1:11" ht="26.25" customHeight="1">
      <c r="A3892" s="343" t="s">
        <v>6104</v>
      </c>
      <c r="B3892" s="344" t="s">
        <v>162</v>
      </c>
      <c r="C3892" s="344">
        <v>6667</v>
      </c>
      <c r="D3892" s="343" t="s">
        <v>8032</v>
      </c>
      <c r="E3892" s="344">
        <v>5897740</v>
      </c>
      <c r="F3892" s="343" t="s">
        <v>8866</v>
      </c>
      <c r="G3892" s="360" t="s">
        <v>9954</v>
      </c>
      <c r="H3892" s="361">
        <v>43153</v>
      </c>
      <c r="I3892" s="343" t="s">
        <v>166</v>
      </c>
      <c r="J3892" s="343" t="s">
        <v>296</v>
      </c>
      <c r="K3892" s="343" t="s">
        <v>168</v>
      </c>
    </row>
    <row r="3893" spans="1:11" ht="26.25" customHeight="1">
      <c r="A3893" s="343" t="s">
        <v>6104</v>
      </c>
      <c r="B3893" s="344" t="s">
        <v>162</v>
      </c>
      <c r="C3893" s="344">
        <v>6807</v>
      </c>
      <c r="D3893" s="343" t="s">
        <v>8033</v>
      </c>
      <c r="E3893" s="344">
        <v>6039442</v>
      </c>
      <c r="F3893" s="343" t="s">
        <v>8034</v>
      </c>
      <c r="G3893" s="360" t="s">
        <v>1204</v>
      </c>
      <c r="H3893" s="361">
        <v>43153</v>
      </c>
      <c r="I3893" s="343" t="s">
        <v>3583</v>
      </c>
      <c r="J3893" s="343" t="s">
        <v>9390</v>
      </c>
      <c r="K3893" s="343" t="s">
        <v>173</v>
      </c>
    </row>
    <row r="3894" spans="1:11" ht="26.25" customHeight="1">
      <c r="A3894" s="343" t="s">
        <v>6104</v>
      </c>
      <c r="B3894" s="344" t="s">
        <v>162</v>
      </c>
      <c r="C3894" s="344">
        <v>6828</v>
      </c>
      <c r="D3894" s="343" t="s">
        <v>6392</v>
      </c>
      <c r="E3894" s="344">
        <v>5738534</v>
      </c>
      <c r="F3894" s="343" t="s">
        <v>6393</v>
      </c>
      <c r="G3894" s="360" t="s">
        <v>11459</v>
      </c>
      <c r="H3894" s="361">
        <v>43153</v>
      </c>
      <c r="I3894" s="343" t="s">
        <v>802</v>
      </c>
      <c r="J3894" s="343" t="s">
        <v>1075</v>
      </c>
      <c r="K3894" s="343" t="s">
        <v>168</v>
      </c>
    </row>
    <row r="3895" spans="1:11" ht="26.25" customHeight="1">
      <c r="A3895" s="343" t="s">
        <v>6104</v>
      </c>
      <c r="B3895" s="344" t="s">
        <v>162</v>
      </c>
      <c r="C3895" s="344">
        <v>6817</v>
      </c>
      <c r="D3895" s="343" t="s">
        <v>6340</v>
      </c>
      <c r="E3895" s="344">
        <v>6144629</v>
      </c>
      <c r="F3895" s="343" t="s">
        <v>7508</v>
      </c>
      <c r="G3895" s="360" t="s">
        <v>10107</v>
      </c>
      <c r="H3895" s="361">
        <v>43153</v>
      </c>
      <c r="I3895" s="343" t="s">
        <v>193</v>
      </c>
      <c r="J3895" s="343" t="s">
        <v>637</v>
      </c>
      <c r="K3895" s="343" t="s">
        <v>168</v>
      </c>
    </row>
    <row r="3896" spans="1:11" ht="26.25" customHeight="1">
      <c r="A3896" s="343" t="s">
        <v>6104</v>
      </c>
      <c r="B3896" s="344" t="s">
        <v>162</v>
      </c>
      <c r="C3896" s="344">
        <v>7546</v>
      </c>
      <c r="D3896" s="343" t="s">
        <v>6122</v>
      </c>
      <c r="E3896" s="344">
        <v>6248207</v>
      </c>
      <c r="F3896" s="343" t="s">
        <v>6128</v>
      </c>
      <c r="G3896" s="360" t="s">
        <v>12532</v>
      </c>
      <c r="H3896" s="361">
        <v>43153</v>
      </c>
      <c r="I3896" s="343" t="s">
        <v>271</v>
      </c>
      <c r="J3896" s="343" t="s">
        <v>333</v>
      </c>
      <c r="K3896" s="343" t="s">
        <v>168</v>
      </c>
    </row>
    <row r="3897" spans="1:11" ht="26.25" customHeight="1">
      <c r="A3897" s="343" t="s">
        <v>6104</v>
      </c>
      <c r="B3897" s="344" t="s">
        <v>162</v>
      </c>
      <c r="C3897" s="344">
        <v>6679</v>
      </c>
      <c r="D3897" s="343" t="s">
        <v>6351</v>
      </c>
      <c r="E3897" s="344">
        <v>6125477</v>
      </c>
      <c r="F3897" s="343" t="s">
        <v>8037</v>
      </c>
      <c r="G3897" s="360" t="s">
        <v>379</v>
      </c>
      <c r="H3897" s="361">
        <v>43153</v>
      </c>
      <c r="I3897" s="343" t="s">
        <v>465</v>
      </c>
      <c r="J3897" s="343" t="s">
        <v>466</v>
      </c>
      <c r="K3897" s="343" t="s">
        <v>168</v>
      </c>
    </row>
    <row r="3898" spans="1:11" ht="26.25" customHeight="1">
      <c r="A3898" s="343" t="s">
        <v>6104</v>
      </c>
      <c r="B3898" s="344" t="s">
        <v>162</v>
      </c>
      <c r="C3898" s="344">
        <v>6679</v>
      </c>
      <c r="D3898" s="343" t="s">
        <v>6351</v>
      </c>
      <c r="E3898" s="344">
        <v>6950801</v>
      </c>
      <c r="F3898" s="343" t="s">
        <v>8038</v>
      </c>
      <c r="G3898" s="360" t="s">
        <v>11534</v>
      </c>
      <c r="H3898" s="361">
        <v>43153</v>
      </c>
      <c r="I3898" s="343" t="s">
        <v>193</v>
      </c>
      <c r="J3898" s="343" t="s">
        <v>509</v>
      </c>
      <c r="K3898" s="343" t="s">
        <v>168</v>
      </c>
    </row>
    <row r="3899" spans="1:11" ht="26.25" customHeight="1">
      <c r="A3899" s="343" t="s">
        <v>6104</v>
      </c>
      <c r="B3899" s="344" t="s">
        <v>162</v>
      </c>
      <c r="C3899" s="344">
        <v>6679</v>
      </c>
      <c r="D3899" s="343" t="s">
        <v>6351</v>
      </c>
      <c r="E3899" s="344">
        <v>6105116</v>
      </c>
      <c r="F3899" s="343" t="s">
        <v>8039</v>
      </c>
      <c r="G3899" s="360" t="s">
        <v>12997</v>
      </c>
      <c r="H3899" s="361">
        <v>43153</v>
      </c>
      <c r="I3899" s="343" t="s">
        <v>802</v>
      </c>
      <c r="J3899" s="343" t="s">
        <v>1075</v>
      </c>
      <c r="K3899" s="343" t="s">
        <v>168</v>
      </c>
    </row>
    <row r="3900" spans="1:11" ht="26.25" customHeight="1">
      <c r="A3900" s="343" t="s">
        <v>6104</v>
      </c>
      <c r="B3900" s="344" t="s">
        <v>162</v>
      </c>
      <c r="C3900" s="344">
        <v>6683</v>
      </c>
      <c r="D3900" s="343" t="s">
        <v>6425</v>
      </c>
      <c r="E3900" s="344">
        <v>6387843</v>
      </c>
      <c r="F3900" s="343" t="s">
        <v>8040</v>
      </c>
      <c r="G3900" s="360" t="s">
        <v>12759</v>
      </c>
      <c r="H3900" s="361">
        <v>43153</v>
      </c>
      <c r="I3900" s="343" t="s">
        <v>4709</v>
      </c>
      <c r="J3900" s="343" t="s">
        <v>953</v>
      </c>
      <c r="K3900" s="343" t="s">
        <v>168</v>
      </c>
    </row>
    <row r="3901" spans="1:11" ht="26.25" customHeight="1">
      <c r="A3901" s="343" t="s">
        <v>6104</v>
      </c>
      <c r="B3901" s="344" t="s">
        <v>162</v>
      </c>
      <c r="C3901" s="344">
        <v>6669</v>
      </c>
      <c r="D3901" s="343" t="s">
        <v>6355</v>
      </c>
      <c r="E3901" s="344">
        <v>5915352</v>
      </c>
      <c r="F3901" s="343" t="s">
        <v>6358</v>
      </c>
      <c r="G3901" s="360" t="s">
        <v>9389</v>
      </c>
      <c r="H3901" s="361">
        <v>43153</v>
      </c>
      <c r="I3901" s="343" t="s">
        <v>219</v>
      </c>
      <c r="J3901" s="343" t="s">
        <v>220</v>
      </c>
      <c r="K3901" s="343" t="s">
        <v>173</v>
      </c>
    </row>
    <row r="3902" spans="1:11" ht="26.25" customHeight="1">
      <c r="A3902" s="343" t="s">
        <v>6104</v>
      </c>
      <c r="B3902" s="344" t="s">
        <v>162</v>
      </c>
      <c r="C3902" s="344">
        <v>6671</v>
      </c>
      <c r="D3902" s="343" t="s">
        <v>6432</v>
      </c>
      <c r="E3902" s="344">
        <v>6283383</v>
      </c>
      <c r="F3902" s="343" t="s">
        <v>8042</v>
      </c>
      <c r="G3902" s="360" t="s">
        <v>9523</v>
      </c>
      <c r="H3902" s="361">
        <v>43153</v>
      </c>
      <c r="I3902" s="343" t="s">
        <v>3606</v>
      </c>
      <c r="J3902" s="343" t="s">
        <v>3606</v>
      </c>
      <c r="K3902" s="343" t="s">
        <v>168</v>
      </c>
    </row>
    <row r="3903" spans="1:11" ht="26.25" customHeight="1">
      <c r="A3903" s="343" t="s">
        <v>6104</v>
      </c>
      <c r="B3903" s="344" t="s">
        <v>162</v>
      </c>
      <c r="C3903" s="344">
        <v>6671</v>
      </c>
      <c r="D3903" s="343" t="s">
        <v>6432</v>
      </c>
      <c r="E3903" s="344">
        <v>6494377</v>
      </c>
      <c r="F3903" s="343" t="s">
        <v>8043</v>
      </c>
      <c r="G3903" s="360" t="s">
        <v>9567</v>
      </c>
      <c r="H3903" s="361">
        <v>43153</v>
      </c>
      <c r="I3903" s="343" t="s">
        <v>465</v>
      </c>
      <c r="J3903" s="343" t="s">
        <v>466</v>
      </c>
      <c r="K3903" s="343" t="s">
        <v>168</v>
      </c>
    </row>
    <row r="3904" spans="1:11" ht="26.25" customHeight="1">
      <c r="A3904" s="343" t="s">
        <v>6104</v>
      </c>
      <c r="B3904" s="344" t="s">
        <v>162</v>
      </c>
      <c r="C3904" s="344">
        <v>6671</v>
      </c>
      <c r="D3904" s="343" t="s">
        <v>6432</v>
      </c>
      <c r="E3904" s="344">
        <v>6184366</v>
      </c>
      <c r="F3904" s="343" t="s">
        <v>8044</v>
      </c>
      <c r="G3904" s="360" t="s">
        <v>379</v>
      </c>
      <c r="H3904" s="361">
        <v>43153</v>
      </c>
      <c r="I3904" s="343" t="s">
        <v>193</v>
      </c>
      <c r="J3904" s="343" t="s">
        <v>603</v>
      </c>
      <c r="K3904" s="343" t="s">
        <v>168</v>
      </c>
    </row>
    <row r="3905" spans="1:11" ht="26.25" customHeight="1">
      <c r="A3905" s="343" t="s">
        <v>6104</v>
      </c>
      <c r="B3905" s="344" t="s">
        <v>162</v>
      </c>
      <c r="C3905" s="344">
        <v>11623</v>
      </c>
      <c r="D3905" s="343" t="s">
        <v>6202</v>
      </c>
      <c r="E3905" s="344">
        <v>6374783</v>
      </c>
      <c r="F3905" s="343" t="s">
        <v>8045</v>
      </c>
      <c r="G3905" s="360" t="s">
        <v>197</v>
      </c>
      <c r="H3905" s="361">
        <v>43153</v>
      </c>
      <c r="I3905" s="343" t="s">
        <v>193</v>
      </c>
      <c r="J3905" s="343" t="s">
        <v>637</v>
      </c>
      <c r="K3905" s="343" t="s">
        <v>168</v>
      </c>
    </row>
    <row r="3906" spans="1:11" ht="26.25" customHeight="1">
      <c r="A3906" s="343" t="s">
        <v>6104</v>
      </c>
      <c r="B3906" s="344" t="s">
        <v>162</v>
      </c>
      <c r="C3906" s="344">
        <v>6670</v>
      </c>
      <c r="D3906" s="343" t="s">
        <v>6380</v>
      </c>
      <c r="E3906" s="344">
        <v>6231379</v>
      </c>
      <c r="F3906" s="343" t="s">
        <v>6178</v>
      </c>
      <c r="G3906" s="360" t="s">
        <v>10578</v>
      </c>
      <c r="H3906" s="361">
        <v>43154</v>
      </c>
      <c r="I3906" s="343" t="s">
        <v>284</v>
      </c>
      <c r="J3906" s="343" t="s">
        <v>284</v>
      </c>
      <c r="K3906" s="343" t="s">
        <v>168</v>
      </c>
    </row>
    <row r="3907" spans="1:11" ht="26.25" customHeight="1">
      <c r="A3907" s="343" t="s">
        <v>6104</v>
      </c>
      <c r="B3907" s="344" t="s">
        <v>162</v>
      </c>
      <c r="C3907" s="344">
        <v>6672</v>
      </c>
      <c r="D3907" s="343" t="s">
        <v>6394</v>
      </c>
      <c r="E3907" s="344">
        <v>6002599</v>
      </c>
      <c r="F3907" s="343" t="s">
        <v>8046</v>
      </c>
      <c r="G3907" s="360" t="s">
        <v>11173</v>
      </c>
      <c r="H3907" s="361">
        <v>43154</v>
      </c>
      <c r="I3907" s="343" t="s">
        <v>802</v>
      </c>
      <c r="J3907" s="343" t="s">
        <v>1172</v>
      </c>
      <c r="K3907" s="343" t="s">
        <v>168</v>
      </c>
    </row>
    <row r="3908" spans="1:11" ht="26.25" customHeight="1">
      <c r="A3908" s="343" t="s">
        <v>6104</v>
      </c>
      <c r="B3908" s="344" t="s">
        <v>162</v>
      </c>
      <c r="C3908" s="344">
        <v>9432</v>
      </c>
      <c r="D3908" s="343" t="s">
        <v>6406</v>
      </c>
      <c r="E3908" s="344">
        <v>6644348</v>
      </c>
      <c r="F3908" s="343" t="s">
        <v>8048</v>
      </c>
      <c r="G3908" s="360" t="s">
        <v>12237</v>
      </c>
      <c r="H3908" s="361">
        <v>43154</v>
      </c>
      <c r="I3908" s="343" t="s">
        <v>1038</v>
      </c>
      <c r="J3908" s="343" t="s">
        <v>1039</v>
      </c>
      <c r="K3908" s="343" t="s">
        <v>168</v>
      </c>
    </row>
    <row r="3909" spans="1:11" ht="26.25" customHeight="1">
      <c r="A3909" s="343" t="s">
        <v>6104</v>
      </c>
      <c r="B3909" s="344" t="s">
        <v>162</v>
      </c>
      <c r="C3909" s="344">
        <v>6664</v>
      </c>
      <c r="D3909" s="343" t="s">
        <v>6361</v>
      </c>
      <c r="E3909" s="344">
        <v>6129637</v>
      </c>
      <c r="F3909" s="343" t="s">
        <v>6191</v>
      </c>
      <c r="G3909" s="360" t="s">
        <v>9638</v>
      </c>
      <c r="H3909" s="361">
        <v>43154</v>
      </c>
      <c r="I3909" s="343" t="s">
        <v>166</v>
      </c>
      <c r="J3909" s="343" t="s">
        <v>327</v>
      </c>
      <c r="K3909" s="343" t="s">
        <v>168</v>
      </c>
    </row>
    <row r="3910" spans="1:11" ht="26.25" customHeight="1">
      <c r="A3910" s="343" t="s">
        <v>6104</v>
      </c>
      <c r="B3910" s="344" t="s">
        <v>162</v>
      </c>
      <c r="C3910" s="344">
        <v>6683</v>
      </c>
      <c r="D3910" s="343" t="s">
        <v>6425</v>
      </c>
      <c r="E3910" s="344">
        <v>5979891</v>
      </c>
      <c r="F3910" s="343" t="s">
        <v>8050</v>
      </c>
      <c r="G3910" s="360" t="s">
        <v>10240</v>
      </c>
      <c r="H3910" s="361">
        <v>43157</v>
      </c>
      <c r="I3910" s="343" t="s">
        <v>193</v>
      </c>
      <c r="J3910" s="343" t="s">
        <v>9500</v>
      </c>
      <c r="K3910" s="343" t="s">
        <v>168</v>
      </c>
    </row>
    <row r="3911" spans="1:11" ht="26.25" customHeight="1">
      <c r="A3911" s="343" t="s">
        <v>6104</v>
      </c>
      <c r="B3911" s="344" t="s">
        <v>162</v>
      </c>
      <c r="C3911" s="344">
        <v>11527</v>
      </c>
      <c r="D3911" s="343" t="s">
        <v>8016</v>
      </c>
      <c r="E3911" s="344">
        <v>6552681</v>
      </c>
      <c r="F3911" s="343" t="s">
        <v>8051</v>
      </c>
      <c r="G3911" s="360" t="s">
        <v>10086</v>
      </c>
      <c r="H3911" s="361">
        <v>43157</v>
      </c>
      <c r="I3911" s="343" t="s">
        <v>802</v>
      </c>
      <c r="J3911" s="343" t="s">
        <v>1172</v>
      </c>
      <c r="K3911" s="343" t="s">
        <v>168</v>
      </c>
    </row>
    <row r="3912" spans="1:11" ht="26.25" customHeight="1">
      <c r="A3912" s="343" t="s">
        <v>6104</v>
      </c>
      <c r="B3912" s="344" t="s">
        <v>162</v>
      </c>
      <c r="C3912" s="344">
        <v>12757</v>
      </c>
      <c r="D3912" s="343" t="s">
        <v>8017</v>
      </c>
      <c r="E3912" s="344">
        <v>6236773</v>
      </c>
      <c r="F3912" s="343" t="s">
        <v>8052</v>
      </c>
      <c r="G3912" s="360" t="s">
        <v>10082</v>
      </c>
      <c r="H3912" s="361">
        <v>43157</v>
      </c>
      <c r="I3912" s="343" t="s">
        <v>354</v>
      </c>
      <c r="J3912" s="343" t="s">
        <v>12998</v>
      </c>
      <c r="K3912" s="343" t="s">
        <v>168</v>
      </c>
    </row>
    <row r="3913" spans="1:11" ht="26.25" customHeight="1">
      <c r="A3913" s="343" t="s">
        <v>6104</v>
      </c>
      <c r="B3913" s="344" t="s">
        <v>162</v>
      </c>
      <c r="C3913" s="344">
        <v>6680</v>
      </c>
      <c r="D3913" s="343" t="s">
        <v>6346</v>
      </c>
      <c r="E3913" s="344">
        <v>6086973</v>
      </c>
      <c r="F3913" s="343" t="s">
        <v>8054</v>
      </c>
      <c r="G3913" s="360" t="s">
        <v>12176</v>
      </c>
      <c r="H3913" s="361">
        <v>43157</v>
      </c>
      <c r="I3913" s="343" t="s">
        <v>193</v>
      </c>
      <c r="J3913" s="343" t="s">
        <v>12067</v>
      </c>
      <c r="K3913" s="343" t="s">
        <v>168</v>
      </c>
    </row>
    <row r="3914" spans="1:11" ht="26.25" customHeight="1">
      <c r="A3914" s="343" t="s">
        <v>6104</v>
      </c>
      <c r="B3914" s="344" t="s">
        <v>162</v>
      </c>
      <c r="C3914" s="344">
        <v>8955</v>
      </c>
      <c r="D3914" s="343" t="s">
        <v>6365</v>
      </c>
      <c r="E3914" s="344">
        <v>6069644</v>
      </c>
      <c r="F3914" s="343" t="s">
        <v>8055</v>
      </c>
      <c r="G3914" s="360" t="s">
        <v>12124</v>
      </c>
      <c r="H3914" s="361">
        <v>43157</v>
      </c>
      <c r="I3914" s="343" t="s">
        <v>287</v>
      </c>
      <c r="J3914" s="343" t="s">
        <v>11799</v>
      </c>
      <c r="K3914" s="343" t="s">
        <v>168</v>
      </c>
    </row>
    <row r="3915" spans="1:11" ht="26.25" customHeight="1">
      <c r="A3915" s="343" t="s">
        <v>6104</v>
      </c>
      <c r="B3915" s="344" t="s">
        <v>162</v>
      </c>
      <c r="C3915" s="344">
        <v>8955</v>
      </c>
      <c r="D3915" s="343" t="s">
        <v>6365</v>
      </c>
      <c r="E3915" s="344">
        <v>6044180</v>
      </c>
      <c r="F3915" s="343" t="s">
        <v>8056</v>
      </c>
      <c r="G3915" s="360" t="s">
        <v>9699</v>
      </c>
      <c r="H3915" s="361">
        <v>43157</v>
      </c>
      <c r="I3915" s="343" t="s">
        <v>802</v>
      </c>
      <c r="J3915" s="343" t="s">
        <v>1075</v>
      </c>
      <c r="K3915" s="343" t="s">
        <v>168</v>
      </c>
    </row>
    <row r="3916" spans="1:11" ht="26.25" customHeight="1">
      <c r="A3916" s="343" t="s">
        <v>6104</v>
      </c>
      <c r="B3916" s="344" t="s">
        <v>162</v>
      </c>
      <c r="C3916" s="344">
        <v>6816</v>
      </c>
      <c r="D3916" s="343" t="s">
        <v>6359</v>
      </c>
      <c r="E3916" s="344">
        <v>5955046</v>
      </c>
      <c r="F3916" s="343" t="s">
        <v>8057</v>
      </c>
      <c r="G3916" s="360" t="s">
        <v>12997</v>
      </c>
      <c r="H3916" s="361">
        <v>43157</v>
      </c>
      <c r="I3916" s="343" t="s">
        <v>166</v>
      </c>
      <c r="J3916" s="343" t="s">
        <v>296</v>
      </c>
      <c r="K3916" s="343" t="s">
        <v>168</v>
      </c>
    </row>
    <row r="3917" spans="1:11" ht="26.25" customHeight="1">
      <c r="A3917" s="343" t="s">
        <v>6104</v>
      </c>
      <c r="B3917" s="344" t="s">
        <v>162</v>
      </c>
      <c r="C3917" s="344">
        <v>6816</v>
      </c>
      <c r="D3917" s="343" t="s">
        <v>6359</v>
      </c>
      <c r="E3917" s="344">
        <v>6069663</v>
      </c>
      <c r="F3917" s="343" t="s">
        <v>8058</v>
      </c>
      <c r="G3917" s="360" t="s">
        <v>255</v>
      </c>
      <c r="H3917" s="361">
        <v>43157</v>
      </c>
      <c r="I3917" s="343" t="s">
        <v>198</v>
      </c>
      <c r="J3917" s="343" t="s">
        <v>198</v>
      </c>
      <c r="K3917" s="343" t="s">
        <v>168</v>
      </c>
    </row>
    <row r="3918" spans="1:11" ht="26.25" customHeight="1">
      <c r="A3918" s="343" t="s">
        <v>6104</v>
      </c>
      <c r="B3918" s="344" t="s">
        <v>162</v>
      </c>
      <c r="C3918" s="344">
        <v>7481</v>
      </c>
      <c r="D3918" s="343" t="s">
        <v>6152</v>
      </c>
      <c r="E3918" s="344">
        <v>6788607</v>
      </c>
      <c r="F3918" s="343" t="s">
        <v>8059</v>
      </c>
      <c r="G3918" s="360" t="s">
        <v>12999</v>
      </c>
      <c r="H3918" s="361">
        <v>43158</v>
      </c>
      <c r="I3918" s="343" t="s">
        <v>271</v>
      </c>
      <c r="J3918" s="343" t="s">
        <v>13000</v>
      </c>
      <c r="K3918" s="343" t="s">
        <v>168</v>
      </c>
    </row>
    <row r="3919" spans="1:11" ht="26.25" customHeight="1">
      <c r="A3919" s="343" t="s">
        <v>6104</v>
      </c>
      <c r="B3919" s="344" t="s">
        <v>162</v>
      </c>
      <c r="C3919" s="344">
        <v>8469</v>
      </c>
      <c r="D3919" s="343" t="s">
        <v>8060</v>
      </c>
      <c r="E3919" s="344">
        <v>6700638</v>
      </c>
      <c r="F3919" s="343" t="s">
        <v>8061</v>
      </c>
      <c r="G3919" s="360" t="s">
        <v>10991</v>
      </c>
      <c r="H3919" s="361">
        <v>43159</v>
      </c>
      <c r="I3919" s="343" t="s">
        <v>193</v>
      </c>
      <c r="J3919" s="343" t="s">
        <v>637</v>
      </c>
      <c r="K3919" s="343" t="s">
        <v>168</v>
      </c>
    </row>
    <row r="3920" spans="1:11" ht="26.25" customHeight="1">
      <c r="A3920" s="343" t="s">
        <v>6104</v>
      </c>
      <c r="B3920" s="344" t="s">
        <v>162</v>
      </c>
      <c r="C3920" s="344">
        <v>9589</v>
      </c>
      <c r="D3920" s="343" t="s">
        <v>6192</v>
      </c>
      <c r="E3920" s="344">
        <v>6251828</v>
      </c>
      <c r="F3920" s="343" t="s">
        <v>8062</v>
      </c>
      <c r="G3920" s="360" t="s">
        <v>10236</v>
      </c>
      <c r="H3920" s="361">
        <v>43159</v>
      </c>
      <c r="I3920" s="343" t="s">
        <v>1038</v>
      </c>
      <c r="J3920" s="343" t="s">
        <v>1039</v>
      </c>
      <c r="K3920" s="343" t="s">
        <v>168</v>
      </c>
    </row>
    <row r="3921" spans="1:11" ht="26.25" customHeight="1">
      <c r="A3921" s="343" t="s">
        <v>6104</v>
      </c>
      <c r="B3921" s="344" t="s">
        <v>162</v>
      </c>
      <c r="C3921" s="344">
        <v>10059</v>
      </c>
      <c r="D3921" s="343" t="s">
        <v>6353</v>
      </c>
      <c r="E3921" s="344">
        <v>6006902</v>
      </c>
      <c r="F3921" s="343" t="s">
        <v>8063</v>
      </c>
      <c r="G3921" s="360" t="s">
        <v>10081</v>
      </c>
      <c r="H3921" s="361">
        <v>43160</v>
      </c>
      <c r="I3921" s="343" t="s">
        <v>166</v>
      </c>
      <c r="J3921" s="343" t="s">
        <v>682</v>
      </c>
      <c r="K3921" s="343" t="s">
        <v>168</v>
      </c>
    </row>
    <row r="3922" spans="1:11" ht="26.25" customHeight="1">
      <c r="A3922" s="343" t="s">
        <v>6104</v>
      </c>
      <c r="B3922" s="344" t="s">
        <v>162</v>
      </c>
      <c r="C3922" s="344">
        <v>6675</v>
      </c>
      <c r="D3922" s="343" t="s">
        <v>6369</v>
      </c>
      <c r="E3922" s="344">
        <v>6353884</v>
      </c>
      <c r="F3922" s="343" t="s">
        <v>6370</v>
      </c>
      <c r="G3922" s="360" t="s">
        <v>13001</v>
      </c>
      <c r="H3922" s="361">
        <v>43160</v>
      </c>
      <c r="I3922" s="343" t="s">
        <v>742</v>
      </c>
      <c r="J3922" s="343" t="s">
        <v>742</v>
      </c>
      <c r="K3922" s="343" t="s">
        <v>168</v>
      </c>
    </row>
    <row r="3923" spans="1:11" ht="26.25" customHeight="1">
      <c r="A3923" s="343" t="s">
        <v>6104</v>
      </c>
      <c r="B3923" s="344" t="s">
        <v>162</v>
      </c>
      <c r="C3923" s="344">
        <v>11623</v>
      </c>
      <c r="D3923" s="343" t="s">
        <v>6202</v>
      </c>
      <c r="E3923" s="344">
        <v>6048991</v>
      </c>
      <c r="F3923" s="343" t="s">
        <v>8064</v>
      </c>
      <c r="G3923" s="360" t="s">
        <v>13002</v>
      </c>
      <c r="H3923" s="361">
        <v>43160</v>
      </c>
      <c r="I3923" s="343" t="s">
        <v>166</v>
      </c>
      <c r="J3923" s="343" t="s">
        <v>296</v>
      </c>
      <c r="K3923" s="343" t="s">
        <v>168</v>
      </c>
    </row>
    <row r="3924" spans="1:11" ht="26.25" customHeight="1">
      <c r="A3924" s="343" t="s">
        <v>6104</v>
      </c>
      <c r="B3924" s="344" t="s">
        <v>162</v>
      </c>
      <c r="C3924" s="344">
        <v>11623</v>
      </c>
      <c r="D3924" s="343" t="s">
        <v>6202</v>
      </c>
      <c r="E3924" s="344">
        <v>6377100</v>
      </c>
      <c r="F3924" s="343" t="s">
        <v>6203</v>
      </c>
      <c r="G3924" s="360" t="s">
        <v>11062</v>
      </c>
      <c r="H3924" s="361">
        <v>43160</v>
      </c>
      <c r="I3924" s="343" t="s">
        <v>5361</v>
      </c>
      <c r="J3924" s="343" t="s">
        <v>13003</v>
      </c>
      <c r="K3924" s="343" t="s">
        <v>173</v>
      </c>
    </row>
    <row r="3925" spans="1:11" ht="26.25" customHeight="1">
      <c r="A3925" s="343" t="s">
        <v>6104</v>
      </c>
      <c r="B3925" s="344" t="s">
        <v>162</v>
      </c>
      <c r="C3925" s="344">
        <v>10059</v>
      </c>
      <c r="D3925" s="343" t="s">
        <v>6353</v>
      </c>
      <c r="E3925" s="344">
        <v>6174863</v>
      </c>
      <c r="F3925" s="343" t="s">
        <v>8065</v>
      </c>
      <c r="G3925" s="360" t="s">
        <v>10578</v>
      </c>
      <c r="H3925" s="361">
        <v>43160</v>
      </c>
      <c r="I3925" s="343" t="s">
        <v>301</v>
      </c>
      <c r="J3925" s="343" t="s">
        <v>530</v>
      </c>
      <c r="K3925" s="343" t="s">
        <v>168</v>
      </c>
    </row>
    <row r="3926" spans="1:11" ht="26.25" customHeight="1">
      <c r="A3926" s="343" t="s">
        <v>6104</v>
      </c>
      <c r="B3926" s="344" t="s">
        <v>162</v>
      </c>
      <c r="C3926" s="344">
        <v>7007</v>
      </c>
      <c r="D3926" s="343" t="s">
        <v>8066</v>
      </c>
      <c r="E3926" s="344">
        <v>5140122</v>
      </c>
      <c r="F3926" s="343" t="s">
        <v>8067</v>
      </c>
      <c r="G3926" s="360" t="s">
        <v>13004</v>
      </c>
      <c r="H3926" s="361">
        <v>43160</v>
      </c>
      <c r="I3926" s="343" t="s">
        <v>366</v>
      </c>
      <c r="J3926" s="343" t="s">
        <v>366</v>
      </c>
      <c r="K3926" s="343" t="s">
        <v>168</v>
      </c>
    </row>
    <row r="3927" spans="1:11" ht="26.25" customHeight="1">
      <c r="A3927" s="343" t="s">
        <v>6104</v>
      </c>
      <c r="B3927" s="344" t="s">
        <v>162</v>
      </c>
      <c r="C3927" s="344">
        <v>12757</v>
      </c>
      <c r="D3927" s="343" t="s">
        <v>8017</v>
      </c>
      <c r="E3927" s="344">
        <v>6006737</v>
      </c>
      <c r="F3927" s="343" t="s">
        <v>8068</v>
      </c>
      <c r="G3927" s="360" t="s">
        <v>11130</v>
      </c>
      <c r="H3927" s="361">
        <v>43160</v>
      </c>
      <c r="I3927" s="343" t="s">
        <v>5480</v>
      </c>
      <c r="J3927" s="343" t="s">
        <v>13005</v>
      </c>
      <c r="K3927" s="343" t="s">
        <v>168</v>
      </c>
    </row>
    <row r="3928" spans="1:11" ht="26.25" customHeight="1">
      <c r="A3928" s="343" t="s">
        <v>6104</v>
      </c>
      <c r="B3928" s="344" t="s">
        <v>162</v>
      </c>
      <c r="C3928" s="344">
        <v>6814</v>
      </c>
      <c r="D3928" s="343" t="s">
        <v>6337</v>
      </c>
      <c r="E3928" s="344">
        <v>5713451</v>
      </c>
      <c r="F3928" s="343" t="s">
        <v>6338</v>
      </c>
      <c r="G3928" s="360" t="s">
        <v>11065</v>
      </c>
      <c r="H3928" s="361">
        <v>43160</v>
      </c>
      <c r="I3928" s="343" t="s">
        <v>193</v>
      </c>
      <c r="J3928" s="343" t="s">
        <v>13006</v>
      </c>
      <c r="K3928" s="343" t="s">
        <v>168</v>
      </c>
    </row>
    <row r="3929" spans="1:11" ht="26.25" customHeight="1">
      <c r="A3929" s="343" t="s">
        <v>6104</v>
      </c>
      <c r="B3929" s="344" t="s">
        <v>162</v>
      </c>
      <c r="C3929" s="344">
        <v>6675</v>
      </c>
      <c r="D3929" s="343" t="s">
        <v>6369</v>
      </c>
      <c r="E3929" s="344">
        <v>6257850</v>
      </c>
      <c r="F3929" s="343" t="s">
        <v>8069</v>
      </c>
      <c r="G3929" s="360" t="s">
        <v>10550</v>
      </c>
      <c r="H3929" s="361">
        <v>43160</v>
      </c>
      <c r="I3929" s="343" t="s">
        <v>3849</v>
      </c>
      <c r="J3929" s="343" t="s">
        <v>13007</v>
      </c>
      <c r="K3929" s="343" t="s">
        <v>168</v>
      </c>
    </row>
    <row r="3930" spans="1:11" ht="26.25" customHeight="1">
      <c r="A3930" s="343" t="s">
        <v>6104</v>
      </c>
      <c r="B3930" s="344" t="s">
        <v>162</v>
      </c>
      <c r="C3930" s="344">
        <v>7486</v>
      </c>
      <c r="D3930" s="343" t="s">
        <v>6177</v>
      </c>
      <c r="E3930" s="344">
        <v>6786379</v>
      </c>
      <c r="F3930" s="343" t="s">
        <v>8070</v>
      </c>
      <c r="G3930" s="360" t="s">
        <v>13008</v>
      </c>
      <c r="H3930" s="361">
        <v>43160</v>
      </c>
      <c r="I3930" s="343" t="s">
        <v>349</v>
      </c>
      <c r="J3930" s="343" t="s">
        <v>13009</v>
      </c>
      <c r="K3930" s="343" t="s">
        <v>168</v>
      </c>
    </row>
    <row r="3931" spans="1:11" ht="26.25" customHeight="1">
      <c r="A3931" s="343" t="s">
        <v>6104</v>
      </c>
      <c r="B3931" s="344" t="s">
        <v>162</v>
      </c>
      <c r="C3931" s="344">
        <v>6674</v>
      </c>
      <c r="D3931" s="343" t="s">
        <v>8071</v>
      </c>
      <c r="E3931" s="344">
        <v>6707328</v>
      </c>
      <c r="F3931" s="343" t="s">
        <v>8072</v>
      </c>
      <c r="G3931" s="360" t="s">
        <v>11553</v>
      </c>
      <c r="H3931" s="361">
        <v>43160</v>
      </c>
      <c r="I3931" s="343" t="s">
        <v>3601</v>
      </c>
      <c r="J3931" s="343" t="s">
        <v>9981</v>
      </c>
      <c r="K3931" s="343" t="s">
        <v>168</v>
      </c>
    </row>
    <row r="3932" spans="1:11" ht="26.25" customHeight="1">
      <c r="A3932" s="343" t="s">
        <v>6104</v>
      </c>
      <c r="B3932" s="344" t="s">
        <v>162</v>
      </c>
      <c r="C3932" s="344">
        <v>9178</v>
      </c>
      <c r="D3932" s="343" t="s">
        <v>6415</v>
      </c>
      <c r="E3932" s="344">
        <v>6245767</v>
      </c>
      <c r="F3932" s="343" t="s">
        <v>8073</v>
      </c>
      <c r="G3932" s="360" t="s">
        <v>11226</v>
      </c>
      <c r="H3932" s="361">
        <v>43161</v>
      </c>
      <c r="I3932" s="343" t="s">
        <v>193</v>
      </c>
      <c r="J3932" s="343" t="s">
        <v>637</v>
      </c>
      <c r="K3932" s="343" t="s">
        <v>168</v>
      </c>
    </row>
    <row r="3933" spans="1:11" ht="26.25" customHeight="1">
      <c r="A3933" s="343" t="s">
        <v>6104</v>
      </c>
      <c r="B3933" s="344" t="s">
        <v>162</v>
      </c>
      <c r="C3933" s="344">
        <v>7486</v>
      </c>
      <c r="D3933" s="343" t="s">
        <v>6177</v>
      </c>
      <c r="E3933" s="344">
        <v>6801798</v>
      </c>
      <c r="F3933" s="343" t="s">
        <v>8074</v>
      </c>
      <c r="G3933" s="360" t="s">
        <v>13010</v>
      </c>
      <c r="H3933" s="361">
        <v>43161</v>
      </c>
      <c r="I3933" s="343" t="s">
        <v>3692</v>
      </c>
      <c r="J3933" s="343" t="s">
        <v>9858</v>
      </c>
      <c r="K3933" s="343" t="s">
        <v>168</v>
      </c>
    </row>
    <row r="3934" spans="1:11" ht="26.25" customHeight="1">
      <c r="A3934" s="343" t="s">
        <v>6104</v>
      </c>
      <c r="B3934" s="344" t="s">
        <v>162</v>
      </c>
      <c r="C3934" s="344">
        <v>7556</v>
      </c>
      <c r="D3934" s="343" t="s">
        <v>6150</v>
      </c>
      <c r="E3934" s="344">
        <v>6868579</v>
      </c>
      <c r="F3934" s="343" t="s">
        <v>8075</v>
      </c>
      <c r="G3934" s="360" t="s">
        <v>10218</v>
      </c>
      <c r="H3934" s="361">
        <v>43164</v>
      </c>
      <c r="I3934" s="343" t="s">
        <v>166</v>
      </c>
      <c r="J3934" s="343" t="s">
        <v>296</v>
      </c>
      <c r="K3934" s="343" t="s">
        <v>168</v>
      </c>
    </row>
    <row r="3935" spans="1:11" ht="26.25" customHeight="1">
      <c r="A3935" s="343" t="s">
        <v>6104</v>
      </c>
      <c r="B3935" s="344" t="s">
        <v>162</v>
      </c>
      <c r="C3935" s="344">
        <v>6815</v>
      </c>
      <c r="D3935" s="343" t="s">
        <v>6368</v>
      </c>
      <c r="E3935" s="344">
        <v>6243456</v>
      </c>
      <c r="F3935" s="343" t="s">
        <v>8077</v>
      </c>
      <c r="G3935" s="360" t="s">
        <v>11670</v>
      </c>
      <c r="H3935" s="361">
        <v>43164</v>
      </c>
      <c r="I3935" s="343" t="s">
        <v>1182</v>
      </c>
      <c r="J3935" s="343" t="s">
        <v>1330</v>
      </c>
      <c r="K3935" s="343" t="s">
        <v>173</v>
      </c>
    </row>
    <row r="3936" spans="1:11" ht="26.25" customHeight="1">
      <c r="A3936" s="343" t="s">
        <v>6104</v>
      </c>
      <c r="B3936" s="344" t="s">
        <v>162</v>
      </c>
      <c r="C3936" s="344">
        <v>7162</v>
      </c>
      <c r="D3936" s="343" t="s">
        <v>6292</v>
      </c>
      <c r="E3936" s="344">
        <v>6078446</v>
      </c>
      <c r="F3936" s="343" t="s">
        <v>8078</v>
      </c>
      <c r="G3936" s="360" t="s">
        <v>13011</v>
      </c>
      <c r="H3936" s="361">
        <v>43164</v>
      </c>
      <c r="I3936" s="343" t="s">
        <v>8079</v>
      </c>
      <c r="J3936" s="343" t="s">
        <v>13012</v>
      </c>
      <c r="K3936" s="343" t="s">
        <v>168</v>
      </c>
    </row>
    <row r="3937" spans="1:11" ht="26.25" customHeight="1">
      <c r="A3937" s="343" t="s">
        <v>6104</v>
      </c>
      <c r="B3937" s="344" t="s">
        <v>162</v>
      </c>
      <c r="C3937" s="344">
        <v>7032</v>
      </c>
      <c r="D3937" s="343" t="s">
        <v>6320</v>
      </c>
      <c r="E3937" s="344">
        <v>3731402</v>
      </c>
      <c r="F3937" s="343" t="s">
        <v>8080</v>
      </c>
      <c r="G3937" s="360" t="s">
        <v>9863</v>
      </c>
      <c r="H3937" s="361">
        <v>43167</v>
      </c>
      <c r="I3937" s="343" t="s">
        <v>275</v>
      </c>
      <c r="J3937" s="343" t="s">
        <v>13013</v>
      </c>
      <c r="K3937" s="343" t="s">
        <v>173</v>
      </c>
    </row>
    <row r="3938" spans="1:11" ht="26.25" customHeight="1">
      <c r="A3938" s="343" t="s">
        <v>6104</v>
      </c>
      <c r="B3938" s="344" t="s">
        <v>162</v>
      </c>
      <c r="C3938" s="344">
        <v>9065</v>
      </c>
      <c r="D3938" s="343" t="s">
        <v>6386</v>
      </c>
      <c r="E3938" s="344">
        <v>6147970</v>
      </c>
      <c r="F3938" s="343" t="s">
        <v>8081</v>
      </c>
      <c r="G3938" s="360" t="s">
        <v>13014</v>
      </c>
      <c r="H3938" s="361">
        <v>43168</v>
      </c>
      <c r="I3938" s="343" t="s">
        <v>674</v>
      </c>
      <c r="J3938" s="343" t="s">
        <v>13015</v>
      </c>
      <c r="K3938" s="343" t="s">
        <v>173</v>
      </c>
    </row>
    <row r="3939" spans="1:11" ht="26.25" customHeight="1">
      <c r="A3939" s="343" t="s">
        <v>6104</v>
      </c>
      <c r="B3939" s="344" t="s">
        <v>162</v>
      </c>
      <c r="C3939" s="344">
        <v>6818</v>
      </c>
      <c r="D3939" s="343" t="s">
        <v>6347</v>
      </c>
      <c r="E3939" s="344">
        <v>6227421</v>
      </c>
      <c r="F3939" s="343" t="s">
        <v>8082</v>
      </c>
      <c r="G3939" s="360" t="s">
        <v>12704</v>
      </c>
      <c r="H3939" s="361">
        <v>43174</v>
      </c>
      <c r="I3939" s="343" t="s">
        <v>4711</v>
      </c>
      <c r="J3939" s="343" t="s">
        <v>11124</v>
      </c>
      <c r="K3939" s="343" t="s">
        <v>168</v>
      </c>
    </row>
    <row r="3940" spans="1:11" ht="26.25" customHeight="1">
      <c r="A3940" s="343" t="s">
        <v>6104</v>
      </c>
      <c r="B3940" s="344" t="s">
        <v>162</v>
      </c>
      <c r="C3940" s="344">
        <v>6676</v>
      </c>
      <c r="D3940" s="343" t="s">
        <v>6423</v>
      </c>
      <c r="E3940" s="344">
        <v>6030846</v>
      </c>
      <c r="F3940" s="343" t="s">
        <v>8083</v>
      </c>
      <c r="G3940" s="360" t="s">
        <v>13016</v>
      </c>
      <c r="H3940" s="361">
        <v>43174</v>
      </c>
      <c r="I3940" s="343" t="s">
        <v>166</v>
      </c>
      <c r="J3940" s="343" t="s">
        <v>327</v>
      </c>
      <c r="K3940" s="343" t="s">
        <v>168</v>
      </c>
    </row>
    <row r="3941" spans="1:11" ht="26.25" customHeight="1">
      <c r="A3941" s="343" t="s">
        <v>6104</v>
      </c>
      <c r="B3941" s="344" t="s">
        <v>162</v>
      </c>
      <c r="C3941" s="344">
        <v>6815</v>
      </c>
      <c r="D3941" s="343" t="s">
        <v>6368</v>
      </c>
      <c r="E3941" s="344">
        <v>6149289</v>
      </c>
      <c r="F3941" s="343" t="s">
        <v>8084</v>
      </c>
      <c r="G3941" s="360" t="s">
        <v>11191</v>
      </c>
      <c r="H3941" s="361">
        <v>43174</v>
      </c>
      <c r="I3941" s="343" t="s">
        <v>301</v>
      </c>
      <c r="J3941" s="343" t="s">
        <v>530</v>
      </c>
      <c r="K3941" s="343" t="s">
        <v>168</v>
      </c>
    </row>
    <row r="3942" spans="1:11" ht="26.25" customHeight="1">
      <c r="A3942" s="343" t="s">
        <v>6104</v>
      </c>
      <c r="B3942" s="344" t="s">
        <v>162</v>
      </c>
      <c r="C3942" s="344">
        <v>6676</v>
      </c>
      <c r="D3942" s="343" t="s">
        <v>6423</v>
      </c>
      <c r="E3942" s="344">
        <v>6502907</v>
      </c>
      <c r="F3942" s="343" t="s">
        <v>8085</v>
      </c>
      <c r="G3942" s="360" t="s">
        <v>13017</v>
      </c>
      <c r="H3942" s="361">
        <v>43174</v>
      </c>
      <c r="I3942" s="343" t="s">
        <v>193</v>
      </c>
      <c r="J3942" s="343" t="s">
        <v>13018</v>
      </c>
      <c r="K3942" s="343" t="s">
        <v>168</v>
      </c>
    </row>
    <row r="3943" spans="1:11" ht="26.25" customHeight="1">
      <c r="A3943" s="343" t="s">
        <v>6104</v>
      </c>
      <c r="B3943" s="344" t="s">
        <v>162</v>
      </c>
      <c r="C3943" s="344">
        <v>6810</v>
      </c>
      <c r="D3943" s="343" t="s">
        <v>6422</v>
      </c>
      <c r="E3943" s="344">
        <v>6036313</v>
      </c>
      <c r="F3943" s="343" t="s">
        <v>8086</v>
      </c>
      <c r="G3943" s="360" t="s">
        <v>9457</v>
      </c>
      <c r="H3943" s="361">
        <v>43174</v>
      </c>
      <c r="I3943" s="343" t="s">
        <v>4017</v>
      </c>
      <c r="J3943" s="343" t="s">
        <v>13019</v>
      </c>
      <c r="K3943" s="343" t="s">
        <v>168</v>
      </c>
    </row>
    <row r="3944" spans="1:11" ht="26.25" customHeight="1">
      <c r="A3944" s="343" t="s">
        <v>6104</v>
      </c>
      <c r="B3944" s="344" t="s">
        <v>162</v>
      </c>
      <c r="C3944" s="344">
        <v>7552</v>
      </c>
      <c r="D3944" s="343" t="s">
        <v>6136</v>
      </c>
      <c r="E3944" s="344">
        <v>6897825</v>
      </c>
      <c r="F3944" s="343" t="s">
        <v>7561</v>
      </c>
      <c r="G3944" s="360" t="s">
        <v>13020</v>
      </c>
      <c r="H3944" s="361">
        <v>43174</v>
      </c>
      <c r="I3944" s="343" t="s">
        <v>193</v>
      </c>
      <c r="J3944" s="343" t="s">
        <v>13021</v>
      </c>
      <c r="K3944" s="343" t="s">
        <v>168</v>
      </c>
    </row>
    <row r="3945" spans="1:11" ht="26.25" customHeight="1">
      <c r="A3945" s="343" t="s">
        <v>6104</v>
      </c>
      <c r="B3945" s="344" t="s">
        <v>162</v>
      </c>
      <c r="C3945" s="344">
        <v>7500</v>
      </c>
      <c r="D3945" s="343" t="s">
        <v>6164</v>
      </c>
      <c r="E3945" s="344">
        <v>6895868</v>
      </c>
      <c r="F3945" s="343" t="s">
        <v>8087</v>
      </c>
      <c r="G3945" s="360" t="s">
        <v>11629</v>
      </c>
      <c r="H3945" s="361">
        <v>43174</v>
      </c>
      <c r="I3945" s="343" t="s">
        <v>166</v>
      </c>
      <c r="J3945" s="343" t="s">
        <v>9752</v>
      </c>
      <c r="K3945" s="343" t="s">
        <v>248</v>
      </c>
    </row>
    <row r="3946" spans="1:11" ht="26.25" customHeight="1">
      <c r="A3946" s="343" t="s">
        <v>6104</v>
      </c>
      <c r="B3946" s="344" t="s">
        <v>162</v>
      </c>
      <c r="C3946" s="344">
        <v>11623</v>
      </c>
      <c r="D3946" s="343" t="s">
        <v>6202</v>
      </c>
      <c r="E3946" s="344">
        <v>5927935</v>
      </c>
      <c r="F3946" s="343" t="s">
        <v>7439</v>
      </c>
      <c r="G3946" s="360" t="s">
        <v>9490</v>
      </c>
      <c r="H3946" s="361">
        <v>43174</v>
      </c>
      <c r="I3946" s="343" t="s">
        <v>211</v>
      </c>
      <c r="J3946" s="343" t="s">
        <v>211</v>
      </c>
      <c r="K3946" s="343" t="s">
        <v>168</v>
      </c>
    </row>
    <row r="3947" spans="1:11" ht="26.25" customHeight="1">
      <c r="A3947" s="343" t="s">
        <v>6104</v>
      </c>
      <c r="B3947" s="344" t="s">
        <v>162</v>
      </c>
      <c r="C3947" s="344">
        <v>7543</v>
      </c>
      <c r="D3947" s="343" t="s">
        <v>6118</v>
      </c>
      <c r="E3947" s="344">
        <v>6846443</v>
      </c>
      <c r="F3947" s="343" t="s">
        <v>8088</v>
      </c>
      <c r="G3947" s="360" t="s">
        <v>10703</v>
      </c>
      <c r="H3947" s="361">
        <v>43174</v>
      </c>
      <c r="I3947" s="343" t="s">
        <v>3629</v>
      </c>
      <c r="J3947" s="343" t="s">
        <v>13022</v>
      </c>
      <c r="K3947" s="343" t="s">
        <v>168</v>
      </c>
    </row>
    <row r="3948" spans="1:11" ht="26.25" customHeight="1">
      <c r="A3948" s="343" t="s">
        <v>6104</v>
      </c>
      <c r="B3948" s="344" t="s">
        <v>162</v>
      </c>
      <c r="C3948" s="344">
        <v>7507</v>
      </c>
      <c r="D3948" s="343" t="s">
        <v>6129</v>
      </c>
      <c r="E3948" s="344">
        <v>6831554</v>
      </c>
      <c r="F3948" s="343" t="s">
        <v>8089</v>
      </c>
      <c r="G3948" s="360" t="s">
        <v>12117</v>
      </c>
      <c r="H3948" s="361">
        <v>43178</v>
      </c>
      <c r="I3948" s="343" t="s">
        <v>4188</v>
      </c>
      <c r="J3948" s="343" t="s">
        <v>13023</v>
      </c>
      <c r="K3948" s="343" t="s">
        <v>173</v>
      </c>
    </row>
    <row r="3949" spans="1:11" ht="26.25" customHeight="1">
      <c r="A3949" s="343" t="s">
        <v>6104</v>
      </c>
      <c r="B3949" s="344" t="s">
        <v>162</v>
      </c>
      <c r="C3949" s="344">
        <v>11667</v>
      </c>
      <c r="D3949" s="343" t="s">
        <v>6194</v>
      </c>
      <c r="E3949" s="344">
        <v>6932132</v>
      </c>
      <c r="F3949" s="343" t="s">
        <v>8090</v>
      </c>
      <c r="G3949" s="360" t="s">
        <v>13024</v>
      </c>
      <c r="H3949" s="361">
        <v>43178</v>
      </c>
      <c r="I3949" s="343" t="s">
        <v>301</v>
      </c>
      <c r="J3949" s="343" t="s">
        <v>530</v>
      </c>
      <c r="K3949" s="343" t="s">
        <v>168</v>
      </c>
    </row>
    <row r="3950" spans="1:11" ht="26.25" customHeight="1">
      <c r="A3950" s="343" t="s">
        <v>6104</v>
      </c>
      <c r="B3950" s="344" t="s">
        <v>162</v>
      </c>
      <c r="C3950" s="344">
        <v>11667</v>
      </c>
      <c r="D3950" s="343" t="s">
        <v>6194</v>
      </c>
      <c r="E3950" s="344">
        <v>6921573</v>
      </c>
      <c r="F3950" s="343" t="s">
        <v>8091</v>
      </c>
      <c r="G3950" s="360" t="s">
        <v>11671</v>
      </c>
      <c r="H3950" s="361">
        <v>43178</v>
      </c>
      <c r="I3950" s="343" t="s">
        <v>166</v>
      </c>
      <c r="J3950" s="343" t="s">
        <v>13025</v>
      </c>
      <c r="K3950" s="343" t="s">
        <v>248</v>
      </c>
    </row>
    <row r="3951" spans="1:11" ht="26.25" customHeight="1">
      <c r="A3951" s="343" t="s">
        <v>6104</v>
      </c>
      <c r="B3951" s="344" t="s">
        <v>162</v>
      </c>
      <c r="C3951" s="344">
        <v>7032</v>
      </c>
      <c r="D3951" s="343" t="s">
        <v>6320</v>
      </c>
      <c r="E3951" s="344">
        <v>4656775</v>
      </c>
      <c r="F3951" s="343" t="s">
        <v>8092</v>
      </c>
      <c r="G3951" s="360" t="s">
        <v>13026</v>
      </c>
      <c r="H3951" s="361">
        <v>43179</v>
      </c>
      <c r="I3951" s="343" t="s">
        <v>366</v>
      </c>
      <c r="J3951" s="343" t="s">
        <v>366</v>
      </c>
      <c r="K3951" s="343" t="s">
        <v>168</v>
      </c>
    </row>
    <row r="3952" spans="1:11" ht="26.25" customHeight="1">
      <c r="A3952" s="343" t="s">
        <v>6104</v>
      </c>
      <c r="B3952" s="344" t="s">
        <v>162</v>
      </c>
      <c r="C3952" s="344">
        <v>6826</v>
      </c>
      <c r="D3952" s="343" t="s">
        <v>6213</v>
      </c>
      <c r="E3952" s="344">
        <v>5674306</v>
      </c>
      <c r="F3952" s="343" t="s">
        <v>8093</v>
      </c>
      <c r="G3952" s="360" t="s">
        <v>1342</v>
      </c>
      <c r="H3952" s="361">
        <v>43179</v>
      </c>
      <c r="I3952" s="343" t="s">
        <v>5043</v>
      </c>
      <c r="J3952" s="343" t="s">
        <v>11724</v>
      </c>
      <c r="K3952" s="343" t="s">
        <v>168</v>
      </c>
    </row>
    <row r="3953" spans="1:11" ht="26.25" customHeight="1">
      <c r="A3953" s="343" t="s">
        <v>6104</v>
      </c>
      <c r="B3953" s="344" t="s">
        <v>162</v>
      </c>
      <c r="C3953" s="344">
        <v>6824</v>
      </c>
      <c r="D3953" s="343" t="s">
        <v>6410</v>
      </c>
      <c r="E3953" s="344">
        <v>5729817</v>
      </c>
      <c r="F3953" s="343" t="s">
        <v>5541</v>
      </c>
      <c r="G3953" s="360" t="s">
        <v>11153</v>
      </c>
      <c r="H3953" s="361">
        <v>43179</v>
      </c>
      <c r="I3953" s="343" t="s">
        <v>465</v>
      </c>
      <c r="J3953" s="343" t="s">
        <v>9614</v>
      </c>
      <c r="K3953" s="343" t="s">
        <v>168</v>
      </c>
    </row>
    <row r="3954" spans="1:11" ht="26.25" customHeight="1">
      <c r="A3954" s="343" t="s">
        <v>6104</v>
      </c>
      <c r="B3954" s="344" t="s">
        <v>162</v>
      </c>
      <c r="C3954" s="344">
        <v>8804</v>
      </c>
      <c r="D3954" s="343" t="s">
        <v>6174</v>
      </c>
      <c r="E3954" s="344">
        <v>6887033</v>
      </c>
      <c r="F3954" s="343" t="s">
        <v>8094</v>
      </c>
      <c r="G3954" s="360" t="s">
        <v>13027</v>
      </c>
      <c r="H3954" s="361">
        <v>43179</v>
      </c>
      <c r="I3954" s="343" t="s">
        <v>284</v>
      </c>
      <c r="J3954" s="343" t="s">
        <v>13028</v>
      </c>
      <c r="K3954" s="343" t="s">
        <v>168</v>
      </c>
    </row>
    <row r="3955" spans="1:11" ht="26.25" customHeight="1">
      <c r="A3955" s="343" t="s">
        <v>6104</v>
      </c>
      <c r="B3955" s="344" t="s">
        <v>162</v>
      </c>
      <c r="C3955" s="344">
        <v>6814</v>
      </c>
      <c r="D3955" s="343" t="s">
        <v>6337</v>
      </c>
      <c r="E3955" s="344">
        <v>6287963</v>
      </c>
      <c r="F3955" s="343" t="s">
        <v>8096</v>
      </c>
      <c r="G3955" s="360" t="s">
        <v>12801</v>
      </c>
      <c r="H3955" s="361">
        <v>43179</v>
      </c>
      <c r="I3955" s="343" t="s">
        <v>211</v>
      </c>
      <c r="J3955" s="343" t="s">
        <v>211</v>
      </c>
      <c r="K3955" s="343" t="s">
        <v>168</v>
      </c>
    </row>
    <row r="3956" spans="1:11" ht="26.25" customHeight="1">
      <c r="A3956" s="343" t="s">
        <v>6104</v>
      </c>
      <c r="B3956" s="344" t="s">
        <v>162</v>
      </c>
      <c r="C3956" s="344">
        <v>6671</v>
      </c>
      <c r="D3956" s="343" t="s">
        <v>6432</v>
      </c>
      <c r="E3956" s="344">
        <v>6035238</v>
      </c>
      <c r="F3956" s="343" t="s">
        <v>8867</v>
      </c>
      <c r="G3956" s="360" t="s">
        <v>11477</v>
      </c>
      <c r="H3956" s="361">
        <v>43181</v>
      </c>
      <c r="I3956" s="343" t="s">
        <v>166</v>
      </c>
      <c r="J3956" s="343" t="s">
        <v>296</v>
      </c>
      <c r="K3956" s="343" t="s">
        <v>168</v>
      </c>
    </row>
    <row r="3957" spans="1:11" ht="26.25" customHeight="1">
      <c r="A3957" s="343" t="s">
        <v>6104</v>
      </c>
      <c r="B3957" s="344" t="s">
        <v>162</v>
      </c>
      <c r="C3957" s="344">
        <v>7534</v>
      </c>
      <c r="D3957" s="343" t="s">
        <v>6139</v>
      </c>
      <c r="E3957" s="344">
        <v>6726886</v>
      </c>
      <c r="F3957" s="343" t="s">
        <v>8868</v>
      </c>
      <c r="G3957" s="360" t="s">
        <v>13029</v>
      </c>
      <c r="H3957" s="361">
        <v>43188</v>
      </c>
      <c r="I3957" s="343" t="s">
        <v>193</v>
      </c>
      <c r="J3957" s="343" t="s">
        <v>13030</v>
      </c>
      <c r="K3957" s="343" t="s">
        <v>173</v>
      </c>
    </row>
    <row r="3958" spans="1:11" ht="26.25" customHeight="1">
      <c r="A3958" s="343" t="s">
        <v>6104</v>
      </c>
      <c r="B3958" s="344" t="s">
        <v>162</v>
      </c>
      <c r="C3958" s="344">
        <v>7486</v>
      </c>
      <c r="D3958" s="343" t="s">
        <v>6177</v>
      </c>
      <c r="E3958" s="344">
        <v>6883976</v>
      </c>
      <c r="F3958" s="343" t="s">
        <v>8869</v>
      </c>
      <c r="G3958" s="360" t="s">
        <v>9502</v>
      </c>
      <c r="H3958" s="361">
        <v>43188</v>
      </c>
      <c r="I3958" s="343" t="s">
        <v>193</v>
      </c>
      <c r="J3958" s="343" t="s">
        <v>13031</v>
      </c>
      <c r="K3958" s="343" t="s">
        <v>168</v>
      </c>
    </row>
    <row r="3959" spans="1:11" ht="26.25" customHeight="1">
      <c r="A3959" s="343" t="s">
        <v>6104</v>
      </c>
      <c r="B3959" s="344" t="s">
        <v>162</v>
      </c>
      <c r="C3959" s="344">
        <v>6819</v>
      </c>
      <c r="D3959" s="343" t="s">
        <v>8870</v>
      </c>
      <c r="E3959" s="344">
        <v>6166283</v>
      </c>
      <c r="F3959" s="343" t="s">
        <v>8871</v>
      </c>
      <c r="G3959" s="360" t="s">
        <v>346</v>
      </c>
      <c r="H3959" s="361">
        <v>43188</v>
      </c>
      <c r="I3959" s="343" t="s">
        <v>8872</v>
      </c>
      <c r="J3959" s="343" t="s">
        <v>13032</v>
      </c>
      <c r="K3959" s="343" t="s">
        <v>168</v>
      </c>
    </row>
    <row r="3960" spans="1:11" ht="26.25" customHeight="1">
      <c r="A3960" s="343" t="s">
        <v>6104</v>
      </c>
      <c r="B3960" s="344" t="s">
        <v>162</v>
      </c>
      <c r="C3960" s="344">
        <v>7165</v>
      </c>
      <c r="D3960" s="343" t="s">
        <v>8873</v>
      </c>
      <c r="E3960" s="344">
        <v>5836920</v>
      </c>
      <c r="F3960" s="343" t="s">
        <v>8874</v>
      </c>
      <c r="G3960" s="360" t="s">
        <v>11735</v>
      </c>
      <c r="H3960" s="361">
        <v>43193</v>
      </c>
      <c r="I3960" s="343" t="s">
        <v>3692</v>
      </c>
      <c r="J3960" s="343" t="s">
        <v>13033</v>
      </c>
      <c r="K3960" s="343" t="s">
        <v>168</v>
      </c>
    </row>
    <row r="3961" spans="1:11" ht="26.25" customHeight="1">
      <c r="A3961" s="343" t="s">
        <v>6104</v>
      </c>
      <c r="B3961" s="344" t="s">
        <v>162</v>
      </c>
      <c r="C3961" s="344">
        <v>10059</v>
      </c>
      <c r="D3961" s="343" t="s">
        <v>6353</v>
      </c>
      <c r="E3961" s="344">
        <v>6668810</v>
      </c>
      <c r="F3961" s="343" t="s">
        <v>8875</v>
      </c>
      <c r="G3961" s="360" t="s">
        <v>11625</v>
      </c>
      <c r="H3961" s="361">
        <v>43193</v>
      </c>
      <c r="I3961" s="343" t="s">
        <v>180</v>
      </c>
      <c r="J3961" s="343" t="s">
        <v>13034</v>
      </c>
      <c r="K3961" s="343" t="s">
        <v>173</v>
      </c>
    </row>
    <row r="3962" spans="1:11" ht="26.25" customHeight="1">
      <c r="A3962" s="343" t="s">
        <v>6104</v>
      </c>
      <c r="B3962" s="344" t="s">
        <v>162</v>
      </c>
      <c r="C3962" s="344">
        <v>9721</v>
      </c>
      <c r="D3962" s="343" t="s">
        <v>6171</v>
      </c>
      <c r="E3962" s="344">
        <v>6971939</v>
      </c>
      <c r="F3962" s="343" t="s">
        <v>8876</v>
      </c>
      <c r="G3962" s="360" t="s">
        <v>13035</v>
      </c>
      <c r="H3962" s="361">
        <v>43195</v>
      </c>
      <c r="I3962" s="343" t="s">
        <v>284</v>
      </c>
      <c r="J3962" s="343" t="s">
        <v>10521</v>
      </c>
      <c r="K3962" s="343" t="s">
        <v>168</v>
      </c>
    </row>
    <row r="3963" spans="1:11" ht="26.25" customHeight="1">
      <c r="A3963" s="343" t="s">
        <v>6104</v>
      </c>
      <c r="B3963" s="344" t="s">
        <v>162</v>
      </c>
      <c r="C3963" s="344">
        <v>7520</v>
      </c>
      <c r="D3963" s="343" t="s">
        <v>6114</v>
      </c>
      <c r="E3963" s="344">
        <v>6677691</v>
      </c>
      <c r="F3963" s="343" t="s">
        <v>8877</v>
      </c>
      <c r="G3963" s="360" t="s">
        <v>245</v>
      </c>
      <c r="H3963" s="361">
        <v>43195</v>
      </c>
      <c r="I3963" s="343" t="s">
        <v>3910</v>
      </c>
      <c r="J3963" s="343" t="s">
        <v>9985</v>
      </c>
      <c r="K3963" s="343" t="s">
        <v>173</v>
      </c>
    </row>
    <row r="3964" spans="1:11" ht="26.25" customHeight="1">
      <c r="A3964" s="343" t="s">
        <v>6104</v>
      </c>
      <c r="B3964" s="344" t="s">
        <v>162</v>
      </c>
      <c r="C3964" s="344">
        <v>7550</v>
      </c>
      <c r="D3964" s="343" t="s">
        <v>6168</v>
      </c>
      <c r="E3964" s="344">
        <v>6926726</v>
      </c>
      <c r="F3964" s="343" t="s">
        <v>8878</v>
      </c>
      <c r="G3964" s="360" t="s">
        <v>186</v>
      </c>
      <c r="H3964" s="361">
        <v>43195</v>
      </c>
      <c r="I3964" s="343" t="s">
        <v>742</v>
      </c>
      <c r="J3964" s="343" t="s">
        <v>742</v>
      </c>
      <c r="K3964" s="343" t="s">
        <v>168</v>
      </c>
    </row>
    <row r="3965" spans="1:11" ht="26.25" customHeight="1">
      <c r="A3965" s="343" t="s">
        <v>6104</v>
      </c>
      <c r="B3965" s="344" t="s">
        <v>162</v>
      </c>
      <c r="C3965" s="344">
        <v>7534</v>
      </c>
      <c r="D3965" s="343" t="s">
        <v>6139</v>
      </c>
      <c r="E3965" s="344">
        <v>6666702</v>
      </c>
      <c r="F3965" s="343" t="s">
        <v>8879</v>
      </c>
      <c r="G3965" s="360" t="s">
        <v>10527</v>
      </c>
      <c r="H3965" s="361">
        <v>43195</v>
      </c>
      <c r="I3965" s="343" t="s">
        <v>193</v>
      </c>
      <c r="J3965" s="343" t="s">
        <v>637</v>
      </c>
      <c r="K3965" s="343" t="s">
        <v>168</v>
      </c>
    </row>
    <row r="3966" spans="1:11" ht="26.25" customHeight="1">
      <c r="A3966" s="343" t="s">
        <v>6104</v>
      </c>
      <c r="B3966" s="344" t="s">
        <v>162</v>
      </c>
      <c r="C3966" s="344">
        <v>7557</v>
      </c>
      <c r="D3966" s="343" t="s">
        <v>6108</v>
      </c>
      <c r="E3966" s="344">
        <v>6707564</v>
      </c>
      <c r="F3966" s="343" t="s">
        <v>8880</v>
      </c>
      <c r="G3966" s="360" t="s">
        <v>11539</v>
      </c>
      <c r="H3966" s="361">
        <v>43195</v>
      </c>
      <c r="I3966" s="343" t="s">
        <v>349</v>
      </c>
      <c r="J3966" s="343" t="s">
        <v>1248</v>
      </c>
      <c r="K3966" s="343" t="s">
        <v>168</v>
      </c>
    </row>
    <row r="3967" spans="1:11" ht="26.25" customHeight="1">
      <c r="A3967" s="343" t="s">
        <v>6104</v>
      </c>
      <c r="B3967" s="344" t="s">
        <v>162</v>
      </c>
      <c r="C3967" s="344">
        <v>7557</v>
      </c>
      <c r="D3967" s="343" t="s">
        <v>6108</v>
      </c>
      <c r="E3967" s="344">
        <v>6878804</v>
      </c>
      <c r="F3967" s="343" t="s">
        <v>8881</v>
      </c>
      <c r="G3967" s="360" t="s">
        <v>12649</v>
      </c>
      <c r="H3967" s="361">
        <v>43195</v>
      </c>
      <c r="I3967" s="343" t="s">
        <v>802</v>
      </c>
      <c r="J3967" s="343" t="s">
        <v>13036</v>
      </c>
      <c r="K3967" s="343" t="s">
        <v>248</v>
      </c>
    </row>
    <row r="3968" spans="1:11" ht="26.25" customHeight="1">
      <c r="A3968" s="343" t="s">
        <v>6104</v>
      </c>
      <c r="B3968" s="344" t="s">
        <v>162</v>
      </c>
      <c r="C3968" s="344">
        <v>12757</v>
      </c>
      <c r="D3968" s="343" t="s">
        <v>8017</v>
      </c>
      <c r="E3968" s="344">
        <v>5694108</v>
      </c>
      <c r="F3968" s="343" t="s">
        <v>8882</v>
      </c>
      <c r="G3968" s="360" t="s">
        <v>9639</v>
      </c>
      <c r="H3968" s="361">
        <v>43196</v>
      </c>
      <c r="I3968" s="343" t="s">
        <v>1403</v>
      </c>
      <c r="J3968" s="343" t="s">
        <v>13037</v>
      </c>
      <c r="K3968" s="343" t="s">
        <v>168</v>
      </c>
    </row>
    <row r="3969" spans="1:11" ht="26.25" customHeight="1">
      <c r="A3969" s="343" t="s">
        <v>6104</v>
      </c>
      <c r="B3969" s="344" t="s">
        <v>162</v>
      </c>
      <c r="C3969" s="344">
        <v>9432</v>
      </c>
      <c r="D3969" s="343" t="s">
        <v>6406</v>
      </c>
      <c r="E3969" s="344">
        <v>5973740</v>
      </c>
      <c r="F3969" s="343" t="s">
        <v>8883</v>
      </c>
      <c r="G3969" s="360" t="s">
        <v>10149</v>
      </c>
      <c r="H3969" s="361">
        <v>43196</v>
      </c>
      <c r="I3969" s="343" t="s">
        <v>193</v>
      </c>
      <c r="J3969" s="343" t="s">
        <v>13038</v>
      </c>
      <c r="K3969" s="343" t="s">
        <v>168</v>
      </c>
    </row>
    <row r="3970" spans="1:11" ht="26.25" customHeight="1">
      <c r="A3970" s="343" t="s">
        <v>6104</v>
      </c>
      <c r="B3970" s="344" t="s">
        <v>162</v>
      </c>
      <c r="C3970" s="344">
        <v>9382</v>
      </c>
      <c r="D3970" s="343" t="s">
        <v>6401</v>
      </c>
      <c r="E3970" s="344">
        <v>5776025</v>
      </c>
      <c r="F3970" s="343" t="s">
        <v>8884</v>
      </c>
      <c r="G3970" s="360" t="s">
        <v>11495</v>
      </c>
      <c r="H3970" s="361">
        <v>43196</v>
      </c>
      <c r="I3970" s="343" t="s">
        <v>313</v>
      </c>
      <c r="J3970" s="343" t="s">
        <v>10246</v>
      </c>
      <c r="K3970" s="343" t="s">
        <v>173</v>
      </c>
    </row>
    <row r="3971" spans="1:11" ht="26.25" customHeight="1">
      <c r="A3971" s="343" t="s">
        <v>6104</v>
      </c>
      <c r="B3971" s="344" t="s">
        <v>162</v>
      </c>
      <c r="C3971" s="344">
        <v>6677</v>
      </c>
      <c r="D3971" s="343" t="s">
        <v>6334</v>
      </c>
      <c r="E3971" s="344">
        <v>6263118</v>
      </c>
      <c r="F3971" s="343" t="s">
        <v>6336</v>
      </c>
      <c r="G3971" s="360" t="s">
        <v>1298</v>
      </c>
      <c r="H3971" s="361">
        <v>43196</v>
      </c>
      <c r="I3971" s="343" t="s">
        <v>5148</v>
      </c>
      <c r="J3971" s="343" t="s">
        <v>13039</v>
      </c>
      <c r="K3971" s="343" t="s">
        <v>168</v>
      </c>
    </row>
    <row r="3972" spans="1:11" ht="26.25" customHeight="1">
      <c r="A3972" s="343" t="s">
        <v>6104</v>
      </c>
      <c r="B3972" s="344" t="s">
        <v>162</v>
      </c>
      <c r="C3972" s="344">
        <v>9382</v>
      </c>
      <c r="D3972" s="343" t="s">
        <v>6401</v>
      </c>
      <c r="E3972" s="344">
        <v>5910100</v>
      </c>
      <c r="F3972" s="343" t="s">
        <v>8885</v>
      </c>
      <c r="G3972" s="360" t="s">
        <v>10040</v>
      </c>
      <c r="H3972" s="361">
        <v>43196</v>
      </c>
      <c r="I3972" s="343" t="s">
        <v>8886</v>
      </c>
      <c r="J3972" s="343" t="s">
        <v>13040</v>
      </c>
      <c r="K3972" s="343" t="s">
        <v>168</v>
      </c>
    </row>
    <row r="3973" spans="1:11" ht="26.25" customHeight="1">
      <c r="A3973" s="343" t="s">
        <v>6104</v>
      </c>
      <c r="B3973" s="344" t="s">
        <v>162</v>
      </c>
      <c r="C3973" s="344">
        <v>6670</v>
      </c>
      <c r="D3973" s="343" t="s">
        <v>6380</v>
      </c>
      <c r="E3973" s="344">
        <v>6719136</v>
      </c>
      <c r="F3973" s="343" t="s">
        <v>8887</v>
      </c>
      <c r="G3973" s="360" t="s">
        <v>274</v>
      </c>
      <c r="H3973" s="361">
        <v>43196</v>
      </c>
      <c r="I3973" s="343" t="s">
        <v>4147</v>
      </c>
      <c r="J3973" s="343" t="s">
        <v>13041</v>
      </c>
      <c r="K3973" s="343" t="s">
        <v>173</v>
      </c>
    </row>
    <row r="3974" spans="1:11" ht="26.25" customHeight="1">
      <c r="A3974" s="343" t="s">
        <v>6104</v>
      </c>
      <c r="B3974" s="344" t="s">
        <v>162</v>
      </c>
      <c r="C3974" s="344">
        <v>6827</v>
      </c>
      <c r="D3974" s="343" t="s">
        <v>6225</v>
      </c>
      <c r="E3974" s="344">
        <v>5654494</v>
      </c>
      <c r="F3974" s="343" t="s">
        <v>8889</v>
      </c>
      <c r="G3974" s="360" t="s">
        <v>13042</v>
      </c>
      <c r="H3974" s="361">
        <v>43196</v>
      </c>
      <c r="I3974" s="343" t="s">
        <v>3606</v>
      </c>
      <c r="J3974" s="343" t="s">
        <v>3606</v>
      </c>
      <c r="K3974" s="343" t="s">
        <v>168</v>
      </c>
    </row>
    <row r="3975" spans="1:11" ht="26.25" customHeight="1">
      <c r="A3975" s="343" t="s">
        <v>6104</v>
      </c>
      <c r="B3975" s="344" t="s">
        <v>162</v>
      </c>
      <c r="C3975" s="344">
        <v>6683</v>
      </c>
      <c r="D3975" s="343" t="s">
        <v>6425</v>
      </c>
      <c r="E3975" s="344">
        <v>6791863</v>
      </c>
      <c r="F3975" s="343" t="s">
        <v>8890</v>
      </c>
      <c r="G3975" s="360" t="s">
        <v>9493</v>
      </c>
      <c r="H3975" s="361">
        <v>43206</v>
      </c>
      <c r="I3975" s="343" t="s">
        <v>271</v>
      </c>
      <c r="J3975" s="343" t="s">
        <v>12271</v>
      </c>
      <c r="K3975" s="343" t="s">
        <v>168</v>
      </c>
    </row>
    <row r="3976" spans="1:11" ht="26.25" customHeight="1">
      <c r="A3976" s="343" t="s">
        <v>6104</v>
      </c>
      <c r="B3976" s="344" t="s">
        <v>162</v>
      </c>
      <c r="C3976" s="344">
        <v>7531</v>
      </c>
      <c r="D3976" s="343" t="s">
        <v>6189</v>
      </c>
      <c r="E3976" s="344">
        <v>6913471</v>
      </c>
      <c r="F3976" s="343" t="s">
        <v>8891</v>
      </c>
      <c r="G3976" s="360" t="s">
        <v>13043</v>
      </c>
      <c r="H3976" s="361">
        <v>43206</v>
      </c>
      <c r="I3976" s="343" t="s">
        <v>193</v>
      </c>
      <c r="J3976" s="343" t="s">
        <v>13044</v>
      </c>
      <c r="K3976" s="343" t="s">
        <v>168</v>
      </c>
    </row>
    <row r="3977" spans="1:11" ht="26.25" customHeight="1">
      <c r="A3977" s="343" t="s">
        <v>6104</v>
      </c>
      <c r="B3977" s="344" t="s">
        <v>162</v>
      </c>
      <c r="C3977" s="344">
        <v>6814</v>
      </c>
      <c r="D3977" s="343" t="s">
        <v>6337</v>
      </c>
      <c r="E3977" s="344">
        <v>6384997</v>
      </c>
      <c r="F3977" s="343" t="s">
        <v>8892</v>
      </c>
      <c r="G3977" s="360" t="s">
        <v>10061</v>
      </c>
      <c r="H3977" s="361">
        <v>43207</v>
      </c>
      <c r="I3977" s="343" t="s">
        <v>275</v>
      </c>
      <c r="J3977" s="343" t="s">
        <v>13045</v>
      </c>
      <c r="K3977" s="343" t="s">
        <v>173</v>
      </c>
    </row>
    <row r="3978" spans="1:11" ht="26.25" customHeight="1">
      <c r="A3978" s="343" t="s">
        <v>6104</v>
      </c>
      <c r="B3978" s="344" t="s">
        <v>162</v>
      </c>
      <c r="C3978" s="344">
        <v>10059</v>
      </c>
      <c r="D3978" s="343" t="s">
        <v>6353</v>
      </c>
      <c r="E3978" s="344">
        <v>6962599</v>
      </c>
      <c r="F3978" s="343" t="s">
        <v>8893</v>
      </c>
      <c r="G3978" s="360" t="s">
        <v>9621</v>
      </c>
      <c r="H3978" s="361">
        <v>43208</v>
      </c>
      <c r="I3978" s="343" t="s">
        <v>7648</v>
      </c>
      <c r="J3978" s="343" t="s">
        <v>13046</v>
      </c>
      <c r="K3978" s="343" t="s">
        <v>168</v>
      </c>
    </row>
    <row r="3979" spans="1:11" ht="26.25" customHeight="1">
      <c r="A3979" s="343" t="s">
        <v>6104</v>
      </c>
      <c r="B3979" s="344" t="s">
        <v>162</v>
      </c>
      <c r="C3979" s="344">
        <v>9382</v>
      </c>
      <c r="D3979" s="343" t="s">
        <v>6401</v>
      </c>
      <c r="E3979" s="344">
        <v>6184828</v>
      </c>
      <c r="F3979" s="343" t="s">
        <v>6402</v>
      </c>
      <c r="G3979" s="360" t="s">
        <v>1133</v>
      </c>
      <c r="H3979" s="361">
        <v>43209</v>
      </c>
      <c r="I3979" s="343" t="s">
        <v>7752</v>
      </c>
      <c r="J3979" s="343" t="s">
        <v>9605</v>
      </c>
      <c r="K3979" s="343" t="s">
        <v>168</v>
      </c>
    </row>
    <row r="3980" spans="1:11" ht="26.25" customHeight="1">
      <c r="A3980" s="343" t="s">
        <v>6104</v>
      </c>
      <c r="B3980" s="344" t="s">
        <v>162</v>
      </c>
      <c r="C3980" s="344">
        <v>7514</v>
      </c>
      <c r="D3980" s="343" t="s">
        <v>6135</v>
      </c>
      <c r="E3980" s="344">
        <v>6816285</v>
      </c>
      <c r="F3980" s="343" t="s">
        <v>8894</v>
      </c>
      <c r="G3980" s="360" t="s">
        <v>11767</v>
      </c>
      <c r="H3980" s="361">
        <v>43209</v>
      </c>
      <c r="I3980" s="343" t="s">
        <v>8895</v>
      </c>
      <c r="J3980" s="343" t="s">
        <v>13047</v>
      </c>
      <c r="K3980" s="343" t="s">
        <v>168</v>
      </c>
    </row>
    <row r="3981" spans="1:11" ht="26.25" customHeight="1">
      <c r="A3981" s="343" t="s">
        <v>6104</v>
      </c>
      <c r="B3981" s="344" t="s">
        <v>162</v>
      </c>
      <c r="C3981" s="344">
        <v>7520</v>
      </c>
      <c r="D3981" s="343" t="s">
        <v>6114</v>
      </c>
      <c r="E3981" s="344">
        <v>6384716</v>
      </c>
      <c r="F3981" s="343" t="s">
        <v>8896</v>
      </c>
      <c r="G3981" s="360" t="s">
        <v>13048</v>
      </c>
      <c r="H3981" s="361">
        <v>43209</v>
      </c>
      <c r="I3981" s="343" t="s">
        <v>8897</v>
      </c>
      <c r="J3981" s="343" t="s">
        <v>13049</v>
      </c>
      <c r="K3981" s="343" t="s">
        <v>168</v>
      </c>
    </row>
    <row r="3982" spans="1:11" ht="26.25" customHeight="1">
      <c r="A3982" s="343" t="s">
        <v>6104</v>
      </c>
      <c r="B3982" s="344" t="s">
        <v>162</v>
      </c>
      <c r="C3982" s="344">
        <v>7550</v>
      </c>
      <c r="D3982" s="343" t="s">
        <v>6168</v>
      </c>
      <c r="E3982" s="344">
        <v>6911111</v>
      </c>
      <c r="F3982" s="343" t="s">
        <v>8036</v>
      </c>
      <c r="G3982" s="360" t="s">
        <v>12950</v>
      </c>
      <c r="H3982" s="361">
        <v>43209</v>
      </c>
      <c r="I3982" s="343" t="s">
        <v>4742</v>
      </c>
      <c r="J3982" s="343" t="s">
        <v>13050</v>
      </c>
      <c r="K3982" s="343" t="s">
        <v>248</v>
      </c>
    </row>
    <row r="3983" spans="1:11" ht="26.25" customHeight="1">
      <c r="A3983" s="343" t="s">
        <v>6104</v>
      </c>
      <c r="B3983" s="344" t="s">
        <v>162</v>
      </c>
      <c r="C3983" s="344">
        <v>6676</v>
      </c>
      <c r="D3983" s="343" t="s">
        <v>6423</v>
      </c>
      <c r="E3983" s="344">
        <v>6321234</v>
      </c>
      <c r="F3983" s="343" t="s">
        <v>8095</v>
      </c>
      <c r="G3983" s="360" t="s">
        <v>10056</v>
      </c>
      <c r="H3983" s="361">
        <v>43209</v>
      </c>
      <c r="I3983" s="343" t="s">
        <v>166</v>
      </c>
      <c r="J3983" s="343" t="s">
        <v>9775</v>
      </c>
      <c r="K3983" s="343" t="s">
        <v>248</v>
      </c>
    </row>
    <row r="3984" spans="1:11" ht="26.25" customHeight="1">
      <c r="A3984" s="343" t="s">
        <v>6104</v>
      </c>
      <c r="B3984" s="344" t="s">
        <v>162</v>
      </c>
      <c r="C3984" s="344">
        <v>6813</v>
      </c>
      <c r="D3984" s="343" t="s">
        <v>6373</v>
      </c>
      <c r="E3984" s="344">
        <v>6150511</v>
      </c>
      <c r="F3984" s="343" t="s">
        <v>8898</v>
      </c>
      <c r="G3984" s="360" t="s">
        <v>532</v>
      </c>
      <c r="H3984" s="361">
        <v>43210</v>
      </c>
      <c r="I3984" s="343" t="s">
        <v>6590</v>
      </c>
      <c r="J3984" s="343" t="s">
        <v>13051</v>
      </c>
      <c r="K3984" s="343" t="s">
        <v>168</v>
      </c>
    </row>
    <row r="3985" spans="1:11" ht="26.25" customHeight="1">
      <c r="A3985" s="343" t="s">
        <v>6104</v>
      </c>
      <c r="B3985" s="344" t="s">
        <v>162</v>
      </c>
      <c r="C3985" s="344">
        <v>9459</v>
      </c>
      <c r="D3985" s="343" t="s">
        <v>6375</v>
      </c>
      <c r="E3985" s="344">
        <v>6385961</v>
      </c>
      <c r="F3985" s="343" t="s">
        <v>8899</v>
      </c>
      <c r="G3985" s="360" t="s">
        <v>10149</v>
      </c>
      <c r="H3985" s="361">
        <v>43210</v>
      </c>
      <c r="I3985" s="343" t="s">
        <v>3910</v>
      </c>
      <c r="J3985" s="343" t="s">
        <v>9547</v>
      </c>
      <c r="K3985" s="343" t="s">
        <v>173</v>
      </c>
    </row>
    <row r="3986" spans="1:11" ht="26.25" customHeight="1">
      <c r="A3986" s="343" t="s">
        <v>6104</v>
      </c>
      <c r="B3986" s="344" t="s">
        <v>162</v>
      </c>
      <c r="C3986" s="344">
        <v>6670</v>
      </c>
      <c r="D3986" s="343" t="s">
        <v>6380</v>
      </c>
      <c r="E3986" s="344">
        <v>6065286</v>
      </c>
      <c r="F3986" s="343" t="s">
        <v>8035</v>
      </c>
      <c r="G3986" s="360" t="s">
        <v>11222</v>
      </c>
      <c r="H3986" s="361">
        <v>43196</v>
      </c>
      <c r="I3986" s="343" t="s">
        <v>1463</v>
      </c>
      <c r="J3986" s="343" t="s">
        <v>13052</v>
      </c>
      <c r="K3986" s="343" t="s">
        <v>248</v>
      </c>
    </row>
    <row r="3987" spans="1:11" ht="26.25" customHeight="1">
      <c r="A3987" s="343" t="s">
        <v>6104</v>
      </c>
      <c r="B3987" s="344" t="s">
        <v>162</v>
      </c>
      <c r="C3987" s="344">
        <v>8469</v>
      </c>
      <c r="D3987" s="343" t="s">
        <v>8060</v>
      </c>
      <c r="E3987" s="344">
        <v>6445425</v>
      </c>
      <c r="F3987" s="343" t="s">
        <v>8900</v>
      </c>
      <c r="G3987" s="360" t="s">
        <v>11540</v>
      </c>
      <c r="H3987" s="361">
        <v>43217</v>
      </c>
      <c r="I3987" s="343" t="s">
        <v>193</v>
      </c>
      <c r="J3987" s="343" t="s">
        <v>603</v>
      </c>
      <c r="K3987" s="343" t="s">
        <v>168</v>
      </c>
    </row>
    <row r="3988" spans="1:11" ht="26.25" customHeight="1">
      <c r="A3988" s="343" t="s">
        <v>6104</v>
      </c>
      <c r="B3988" s="344" t="s">
        <v>162</v>
      </c>
      <c r="C3988" s="344">
        <v>10059</v>
      </c>
      <c r="D3988" s="343" t="s">
        <v>6353</v>
      </c>
      <c r="E3988" s="344">
        <v>6987358</v>
      </c>
      <c r="F3988" s="343" t="s">
        <v>8901</v>
      </c>
      <c r="G3988" s="360" t="s">
        <v>13053</v>
      </c>
      <c r="H3988" s="361">
        <v>43220</v>
      </c>
      <c r="I3988" s="343" t="s">
        <v>8902</v>
      </c>
      <c r="J3988" s="343" t="s">
        <v>13054</v>
      </c>
      <c r="K3988" s="343" t="s">
        <v>173</v>
      </c>
    </row>
    <row r="3989" spans="1:11" ht="26.25" customHeight="1">
      <c r="A3989" s="343" t="s">
        <v>6104</v>
      </c>
      <c r="B3989" s="344" t="s">
        <v>162</v>
      </c>
      <c r="C3989" s="344">
        <v>7549</v>
      </c>
      <c r="D3989" s="343" t="s">
        <v>6186</v>
      </c>
      <c r="E3989" s="344">
        <v>6402763</v>
      </c>
      <c r="F3989" s="343" t="s">
        <v>8903</v>
      </c>
      <c r="G3989" s="360" t="s">
        <v>13055</v>
      </c>
      <c r="H3989" s="361">
        <v>43222</v>
      </c>
      <c r="I3989" s="343" t="s">
        <v>166</v>
      </c>
      <c r="J3989" s="343" t="s">
        <v>327</v>
      </c>
      <c r="K3989" s="343" t="s">
        <v>168</v>
      </c>
    </row>
    <row r="3990" spans="1:11" ht="26.25" customHeight="1">
      <c r="A3990" s="343" t="s">
        <v>6104</v>
      </c>
      <c r="B3990" s="344" t="s">
        <v>162</v>
      </c>
      <c r="C3990" s="344">
        <v>7162</v>
      </c>
      <c r="D3990" s="343" t="s">
        <v>6292</v>
      </c>
      <c r="E3990" s="344">
        <v>6917328</v>
      </c>
      <c r="F3990" s="343" t="s">
        <v>8904</v>
      </c>
      <c r="G3990" s="360" t="s">
        <v>13056</v>
      </c>
      <c r="H3990" s="361">
        <v>43222</v>
      </c>
      <c r="I3990" s="343" t="s">
        <v>193</v>
      </c>
      <c r="J3990" s="343" t="s">
        <v>637</v>
      </c>
      <c r="K3990" s="343" t="s">
        <v>168</v>
      </c>
    </row>
    <row r="3991" spans="1:11" ht="26.25" customHeight="1">
      <c r="A3991" s="343" t="s">
        <v>6104</v>
      </c>
      <c r="B3991" s="344" t="s">
        <v>162</v>
      </c>
      <c r="C3991" s="344">
        <v>7545</v>
      </c>
      <c r="D3991" s="343" t="s">
        <v>6145</v>
      </c>
      <c r="E3991" s="344">
        <v>6472504</v>
      </c>
      <c r="F3991" s="343" t="s">
        <v>6148</v>
      </c>
      <c r="G3991" s="360" t="s">
        <v>9401</v>
      </c>
      <c r="H3991" s="361">
        <v>43224</v>
      </c>
      <c r="I3991" s="343" t="s">
        <v>166</v>
      </c>
      <c r="J3991" s="343" t="s">
        <v>13057</v>
      </c>
      <c r="K3991" s="343" t="s">
        <v>248</v>
      </c>
    </row>
    <row r="3992" spans="1:11" ht="26.25" customHeight="1">
      <c r="A3992" s="343" t="s">
        <v>6104</v>
      </c>
      <c r="B3992" s="344" t="s">
        <v>162</v>
      </c>
      <c r="C3992" s="344">
        <v>9382</v>
      </c>
      <c r="D3992" s="343" t="s">
        <v>6401</v>
      </c>
      <c r="E3992" s="344">
        <v>5888563</v>
      </c>
      <c r="F3992" s="343" t="s">
        <v>6404</v>
      </c>
      <c r="G3992" s="360" t="s">
        <v>10949</v>
      </c>
      <c r="H3992" s="361">
        <v>43224</v>
      </c>
      <c r="I3992" s="343" t="s">
        <v>780</v>
      </c>
      <c r="J3992" s="343" t="s">
        <v>11037</v>
      </c>
      <c r="K3992" s="343" t="s">
        <v>168</v>
      </c>
    </row>
    <row r="3993" spans="1:11" ht="26.25" customHeight="1">
      <c r="A3993" s="343" t="s">
        <v>6104</v>
      </c>
      <c r="B3993" s="344" t="s">
        <v>162</v>
      </c>
      <c r="C3993" s="344">
        <v>11622</v>
      </c>
      <c r="D3993" s="343" t="s">
        <v>6199</v>
      </c>
      <c r="E3993" s="344">
        <v>5837591</v>
      </c>
      <c r="F3993" s="343" t="s">
        <v>8905</v>
      </c>
      <c r="G3993" s="360" t="s">
        <v>1345</v>
      </c>
      <c r="H3993" s="361">
        <v>43224</v>
      </c>
      <c r="I3993" s="343" t="s">
        <v>547</v>
      </c>
      <c r="J3993" s="343" t="s">
        <v>936</v>
      </c>
      <c r="K3993" s="343" t="s">
        <v>248</v>
      </c>
    </row>
    <row r="3994" spans="1:11" ht="26.25" customHeight="1">
      <c r="A3994" s="343" t="s">
        <v>6104</v>
      </c>
      <c r="B3994" s="344" t="s">
        <v>162</v>
      </c>
      <c r="C3994" s="344">
        <v>7550</v>
      </c>
      <c r="D3994" s="343" t="s">
        <v>6168</v>
      </c>
      <c r="E3994" s="344">
        <v>6506872</v>
      </c>
      <c r="F3994" s="343" t="s">
        <v>8906</v>
      </c>
      <c r="G3994" s="360" t="s">
        <v>13058</v>
      </c>
      <c r="H3994" s="361">
        <v>43224</v>
      </c>
      <c r="I3994" s="343" t="s">
        <v>4017</v>
      </c>
      <c r="J3994" s="343" t="s">
        <v>13019</v>
      </c>
      <c r="K3994" s="343" t="s">
        <v>168</v>
      </c>
    </row>
    <row r="3995" spans="1:11" ht="26.25" customHeight="1">
      <c r="A3995" s="343" t="s">
        <v>6104</v>
      </c>
      <c r="B3995" s="344" t="s">
        <v>162</v>
      </c>
      <c r="C3995" s="344">
        <v>7045</v>
      </c>
      <c r="D3995" s="343" t="s">
        <v>6289</v>
      </c>
      <c r="E3995" s="344">
        <v>4251326</v>
      </c>
      <c r="F3995" s="343" t="s">
        <v>8907</v>
      </c>
      <c r="G3995" s="360" t="s">
        <v>13059</v>
      </c>
      <c r="H3995" s="361">
        <v>43224</v>
      </c>
      <c r="I3995" s="343" t="s">
        <v>211</v>
      </c>
      <c r="J3995" s="343" t="s">
        <v>909</v>
      </c>
      <c r="K3995" s="343" t="s">
        <v>168</v>
      </c>
    </row>
    <row r="3996" spans="1:11" ht="26.25" customHeight="1">
      <c r="A3996" s="343" t="s">
        <v>6104</v>
      </c>
      <c r="B3996" s="344" t="s">
        <v>162</v>
      </c>
      <c r="C3996" s="344">
        <v>6679</v>
      </c>
      <c r="D3996" s="343" t="s">
        <v>6351</v>
      </c>
      <c r="E3996" s="344">
        <v>6128210</v>
      </c>
      <c r="F3996" s="343" t="s">
        <v>8076</v>
      </c>
      <c r="G3996" s="360" t="s">
        <v>508</v>
      </c>
      <c r="H3996" s="361">
        <v>43227</v>
      </c>
      <c r="I3996" s="343" t="s">
        <v>193</v>
      </c>
      <c r="J3996" s="343" t="s">
        <v>637</v>
      </c>
      <c r="K3996" s="343" t="s">
        <v>168</v>
      </c>
    </row>
    <row r="3997" spans="1:11" ht="26.25" customHeight="1">
      <c r="A3997" s="343" t="s">
        <v>6104</v>
      </c>
      <c r="B3997" s="344" t="s">
        <v>162</v>
      </c>
      <c r="C3997" s="344">
        <v>6827</v>
      </c>
      <c r="D3997" s="343" t="s">
        <v>6225</v>
      </c>
      <c r="E3997" s="344">
        <v>5695478</v>
      </c>
      <c r="F3997" s="343" t="s">
        <v>6411</v>
      </c>
      <c r="G3997" s="360" t="s">
        <v>13060</v>
      </c>
      <c r="H3997" s="361">
        <v>43227</v>
      </c>
      <c r="I3997" s="343" t="s">
        <v>802</v>
      </c>
      <c r="J3997" s="343" t="s">
        <v>1075</v>
      </c>
      <c r="K3997" s="343" t="s">
        <v>168</v>
      </c>
    </row>
    <row r="3998" spans="1:11" ht="26.25" customHeight="1">
      <c r="A3998" s="343" t="s">
        <v>6104</v>
      </c>
      <c r="B3998" s="344" t="s">
        <v>162</v>
      </c>
      <c r="C3998" s="344">
        <v>6675</v>
      </c>
      <c r="D3998" s="343" t="s">
        <v>6369</v>
      </c>
      <c r="E3998" s="344">
        <v>5897821</v>
      </c>
      <c r="F3998" s="343" t="s">
        <v>8908</v>
      </c>
      <c r="G3998" s="360" t="s">
        <v>9926</v>
      </c>
      <c r="H3998" s="361">
        <v>43227</v>
      </c>
      <c r="I3998" s="343" t="s">
        <v>275</v>
      </c>
      <c r="J3998" s="343" t="s">
        <v>9392</v>
      </c>
      <c r="K3998" s="343" t="s">
        <v>173</v>
      </c>
    </row>
    <row r="3999" spans="1:11" ht="26.25" customHeight="1">
      <c r="A3999" s="343" t="s">
        <v>6104</v>
      </c>
      <c r="B3999" s="344" t="s">
        <v>162</v>
      </c>
      <c r="C3999" s="344">
        <v>7040</v>
      </c>
      <c r="D3999" s="343" t="s">
        <v>6307</v>
      </c>
      <c r="E3999" s="344">
        <v>6769189</v>
      </c>
      <c r="F3999" s="343" t="s">
        <v>8909</v>
      </c>
      <c r="G3999" s="360" t="s">
        <v>12830</v>
      </c>
      <c r="H3999" s="361">
        <v>43229</v>
      </c>
      <c r="I3999" s="343" t="s">
        <v>166</v>
      </c>
      <c r="J3999" s="343" t="s">
        <v>327</v>
      </c>
      <c r="K3999" s="343" t="s">
        <v>168</v>
      </c>
    </row>
    <row r="4000" spans="1:11" ht="26.25" customHeight="1">
      <c r="A4000" s="343" t="s">
        <v>6104</v>
      </c>
      <c r="B4000" s="344" t="s">
        <v>162</v>
      </c>
      <c r="C4000" s="344">
        <v>9432</v>
      </c>
      <c r="D4000" s="343" t="s">
        <v>6406</v>
      </c>
      <c r="E4000" s="344">
        <v>6222822</v>
      </c>
      <c r="F4000" s="343" t="s">
        <v>8910</v>
      </c>
      <c r="G4000" s="360" t="s">
        <v>10164</v>
      </c>
      <c r="H4000" s="361">
        <v>43229</v>
      </c>
      <c r="I4000" s="343" t="s">
        <v>193</v>
      </c>
      <c r="J4000" s="343" t="s">
        <v>637</v>
      </c>
      <c r="K4000" s="343" t="s">
        <v>168</v>
      </c>
    </row>
    <row r="4001" spans="1:11" ht="26.25" customHeight="1">
      <c r="A4001" s="343" t="s">
        <v>6104</v>
      </c>
      <c r="B4001" s="344" t="s">
        <v>162</v>
      </c>
      <c r="C4001" s="344">
        <v>6669</v>
      </c>
      <c r="D4001" s="343" t="s">
        <v>6355</v>
      </c>
      <c r="E4001" s="344">
        <v>6719745</v>
      </c>
      <c r="F4001" s="343" t="s">
        <v>7555</v>
      </c>
      <c r="G4001" s="360" t="s">
        <v>13061</v>
      </c>
      <c r="H4001" s="361">
        <v>43200</v>
      </c>
      <c r="I4001" s="343" t="s">
        <v>8911</v>
      </c>
      <c r="J4001" s="343" t="s">
        <v>13062</v>
      </c>
      <c r="K4001" s="343" t="s">
        <v>168</v>
      </c>
    </row>
    <row r="4002" spans="1:11" ht="26.25" customHeight="1">
      <c r="A4002" s="343" t="s">
        <v>6104</v>
      </c>
      <c r="B4002" s="344" t="s">
        <v>162</v>
      </c>
      <c r="C4002" s="344">
        <v>6828</v>
      </c>
      <c r="D4002" s="343" t="s">
        <v>6392</v>
      </c>
      <c r="E4002" s="344">
        <v>5975041</v>
      </c>
      <c r="F4002" s="343" t="s">
        <v>8912</v>
      </c>
      <c r="G4002" s="360" t="s">
        <v>1220</v>
      </c>
      <c r="H4002" s="361">
        <v>43229</v>
      </c>
      <c r="I4002" s="343" t="s">
        <v>8209</v>
      </c>
      <c r="J4002" s="343" t="s">
        <v>13063</v>
      </c>
      <c r="K4002" s="343" t="s">
        <v>168</v>
      </c>
    </row>
    <row r="4003" spans="1:11" ht="26.25" customHeight="1">
      <c r="A4003" s="343" t="s">
        <v>6104</v>
      </c>
      <c r="B4003" s="344" t="s">
        <v>162</v>
      </c>
      <c r="C4003" s="344">
        <v>7552</v>
      </c>
      <c r="D4003" s="343" t="s">
        <v>6136</v>
      </c>
      <c r="E4003" s="344">
        <v>7023653</v>
      </c>
      <c r="F4003" s="343" t="s">
        <v>8913</v>
      </c>
      <c r="G4003" s="360" t="s">
        <v>13064</v>
      </c>
      <c r="H4003" s="361">
        <v>43229</v>
      </c>
      <c r="I4003" s="343" t="s">
        <v>193</v>
      </c>
      <c r="J4003" s="343" t="s">
        <v>9500</v>
      </c>
      <c r="K4003" s="343" t="s">
        <v>168</v>
      </c>
    </row>
    <row r="4004" spans="1:11" ht="26.25" customHeight="1">
      <c r="A4004" s="343" t="s">
        <v>6104</v>
      </c>
      <c r="B4004" s="344" t="s">
        <v>162</v>
      </c>
      <c r="C4004" s="344">
        <v>7040</v>
      </c>
      <c r="D4004" s="343" t="s">
        <v>6307</v>
      </c>
      <c r="E4004" s="344">
        <v>6922350</v>
      </c>
      <c r="F4004" s="343" t="s">
        <v>8914</v>
      </c>
      <c r="G4004" s="360" t="s">
        <v>13065</v>
      </c>
      <c r="H4004" s="361">
        <v>43230</v>
      </c>
      <c r="I4004" s="343" t="s">
        <v>8915</v>
      </c>
      <c r="J4004" s="343" t="s">
        <v>13066</v>
      </c>
      <c r="K4004" s="343" t="s">
        <v>168</v>
      </c>
    </row>
    <row r="4005" spans="1:11" ht="26.25" customHeight="1">
      <c r="A4005" s="343" t="s">
        <v>6104</v>
      </c>
      <c r="B4005" s="344" t="s">
        <v>162</v>
      </c>
      <c r="C4005" s="344">
        <v>7033</v>
      </c>
      <c r="D4005" s="343" t="s">
        <v>6309</v>
      </c>
      <c r="E4005" s="344">
        <v>4536814</v>
      </c>
      <c r="F4005" s="343" t="s">
        <v>4131</v>
      </c>
      <c r="G4005" s="360" t="s">
        <v>13067</v>
      </c>
      <c r="H4005" s="361">
        <v>43230</v>
      </c>
      <c r="I4005" s="343" t="s">
        <v>211</v>
      </c>
      <c r="J4005" s="343" t="s">
        <v>909</v>
      </c>
      <c r="K4005" s="343" t="s">
        <v>168</v>
      </c>
    </row>
    <row r="4006" spans="1:11" ht="26.25" customHeight="1">
      <c r="A4006" s="343" t="s">
        <v>6104</v>
      </c>
      <c r="B4006" s="344" t="s">
        <v>162</v>
      </c>
      <c r="C4006" s="344">
        <v>10059</v>
      </c>
      <c r="D4006" s="343" t="s">
        <v>6353</v>
      </c>
      <c r="E4006" s="344">
        <v>6090727</v>
      </c>
      <c r="F4006" s="343" t="s">
        <v>8916</v>
      </c>
      <c r="G4006" s="360" t="s">
        <v>10981</v>
      </c>
      <c r="H4006" s="361">
        <v>43230</v>
      </c>
      <c r="I4006" s="343" t="s">
        <v>211</v>
      </c>
      <c r="J4006" s="343" t="s">
        <v>909</v>
      </c>
      <c r="K4006" s="343" t="s">
        <v>168</v>
      </c>
    </row>
    <row r="4007" spans="1:11" ht="26.25" customHeight="1">
      <c r="A4007" s="343" t="s">
        <v>6104</v>
      </c>
      <c r="B4007" s="344" t="s">
        <v>162</v>
      </c>
      <c r="C4007" s="344">
        <v>7557</v>
      </c>
      <c r="D4007" s="343" t="s">
        <v>6108</v>
      </c>
      <c r="E4007" s="344">
        <v>6418460</v>
      </c>
      <c r="F4007" s="343" t="s">
        <v>8917</v>
      </c>
      <c r="G4007" s="360" t="s">
        <v>10997</v>
      </c>
      <c r="H4007" s="361">
        <v>43234</v>
      </c>
      <c r="I4007" s="343" t="s">
        <v>301</v>
      </c>
      <c r="J4007" s="343" t="s">
        <v>530</v>
      </c>
      <c r="K4007" s="343" t="s">
        <v>168</v>
      </c>
    </row>
    <row r="4008" spans="1:11" ht="26.25" customHeight="1">
      <c r="A4008" s="343" t="s">
        <v>6104</v>
      </c>
      <c r="B4008" s="344" t="s">
        <v>162</v>
      </c>
      <c r="C4008" s="344">
        <v>10059</v>
      </c>
      <c r="D4008" s="343" t="s">
        <v>6353</v>
      </c>
      <c r="E4008" s="344">
        <v>6436120</v>
      </c>
      <c r="F4008" s="343" t="s">
        <v>8918</v>
      </c>
      <c r="G4008" s="360" t="s">
        <v>1185</v>
      </c>
      <c r="H4008" s="361">
        <v>43234</v>
      </c>
      <c r="I4008" s="343" t="s">
        <v>301</v>
      </c>
      <c r="J4008" s="343" t="s">
        <v>530</v>
      </c>
      <c r="K4008" s="343" t="s">
        <v>168</v>
      </c>
    </row>
    <row r="4009" spans="1:11" ht="26.25" customHeight="1">
      <c r="A4009" s="343" t="s">
        <v>6104</v>
      </c>
      <c r="B4009" s="344" t="s">
        <v>162</v>
      </c>
      <c r="C4009" s="344">
        <v>11623</v>
      </c>
      <c r="D4009" s="343" t="s">
        <v>6202</v>
      </c>
      <c r="E4009" s="344">
        <v>7050835</v>
      </c>
      <c r="F4009" s="343" t="s">
        <v>8919</v>
      </c>
      <c r="G4009" s="360" t="s">
        <v>11046</v>
      </c>
      <c r="H4009" s="361">
        <v>43234</v>
      </c>
      <c r="I4009" s="343" t="s">
        <v>8920</v>
      </c>
      <c r="J4009" s="343" t="s">
        <v>13068</v>
      </c>
      <c r="K4009" s="343" t="s">
        <v>168</v>
      </c>
    </row>
    <row r="4010" spans="1:11" ht="26.25" customHeight="1">
      <c r="A4010" s="343" t="s">
        <v>6104</v>
      </c>
      <c r="B4010" s="344" t="s">
        <v>162</v>
      </c>
      <c r="C4010" s="344">
        <v>7520</v>
      </c>
      <c r="D4010" s="343" t="s">
        <v>6114</v>
      </c>
      <c r="E4010" s="344">
        <v>6952289</v>
      </c>
      <c r="F4010" s="343" t="s">
        <v>8921</v>
      </c>
      <c r="G4010" s="360" t="s">
        <v>13069</v>
      </c>
      <c r="H4010" s="361">
        <v>43235</v>
      </c>
      <c r="I4010" s="343" t="s">
        <v>284</v>
      </c>
      <c r="J4010" s="343" t="s">
        <v>13070</v>
      </c>
      <c r="K4010" s="343" t="s">
        <v>168</v>
      </c>
    </row>
    <row r="4011" spans="1:11" ht="26.25" customHeight="1">
      <c r="A4011" s="343" t="s">
        <v>6104</v>
      </c>
      <c r="B4011" s="344" t="s">
        <v>162</v>
      </c>
      <c r="C4011" s="344">
        <v>6819</v>
      </c>
      <c r="D4011" s="343" t="s">
        <v>8870</v>
      </c>
      <c r="E4011" s="344">
        <v>6252204</v>
      </c>
      <c r="F4011" s="343" t="s">
        <v>8922</v>
      </c>
      <c r="G4011" s="360" t="s">
        <v>10090</v>
      </c>
      <c r="H4011" s="361">
        <v>43235</v>
      </c>
      <c r="I4011" s="343" t="s">
        <v>284</v>
      </c>
      <c r="J4011" s="343" t="s">
        <v>13071</v>
      </c>
      <c r="K4011" s="343" t="s">
        <v>168</v>
      </c>
    </row>
    <row r="4012" spans="1:11" ht="26.25" customHeight="1">
      <c r="A4012" s="343" t="s">
        <v>6104</v>
      </c>
      <c r="B4012" s="344" t="s">
        <v>162</v>
      </c>
      <c r="C4012" s="344">
        <v>9459</v>
      </c>
      <c r="D4012" s="343" t="s">
        <v>6375</v>
      </c>
      <c r="E4012" s="344">
        <v>6141059</v>
      </c>
      <c r="F4012" s="343" t="s">
        <v>8923</v>
      </c>
      <c r="G4012" s="360" t="s">
        <v>10072</v>
      </c>
      <c r="H4012" s="361">
        <v>43235</v>
      </c>
      <c r="I4012" s="343" t="s">
        <v>193</v>
      </c>
      <c r="J4012" s="343" t="s">
        <v>637</v>
      </c>
      <c r="K4012" s="343" t="s">
        <v>168</v>
      </c>
    </row>
    <row r="4013" spans="1:11" ht="26.25" customHeight="1">
      <c r="A4013" s="343" t="s">
        <v>6104</v>
      </c>
      <c r="B4013" s="344" t="s">
        <v>162</v>
      </c>
      <c r="C4013" s="344">
        <v>9896</v>
      </c>
      <c r="D4013" s="343" t="s">
        <v>6181</v>
      </c>
      <c r="E4013" s="344">
        <v>6415703</v>
      </c>
      <c r="F4013" s="343" t="s">
        <v>8924</v>
      </c>
      <c r="G4013" s="360" t="s">
        <v>9536</v>
      </c>
      <c r="H4013" s="361">
        <v>43235</v>
      </c>
      <c r="I4013" s="343" t="s">
        <v>166</v>
      </c>
      <c r="J4013" s="343" t="s">
        <v>327</v>
      </c>
      <c r="K4013" s="343" t="s">
        <v>168</v>
      </c>
    </row>
    <row r="4014" spans="1:11" ht="26.25" customHeight="1">
      <c r="A4014" s="343" t="s">
        <v>6104</v>
      </c>
      <c r="B4014" s="344" t="s">
        <v>162</v>
      </c>
      <c r="C4014" s="344">
        <v>6817</v>
      </c>
      <c r="D4014" s="343" t="s">
        <v>6340</v>
      </c>
      <c r="E4014" s="344">
        <v>6448308</v>
      </c>
      <c r="F4014" s="343" t="s">
        <v>6341</v>
      </c>
      <c r="G4014" s="360" t="s">
        <v>13072</v>
      </c>
      <c r="H4014" s="361">
        <v>43209</v>
      </c>
      <c r="I4014" s="343" t="s">
        <v>193</v>
      </c>
      <c r="J4014" s="343" t="s">
        <v>637</v>
      </c>
      <c r="K4014" s="343" t="s">
        <v>168</v>
      </c>
    </row>
    <row r="4015" spans="1:11" ht="26.25" customHeight="1">
      <c r="A4015" s="343" t="s">
        <v>6104</v>
      </c>
      <c r="B4015" s="344" t="s">
        <v>162</v>
      </c>
      <c r="C4015" s="344">
        <v>6815</v>
      </c>
      <c r="D4015" s="343" t="s">
        <v>6368</v>
      </c>
      <c r="E4015" s="344">
        <v>6872869</v>
      </c>
      <c r="F4015" s="343" t="s">
        <v>8925</v>
      </c>
      <c r="G4015" s="360" t="s">
        <v>11114</v>
      </c>
      <c r="H4015" s="361">
        <v>43236</v>
      </c>
      <c r="I4015" s="343" t="s">
        <v>7648</v>
      </c>
      <c r="J4015" s="343" t="s">
        <v>13073</v>
      </c>
      <c r="K4015" s="343" t="s">
        <v>168</v>
      </c>
    </row>
    <row r="4016" spans="1:11" ht="26.25" customHeight="1">
      <c r="A4016" s="343" t="s">
        <v>6104</v>
      </c>
      <c r="B4016" s="344" t="s">
        <v>162</v>
      </c>
      <c r="C4016" s="344">
        <v>7546</v>
      </c>
      <c r="D4016" s="343" t="s">
        <v>6122</v>
      </c>
      <c r="E4016" s="344">
        <v>6312765</v>
      </c>
      <c r="F4016" s="343" t="s">
        <v>8926</v>
      </c>
      <c r="G4016" s="360" t="s">
        <v>278</v>
      </c>
      <c r="H4016" s="361">
        <v>43236</v>
      </c>
      <c r="I4016" s="343" t="s">
        <v>166</v>
      </c>
      <c r="J4016" s="343" t="s">
        <v>327</v>
      </c>
      <c r="K4016" s="343" t="s">
        <v>168</v>
      </c>
    </row>
    <row r="4017" spans="1:11" ht="26.25" customHeight="1">
      <c r="A4017" s="343" t="s">
        <v>6104</v>
      </c>
      <c r="B4017" s="344" t="s">
        <v>162</v>
      </c>
      <c r="C4017" s="344">
        <v>8947</v>
      </c>
      <c r="D4017" s="343" t="s">
        <v>6418</v>
      </c>
      <c r="E4017" s="344">
        <v>6532305</v>
      </c>
      <c r="F4017" s="343" t="s">
        <v>6421</v>
      </c>
      <c r="G4017" s="360" t="s">
        <v>11029</v>
      </c>
      <c r="H4017" s="361">
        <v>43241</v>
      </c>
      <c r="I4017" s="343" t="s">
        <v>166</v>
      </c>
      <c r="J4017" s="343" t="s">
        <v>13074</v>
      </c>
      <c r="K4017" s="343" t="s">
        <v>248</v>
      </c>
    </row>
    <row r="4018" spans="1:11" ht="26.25" customHeight="1">
      <c r="A4018" s="343" t="s">
        <v>6104</v>
      </c>
      <c r="B4018" s="344" t="s">
        <v>162</v>
      </c>
      <c r="C4018" s="344">
        <v>7507</v>
      </c>
      <c r="D4018" s="343" t="s">
        <v>6129</v>
      </c>
      <c r="E4018" s="344">
        <v>6519293</v>
      </c>
      <c r="F4018" s="343" t="s">
        <v>8927</v>
      </c>
      <c r="G4018" s="360" t="s">
        <v>322</v>
      </c>
      <c r="H4018" s="361">
        <v>43241</v>
      </c>
      <c r="I4018" s="343" t="s">
        <v>423</v>
      </c>
      <c r="J4018" s="343" t="s">
        <v>13075</v>
      </c>
      <c r="K4018" s="343" t="s">
        <v>168</v>
      </c>
    </row>
    <row r="4019" spans="1:11" ht="26.25" customHeight="1">
      <c r="A4019" s="343" t="s">
        <v>6104</v>
      </c>
      <c r="B4019" s="344" t="s">
        <v>162</v>
      </c>
      <c r="C4019" s="344">
        <v>6683</v>
      </c>
      <c r="D4019" s="343" t="s">
        <v>6425</v>
      </c>
      <c r="E4019" s="344">
        <v>6012642</v>
      </c>
      <c r="F4019" s="343" t="s">
        <v>8928</v>
      </c>
      <c r="G4019" s="360" t="s">
        <v>242</v>
      </c>
      <c r="H4019" s="361">
        <v>43241</v>
      </c>
      <c r="I4019" s="343" t="s">
        <v>301</v>
      </c>
      <c r="J4019" s="343" t="s">
        <v>861</v>
      </c>
      <c r="K4019" s="343" t="s">
        <v>168</v>
      </c>
    </row>
    <row r="4020" spans="1:11" ht="26.25" customHeight="1">
      <c r="A4020" s="343" t="s">
        <v>6104</v>
      </c>
      <c r="B4020" s="344" t="s">
        <v>162</v>
      </c>
      <c r="C4020" s="344">
        <v>6669</v>
      </c>
      <c r="D4020" s="343" t="s">
        <v>6355</v>
      </c>
      <c r="E4020" s="344">
        <v>6212234</v>
      </c>
      <c r="F4020" s="343" t="s">
        <v>8041</v>
      </c>
      <c r="G4020" s="360" t="s">
        <v>12176</v>
      </c>
      <c r="H4020" s="361">
        <v>43241</v>
      </c>
      <c r="I4020" s="343" t="s">
        <v>7394</v>
      </c>
      <c r="J4020" s="343" t="s">
        <v>13076</v>
      </c>
      <c r="K4020" s="343" t="s">
        <v>168</v>
      </c>
    </row>
    <row r="4021" spans="1:11" ht="26.25" customHeight="1">
      <c r="A4021" s="343" t="s">
        <v>6104</v>
      </c>
      <c r="B4021" s="344" t="s">
        <v>162</v>
      </c>
      <c r="C4021" s="344">
        <v>9179</v>
      </c>
      <c r="D4021" s="343" t="s">
        <v>8929</v>
      </c>
      <c r="E4021" s="344">
        <v>7072709</v>
      </c>
      <c r="F4021" s="343" t="s">
        <v>8930</v>
      </c>
      <c r="G4021" s="360" t="s">
        <v>12029</v>
      </c>
      <c r="H4021" s="361">
        <v>43242</v>
      </c>
      <c r="I4021" s="343" t="s">
        <v>193</v>
      </c>
      <c r="J4021" s="343" t="s">
        <v>509</v>
      </c>
      <c r="K4021" s="343" t="s">
        <v>168</v>
      </c>
    </row>
    <row r="4022" spans="1:11" ht="26.25" customHeight="1">
      <c r="A4022" s="343" t="s">
        <v>6104</v>
      </c>
      <c r="B4022" s="344" t="s">
        <v>162</v>
      </c>
      <c r="C4022" s="344">
        <v>7534</v>
      </c>
      <c r="D4022" s="343" t="s">
        <v>6139</v>
      </c>
      <c r="E4022" s="344">
        <v>6956278</v>
      </c>
      <c r="F4022" s="343" t="s">
        <v>8047</v>
      </c>
      <c r="G4022" s="360" t="s">
        <v>10245</v>
      </c>
      <c r="H4022" s="361">
        <v>43242</v>
      </c>
      <c r="I4022" s="343" t="s">
        <v>284</v>
      </c>
      <c r="J4022" s="343" t="s">
        <v>13077</v>
      </c>
      <c r="K4022" s="343" t="s">
        <v>168</v>
      </c>
    </row>
    <row r="4023" spans="1:11" ht="26.25" customHeight="1">
      <c r="A4023" s="343" t="s">
        <v>6104</v>
      </c>
      <c r="B4023" s="344" t="s">
        <v>162</v>
      </c>
      <c r="C4023" s="344">
        <v>7168</v>
      </c>
      <c r="D4023" s="343" t="s">
        <v>6284</v>
      </c>
      <c r="E4023" s="344">
        <v>6259184</v>
      </c>
      <c r="F4023" s="343" t="s">
        <v>8931</v>
      </c>
      <c r="G4023" s="360" t="s">
        <v>13078</v>
      </c>
      <c r="H4023" s="361">
        <v>43242</v>
      </c>
      <c r="I4023" s="343" t="s">
        <v>8932</v>
      </c>
      <c r="J4023" s="343" t="s">
        <v>13079</v>
      </c>
      <c r="K4023" s="343" t="s">
        <v>168</v>
      </c>
    </row>
    <row r="4024" spans="1:11" ht="26.25" customHeight="1">
      <c r="A4024" s="343" t="s">
        <v>6104</v>
      </c>
      <c r="B4024" s="344" t="s">
        <v>162</v>
      </c>
      <c r="C4024" s="344">
        <v>6815</v>
      </c>
      <c r="D4024" s="343" t="s">
        <v>6368</v>
      </c>
      <c r="E4024" s="344">
        <v>6047507</v>
      </c>
      <c r="F4024" s="343" t="s">
        <v>8027</v>
      </c>
      <c r="G4024" s="360" t="s">
        <v>9604</v>
      </c>
      <c r="H4024" s="361">
        <v>43243</v>
      </c>
      <c r="I4024" s="343" t="s">
        <v>8933</v>
      </c>
      <c r="J4024" s="343" t="s">
        <v>13080</v>
      </c>
      <c r="K4024" s="343" t="s">
        <v>248</v>
      </c>
    </row>
    <row r="4025" spans="1:11" ht="26.25" customHeight="1">
      <c r="A4025" s="343" t="s">
        <v>6104</v>
      </c>
      <c r="B4025" s="344" t="s">
        <v>162</v>
      </c>
      <c r="C4025" s="344">
        <v>6665</v>
      </c>
      <c r="D4025" s="343" t="s">
        <v>7562</v>
      </c>
      <c r="E4025" s="344">
        <v>6036489</v>
      </c>
      <c r="F4025" s="343" t="s">
        <v>7890</v>
      </c>
      <c r="G4025" s="360" t="s">
        <v>11173</v>
      </c>
      <c r="H4025" s="361">
        <v>43244</v>
      </c>
      <c r="I4025" s="343" t="s">
        <v>802</v>
      </c>
      <c r="J4025" s="343" t="s">
        <v>12681</v>
      </c>
      <c r="K4025" s="343" t="s">
        <v>168</v>
      </c>
    </row>
    <row r="4026" spans="1:11" ht="26.25" customHeight="1">
      <c r="A4026" s="343" t="s">
        <v>6104</v>
      </c>
      <c r="B4026" s="344" t="s">
        <v>162</v>
      </c>
      <c r="C4026" s="344">
        <v>7042</v>
      </c>
      <c r="D4026" s="343" t="s">
        <v>6260</v>
      </c>
      <c r="E4026" s="344">
        <v>3394890</v>
      </c>
      <c r="F4026" s="343" t="s">
        <v>8934</v>
      </c>
      <c r="G4026" s="360" t="s">
        <v>13081</v>
      </c>
      <c r="H4026" s="361">
        <v>43244</v>
      </c>
      <c r="I4026" s="343" t="s">
        <v>7247</v>
      </c>
      <c r="J4026" s="343" t="s">
        <v>13082</v>
      </c>
      <c r="K4026" s="343" t="s">
        <v>168</v>
      </c>
    </row>
    <row r="4027" spans="1:11" ht="26.25" customHeight="1">
      <c r="A4027" s="343" t="s">
        <v>6104</v>
      </c>
      <c r="B4027" s="344" t="s">
        <v>162</v>
      </c>
      <c r="C4027" s="344">
        <v>9178</v>
      </c>
      <c r="D4027" s="343" t="s">
        <v>6415</v>
      </c>
      <c r="E4027" s="344">
        <v>6507069</v>
      </c>
      <c r="F4027" s="343" t="s">
        <v>8935</v>
      </c>
      <c r="G4027" s="360" t="s">
        <v>13083</v>
      </c>
      <c r="H4027" s="361">
        <v>43244</v>
      </c>
      <c r="I4027" s="343" t="s">
        <v>166</v>
      </c>
      <c r="J4027" s="343" t="s">
        <v>296</v>
      </c>
      <c r="K4027" s="343" t="s">
        <v>168</v>
      </c>
    </row>
    <row r="4028" spans="1:11" ht="26.25" customHeight="1">
      <c r="A4028" s="343" t="s">
        <v>6104</v>
      </c>
      <c r="B4028" s="344" t="s">
        <v>162</v>
      </c>
      <c r="C4028" s="344">
        <v>8947</v>
      </c>
      <c r="D4028" s="343" t="s">
        <v>6418</v>
      </c>
      <c r="E4028" s="344">
        <v>6807997</v>
      </c>
      <c r="F4028" s="343" t="s">
        <v>8936</v>
      </c>
      <c r="G4028" s="360" t="s">
        <v>10137</v>
      </c>
      <c r="H4028" s="361">
        <v>43244</v>
      </c>
      <c r="I4028" s="343" t="s">
        <v>301</v>
      </c>
      <c r="J4028" s="343" t="s">
        <v>1113</v>
      </c>
      <c r="K4028" s="343" t="s">
        <v>168</v>
      </c>
    </row>
    <row r="4029" spans="1:11" ht="26.25" customHeight="1">
      <c r="A4029" s="343" t="s">
        <v>6104</v>
      </c>
      <c r="B4029" s="344" t="s">
        <v>162</v>
      </c>
      <c r="C4029" s="344">
        <v>7545</v>
      </c>
      <c r="D4029" s="343" t="s">
        <v>6145</v>
      </c>
      <c r="E4029" s="344">
        <v>6915340</v>
      </c>
      <c r="F4029" s="343" t="s">
        <v>8937</v>
      </c>
      <c r="G4029" s="360" t="s">
        <v>11219</v>
      </c>
      <c r="H4029" s="361">
        <v>43244</v>
      </c>
      <c r="I4029" s="343" t="s">
        <v>166</v>
      </c>
      <c r="J4029" s="343" t="s">
        <v>296</v>
      </c>
      <c r="K4029" s="343" t="s">
        <v>168</v>
      </c>
    </row>
    <row r="4030" spans="1:11" ht="26.25" customHeight="1">
      <c r="A4030" s="343" t="s">
        <v>6104</v>
      </c>
      <c r="B4030" s="344" t="s">
        <v>162</v>
      </c>
      <c r="C4030" s="344">
        <v>9589</v>
      </c>
      <c r="D4030" s="343" t="s">
        <v>6192</v>
      </c>
      <c r="E4030" s="344">
        <v>6440287</v>
      </c>
      <c r="F4030" s="343" t="s">
        <v>8938</v>
      </c>
      <c r="G4030" s="360" t="s">
        <v>11988</v>
      </c>
      <c r="H4030" s="361">
        <v>43245</v>
      </c>
      <c r="I4030" s="343" t="s">
        <v>193</v>
      </c>
      <c r="J4030" s="343" t="s">
        <v>637</v>
      </c>
      <c r="K4030" s="343" t="s">
        <v>168</v>
      </c>
    </row>
    <row r="4031" spans="1:11" ht="26.25" customHeight="1">
      <c r="A4031" s="343" t="s">
        <v>6104</v>
      </c>
      <c r="B4031" s="344" t="s">
        <v>162</v>
      </c>
      <c r="C4031" s="344">
        <v>9589</v>
      </c>
      <c r="D4031" s="343" t="s">
        <v>6192</v>
      </c>
      <c r="E4031" s="344">
        <v>6440404</v>
      </c>
      <c r="F4031" s="343" t="s">
        <v>8939</v>
      </c>
      <c r="G4031" s="360" t="s">
        <v>11988</v>
      </c>
      <c r="H4031" s="361">
        <v>43245</v>
      </c>
      <c r="I4031" s="343" t="s">
        <v>193</v>
      </c>
      <c r="J4031" s="343" t="s">
        <v>637</v>
      </c>
      <c r="K4031" s="343" t="s">
        <v>168</v>
      </c>
    </row>
    <row r="4032" spans="1:11" ht="26.25" customHeight="1">
      <c r="A4032" s="343" t="s">
        <v>6104</v>
      </c>
      <c r="B4032" s="344" t="s">
        <v>162</v>
      </c>
      <c r="C4032" s="344">
        <v>7531</v>
      </c>
      <c r="D4032" s="343" t="s">
        <v>6189</v>
      </c>
      <c r="E4032" s="344">
        <v>6633351</v>
      </c>
      <c r="F4032" s="343" t="s">
        <v>8940</v>
      </c>
      <c r="G4032" s="360" t="s">
        <v>9657</v>
      </c>
      <c r="H4032" s="361">
        <v>43245</v>
      </c>
      <c r="I4032" s="343" t="s">
        <v>305</v>
      </c>
      <c r="J4032" s="343" t="s">
        <v>13084</v>
      </c>
      <c r="K4032" s="343" t="s">
        <v>168</v>
      </c>
    </row>
    <row r="4033" spans="1:11" ht="26.25" customHeight="1">
      <c r="A4033" s="343" t="s">
        <v>6104</v>
      </c>
      <c r="B4033" s="344" t="s">
        <v>162</v>
      </c>
      <c r="C4033" s="344">
        <v>8752</v>
      </c>
      <c r="D4033" s="343" t="s">
        <v>6312</v>
      </c>
      <c r="E4033" s="344">
        <v>5582106</v>
      </c>
      <c r="F4033" s="343" t="s">
        <v>8942</v>
      </c>
      <c r="G4033" s="360" t="s">
        <v>13085</v>
      </c>
      <c r="H4033" s="361">
        <v>43249</v>
      </c>
      <c r="I4033" s="343" t="s">
        <v>193</v>
      </c>
      <c r="J4033" s="343" t="s">
        <v>603</v>
      </c>
      <c r="K4033" s="343" t="s">
        <v>168</v>
      </c>
    </row>
    <row r="4034" spans="1:11" ht="26.25" customHeight="1">
      <c r="A4034" s="343" t="s">
        <v>6104</v>
      </c>
      <c r="B4034" s="344" t="s">
        <v>162</v>
      </c>
      <c r="C4034" s="344">
        <v>12019</v>
      </c>
      <c r="D4034" s="343" t="s">
        <v>6231</v>
      </c>
      <c r="E4034" s="344">
        <v>4476175</v>
      </c>
      <c r="F4034" s="343" t="s">
        <v>8943</v>
      </c>
      <c r="G4034" s="360" t="s">
        <v>13086</v>
      </c>
      <c r="H4034" s="361">
        <v>43249</v>
      </c>
      <c r="I4034" s="343" t="s">
        <v>211</v>
      </c>
      <c r="J4034" s="343" t="s">
        <v>211</v>
      </c>
      <c r="K4034" s="343" t="s">
        <v>168</v>
      </c>
    </row>
    <row r="4035" spans="1:11" ht="26.25" customHeight="1">
      <c r="A4035" s="343" t="s">
        <v>6104</v>
      </c>
      <c r="B4035" s="344" t="s">
        <v>162</v>
      </c>
      <c r="C4035" s="344">
        <v>6818</v>
      </c>
      <c r="D4035" s="343" t="s">
        <v>6347</v>
      </c>
      <c r="E4035" s="344">
        <v>6043338</v>
      </c>
      <c r="F4035" s="343" t="s">
        <v>8028</v>
      </c>
      <c r="G4035" s="360" t="s">
        <v>12643</v>
      </c>
      <c r="H4035" s="361">
        <v>43250</v>
      </c>
      <c r="I4035" s="343" t="s">
        <v>198</v>
      </c>
      <c r="J4035" s="343" t="s">
        <v>198</v>
      </c>
      <c r="K4035" s="343" t="s">
        <v>168</v>
      </c>
    </row>
    <row r="4036" spans="1:11" ht="26.25" customHeight="1">
      <c r="A4036" s="343" t="s">
        <v>6104</v>
      </c>
      <c r="B4036" s="344" t="s">
        <v>162</v>
      </c>
      <c r="C4036" s="344">
        <v>7042</v>
      </c>
      <c r="D4036" s="343" t="s">
        <v>6260</v>
      </c>
      <c r="E4036" s="344">
        <v>5094191</v>
      </c>
      <c r="F4036" s="343" t="s">
        <v>6264</v>
      </c>
      <c r="G4036" s="360" t="s">
        <v>13087</v>
      </c>
      <c r="H4036" s="361">
        <v>43250</v>
      </c>
      <c r="I4036" s="343" t="s">
        <v>193</v>
      </c>
      <c r="J4036" s="343" t="s">
        <v>637</v>
      </c>
      <c r="K4036" s="343" t="s">
        <v>168</v>
      </c>
    </row>
    <row r="4037" spans="1:11" ht="26.25" customHeight="1">
      <c r="A4037" s="343" t="s">
        <v>6104</v>
      </c>
      <c r="B4037" s="344" t="s">
        <v>162</v>
      </c>
      <c r="C4037" s="344">
        <v>8804</v>
      </c>
      <c r="D4037" s="343" t="s">
        <v>6174</v>
      </c>
      <c r="E4037" s="344">
        <v>7059369</v>
      </c>
      <c r="F4037" s="343" t="s">
        <v>9325</v>
      </c>
      <c r="G4037" s="360" t="s">
        <v>13088</v>
      </c>
      <c r="H4037" s="361">
        <v>43250</v>
      </c>
      <c r="I4037" s="343" t="s">
        <v>305</v>
      </c>
      <c r="J4037" s="343" t="s">
        <v>13089</v>
      </c>
      <c r="K4037" s="343" t="s">
        <v>168</v>
      </c>
    </row>
    <row r="4038" spans="1:11" ht="26.25" customHeight="1">
      <c r="A4038" s="343" t="s">
        <v>6104</v>
      </c>
      <c r="B4038" s="344" t="s">
        <v>162</v>
      </c>
      <c r="C4038" s="344">
        <v>7035</v>
      </c>
      <c r="D4038" s="343" t="s">
        <v>6267</v>
      </c>
      <c r="E4038" s="344">
        <v>6745913</v>
      </c>
      <c r="F4038" s="343" t="s">
        <v>8945</v>
      </c>
      <c r="G4038" s="360" t="s">
        <v>9688</v>
      </c>
      <c r="H4038" s="361">
        <v>43250</v>
      </c>
      <c r="I4038" s="343" t="s">
        <v>193</v>
      </c>
      <c r="J4038" s="343" t="s">
        <v>637</v>
      </c>
      <c r="K4038" s="343" t="s">
        <v>168</v>
      </c>
    </row>
    <row r="4039" spans="1:11" ht="26.25" customHeight="1">
      <c r="A4039" s="343" t="s">
        <v>6104</v>
      </c>
      <c r="B4039" s="344" t="s">
        <v>162</v>
      </c>
      <c r="C4039" s="344">
        <v>7531</v>
      </c>
      <c r="D4039" s="343" t="s">
        <v>6189</v>
      </c>
      <c r="E4039" s="344">
        <v>6902619</v>
      </c>
      <c r="F4039" s="343" t="s">
        <v>8946</v>
      </c>
      <c r="G4039" s="360" t="s">
        <v>11168</v>
      </c>
      <c r="H4039" s="361">
        <v>43250</v>
      </c>
      <c r="I4039" s="343" t="s">
        <v>166</v>
      </c>
      <c r="J4039" s="343" t="s">
        <v>9775</v>
      </c>
      <c r="K4039" s="343" t="s">
        <v>248</v>
      </c>
    </row>
    <row r="4040" spans="1:11" ht="26.25" customHeight="1">
      <c r="A4040" s="343" t="s">
        <v>6104</v>
      </c>
      <c r="B4040" s="344" t="s">
        <v>162</v>
      </c>
      <c r="C4040" s="344">
        <v>7549</v>
      </c>
      <c r="D4040" s="343" t="s">
        <v>6186</v>
      </c>
      <c r="E4040" s="344">
        <v>6848603</v>
      </c>
      <c r="F4040" s="343" t="s">
        <v>8947</v>
      </c>
      <c r="G4040" s="360" t="s">
        <v>12712</v>
      </c>
      <c r="H4040" s="361">
        <v>43255</v>
      </c>
      <c r="I4040" s="343" t="s">
        <v>193</v>
      </c>
      <c r="J4040" s="343" t="s">
        <v>637</v>
      </c>
      <c r="K4040" s="343" t="s">
        <v>168</v>
      </c>
    </row>
    <row r="4041" spans="1:11" ht="26.25" customHeight="1">
      <c r="A4041" s="343" t="s">
        <v>6104</v>
      </c>
      <c r="B4041" s="344" t="s">
        <v>162</v>
      </c>
      <c r="C4041" s="344">
        <v>7168</v>
      </c>
      <c r="D4041" s="343" t="s">
        <v>6284</v>
      </c>
      <c r="E4041" s="344">
        <v>6997095</v>
      </c>
      <c r="F4041" s="343" t="s">
        <v>8948</v>
      </c>
      <c r="G4041" s="360" t="s">
        <v>13090</v>
      </c>
      <c r="H4041" s="361">
        <v>43255</v>
      </c>
      <c r="I4041" s="343" t="s">
        <v>193</v>
      </c>
      <c r="J4041" s="343" t="s">
        <v>637</v>
      </c>
      <c r="K4041" s="343" t="s">
        <v>168</v>
      </c>
    </row>
    <row r="4042" spans="1:11" ht="26.25" customHeight="1">
      <c r="A4042" s="343" t="s">
        <v>6104</v>
      </c>
      <c r="B4042" s="344" t="s">
        <v>162</v>
      </c>
      <c r="C4042" s="344">
        <v>9625</v>
      </c>
      <c r="D4042" s="343" t="s">
        <v>6159</v>
      </c>
      <c r="E4042" s="344">
        <v>6643360</v>
      </c>
      <c r="F4042" s="343" t="s">
        <v>8949</v>
      </c>
      <c r="G4042" s="360" t="s">
        <v>13091</v>
      </c>
      <c r="H4042" s="361">
        <v>43255</v>
      </c>
      <c r="I4042" s="343" t="s">
        <v>8950</v>
      </c>
      <c r="J4042" s="343" t="s">
        <v>13092</v>
      </c>
      <c r="K4042" s="343" t="s">
        <v>168</v>
      </c>
    </row>
    <row r="4043" spans="1:11" ht="26.25" customHeight="1">
      <c r="A4043" s="343" t="s">
        <v>6104</v>
      </c>
      <c r="B4043" s="344" t="s">
        <v>162</v>
      </c>
      <c r="C4043" s="344">
        <v>7507</v>
      </c>
      <c r="D4043" s="343" t="s">
        <v>6129</v>
      </c>
      <c r="E4043" s="344">
        <v>6811556</v>
      </c>
      <c r="F4043" s="343" t="s">
        <v>8951</v>
      </c>
      <c r="G4043" s="360" t="s">
        <v>13093</v>
      </c>
      <c r="H4043" s="361">
        <v>43256</v>
      </c>
      <c r="I4043" s="343" t="s">
        <v>180</v>
      </c>
      <c r="J4043" s="343" t="s">
        <v>13094</v>
      </c>
      <c r="K4043" s="343" t="s">
        <v>168</v>
      </c>
    </row>
    <row r="4044" spans="1:11" ht="26.25" customHeight="1">
      <c r="A4044" s="343" t="s">
        <v>6104</v>
      </c>
      <c r="B4044" s="344" t="s">
        <v>162</v>
      </c>
      <c r="C4044" s="344">
        <v>7500</v>
      </c>
      <c r="D4044" s="343" t="s">
        <v>6164</v>
      </c>
      <c r="E4044" s="344">
        <v>6984802</v>
      </c>
      <c r="F4044" s="343" t="s">
        <v>8049</v>
      </c>
      <c r="G4044" s="360" t="s">
        <v>11258</v>
      </c>
      <c r="H4044" s="361">
        <v>43257</v>
      </c>
      <c r="I4044" s="343" t="s">
        <v>8952</v>
      </c>
      <c r="J4044" s="343" t="s">
        <v>13095</v>
      </c>
      <c r="K4044" s="343" t="s">
        <v>168</v>
      </c>
    </row>
    <row r="4045" spans="1:11" ht="26.25" customHeight="1">
      <c r="A4045" s="343" t="s">
        <v>6104</v>
      </c>
      <c r="B4045" s="344" t="s">
        <v>162</v>
      </c>
      <c r="C4045" s="344">
        <v>11667</v>
      </c>
      <c r="D4045" s="343" t="s">
        <v>6194</v>
      </c>
      <c r="E4045" s="344">
        <v>6872900</v>
      </c>
      <c r="F4045" s="343" t="s">
        <v>8953</v>
      </c>
      <c r="G4045" s="360" t="s">
        <v>12619</v>
      </c>
      <c r="H4045" s="361">
        <v>43257</v>
      </c>
      <c r="I4045" s="343" t="s">
        <v>193</v>
      </c>
      <c r="J4045" s="343" t="s">
        <v>637</v>
      </c>
      <c r="K4045" s="343" t="s">
        <v>168</v>
      </c>
    </row>
    <row r="4046" spans="1:11" ht="26.25" customHeight="1">
      <c r="A4046" s="343" t="s">
        <v>6104</v>
      </c>
      <c r="B4046" s="344" t="s">
        <v>162</v>
      </c>
      <c r="C4046" s="344">
        <v>7034</v>
      </c>
      <c r="D4046" s="343" t="s">
        <v>8954</v>
      </c>
      <c r="E4046" s="344">
        <v>6570149</v>
      </c>
      <c r="F4046" s="343" t="s">
        <v>8955</v>
      </c>
      <c r="G4046" s="360" t="s">
        <v>11032</v>
      </c>
      <c r="H4046" s="361">
        <v>43257</v>
      </c>
      <c r="I4046" s="343" t="s">
        <v>3583</v>
      </c>
      <c r="J4046" s="343" t="s">
        <v>9390</v>
      </c>
      <c r="K4046" s="343" t="s">
        <v>173</v>
      </c>
    </row>
    <row r="4047" spans="1:11" ht="26.25" customHeight="1">
      <c r="A4047" s="343" t="s">
        <v>6104</v>
      </c>
      <c r="B4047" s="344" t="s">
        <v>162</v>
      </c>
      <c r="C4047" s="344">
        <v>8804</v>
      </c>
      <c r="D4047" s="343" t="s">
        <v>6174</v>
      </c>
      <c r="E4047" s="344">
        <v>6968130</v>
      </c>
      <c r="F4047" s="343" t="s">
        <v>8956</v>
      </c>
      <c r="G4047" s="360" t="s">
        <v>13096</v>
      </c>
      <c r="H4047" s="361">
        <v>43258</v>
      </c>
      <c r="I4047" s="343" t="s">
        <v>193</v>
      </c>
      <c r="J4047" s="343" t="s">
        <v>12189</v>
      </c>
      <c r="K4047" s="343" t="s">
        <v>168</v>
      </c>
    </row>
    <row r="4048" spans="1:11" ht="26.25" customHeight="1">
      <c r="A4048" s="343" t="s">
        <v>6104</v>
      </c>
      <c r="B4048" s="344" t="s">
        <v>162</v>
      </c>
      <c r="C4048" s="344">
        <v>7500</v>
      </c>
      <c r="D4048" s="343" t="s">
        <v>6164</v>
      </c>
      <c r="E4048" s="344">
        <v>7107809</v>
      </c>
      <c r="F4048" s="343" t="s">
        <v>8957</v>
      </c>
      <c r="G4048" s="360" t="s">
        <v>11762</v>
      </c>
      <c r="H4048" s="361">
        <v>43258</v>
      </c>
      <c r="I4048" s="343" t="s">
        <v>301</v>
      </c>
      <c r="J4048" s="343" t="s">
        <v>1113</v>
      </c>
      <c r="K4048" s="343" t="s">
        <v>168</v>
      </c>
    </row>
    <row r="4049" spans="1:11" ht="26.25" customHeight="1">
      <c r="A4049" s="343" t="s">
        <v>6104</v>
      </c>
      <c r="B4049" s="344" t="s">
        <v>162</v>
      </c>
      <c r="C4049" s="344">
        <v>7545</v>
      </c>
      <c r="D4049" s="343" t="s">
        <v>6145</v>
      </c>
      <c r="E4049" s="344">
        <v>6708819</v>
      </c>
      <c r="F4049" s="343" t="s">
        <v>8958</v>
      </c>
      <c r="G4049" s="360" t="s">
        <v>10001</v>
      </c>
      <c r="H4049" s="361">
        <v>43262</v>
      </c>
      <c r="I4049" s="343" t="s">
        <v>193</v>
      </c>
      <c r="J4049" s="343" t="s">
        <v>637</v>
      </c>
      <c r="K4049" s="343" t="s">
        <v>168</v>
      </c>
    </row>
    <row r="4050" spans="1:11" ht="26.25" customHeight="1">
      <c r="A4050" s="343" t="s">
        <v>6104</v>
      </c>
      <c r="B4050" s="344" t="s">
        <v>162</v>
      </c>
      <c r="C4050" s="344">
        <v>9897</v>
      </c>
      <c r="D4050" s="343" t="s">
        <v>8959</v>
      </c>
      <c r="E4050" s="344">
        <v>6821437</v>
      </c>
      <c r="F4050" s="343" t="s">
        <v>8960</v>
      </c>
      <c r="G4050" s="360" t="s">
        <v>13097</v>
      </c>
      <c r="H4050" s="361">
        <v>43262</v>
      </c>
      <c r="I4050" s="343" t="s">
        <v>166</v>
      </c>
      <c r="J4050" s="343" t="s">
        <v>327</v>
      </c>
      <c r="K4050" s="343" t="s">
        <v>168</v>
      </c>
    </row>
    <row r="4051" spans="1:11" ht="26.25" customHeight="1">
      <c r="A4051" s="343" t="s">
        <v>6104</v>
      </c>
      <c r="B4051" s="344" t="s">
        <v>162</v>
      </c>
      <c r="C4051" s="344">
        <v>7548</v>
      </c>
      <c r="D4051" s="343" t="s">
        <v>6133</v>
      </c>
      <c r="E4051" s="344">
        <v>6988440</v>
      </c>
      <c r="F4051" s="343" t="s">
        <v>8961</v>
      </c>
      <c r="G4051" s="360" t="s">
        <v>13098</v>
      </c>
      <c r="H4051" s="361">
        <v>43262</v>
      </c>
      <c r="I4051" s="343" t="s">
        <v>284</v>
      </c>
      <c r="J4051" s="343" t="s">
        <v>10521</v>
      </c>
      <c r="K4051" s="343" t="s">
        <v>168</v>
      </c>
    </row>
    <row r="4052" spans="1:11" ht="26.25" customHeight="1">
      <c r="A4052" s="343" t="s">
        <v>6104</v>
      </c>
      <c r="B4052" s="344" t="s">
        <v>162</v>
      </c>
      <c r="C4052" s="344">
        <v>8804</v>
      </c>
      <c r="D4052" s="343" t="s">
        <v>6174</v>
      </c>
      <c r="E4052" s="344">
        <v>6483517</v>
      </c>
      <c r="F4052" s="343" t="s">
        <v>8962</v>
      </c>
      <c r="G4052" s="360" t="s">
        <v>11754</v>
      </c>
      <c r="H4052" s="361">
        <v>43262</v>
      </c>
      <c r="I4052" s="343" t="s">
        <v>193</v>
      </c>
      <c r="J4052" s="343" t="s">
        <v>637</v>
      </c>
      <c r="K4052" s="343" t="s">
        <v>168</v>
      </c>
    </row>
    <row r="4053" spans="1:11" ht="26.25" customHeight="1">
      <c r="A4053" s="343" t="s">
        <v>6104</v>
      </c>
      <c r="B4053" s="344" t="s">
        <v>162</v>
      </c>
      <c r="C4053" s="344">
        <v>6818</v>
      </c>
      <c r="D4053" s="343" t="s">
        <v>6347</v>
      </c>
      <c r="E4053" s="344">
        <v>6078770</v>
      </c>
      <c r="F4053" s="343" t="s">
        <v>8963</v>
      </c>
      <c r="G4053" s="360" t="s">
        <v>13099</v>
      </c>
      <c r="H4053" s="361">
        <v>43262</v>
      </c>
      <c r="I4053" s="343" t="s">
        <v>193</v>
      </c>
      <c r="J4053" s="343" t="s">
        <v>637</v>
      </c>
      <c r="K4053" s="343" t="s">
        <v>168</v>
      </c>
    </row>
    <row r="4054" spans="1:11" ht="26.25" customHeight="1">
      <c r="A4054" s="343" t="s">
        <v>6104</v>
      </c>
      <c r="B4054" s="344" t="s">
        <v>162</v>
      </c>
      <c r="C4054" s="344">
        <v>7550</v>
      </c>
      <c r="D4054" s="343" t="s">
        <v>6168</v>
      </c>
      <c r="E4054" s="344">
        <v>7045809</v>
      </c>
      <c r="F4054" s="343" t="s">
        <v>8965</v>
      </c>
      <c r="G4054" s="360" t="s">
        <v>13100</v>
      </c>
      <c r="H4054" s="361">
        <v>43262</v>
      </c>
      <c r="I4054" s="343" t="s">
        <v>3629</v>
      </c>
      <c r="J4054" s="343" t="s">
        <v>12501</v>
      </c>
      <c r="K4054" s="343" t="s">
        <v>168</v>
      </c>
    </row>
    <row r="4055" spans="1:11" ht="26.25" customHeight="1">
      <c r="A4055" s="343" t="s">
        <v>6104</v>
      </c>
      <c r="B4055" s="344" t="s">
        <v>162</v>
      </c>
      <c r="C4055" s="344">
        <v>6671</v>
      </c>
      <c r="D4055" s="343" t="s">
        <v>6432</v>
      </c>
      <c r="E4055" s="344">
        <v>6737863</v>
      </c>
      <c r="F4055" s="343" t="s">
        <v>8966</v>
      </c>
      <c r="G4055" s="360" t="s">
        <v>12154</v>
      </c>
      <c r="H4055" s="361">
        <v>43264</v>
      </c>
      <c r="I4055" s="343" t="s">
        <v>180</v>
      </c>
      <c r="J4055" s="343" t="s">
        <v>13101</v>
      </c>
      <c r="K4055" s="343" t="s">
        <v>168</v>
      </c>
    </row>
    <row r="4056" spans="1:11" ht="26.25" customHeight="1">
      <c r="A4056" s="343" t="s">
        <v>6104</v>
      </c>
      <c r="B4056" s="344" t="s">
        <v>162</v>
      </c>
      <c r="C4056" s="344">
        <v>6676</v>
      </c>
      <c r="D4056" s="343" t="s">
        <v>6423</v>
      </c>
      <c r="E4056" s="344">
        <v>6223852</v>
      </c>
      <c r="F4056" s="343" t="s">
        <v>8967</v>
      </c>
      <c r="G4056" s="360" t="s">
        <v>9743</v>
      </c>
      <c r="H4056" s="361">
        <v>43264</v>
      </c>
      <c r="I4056" s="343" t="s">
        <v>4190</v>
      </c>
      <c r="J4056" s="343" t="s">
        <v>9420</v>
      </c>
      <c r="K4056" s="343" t="s">
        <v>168</v>
      </c>
    </row>
    <row r="4057" spans="1:11" ht="26.25" customHeight="1">
      <c r="A4057" s="343" t="s">
        <v>6104</v>
      </c>
      <c r="B4057" s="344" t="s">
        <v>162</v>
      </c>
      <c r="C4057" s="344">
        <v>6676</v>
      </c>
      <c r="D4057" s="343" t="s">
        <v>6423</v>
      </c>
      <c r="E4057" s="344">
        <v>6186063</v>
      </c>
      <c r="F4057" s="343" t="s">
        <v>8968</v>
      </c>
      <c r="G4057" s="360" t="s">
        <v>12237</v>
      </c>
      <c r="H4057" s="361">
        <v>43264</v>
      </c>
      <c r="I4057" s="343" t="s">
        <v>193</v>
      </c>
      <c r="J4057" s="343" t="s">
        <v>637</v>
      </c>
      <c r="K4057" s="343" t="s">
        <v>168</v>
      </c>
    </row>
    <row r="4058" spans="1:11" ht="26.25" customHeight="1">
      <c r="A4058" s="343" t="s">
        <v>6104</v>
      </c>
      <c r="B4058" s="344" t="s">
        <v>162</v>
      </c>
      <c r="C4058" s="344">
        <v>6677</v>
      </c>
      <c r="D4058" s="343" t="s">
        <v>6334</v>
      </c>
      <c r="E4058" s="344">
        <v>6085132</v>
      </c>
      <c r="F4058" s="343" t="s">
        <v>8969</v>
      </c>
      <c r="G4058" s="360" t="s">
        <v>13102</v>
      </c>
      <c r="H4058" s="361">
        <v>43264</v>
      </c>
      <c r="I4058" s="343" t="s">
        <v>301</v>
      </c>
      <c r="J4058" s="343" t="s">
        <v>1113</v>
      </c>
      <c r="K4058" s="343" t="s">
        <v>168</v>
      </c>
    </row>
    <row r="4059" spans="1:11" ht="26.25" customHeight="1">
      <c r="A4059" s="343" t="s">
        <v>6104</v>
      </c>
      <c r="B4059" s="344" t="s">
        <v>162</v>
      </c>
      <c r="C4059" s="344">
        <v>8947</v>
      </c>
      <c r="D4059" s="343" t="s">
        <v>6418</v>
      </c>
      <c r="E4059" s="344">
        <v>6179926</v>
      </c>
      <c r="F4059" s="343" t="s">
        <v>8970</v>
      </c>
      <c r="G4059" s="360" t="s">
        <v>10426</v>
      </c>
      <c r="H4059" s="361">
        <v>43265</v>
      </c>
      <c r="I4059" s="343" t="s">
        <v>193</v>
      </c>
      <c r="J4059" s="343" t="s">
        <v>637</v>
      </c>
      <c r="K4059" s="343" t="s">
        <v>168</v>
      </c>
    </row>
    <row r="4060" spans="1:11" ht="26.25" customHeight="1">
      <c r="A4060" s="343" t="s">
        <v>6104</v>
      </c>
      <c r="B4060" s="344" t="s">
        <v>162</v>
      </c>
      <c r="C4060" s="344">
        <v>8804</v>
      </c>
      <c r="D4060" s="343" t="s">
        <v>6174</v>
      </c>
      <c r="E4060" s="344">
        <v>6252700</v>
      </c>
      <c r="F4060" s="343" t="s">
        <v>8971</v>
      </c>
      <c r="G4060" s="360" t="s">
        <v>9531</v>
      </c>
      <c r="H4060" s="361">
        <v>43265</v>
      </c>
      <c r="I4060" s="343" t="s">
        <v>193</v>
      </c>
      <c r="J4060" s="343" t="s">
        <v>637</v>
      </c>
      <c r="K4060" s="343" t="s">
        <v>168</v>
      </c>
    </row>
    <row r="4061" spans="1:11" ht="26.25" customHeight="1">
      <c r="A4061" s="343" t="s">
        <v>6104</v>
      </c>
      <c r="B4061" s="344" t="s">
        <v>162</v>
      </c>
      <c r="C4061" s="344">
        <v>7481</v>
      </c>
      <c r="D4061" s="343" t="s">
        <v>6152</v>
      </c>
      <c r="E4061" s="344">
        <v>6957135</v>
      </c>
      <c r="F4061" s="343" t="s">
        <v>8972</v>
      </c>
      <c r="G4061" s="360" t="s">
        <v>10126</v>
      </c>
      <c r="H4061" s="361">
        <v>43266</v>
      </c>
      <c r="I4061" s="343" t="s">
        <v>271</v>
      </c>
      <c r="J4061" s="343" t="s">
        <v>533</v>
      </c>
      <c r="K4061" s="343" t="s">
        <v>168</v>
      </c>
    </row>
    <row r="4062" spans="1:11" ht="26.25" customHeight="1">
      <c r="A4062" s="343" t="s">
        <v>6104</v>
      </c>
      <c r="B4062" s="344" t="s">
        <v>162</v>
      </c>
      <c r="C4062" s="344">
        <v>6674</v>
      </c>
      <c r="D4062" s="343" t="s">
        <v>8071</v>
      </c>
      <c r="E4062" s="344">
        <v>6376861</v>
      </c>
      <c r="F4062" s="343" t="s">
        <v>8973</v>
      </c>
      <c r="G4062" s="360" t="s">
        <v>9513</v>
      </c>
      <c r="H4062" s="361">
        <v>43266</v>
      </c>
      <c r="I4062" s="343" t="s">
        <v>166</v>
      </c>
      <c r="J4062" s="343" t="s">
        <v>296</v>
      </c>
      <c r="K4062" s="343" t="s">
        <v>168</v>
      </c>
    </row>
    <row r="4063" spans="1:11" ht="26.25" customHeight="1">
      <c r="A4063" s="343" t="s">
        <v>6104</v>
      </c>
      <c r="B4063" s="344" t="s">
        <v>162</v>
      </c>
      <c r="C4063" s="344">
        <v>7553</v>
      </c>
      <c r="D4063" s="343" t="s">
        <v>6188</v>
      </c>
      <c r="E4063" s="344">
        <v>6933703</v>
      </c>
      <c r="F4063" s="343" t="s">
        <v>8974</v>
      </c>
      <c r="G4063" s="360" t="s">
        <v>13103</v>
      </c>
      <c r="H4063" s="361">
        <v>43269</v>
      </c>
      <c r="I4063" s="343" t="s">
        <v>514</v>
      </c>
      <c r="J4063" s="343" t="s">
        <v>13104</v>
      </c>
      <c r="K4063" s="343" t="s">
        <v>248</v>
      </c>
    </row>
    <row r="4064" spans="1:11" ht="26.25" customHeight="1">
      <c r="A4064" s="343" t="s">
        <v>6104</v>
      </c>
      <c r="B4064" s="344" t="s">
        <v>162</v>
      </c>
      <c r="C4064" s="344">
        <v>7040</v>
      </c>
      <c r="D4064" s="343" t="s">
        <v>6307</v>
      </c>
      <c r="E4064" s="344">
        <v>1817089</v>
      </c>
      <c r="F4064" s="343" t="s">
        <v>8975</v>
      </c>
      <c r="G4064" s="360" t="s">
        <v>13105</v>
      </c>
      <c r="H4064" s="361">
        <v>43270</v>
      </c>
      <c r="I4064" s="343" t="s">
        <v>211</v>
      </c>
      <c r="J4064" s="343" t="s">
        <v>211</v>
      </c>
      <c r="K4064" s="343" t="s">
        <v>168</v>
      </c>
    </row>
    <row r="4065" spans="1:11" ht="26.25" customHeight="1">
      <c r="A4065" s="343" t="s">
        <v>6104</v>
      </c>
      <c r="B4065" s="344" t="s">
        <v>162</v>
      </c>
      <c r="C4065" s="344">
        <v>7034</v>
      </c>
      <c r="D4065" s="343" t="s">
        <v>8954</v>
      </c>
      <c r="E4065" s="344">
        <v>5760968</v>
      </c>
      <c r="F4065" s="343" t="s">
        <v>9166</v>
      </c>
      <c r="G4065" s="360" t="s">
        <v>13106</v>
      </c>
      <c r="H4065" s="361">
        <v>43271</v>
      </c>
      <c r="I4065" s="343" t="s">
        <v>3930</v>
      </c>
      <c r="J4065" s="343" t="s">
        <v>13107</v>
      </c>
      <c r="K4065" s="343" t="s">
        <v>248</v>
      </c>
    </row>
    <row r="4066" spans="1:11" ht="26.25" customHeight="1">
      <c r="A4066" s="343" t="s">
        <v>6104</v>
      </c>
      <c r="B4066" s="344" t="s">
        <v>162</v>
      </c>
      <c r="C4066" s="344">
        <v>7034</v>
      </c>
      <c r="D4066" s="343" t="s">
        <v>8954</v>
      </c>
      <c r="E4066" s="344">
        <v>6242014</v>
      </c>
      <c r="F4066" s="343" t="s">
        <v>9167</v>
      </c>
      <c r="G4066" s="360" t="s">
        <v>13108</v>
      </c>
      <c r="H4066" s="361">
        <v>43271</v>
      </c>
      <c r="I4066" s="343" t="s">
        <v>4073</v>
      </c>
      <c r="J4066" s="343" t="s">
        <v>10803</v>
      </c>
      <c r="K4066" s="343" t="s">
        <v>168</v>
      </c>
    </row>
    <row r="4067" spans="1:11" ht="26.25" customHeight="1">
      <c r="A4067" s="343" t="s">
        <v>6104</v>
      </c>
      <c r="B4067" s="344" t="s">
        <v>162</v>
      </c>
      <c r="C4067" s="344">
        <v>7034</v>
      </c>
      <c r="D4067" s="343" t="s">
        <v>8954</v>
      </c>
      <c r="E4067" s="344">
        <v>6746454</v>
      </c>
      <c r="F4067" s="343" t="s">
        <v>9168</v>
      </c>
      <c r="G4067" s="360" t="s">
        <v>10454</v>
      </c>
      <c r="H4067" s="361">
        <v>43271</v>
      </c>
      <c r="I4067" s="343" t="s">
        <v>4073</v>
      </c>
      <c r="J4067" s="343" t="s">
        <v>10803</v>
      </c>
      <c r="K4067" s="343" t="s">
        <v>168</v>
      </c>
    </row>
    <row r="4068" spans="1:11" ht="26.25" customHeight="1">
      <c r="A4068" s="343" t="s">
        <v>6104</v>
      </c>
      <c r="B4068" s="344" t="s">
        <v>162</v>
      </c>
      <c r="C4068" s="344">
        <v>7031</v>
      </c>
      <c r="D4068" s="343" t="s">
        <v>6223</v>
      </c>
      <c r="E4068" s="344">
        <v>4626749</v>
      </c>
      <c r="F4068" s="343" t="s">
        <v>9169</v>
      </c>
      <c r="G4068" s="360" t="s">
        <v>13109</v>
      </c>
      <c r="H4068" s="361">
        <v>43272</v>
      </c>
      <c r="I4068" s="343" t="s">
        <v>261</v>
      </c>
      <c r="J4068" s="343" t="s">
        <v>631</v>
      </c>
      <c r="K4068" s="343" t="s">
        <v>168</v>
      </c>
    </row>
    <row r="4069" spans="1:11" ht="26.25" customHeight="1">
      <c r="A4069" s="343" t="s">
        <v>6104</v>
      </c>
      <c r="B4069" s="344" t="s">
        <v>162</v>
      </c>
      <c r="C4069" s="344">
        <v>6676</v>
      </c>
      <c r="D4069" s="343" t="s">
        <v>6423</v>
      </c>
      <c r="E4069" s="344">
        <v>6858499</v>
      </c>
      <c r="F4069" s="343" t="s">
        <v>9170</v>
      </c>
      <c r="G4069" s="360" t="s">
        <v>11553</v>
      </c>
      <c r="H4069" s="361">
        <v>43276</v>
      </c>
      <c r="I4069" s="343" t="s">
        <v>193</v>
      </c>
      <c r="J4069" s="343" t="s">
        <v>637</v>
      </c>
      <c r="K4069" s="343" t="s">
        <v>168</v>
      </c>
    </row>
    <row r="4070" spans="1:11" ht="26.25" customHeight="1">
      <c r="A4070" s="343" t="s">
        <v>6104</v>
      </c>
      <c r="B4070" s="344" t="s">
        <v>162</v>
      </c>
      <c r="C4070" s="344">
        <v>6817</v>
      </c>
      <c r="D4070" s="343" t="s">
        <v>6340</v>
      </c>
      <c r="E4070" s="344">
        <v>6402156</v>
      </c>
      <c r="F4070" s="343" t="s">
        <v>8888</v>
      </c>
      <c r="G4070" s="360" t="s">
        <v>170</v>
      </c>
      <c r="H4070" s="361">
        <v>43279</v>
      </c>
      <c r="I4070" s="343" t="s">
        <v>9171</v>
      </c>
      <c r="J4070" s="343" t="s">
        <v>13110</v>
      </c>
      <c r="K4070" s="343" t="s">
        <v>168</v>
      </c>
    </row>
    <row r="4071" spans="1:11" ht="26.25" customHeight="1">
      <c r="A4071" s="343" t="s">
        <v>6104</v>
      </c>
      <c r="B4071" s="344" t="s">
        <v>162</v>
      </c>
      <c r="C4071" s="344">
        <v>7531</v>
      </c>
      <c r="D4071" s="343" t="s">
        <v>6189</v>
      </c>
      <c r="E4071" s="344">
        <v>7029999</v>
      </c>
      <c r="F4071" s="343" t="s">
        <v>9172</v>
      </c>
      <c r="G4071" s="360" t="s">
        <v>13111</v>
      </c>
      <c r="H4071" s="361">
        <v>43279</v>
      </c>
      <c r="I4071" s="343" t="s">
        <v>271</v>
      </c>
      <c r="J4071" s="343" t="s">
        <v>533</v>
      </c>
      <c r="K4071" s="343" t="s">
        <v>168</v>
      </c>
    </row>
    <row r="4072" spans="1:11" ht="26.25" customHeight="1">
      <c r="A4072" s="343" t="s">
        <v>6104</v>
      </c>
      <c r="B4072" s="344" t="s">
        <v>162</v>
      </c>
      <c r="C4072" s="344">
        <v>7044</v>
      </c>
      <c r="D4072" s="343" t="s">
        <v>6275</v>
      </c>
      <c r="E4072" s="344">
        <v>5748932</v>
      </c>
      <c r="F4072" s="343" t="s">
        <v>9173</v>
      </c>
      <c r="G4072" s="360" t="s">
        <v>13112</v>
      </c>
      <c r="H4072" s="361">
        <v>43279</v>
      </c>
      <c r="I4072" s="343" t="s">
        <v>193</v>
      </c>
      <c r="J4072" s="343" t="s">
        <v>13113</v>
      </c>
      <c r="K4072" s="343" t="s">
        <v>168</v>
      </c>
    </row>
    <row r="4073" spans="1:11" ht="26.25" customHeight="1">
      <c r="A4073" s="343" t="s">
        <v>6104</v>
      </c>
      <c r="B4073" s="344" t="s">
        <v>162</v>
      </c>
      <c r="C4073" s="344">
        <v>7534</v>
      </c>
      <c r="D4073" s="343" t="s">
        <v>6139</v>
      </c>
      <c r="E4073" s="344">
        <v>7072999</v>
      </c>
      <c r="F4073" s="343" t="s">
        <v>9174</v>
      </c>
      <c r="G4073" s="360" t="s">
        <v>12206</v>
      </c>
      <c r="H4073" s="361">
        <v>43279</v>
      </c>
      <c r="I4073" s="343" t="s">
        <v>166</v>
      </c>
      <c r="J4073" s="343" t="s">
        <v>9775</v>
      </c>
      <c r="K4073" s="343" t="s">
        <v>248</v>
      </c>
    </row>
    <row r="4074" spans="1:11" ht="26.25" customHeight="1">
      <c r="A4074" s="343" t="s">
        <v>6104</v>
      </c>
      <c r="B4074" s="344" t="s">
        <v>162</v>
      </c>
      <c r="C4074" s="344">
        <v>6679</v>
      </c>
      <c r="D4074" s="343" t="s">
        <v>6351</v>
      </c>
      <c r="E4074" s="344">
        <v>6134674</v>
      </c>
      <c r="F4074" s="343" t="s">
        <v>9175</v>
      </c>
      <c r="G4074" s="360" t="s">
        <v>11326</v>
      </c>
      <c r="H4074" s="361">
        <v>43279</v>
      </c>
      <c r="I4074" s="343" t="s">
        <v>9176</v>
      </c>
      <c r="J4074" s="343" t="s">
        <v>13114</v>
      </c>
      <c r="K4074" s="343" t="s">
        <v>168</v>
      </c>
    </row>
    <row r="4075" spans="1:11" ht="26.25" customHeight="1">
      <c r="A4075" s="343" t="s">
        <v>6104</v>
      </c>
      <c r="B4075" s="344" t="s">
        <v>162</v>
      </c>
      <c r="C4075" s="344">
        <v>7507</v>
      </c>
      <c r="D4075" s="343" t="s">
        <v>6129</v>
      </c>
      <c r="E4075" s="344">
        <v>6716055</v>
      </c>
      <c r="F4075" s="343" t="s">
        <v>9177</v>
      </c>
      <c r="G4075" s="360" t="s">
        <v>13115</v>
      </c>
      <c r="H4075" s="361">
        <v>43279</v>
      </c>
      <c r="I4075" s="343" t="s">
        <v>305</v>
      </c>
      <c r="J4075" s="343" t="s">
        <v>13116</v>
      </c>
      <c r="K4075" s="343" t="s">
        <v>168</v>
      </c>
    </row>
    <row r="4076" spans="1:11" ht="26.25" customHeight="1">
      <c r="A4076" s="343" t="s">
        <v>6104</v>
      </c>
      <c r="B4076" s="344" t="s">
        <v>162</v>
      </c>
      <c r="C4076" s="344">
        <v>6826</v>
      </c>
      <c r="D4076" s="343" t="s">
        <v>6213</v>
      </c>
      <c r="E4076" s="344">
        <v>7113870</v>
      </c>
      <c r="F4076" s="343" t="s">
        <v>9178</v>
      </c>
      <c r="G4076" s="360" t="s">
        <v>13117</v>
      </c>
      <c r="H4076" s="361">
        <v>43284</v>
      </c>
      <c r="I4076" s="343" t="s">
        <v>166</v>
      </c>
      <c r="J4076" s="343" t="s">
        <v>13118</v>
      </c>
      <c r="K4076" s="343" t="s">
        <v>168</v>
      </c>
    </row>
    <row r="4077" spans="1:11" ht="26.25" customHeight="1">
      <c r="A4077" s="343" t="s">
        <v>6104</v>
      </c>
      <c r="B4077" s="344" t="s">
        <v>162</v>
      </c>
      <c r="C4077" s="344">
        <v>7500</v>
      </c>
      <c r="D4077" s="343" t="s">
        <v>6164</v>
      </c>
      <c r="E4077" s="344">
        <v>6467550</v>
      </c>
      <c r="F4077" s="343" t="s">
        <v>9179</v>
      </c>
      <c r="G4077" s="360" t="s">
        <v>10419</v>
      </c>
      <c r="H4077" s="361">
        <v>43285</v>
      </c>
      <c r="I4077" s="343" t="s">
        <v>9180</v>
      </c>
      <c r="J4077" s="343" t="s">
        <v>13119</v>
      </c>
      <c r="K4077" s="343" t="s">
        <v>168</v>
      </c>
    </row>
    <row r="4078" spans="1:11" ht="26.25" customHeight="1">
      <c r="A4078" s="343" t="s">
        <v>6104</v>
      </c>
      <c r="B4078" s="344" t="s">
        <v>162</v>
      </c>
      <c r="C4078" s="344">
        <v>7481</v>
      </c>
      <c r="D4078" s="343" t="s">
        <v>6152</v>
      </c>
      <c r="E4078" s="344">
        <v>6767137</v>
      </c>
      <c r="F4078" s="343" t="s">
        <v>9321</v>
      </c>
      <c r="G4078" s="360" t="s">
        <v>13120</v>
      </c>
      <c r="H4078" s="361">
        <v>43292</v>
      </c>
      <c r="I4078" s="343" t="s">
        <v>166</v>
      </c>
      <c r="J4078" s="343" t="s">
        <v>13121</v>
      </c>
      <c r="K4078" s="343" t="s">
        <v>168</v>
      </c>
    </row>
    <row r="4079" spans="1:11" ht="26.25" customHeight="1">
      <c r="A4079" s="343" t="s">
        <v>6104</v>
      </c>
      <c r="B4079" s="344" t="s">
        <v>162</v>
      </c>
      <c r="C4079" s="344">
        <v>9459</v>
      </c>
      <c r="D4079" s="343" t="s">
        <v>6375</v>
      </c>
      <c r="E4079" s="344">
        <v>6150758</v>
      </c>
      <c r="F4079" s="343" t="s">
        <v>9324</v>
      </c>
      <c r="G4079" s="360" t="s">
        <v>11102</v>
      </c>
      <c r="H4079" s="361">
        <v>43292</v>
      </c>
      <c r="I4079" s="343" t="s">
        <v>193</v>
      </c>
      <c r="J4079" s="343" t="s">
        <v>637</v>
      </c>
      <c r="K4079" s="343" t="s">
        <v>168</v>
      </c>
    </row>
    <row r="4080" spans="1:11" ht="26.25" customHeight="1">
      <c r="A4080" s="343" t="s">
        <v>6104</v>
      </c>
      <c r="B4080" s="344" t="s">
        <v>162</v>
      </c>
      <c r="C4080" s="344">
        <v>7543</v>
      </c>
      <c r="D4080" s="343" t="s">
        <v>6118</v>
      </c>
      <c r="E4080" s="344">
        <v>7010413</v>
      </c>
      <c r="F4080" s="343" t="s">
        <v>9323</v>
      </c>
      <c r="G4080" s="360" t="s">
        <v>13122</v>
      </c>
      <c r="H4080" s="361">
        <v>43292</v>
      </c>
      <c r="I4080" s="343" t="s">
        <v>166</v>
      </c>
      <c r="J4080" s="343" t="s">
        <v>9752</v>
      </c>
      <c r="K4080" s="343" t="s">
        <v>248</v>
      </c>
    </row>
    <row r="4081" spans="1:11" ht="26.25" customHeight="1">
      <c r="A4081" s="343" t="s">
        <v>6104</v>
      </c>
      <c r="B4081" s="344" t="s">
        <v>162</v>
      </c>
      <c r="C4081" s="344">
        <v>7031</v>
      </c>
      <c r="D4081" s="343" t="s">
        <v>6223</v>
      </c>
      <c r="E4081" s="344">
        <v>5051731</v>
      </c>
      <c r="F4081" s="343" t="s">
        <v>9331</v>
      </c>
      <c r="G4081" s="360" t="s">
        <v>13123</v>
      </c>
      <c r="H4081" s="361">
        <v>43292</v>
      </c>
      <c r="I4081" s="343" t="s">
        <v>187</v>
      </c>
      <c r="J4081" s="343" t="s">
        <v>187</v>
      </c>
      <c r="K4081" s="343" t="s">
        <v>168</v>
      </c>
    </row>
    <row r="4082" spans="1:11" ht="26.25" customHeight="1">
      <c r="A4082" s="343" t="s">
        <v>6104</v>
      </c>
      <c r="B4082" s="344" t="s">
        <v>162</v>
      </c>
      <c r="C4082" s="344">
        <v>7546</v>
      </c>
      <c r="D4082" s="343" t="s">
        <v>6122</v>
      </c>
      <c r="E4082" s="344">
        <v>6734439</v>
      </c>
      <c r="F4082" s="343" t="s">
        <v>9327</v>
      </c>
      <c r="G4082" s="360" t="s">
        <v>13124</v>
      </c>
      <c r="H4082" s="361">
        <v>43292</v>
      </c>
      <c r="I4082" s="343" t="s">
        <v>349</v>
      </c>
      <c r="J4082" s="343" t="s">
        <v>9927</v>
      </c>
      <c r="K4082" s="343" t="s">
        <v>168</v>
      </c>
    </row>
    <row r="4083" spans="1:11" ht="26.25" customHeight="1">
      <c r="A4083" s="343" t="s">
        <v>6104</v>
      </c>
      <c r="B4083" s="344" t="s">
        <v>162</v>
      </c>
      <c r="C4083" s="344">
        <v>7550</v>
      </c>
      <c r="D4083" s="343" t="s">
        <v>6168</v>
      </c>
      <c r="E4083" s="344">
        <v>6929226</v>
      </c>
      <c r="F4083" s="343" t="s">
        <v>9319</v>
      </c>
      <c r="G4083" s="360" t="s">
        <v>13125</v>
      </c>
      <c r="H4083" s="361">
        <v>43292</v>
      </c>
      <c r="I4083" s="343" t="s">
        <v>166</v>
      </c>
      <c r="J4083" s="343" t="s">
        <v>9775</v>
      </c>
      <c r="K4083" s="343" t="s">
        <v>248</v>
      </c>
    </row>
    <row r="4084" spans="1:11" ht="26.25" customHeight="1">
      <c r="A4084" s="343" t="s">
        <v>6104</v>
      </c>
      <c r="B4084" s="344" t="s">
        <v>162</v>
      </c>
      <c r="C4084" s="344">
        <v>6670</v>
      </c>
      <c r="D4084" s="343" t="s">
        <v>6380</v>
      </c>
      <c r="E4084" s="344">
        <v>6408351</v>
      </c>
      <c r="F4084" s="343" t="s">
        <v>8590</v>
      </c>
      <c r="G4084" s="360" t="s">
        <v>183</v>
      </c>
      <c r="H4084" s="361">
        <v>43312</v>
      </c>
      <c r="I4084" s="343" t="s">
        <v>8591</v>
      </c>
      <c r="J4084" s="343" t="s">
        <v>10701</v>
      </c>
      <c r="K4084" s="343" t="s">
        <v>168</v>
      </c>
    </row>
    <row r="4085" spans="1:11" ht="26.25" customHeight="1">
      <c r="A4085" s="343" t="s">
        <v>6104</v>
      </c>
      <c r="B4085" s="344" t="s">
        <v>162</v>
      </c>
      <c r="C4085" s="344">
        <v>10059</v>
      </c>
      <c r="D4085" s="343" t="s">
        <v>6353</v>
      </c>
      <c r="E4085" s="344">
        <v>6377080</v>
      </c>
      <c r="F4085" s="343" t="s">
        <v>9333</v>
      </c>
      <c r="G4085" s="360" t="s">
        <v>471</v>
      </c>
      <c r="H4085" s="361">
        <v>43312</v>
      </c>
      <c r="I4085" s="343" t="s">
        <v>465</v>
      </c>
      <c r="J4085" s="343" t="s">
        <v>9697</v>
      </c>
      <c r="K4085" s="343" t="s">
        <v>168</v>
      </c>
    </row>
    <row r="4086" spans="1:11" ht="26.25" customHeight="1">
      <c r="A4086" s="343" t="s">
        <v>6104</v>
      </c>
      <c r="B4086" s="344" t="s">
        <v>162</v>
      </c>
      <c r="C4086" s="344">
        <v>6819</v>
      </c>
      <c r="D4086" s="343" t="s">
        <v>8870</v>
      </c>
      <c r="E4086" s="344">
        <v>7004142</v>
      </c>
      <c r="F4086" s="343" t="s">
        <v>9335</v>
      </c>
      <c r="G4086" s="360" t="s">
        <v>9909</v>
      </c>
      <c r="H4086" s="361">
        <v>43314</v>
      </c>
      <c r="I4086" s="343" t="s">
        <v>187</v>
      </c>
      <c r="J4086" s="343" t="s">
        <v>13126</v>
      </c>
      <c r="K4086" s="343" t="s">
        <v>168</v>
      </c>
    </row>
    <row r="4087" spans="1:11" ht="26.25" customHeight="1">
      <c r="A4087" s="343" t="s">
        <v>6104</v>
      </c>
      <c r="B4087" s="344" t="s">
        <v>162</v>
      </c>
      <c r="C4087" s="344">
        <v>7553</v>
      </c>
      <c r="D4087" s="343" t="s">
        <v>6188</v>
      </c>
      <c r="E4087" s="344">
        <v>6501641</v>
      </c>
      <c r="F4087" s="343" t="s">
        <v>9320</v>
      </c>
      <c r="G4087" s="360" t="s">
        <v>10104</v>
      </c>
      <c r="H4087" s="361">
        <v>43315</v>
      </c>
      <c r="I4087" s="343" t="s">
        <v>271</v>
      </c>
      <c r="J4087" s="343" t="s">
        <v>13127</v>
      </c>
      <c r="K4087" s="343" t="s">
        <v>168</v>
      </c>
    </row>
    <row r="4088" spans="1:11" ht="26.25" customHeight="1">
      <c r="A4088" s="343" t="s">
        <v>6104</v>
      </c>
      <c r="B4088" s="344" t="s">
        <v>162</v>
      </c>
      <c r="C4088" s="344">
        <v>7481</v>
      </c>
      <c r="D4088" s="343" t="s">
        <v>6152</v>
      </c>
      <c r="E4088" s="344">
        <v>6694972</v>
      </c>
      <c r="F4088" s="343" t="s">
        <v>6154</v>
      </c>
      <c r="G4088" s="360" t="s">
        <v>245</v>
      </c>
      <c r="H4088" s="361">
        <v>43315</v>
      </c>
      <c r="I4088" s="343" t="s">
        <v>7857</v>
      </c>
      <c r="J4088" s="343" t="s">
        <v>13128</v>
      </c>
      <c r="K4088" s="343" t="s">
        <v>168</v>
      </c>
    </row>
    <row r="4089" spans="1:11" ht="26.25" customHeight="1">
      <c r="A4089" s="343" t="s">
        <v>6104</v>
      </c>
      <c r="B4089" s="344" t="s">
        <v>162</v>
      </c>
      <c r="C4089" s="344">
        <v>9432</v>
      </c>
      <c r="D4089" s="343" t="s">
        <v>6406</v>
      </c>
      <c r="E4089" s="344">
        <v>6003604</v>
      </c>
      <c r="F4089" s="343" t="s">
        <v>8941</v>
      </c>
      <c r="G4089" s="360" t="s">
        <v>9374</v>
      </c>
      <c r="H4089" s="361">
        <v>43315</v>
      </c>
      <c r="I4089" s="343" t="s">
        <v>366</v>
      </c>
      <c r="J4089" s="343" t="s">
        <v>366</v>
      </c>
      <c r="K4089" s="343" t="s">
        <v>168</v>
      </c>
    </row>
    <row r="4090" spans="1:11" ht="26.25" customHeight="1">
      <c r="A4090" s="343" t="s">
        <v>6104</v>
      </c>
      <c r="B4090" s="344" t="s">
        <v>162</v>
      </c>
      <c r="C4090" s="344">
        <v>9432</v>
      </c>
      <c r="D4090" s="343" t="s">
        <v>6406</v>
      </c>
      <c r="E4090" s="344">
        <v>6700972</v>
      </c>
      <c r="F4090" s="343" t="s">
        <v>9326</v>
      </c>
      <c r="G4090" s="360" t="s">
        <v>9544</v>
      </c>
      <c r="H4090" s="361">
        <v>43315</v>
      </c>
      <c r="I4090" s="343" t="s">
        <v>193</v>
      </c>
      <c r="J4090" s="343" t="s">
        <v>637</v>
      </c>
      <c r="K4090" s="343" t="s">
        <v>168</v>
      </c>
    </row>
    <row r="4091" spans="1:11" ht="26.25" customHeight="1">
      <c r="A4091" s="343" t="s">
        <v>6104</v>
      </c>
      <c r="B4091" s="344" t="s">
        <v>162</v>
      </c>
      <c r="C4091" s="344">
        <v>7032</v>
      </c>
      <c r="D4091" s="343" t="s">
        <v>6320</v>
      </c>
      <c r="E4091" s="344">
        <v>5867581</v>
      </c>
      <c r="F4091" s="343" t="s">
        <v>9332</v>
      </c>
      <c r="G4091" s="360" t="s">
        <v>633</v>
      </c>
      <c r="H4091" s="361">
        <v>43319</v>
      </c>
      <c r="I4091" s="343" t="s">
        <v>366</v>
      </c>
      <c r="J4091" s="343" t="s">
        <v>366</v>
      </c>
      <c r="K4091" s="343" t="s">
        <v>168</v>
      </c>
    </row>
    <row r="4092" spans="1:11" ht="26.25" customHeight="1">
      <c r="A4092" s="343" t="s">
        <v>6104</v>
      </c>
      <c r="B4092" s="344" t="s">
        <v>162</v>
      </c>
      <c r="C4092" s="344">
        <v>7162</v>
      </c>
      <c r="D4092" s="343" t="s">
        <v>6292</v>
      </c>
      <c r="E4092" s="344">
        <v>6947107</v>
      </c>
      <c r="F4092" s="343" t="s">
        <v>9334</v>
      </c>
      <c r="G4092" s="360" t="s">
        <v>11595</v>
      </c>
      <c r="H4092" s="361">
        <v>43321</v>
      </c>
      <c r="I4092" s="343" t="s">
        <v>180</v>
      </c>
      <c r="J4092" s="343" t="s">
        <v>13129</v>
      </c>
      <c r="K4092" s="343" t="s">
        <v>173</v>
      </c>
    </row>
    <row r="4093" spans="1:11" ht="26.25" customHeight="1">
      <c r="A4093" s="343" t="s">
        <v>6104</v>
      </c>
      <c r="B4093" s="344" t="s">
        <v>162</v>
      </c>
      <c r="C4093" s="344">
        <v>6670</v>
      </c>
      <c r="D4093" s="343" t="s">
        <v>6380</v>
      </c>
      <c r="E4093" s="344">
        <v>7124710</v>
      </c>
      <c r="F4093" s="343" t="s">
        <v>9328</v>
      </c>
      <c r="G4093" s="360" t="s">
        <v>10096</v>
      </c>
      <c r="H4093" s="361">
        <v>43321</v>
      </c>
      <c r="I4093" s="343" t="s">
        <v>784</v>
      </c>
      <c r="J4093" s="343" t="s">
        <v>13130</v>
      </c>
      <c r="K4093" s="343" t="s">
        <v>173</v>
      </c>
    </row>
    <row r="4094" spans="1:11" ht="26.25" customHeight="1">
      <c r="A4094" s="343" t="s">
        <v>6104</v>
      </c>
      <c r="B4094" s="344" t="s">
        <v>162</v>
      </c>
      <c r="C4094" s="344">
        <v>7531</v>
      </c>
      <c r="D4094" s="343" t="s">
        <v>6189</v>
      </c>
      <c r="E4094" s="344">
        <v>6877581</v>
      </c>
      <c r="F4094" s="343" t="s">
        <v>9322</v>
      </c>
      <c r="G4094" s="360" t="s">
        <v>10125</v>
      </c>
      <c r="H4094" s="361">
        <v>43322</v>
      </c>
      <c r="I4094" s="343" t="s">
        <v>193</v>
      </c>
      <c r="J4094" s="343" t="s">
        <v>637</v>
      </c>
      <c r="K4094" s="343" t="s">
        <v>168</v>
      </c>
    </row>
    <row r="4095" spans="1:11" ht="26.25" customHeight="1">
      <c r="A4095" s="343" t="s">
        <v>6104</v>
      </c>
      <c r="B4095" s="344" t="s">
        <v>162</v>
      </c>
      <c r="C4095" s="344">
        <v>7552</v>
      </c>
      <c r="D4095" s="343" t="s">
        <v>6136</v>
      </c>
      <c r="E4095" s="344">
        <v>7033234</v>
      </c>
      <c r="F4095" s="343" t="s">
        <v>9329</v>
      </c>
      <c r="G4095" s="360" t="s">
        <v>13131</v>
      </c>
      <c r="H4095" s="361">
        <v>43326</v>
      </c>
      <c r="I4095" s="343" t="s">
        <v>271</v>
      </c>
      <c r="J4095" s="343" t="s">
        <v>13132</v>
      </c>
      <c r="K4095" s="343" t="s">
        <v>168</v>
      </c>
    </row>
    <row r="4096" spans="1:11" ht="26.25" customHeight="1">
      <c r="A4096" s="343" t="s">
        <v>6104</v>
      </c>
      <c r="B4096" s="344" t="s">
        <v>162</v>
      </c>
      <c r="C4096" s="344">
        <v>6818</v>
      </c>
      <c r="D4096" s="343" t="s">
        <v>6347</v>
      </c>
      <c r="E4096" s="344">
        <v>5793888</v>
      </c>
      <c r="F4096" s="343" t="s">
        <v>9330</v>
      </c>
      <c r="G4096" s="360" t="s">
        <v>11014</v>
      </c>
      <c r="H4096" s="361">
        <v>43326</v>
      </c>
      <c r="I4096" s="343" t="s">
        <v>193</v>
      </c>
      <c r="J4096" s="343" t="s">
        <v>637</v>
      </c>
      <c r="K4096" s="343" t="s">
        <v>168</v>
      </c>
    </row>
    <row r="4097" spans="1:11" ht="26.25" customHeight="1">
      <c r="A4097" s="343" t="s">
        <v>6104</v>
      </c>
      <c r="B4097" s="344" t="s">
        <v>162</v>
      </c>
      <c r="C4097" s="344">
        <v>7546</v>
      </c>
      <c r="D4097" s="343" t="s">
        <v>6122</v>
      </c>
      <c r="E4097" s="344">
        <v>6922366</v>
      </c>
      <c r="F4097" s="343" t="s">
        <v>13133</v>
      </c>
      <c r="G4097" s="360" t="s">
        <v>13134</v>
      </c>
      <c r="H4097" s="361">
        <v>43329</v>
      </c>
      <c r="I4097" s="343" t="s">
        <v>1242</v>
      </c>
      <c r="J4097" s="343" t="s">
        <v>13135</v>
      </c>
      <c r="K4097" s="343" t="s">
        <v>168</v>
      </c>
    </row>
    <row r="4098" spans="1:11" ht="26.25" customHeight="1">
      <c r="A4098" s="343" t="s">
        <v>6104</v>
      </c>
      <c r="B4098" s="344" t="s">
        <v>162</v>
      </c>
      <c r="C4098" s="344">
        <v>9178</v>
      </c>
      <c r="D4098" s="343" t="s">
        <v>6415</v>
      </c>
      <c r="E4098" s="344">
        <v>5844671</v>
      </c>
      <c r="F4098" s="343" t="s">
        <v>13136</v>
      </c>
      <c r="G4098" s="360" t="s">
        <v>11057</v>
      </c>
      <c r="H4098" s="361">
        <v>43329</v>
      </c>
      <c r="I4098" s="343" t="s">
        <v>198</v>
      </c>
      <c r="J4098" s="343" t="s">
        <v>198</v>
      </c>
      <c r="K4098" s="343" t="s">
        <v>168</v>
      </c>
    </row>
    <row r="4099" spans="1:11" ht="26.25" customHeight="1">
      <c r="A4099" s="343" t="s">
        <v>6104</v>
      </c>
      <c r="B4099" s="344" t="s">
        <v>162</v>
      </c>
      <c r="C4099" s="344">
        <v>9178</v>
      </c>
      <c r="D4099" s="343" t="s">
        <v>6415</v>
      </c>
      <c r="E4099" s="344">
        <v>5844832</v>
      </c>
      <c r="F4099" s="343" t="s">
        <v>13137</v>
      </c>
      <c r="G4099" s="360" t="s">
        <v>11057</v>
      </c>
      <c r="H4099" s="361">
        <v>43329</v>
      </c>
      <c r="I4099" s="343" t="s">
        <v>198</v>
      </c>
      <c r="J4099" s="343" t="s">
        <v>198</v>
      </c>
      <c r="K4099" s="343" t="s">
        <v>168</v>
      </c>
    </row>
    <row r="4100" spans="1:11" ht="26.25" customHeight="1">
      <c r="A4100" s="343" t="s">
        <v>6104</v>
      </c>
      <c r="B4100" s="344" t="s">
        <v>162</v>
      </c>
      <c r="C4100" s="344">
        <v>7169</v>
      </c>
      <c r="D4100" s="343" t="s">
        <v>13138</v>
      </c>
      <c r="E4100" s="344">
        <v>5306101</v>
      </c>
      <c r="F4100" s="343" t="s">
        <v>13139</v>
      </c>
      <c r="G4100" s="360" t="s">
        <v>13140</v>
      </c>
      <c r="H4100" s="361">
        <v>43329</v>
      </c>
      <c r="I4100" s="343" t="s">
        <v>709</v>
      </c>
      <c r="J4100" s="343" t="s">
        <v>13141</v>
      </c>
      <c r="K4100" s="343" t="s">
        <v>173</v>
      </c>
    </row>
    <row r="4101" spans="1:11" ht="26.25" customHeight="1">
      <c r="A4101" s="343" t="s">
        <v>6104</v>
      </c>
      <c r="B4101" s="344" t="s">
        <v>162</v>
      </c>
      <c r="C4101" s="344">
        <v>7551</v>
      </c>
      <c r="D4101" s="343" t="s">
        <v>6117</v>
      </c>
      <c r="E4101" s="344">
        <v>7096595</v>
      </c>
      <c r="F4101" s="343" t="s">
        <v>8944</v>
      </c>
      <c r="G4101" s="360" t="s">
        <v>9748</v>
      </c>
      <c r="H4101" s="361">
        <v>43332</v>
      </c>
      <c r="I4101" s="343" t="s">
        <v>166</v>
      </c>
      <c r="J4101" s="343" t="s">
        <v>13142</v>
      </c>
      <c r="K4101" s="343" t="s">
        <v>168</v>
      </c>
    </row>
    <row r="4102" spans="1:11" ht="26.25" customHeight="1">
      <c r="A4102" s="343" t="s">
        <v>6104</v>
      </c>
      <c r="B4102" s="344" t="s">
        <v>162</v>
      </c>
      <c r="C4102" s="344">
        <v>6826</v>
      </c>
      <c r="D4102" s="343" t="s">
        <v>6213</v>
      </c>
      <c r="E4102" s="344">
        <v>6818240</v>
      </c>
      <c r="F4102" s="343" t="s">
        <v>13143</v>
      </c>
      <c r="G4102" s="360" t="s">
        <v>13144</v>
      </c>
      <c r="H4102" s="361">
        <v>43332</v>
      </c>
      <c r="I4102" s="343" t="s">
        <v>187</v>
      </c>
      <c r="J4102" s="343" t="s">
        <v>187</v>
      </c>
      <c r="K4102" s="343" t="s">
        <v>168</v>
      </c>
    </row>
    <row r="4103" spans="1:11" ht="26.25" customHeight="1">
      <c r="A4103" s="343" t="s">
        <v>6104</v>
      </c>
      <c r="B4103" s="344" t="s">
        <v>162</v>
      </c>
      <c r="C4103" s="344">
        <v>7500</v>
      </c>
      <c r="D4103" s="343" t="s">
        <v>6164</v>
      </c>
      <c r="E4103" s="344">
        <v>6590254</v>
      </c>
      <c r="F4103" s="343" t="s">
        <v>6167</v>
      </c>
      <c r="G4103" s="360" t="s">
        <v>11571</v>
      </c>
      <c r="H4103" s="361">
        <v>43333</v>
      </c>
      <c r="I4103" s="343" t="s">
        <v>8031</v>
      </c>
      <c r="J4103" s="343" t="s">
        <v>13145</v>
      </c>
      <c r="K4103" s="343" t="s">
        <v>168</v>
      </c>
    </row>
    <row r="4104" spans="1:11" ht="26.25" customHeight="1">
      <c r="A4104" s="343" t="s">
        <v>6104</v>
      </c>
      <c r="B4104" s="344" t="s">
        <v>162</v>
      </c>
      <c r="C4104" s="344">
        <v>7514</v>
      </c>
      <c r="D4104" s="343" t="s">
        <v>6135</v>
      </c>
      <c r="E4104" s="344">
        <v>6447859</v>
      </c>
      <c r="F4104" s="343" t="s">
        <v>13146</v>
      </c>
      <c r="G4104" s="360" t="s">
        <v>13147</v>
      </c>
      <c r="H4104" s="361">
        <v>43333</v>
      </c>
      <c r="I4104" s="343" t="s">
        <v>180</v>
      </c>
      <c r="J4104" s="343" t="s">
        <v>13148</v>
      </c>
      <c r="K4104" s="343" t="s">
        <v>168</v>
      </c>
    </row>
    <row r="4105" spans="1:11" ht="26.25" customHeight="1">
      <c r="A4105" s="343" t="s">
        <v>6104</v>
      </c>
      <c r="B4105" s="344" t="s">
        <v>162</v>
      </c>
      <c r="C4105" s="344">
        <v>7550</v>
      </c>
      <c r="D4105" s="343" t="s">
        <v>6168</v>
      </c>
      <c r="E4105" s="344">
        <v>6836259</v>
      </c>
      <c r="F4105" s="343" t="s">
        <v>8964</v>
      </c>
      <c r="G4105" s="360" t="s">
        <v>12912</v>
      </c>
      <c r="H4105" s="361">
        <v>43335</v>
      </c>
      <c r="I4105" s="343" t="s">
        <v>13149</v>
      </c>
      <c r="J4105" s="343" t="s">
        <v>13150</v>
      </c>
      <c r="K4105" s="343" t="s">
        <v>248</v>
      </c>
    </row>
    <row r="4106" spans="1:11" ht="26.25" customHeight="1">
      <c r="A4106" s="343" t="s">
        <v>6104</v>
      </c>
      <c r="B4106" s="344" t="s">
        <v>162</v>
      </c>
      <c r="C4106" s="344">
        <v>7481</v>
      </c>
      <c r="D4106" s="343" t="s">
        <v>6152</v>
      </c>
      <c r="E4106" s="344">
        <v>6735124</v>
      </c>
      <c r="F4106" s="343" t="s">
        <v>13151</v>
      </c>
      <c r="G4106" s="360" t="s">
        <v>13152</v>
      </c>
      <c r="H4106" s="361">
        <v>43335</v>
      </c>
      <c r="I4106" s="343" t="s">
        <v>4190</v>
      </c>
      <c r="J4106" s="343" t="s">
        <v>13153</v>
      </c>
      <c r="K4106" s="343" t="s">
        <v>168</v>
      </c>
    </row>
    <row r="4107" spans="1:11" ht="26.25" customHeight="1">
      <c r="A4107" s="343" t="s">
        <v>6104</v>
      </c>
      <c r="B4107" s="344" t="s">
        <v>162</v>
      </c>
      <c r="C4107" s="344">
        <v>6667</v>
      </c>
      <c r="D4107" s="343" t="s">
        <v>8032</v>
      </c>
      <c r="E4107" s="344">
        <v>7024828</v>
      </c>
      <c r="F4107" s="343" t="s">
        <v>13154</v>
      </c>
      <c r="G4107" s="360" t="s">
        <v>13155</v>
      </c>
      <c r="H4107" s="361">
        <v>43335</v>
      </c>
      <c r="I4107" s="343" t="s">
        <v>193</v>
      </c>
      <c r="J4107" s="343" t="s">
        <v>509</v>
      </c>
      <c r="K4107" s="343" t="s">
        <v>168</v>
      </c>
    </row>
    <row r="4108" spans="1:11" ht="26.25" customHeight="1">
      <c r="A4108" s="343" t="s">
        <v>6104</v>
      </c>
      <c r="B4108" s="344" t="s">
        <v>162</v>
      </c>
      <c r="C4108" s="344">
        <v>6680</v>
      </c>
      <c r="D4108" s="343" t="s">
        <v>6346</v>
      </c>
      <c r="E4108" s="344">
        <v>5774221</v>
      </c>
      <c r="F4108" s="343" t="s">
        <v>13156</v>
      </c>
      <c r="G4108" s="360" t="s">
        <v>9443</v>
      </c>
      <c r="H4108" s="361">
        <v>43335</v>
      </c>
      <c r="I4108" s="343" t="s">
        <v>1082</v>
      </c>
      <c r="J4108" s="343" t="s">
        <v>13157</v>
      </c>
      <c r="K4108" s="343" t="s">
        <v>248</v>
      </c>
    </row>
    <row r="4109" spans="1:11" ht="26.25" customHeight="1">
      <c r="A4109" s="343" t="s">
        <v>6104</v>
      </c>
      <c r="B4109" s="344" t="s">
        <v>162</v>
      </c>
      <c r="C4109" s="344">
        <v>8804</v>
      </c>
      <c r="D4109" s="343" t="s">
        <v>6174</v>
      </c>
      <c r="E4109" s="344">
        <v>7039229</v>
      </c>
      <c r="F4109" s="343" t="s">
        <v>13158</v>
      </c>
      <c r="G4109" s="360" t="s">
        <v>13159</v>
      </c>
      <c r="H4109" s="361">
        <v>43336</v>
      </c>
      <c r="I4109" s="343" t="s">
        <v>305</v>
      </c>
      <c r="J4109" s="343" t="s">
        <v>13160</v>
      </c>
      <c r="K4109" s="343" t="s">
        <v>168</v>
      </c>
    </row>
    <row r="4110" spans="1:11" ht="26.25" customHeight="1">
      <c r="A4110" s="343" t="s">
        <v>6104</v>
      </c>
      <c r="B4110" s="344" t="s">
        <v>162</v>
      </c>
      <c r="C4110" s="344">
        <v>6681</v>
      </c>
      <c r="D4110" s="343" t="s">
        <v>6342</v>
      </c>
      <c r="E4110" s="344">
        <v>5967350</v>
      </c>
      <c r="F4110" s="343" t="s">
        <v>13161</v>
      </c>
      <c r="G4110" s="360" t="s">
        <v>10597</v>
      </c>
      <c r="H4110" s="361">
        <v>43336</v>
      </c>
      <c r="I4110" s="343" t="s">
        <v>547</v>
      </c>
      <c r="J4110" s="343" t="s">
        <v>1028</v>
      </c>
      <c r="K4110" s="343" t="s">
        <v>248</v>
      </c>
    </row>
    <row r="4111" spans="1:11" ht="26.25" customHeight="1">
      <c r="A4111" s="343" t="s">
        <v>6104</v>
      </c>
      <c r="B4111" s="344" t="s">
        <v>162</v>
      </c>
      <c r="C4111" s="344">
        <v>6679</v>
      </c>
      <c r="D4111" s="343" t="s">
        <v>6351</v>
      </c>
      <c r="E4111" s="344">
        <v>6444293</v>
      </c>
      <c r="F4111" s="343" t="s">
        <v>13162</v>
      </c>
      <c r="G4111" s="360" t="s">
        <v>9501</v>
      </c>
      <c r="H4111" s="361">
        <v>43336</v>
      </c>
      <c r="I4111" s="343" t="s">
        <v>275</v>
      </c>
      <c r="J4111" s="343" t="s">
        <v>13163</v>
      </c>
      <c r="K4111" s="343" t="s">
        <v>168</v>
      </c>
    </row>
    <row r="4112" spans="1:11" ht="26.25" customHeight="1">
      <c r="A4112" s="343" t="s">
        <v>6104</v>
      </c>
      <c r="B4112" s="344" t="s">
        <v>162</v>
      </c>
      <c r="C4112" s="344">
        <v>7545</v>
      </c>
      <c r="D4112" s="343" t="s">
        <v>6145</v>
      </c>
      <c r="E4112" s="344">
        <v>6905365</v>
      </c>
      <c r="F4112" s="343" t="s">
        <v>13164</v>
      </c>
      <c r="G4112" s="360" t="s">
        <v>13120</v>
      </c>
      <c r="H4112" s="361">
        <v>43336</v>
      </c>
      <c r="I4112" s="343" t="s">
        <v>166</v>
      </c>
      <c r="J4112" s="343" t="s">
        <v>327</v>
      </c>
      <c r="K4112" s="343" t="s">
        <v>168</v>
      </c>
    </row>
    <row r="4113" spans="1:11" ht="26.25" customHeight="1">
      <c r="A4113" s="343" t="s">
        <v>6104</v>
      </c>
      <c r="B4113" s="344" t="s">
        <v>162</v>
      </c>
      <c r="C4113" s="344">
        <v>7486</v>
      </c>
      <c r="D4113" s="343" t="s">
        <v>6177</v>
      </c>
      <c r="E4113" s="344">
        <v>6899968</v>
      </c>
      <c r="F4113" s="343" t="s">
        <v>8053</v>
      </c>
      <c r="G4113" s="360" t="s">
        <v>13165</v>
      </c>
      <c r="H4113" s="361">
        <v>43340</v>
      </c>
      <c r="I4113" s="343" t="s">
        <v>13166</v>
      </c>
      <c r="J4113" s="343" t="s">
        <v>13167</v>
      </c>
      <c r="K4113" s="343" t="s">
        <v>168</v>
      </c>
    </row>
    <row r="4114" spans="1:11" ht="26.25" customHeight="1">
      <c r="A4114" s="343" t="s">
        <v>6104</v>
      </c>
      <c r="B4114" s="344" t="s">
        <v>162</v>
      </c>
      <c r="C4114" s="344">
        <v>6818</v>
      </c>
      <c r="D4114" s="343" t="s">
        <v>6347</v>
      </c>
      <c r="E4114" s="344">
        <v>5908473</v>
      </c>
      <c r="F4114" s="343" t="s">
        <v>7116</v>
      </c>
      <c r="G4114" s="360" t="s">
        <v>10534</v>
      </c>
      <c r="H4114" s="361">
        <v>43340</v>
      </c>
      <c r="I4114" s="343" t="s">
        <v>7246</v>
      </c>
      <c r="J4114" s="343" t="s">
        <v>7246</v>
      </c>
      <c r="K4114" s="343" t="s">
        <v>168</v>
      </c>
    </row>
    <row r="4115" spans="1:11" ht="26.25" customHeight="1">
      <c r="A4115" s="343" t="s">
        <v>6104</v>
      </c>
      <c r="B4115" s="344" t="s">
        <v>162</v>
      </c>
      <c r="C4115" s="344">
        <v>7520</v>
      </c>
      <c r="D4115" s="343" t="s">
        <v>6114</v>
      </c>
      <c r="E4115" s="344">
        <v>6980996</v>
      </c>
      <c r="F4115" s="343" t="s">
        <v>13168</v>
      </c>
      <c r="G4115" s="360" t="s">
        <v>10249</v>
      </c>
      <c r="H4115" s="361">
        <v>43343</v>
      </c>
      <c r="I4115" s="343" t="s">
        <v>193</v>
      </c>
      <c r="J4115" s="343" t="s">
        <v>13169</v>
      </c>
      <c r="K4115" s="343" t="s">
        <v>168</v>
      </c>
    </row>
    <row r="4116" spans="1:11" ht="26.25" customHeight="1">
      <c r="A4116" s="343" t="s">
        <v>6104</v>
      </c>
      <c r="B4116" s="344" t="s">
        <v>162</v>
      </c>
      <c r="C4116" s="344">
        <v>9179</v>
      </c>
      <c r="D4116" s="343" t="s">
        <v>8929</v>
      </c>
      <c r="E4116" s="344">
        <v>6484263</v>
      </c>
      <c r="F4116" s="343" t="s">
        <v>13170</v>
      </c>
      <c r="G4116" s="360" t="s">
        <v>10054</v>
      </c>
      <c r="H4116" s="361">
        <v>43343</v>
      </c>
      <c r="I4116" s="343" t="s">
        <v>238</v>
      </c>
      <c r="J4116" s="343" t="s">
        <v>13171</v>
      </c>
      <c r="K4116" s="343" t="s">
        <v>173</v>
      </c>
    </row>
    <row r="4117" spans="1:11" ht="26.25" customHeight="1">
      <c r="A4117" s="343" t="s">
        <v>6434</v>
      </c>
      <c r="B4117" s="344" t="s">
        <v>162</v>
      </c>
      <c r="C4117" s="344">
        <v>12911</v>
      </c>
      <c r="D4117" s="343" t="s">
        <v>6639</v>
      </c>
      <c r="E4117" s="344">
        <v>6042238</v>
      </c>
      <c r="F4117" s="343" t="s">
        <v>6640</v>
      </c>
      <c r="G4117" s="360" t="s">
        <v>13172</v>
      </c>
      <c r="H4117" s="361">
        <v>42164</v>
      </c>
      <c r="I4117" s="343" t="s">
        <v>547</v>
      </c>
      <c r="J4117" s="343" t="s">
        <v>1028</v>
      </c>
      <c r="K4117" s="343" t="s">
        <v>248</v>
      </c>
    </row>
    <row r="4118" spans="1:11" ht="26.25" customHeight="1">
      <c r="A4118" s="343" t="s">
        <v>6434</v>
      </c>
      <c r="B4118" s="344" t="s">
        <v>162</v>
      </c>
      <c r="C4118" s="344">
        <v>11318</v>
      </c>
      <c r="D4118" s="343" t="s">
        <v>6899</v>
      </c>
      <c r="E4118" s="344">
        <v>5599332</v>
      </c>
      <c r="F4118" s="343" t="s">
        <v>6910</v>
      </c>
      <c r="G4118" s="360" t="s">
        <v>13173</v>
      </c>
      <c r="H4118" s="361">
        <v>42130</v>
      </c>
      <c r="I4118" s="343" t="s">
        <v>366</v>
      </c>
      <c r="J4118" s="343" t="s">
        <v>13174</v>
      </c>
      <c r="K4118" s="343" t="s">
        <v>168</v>
      </c>
    </row>
    <row r="4119" spans="1:11" ht="26.25" customHeight="1">
      <c r="A4119" s="343" t="s">
        <v>6434</v>
      </c>
      <c r="B4119" s="344" t="s">
        <v>162</v>
      </c>
      <c r="C4119" s="344">
        <v>11348</v>
      </c>
      <c r="D4119" s="343" t="s">
        <v>6802</v>
      </c>
      <c r="E4119" s="344">
        <v>5117061</v>
      </c>
      <c r="F4119" s="343" t="s">
        <v>6812</v>
      </c>
      <c r="G4119" s="360" t="s">
        <v>13175</v>
      </c>
      <c r="H4119" s="361">
        <v>42163</v>
      </c>
      <c r="I4119" s="343" t="s">
        <v>709</v>
      </c>
      <c r="J4119" s="343" t="s">
        <v>709</v>
      </c>
      <c r="K4119" s="343" t="s">
        <v>173</v>
      </c>
    </row>
    <row r="4120" spans="1:11" ht="26.25" customHeight="1">
      <c r="A4120" s="343" t="s">
        <v>6434</v>
      </c>
      <c r="B4120" s="344" t="s">
        <v>162</v>
      </c>
      <c r="C4120" s="344">
        <v>11680</v>
      </c>
      <c r="D4120" s="343" t="s">
        <v>6513</v>
      </c>
      <c r="E4120" s="344">
        <v>6142299</v>
      </c>
      <c r="F4120" s="343" t="s">
        <v>6522</v>
      </c>
      <c r="G4120" s="360" t="s">
        <v>12465</v>
      </c>
      <c r="H4120" s="361">
        <v>42083</v>
      </c>
      <c r="I4120" s="343" t="s">
        <v>284</v>
      </c>
      <c r="J4120" s="343" t="s">
        <v>13176</v>
      </c>
      <c r="K4120" s="343" t="s">
        <v>168</v>
      </c>
    </row>
    <row r="4121" spans="1:11" ht="26.25" customHeight="1">
      <c r="A4121" s="343" t="s">
        <v>6434</v>
      </c>
      <c r="B4121" s="344" t="s">
        <v>162</v>
      </c>
      <c r="C4121" s="344">
        <v>11449</v>
      </c>
      <c r="D4121" s="343" t="s">
        <v>6784</v>
      </c>
      <c r="E4121" s="344">
        <v>6009481</v>
      </c>
      <c r="F4121" s="343" t="s">
        <v>6793</v>
      </c>
      <c r="G4121" s="360" t="s">
        <v>13177</v>
      </c>
      <c r="H4121" s="361">
        <v>42188</v>
      </c>
      <c r="I4121" s="343" t="s">
        <v>261</v>
      </c>
      <c r="J4121" s="343" t="s">
        <v>592</v>
      </c>
      <c r="K4121" s="343" t="s">
        <v>168</v>
      </c>
    </row>
    <row r="4122" spans="1:11" ht="26.25" customHeight="1">
      <c r="A4122" s="343" t="s">
        <v>6434</v>
      </c>
      <c r="B4122" s="344" t="s">
        <v>162</v>
      </c>
      <c r="C4122" s="344">
        <v>7201</v>
      </c>
      <c r="D4122" s="343" t="s">
        <v>6727</v>
      </c>
      <c r="E4122" s="344">
        <v>5250988</v>
      </c>
      <c r="F4122" s="343" t="s">
        <v>6734</v>
      </c>
      <c r="G4122" s="360" t="s">
        <v>13178</v>
      </c>
      <c r="H4122" s="361">
        <v>42269</v>
      </c>
      <c r="I4122" s="343" t="s">
        <v>1339</v>
      </c>
      <c r="J4122" s="343" t="s">
        <v>13179</v>
      </c>
      <c r="K4122" s="343" t="s">
        <v>168</v>
      </c>
    </row>
    <row r="4123" spans="1:11" ht="26.25" customHeight="1">
      <c r="A4123" s="343" t="s">
        <v>6434</v>
      </c>
      <c r="B4123" s="344" t="s">
        <v>162</v>
      </c>
      <c r="C4123" s="344">
        <v>11343</v>
      </c>
      <c r="D4123" s="343" t="s">
        <v>6795</v>
      </c>
      <c r="E4123" s="344">
        <v>4805062</v>
      </c>
      <c r="F4123" s="343" t="s">
        <v>6800</v>
      </c>
      <c r="G4123" s="360" t="s">
        <v>13180</v>
      </c>
      <c r="H4123" s="361">
        <v>42156</v>
      </c>
      <c r="I4123" s="343" t="s">
        <v>198</v>
      </c>
      <c r="J4123" s="343" t="s">
        <v>198</v>
      </c>
      <c r="K4123" s="343" t="s">
        <v>168</v>
      </c>
    </row>
    <row r="4124" spans="1:11" ht="26.25" customHeight="1">
      <c r="A4124" s="343" t="s">
        <v>6434</v>
      </c>
      <c r="B4124" s="344" t="s">
        <v>162</v>
      </c>
      <c r="C4124" s="344">
        <v>11349</v>
      </c>
      <c r="D4124" s="343" t="s">
        <v>6813</v>
      </c>
      <c r="E4124" s="344">
        <v>5215057</v>
      </c>
      <c r="F4124" s="343" t="s">
        <v>6814</v>
      </c>
      <c r="G4124" s="360" t="s">
        <v>11382</v>
      </c>
      <c r="H4124" s="361">
        <v>42332</v>
      </c>
      <c r="I4124" s="343" t="s">
        <v>6815</v>
      </c>
      <c r="J4124" s="343" t="s">
        <v>13181</v>
      </c>
      <c r="K4124" s="343" t="s">
        <v>173</v>
      </c>
    </row>
    <row r="4125" spans="1:11" ht="26.25" customHeight="1">
      <c r="A4125" s="343" t="s">
        <v>6434</v>
      </c>
      <c r="B4125" s="344" t="s">
        <v>162</v>
      </c>
      <c r="C4125" s="344">
        <v>11449</v>
      </c>
      <c r="D4125" s="343" t="s">
        <v>6784</v>
      </c>
      <c r="E4125" s="344">
        <v>5521944</v>
      </c>
      <c r="F4125" s="343" t="s">
        <v>6787</v>
      </c>
      <c r="G4125" s="360" t="s">
        <v>13182</v>
      </c>
      <c r="H4125" s="361">
        <v>42332</v>
      </c>
      <c r="I4125" s="343" t="s">
        <v>166</v>
      </c>
      <c r="J4125" s="343" t="s">
        <v>344</v>
      </c>
      <c r="K4125" s="343" t="s">
        <v>168</v>
      </c>
    </row>
    <row r="4126" spans="1:11" ht="26.25" customHeight="1">
      <c r="A4126" s="343" t="s">
        <v>6434</v>
      </c>
      <c r="B4126" s="344" t="s">
        <v>162</v>
      </c>
      <c r="C4126" s="344">
        <v>12911</v>
      </c>
      <c r="D4126" s="343" t="s">
        <v>6639</v>
      </c>
      <c r="E4126" s="344">
        <v>4202539</v>
      </c>
      <c r="F4126" s="343" t="s">
        <v>6655</v>
      </c>
      <c r="G4126" s="360" t="s">
        <v>13183</v>
      </c>
      <c r="H4126" s="361">
        <v>42276</v>
      </c>
      <c r="I4126" s="343" t="s">
        <v>261</v>
      </c>
      <c r="J4126" s="343" t="s">
        <v>592</v>
      </c>
      <c r="K4126" s="343" t="s">
        <v>168</v>
      </c>
    </row>
    <row r="4127" spans="1:11" ht="26.25" customHeight="1">
      <c r="A4127" s="343" t="s">
        <v>6434</v>
      </c>
      <c r="B4127" s="344" t="s">
        <v>162</v>
      </c>
      <c r="C4127" s="344">
        <v>9711</v>
      </c>
      <c r="D4127" s="343" t="s">
        <v>6759</v>
      </c>
      <c r="E4127" s="344">
        <v>4443370</v>
      </c>
      <c r="F4127" s="343" t="s">
        <v>6760</v>
      </c>
      <c r="G4127" s="360" t="s">
        <v>12404</v>
      </c>
      <c r="H4127" s="361">
        <v>42272</v>
      </c>
      <c r="I4127" s="343" t="s">
        <v>211</v>
      </c>
      <c r="J4127" s="343" t="s">
        <v>13184</v>
      </c>
      <c r="K4127" s="343" t="s">
        <v>168</v>
      </c>
    </row>
    <row r="4128" spans="1:11" ht="26.25" customHeight="1">
      <c r="A4128" s="343" t="s">
        <v>6434</v>
      </c>
      <c r="B4128" s="344" t="s">
        <v>162</v>
      </c>
      <c r="C4128" s="344">
        <v>11446</v>
      </c>
      <c r="D4128" s="343" t="s">
        <v>6555</v>
      </c>
      <c r="E4128" s="344">
        <v>4595761</v>
      </c>
      <c r="F4128" s="343" t="s">
        <v>6557</v>
      </c>
      <c r="G4128" s="360" t="s">
        <v>13185</v>
      </c>
      <c r="H4128" s="361">
        <v>42339</v>
      </c>
      <c r="I4128" s="343" t="s">
        <v>709</v>
      </c>
      <c r="J4128" s="343" t="s">
        <v>13186</v>
      </c>
      <c r="K4128" s="343" t="s">
        <v>168</v>
      </c>
    </row>
    <row r="4129" spans="1:11" ht="26.25" customHeight="1">
      <c r="A4129" s="343" t="s">
        <v>6434</v>
      </c>
      <c r="B4129" s="344" t="s">
        <v>162</v>
      </c>
      <c r="C4129" s="344">
        <v>11339</v>
      </c>
      <c r="D4129" s="343" t="s">
        <v>6689</v>
      </c>
      <c r="E4129" s="344">
        <v>5279955</v>
      </c>
      <c r="F4129" s="343" t="s">
        <v>6691</v>
      </c>
      <c r="G4129" s="360" t="s">
        <v>13187</v>
      </c>
      <c r="H4129" s="361">
        <v>42223</v>
      </c>
      <c r="I4129" s="343" t="s">
        <v>166</v>
      </c>
      <c r="J4129" s="343" t="s">
        <v>13188</v>
      </c>
      <c r="K4129" s="343" t="s">
        <v>168</v>
      </c>
    </row>
    <row r="4130" spans="1:11" ht="26.25" customHeight="1">
      <c r="A4130" s="343" t="s">
        <v>6434</v>
      </c>
      <c r="B4130" s="344" t="s">
        <v>162</v>
      </c>
      <c r="C4130" s="344">
        <v>11318</v>
      </c>
      <c r="D4130" s="343" t="s">
        <v>6899</v>
      </c>
      <c r="E4130" s="344">
        <v>5600410</v>
      </c>
      <c r="F4130" s="343" t="s">
        <v>6903</v>
      </c>
      <c r="G4130" s="360" t="s">
        <v>13189</v>
      </c>
      <c r="H4130" s="361">
        <v>42286</v>
      </c>
      <c r="I4130" s="343" t="s">
        <v>366</v>
      </c>
      <c r="J4130" s="343" t="s">
        <v>366</v>
      </c>
      <c r="K4130" s="343" t="s">
        <v>168</v>
      </c>
    </row>
    <row r="4131" spans="1:11" ht="26.25" customHeight="1">
      <c r="A4131" s="343" t="s">
        <v>6434</v>
      </c>
      <c r="B4131" s="344" t="s">
        <v>162</v>
      </c>
      <c r="C4131" s="344">
        <v>12037</v>
      </c>
      <c r="D4131" s="343" t="s">
        <v>6707</v>
      </c>
      <c r="E4131" s="344">
        <v>4733565</v>
      </c>
      <c r="F4131" s="343" t="s">
        <v>6712</v>
      </c>
      <c r="G4131" s="360" t="s">
        <v>12538</v>
      </c>
      <c r="H4131" s="361">
        <v>42192</v>
      </c>
      <c r="I4131" s="343" t="s">
        <v>5091</v>
      </c>
      <c r="J4131" s="343" t="s">
        <v>13190</v>
      </c>
      <c r="K4131" s="343" t="s">
        <v>168</v>
      </c>
    </row>
    <row r="4132" spans="1:11" ht="26.25" customHeight="1">
      <c r="A4132" s="343" t="s">
        <v>6434</v>
      </c>
      <c r="B4132" s="344" t="s">
        <v>162</v>
      </c>
      <c r="C4132" s="344">
        <v>12911</v>
      </c>
      <c r="D4132" s="343" t="s">
        <v>6639</v>
      </c>
      <c r="E4132" s="344">
        <v>4701313</v>
      </c>
      <c r="F4132" s="343" t="s">
        <v>6649</v>
      </c>
      <c r="G4132" s="360" t="s">
        <v>13191</v>
      </c>
      <c r="H4132" s="361">
        <v>42191</v>
      </c>
      <c r="I4132" s="343" t="s">
        <v>4108</v>
      </c>
      <c r="J4132" s="343" t="s">
        <v>10303</v>
      </c>
      <c r="K4132" s="343" t="s">
        <v>168</v>
      </c>
    </row>
    <row r="4133" spans="1:11" ht="26.25" customHeight="1">
      <c r="A4133" s="343" t="s">
        <v>6434</v>
      </c>
      <c r="B4133" s="344" t="s">
        <v>162</v>
      </c>
      <c r="C4133" s="344">
        <v>12911</v>
      </c>
      <c r="D4133" s="343" t="s">
        <v>6639</v>
      </c>
      <c r="E4133" s="344">
        <v>4748477</v>
      </c>
      <c r="F4133" s="343" t="s">
        <v>4654</v>
      </c>
      <c r="G4133" s="360" t="s">
        <v>13192</v>
      </c>
      <c r="H4133" s="361">
        <v>42191</v>
      </c>
      <c r="I4133" s="343" t="s">
        <v>271</v>
      </c>
      <c r="J4133" s="343" t="s">
        <v>13193</v>
      </c>
      <c r="K4133" s="343" t="s">
        <v>168</v>
      </c>
    </row>
    <row r="4134" spans="1:11" ht="26.25" customHeight="1">
      <c r="A4134" s="343" t="s">
        <v>6434</v>
      </c>
      <c r="B4134" s="344" t="s">
        <v>162</v>
      </c>
      <c r="C4134" s="344">
        <v>11331</v>
      </c>
      <c r="D4134" s="343" t="s">
        <v>6592</v>
      </c>
      <c r="E4134" s="344">
        <v>3481559</v>
      </c>
      <c r="F4134" s="343" t="s">
        <v>6594</v>
      </c>
      <c r="G4134" s="360" t="s">
        <v>13194</v>
      </c>
      <c r="H4134" s="361">
        <v>42187</v>
      </c>
      <c r="I4134" s="343" t="s">
        <v>709</v>
      </c>
      <c r="J4134" s="343" t="s">
        <v>9629</v>
      </c>
      <c r="K4134" s="343" t="s">
        <v>168</v>
      </c>
    </row>
    <row r="4135" spans="1:11" ht="26.25" customHeight="1">
      <c r="A4135" s="343" t="s">
        <v>6434</v>
      </c>
      <c r="B4135" s="344" t="s">
        <v>162</v>
      </c>
      <c r="C4135" s="344">
        <v>11331</v>
      </c>
      <c r="D4135" s="343" t="s">
        <v>6592</v>
      </c>
      <c r="E4135" s="344">
        <v>4936890</v>
      </c>
      <c r="F4135" s="343" t="s">
        <v>6595</v>
      </c>
      <c r="G4135" s="360" t="s">
        <v>13195</v>
      </c>
      <c r="H4135" s="361">
        <v>42187</v>
      </c>
      <c r="I4135" s="343" t="s">
        <v>198</v>
      </c>
      <c r="J4135" s="343" t="s">
        <v>9683</v>
      </c>
      <c r="K4135" s="343" t="s">
        <v>168</v>
      </c>
    </row>
    <row r="4136" spans="1:11" ht="26.25" customHeight="1">
      <c r="A4136" s="343" t="s">
        <v>6434</v>
      </c>
      <c r="B4136" s="344" t="s">
        <v>162</v>
      </c>
      <c r="C4136" s="344">
        <v>7197</v>
      </c>
      <c r="D4136" s="343" t="s">
        <v>6716</v>
      </c>
      <c r="E4136" s="344">
        <v>4606843</v>
      </c>
      <c r="F4136" s="343" t="s">
        <v>6718</v>
      </c>
      <c r="G4136" s="360" t="s">
        <v>13196</v>
      </c>
      <c r="H4136" s="361">
        <v>42340</v>
      </c>
      <c r="I4136" s="343" t="s">
        <v>366</v>
      </c>
      <c r="J4136" s="343" t="s">
        <v>366</v>
      </c>
      <c r="K4136" s="343" t="s">
        <v>168</v>
      </c>
    </row>
    <row r="4137" spans="1:11" ht="26.25" customHeight="1">
      <c r="A4137" s="343" t="s">
        <v>6434</v>
      </c>
      <c r="B4137" s="344" t="s">
        <v>162</v>
      </c>
      <c r="C4137" s="344">
        <v>11348</v>
      </c>
      <c r="D4137" s="343" t="s">
        <v>6802</v>
      </c>
      <c r="E4137" s="344">
        <v>4717244</v>
      </c>
      <c r="F4137" s="343" t="s">
        <v>6810</v>
      </c>
      <c r="G4137" s="360" t="s">
        <v>12821</v>
      </c>
      <c r="H4137" s="361">
        <v>42293</v>
      </c>
      <c r="I4137" s="343" t="s">
        <v>366</v>
      </c>
      <c r="J4137" s="343" t="s">
        <v>13197</v>
      </c>
      <c r="K4137" s="343" t="s">
        <v>168</v>
      </c>
    </row>
    <row r="4138" spans="1:11" ht="26.25" customHeight="1">
      <c r="A4138" s="343" t="s">
        <v>6434</v>
      </c>
      <c r="B4138" s="344" t="s">
        <v>162</v>
      </c>
      <c r="C4138" s="344">
        <v>7201</v>
      </c>
      <c r="D4138" s="343" t="s">
        <v>6727</v>
      </c>
      <c r="E4138" s="344">
        <v>5606931</v>
      </c>
      <c r="F4138" s="343" t="s">
        <v>6729</v>
      </c>
      <c r="G4138" s="360" t="s">
        <v>13198</v>
      </c>
      <c r="H4138" s="361">
        <v>42269</v>
      </c>
      <c r="I4138" s="343" t="s">
        <v>301</v>
      </c>
      <c r="J4138" s="343" t="s">
        <v>12289</v>
      </c>
      <c r="K4138" s="343" t="s">
        <v>168</v>
      </c>
    </row>
    <row r="4139" spans="1:11" ht="26.25" customHeight="1">
      <c r="A4139" s="343" t="s">
        <v>6434</v>
      </c>
      <c r="B4139" s="344" t="s">
        <v>162</v>
      </c>
      <c r="C4139" s="344">
        <v>11336</v>
      </c>
      <c r="D4139" s="343" t="s">
        <v>6657</v>
      </c>
      <c r="E4139" s="344">
        <v>4945597</v>
      </c>
      <c r="F4139" s="343" t="s">
        <v>6661</v>
      </c>
      <c r="G4139" s="360" t="s">
        <v>13199</v>
      </c>
      <c r="H4139" s="361">
        <v>42185</v>
      </c>
      <c r="I4139" s="343" t="s">
        <v>709</v>
      </c>
      <c r="J4139" s="343" t="s">
        <v>9629</v>
      </c>
      <c r="K4139" s="343" t="s">
        <v>168</v>
      </c>
    </row>
    <row r="4140" spans="1:11" ht="26.25" customHeight="1">
      <c r="A4140" s="343" t="s">
        <v>6434</v>
      </c>
      <c r="B4140" s="344" t="s">
        <v>162</v>
      </c>
      <c r="C4140" s="344">
        <v>11341</v>
      </c>
      <c r="D4140" s="343" t="s">
        <v>6704</v>
      </c>
      <c r="E4140" s="344">
        <v>5103173</v>
      </c>
      <c r="F4140" s="343" t="s">
        <v>6706</v>
      </c>
      <c r="G4140" s="360" t="s">
        <v>13200</v>
      </c>
      <c r="H4140" s="361">
        <v>42185</v>
      </c>
      <c r="I4140" s="343" t="s">
        <v>366</v>
      </c>
      <c r="J4140" s="343" t="s">
        <v>366</v>
      </c>
      <c r="K4140" s="343" t="s">
        <v>168</v>
      </c>
    </row>
    <row r="4141" spans="1:11" ht="26.25" customHeight="1">
      <c r="A4141" s="343" t="s">
        <v>6434</v>
      </c>
      <c r="B4141" s="344" t="s">
        <v>162</v>
      </c>
      <c r="C4141" s="344">
        <v>12263</v>
      </c>
      <c r="D4141" s="343" t="s">
        <v>6601</v>
      </c>
      <c r="E4141" s="344">
        <v>5523058</v>
      </c>
      <c r="F4141" s="343" t="s">
        <v>6603</v>
      </c>
      <c r="G4141" s="360" t="s">
        <v>11307</v>
      </c>
      <c r="H4141" s="361">
        <v>42156</v>
      </c>
      <c r="I4141" s="343" t="s">
        <v>211</v>
      </c>
      <c r="J4141" s="343" t="s">
        <v>211</v>
      </c>
      <c r="K4141" s="343" t="s">
        <v>168</v>
      </c>
    </row>
    <row r="4142" spans="1:11" ht="26.25" customHeight="1">
      <c r="A4142" s="343" t="s">
        <v>6434</v>
      </c>
      <c r="B4142" s="344" t="s">
        <v>162</v>
      </c>
      <c r="C4142" s="344">
        <v>11343</v>
      </c>
      <c r="D4142" s="343" t="s">
        <v>6795</v>
      </c>
      <c r="E4142" s="344">
        <v>5595248</v>
      </c>
      <c r="F4142" s="343" t="s">
        <v>6798</v>
      </c>
      <c r="G4142" s="360" t="s">
        <v>13201</v>
      </c>
      <c r="H4142" s="361">
        <v>42156</v>
      </c>
      <c r="I4142" s="343" t="s">
        <v>6799</v>
      </c>
      <c r="J4142" s="343" t="s">
        <v>13202</v>
      </c>
      <c r="K4142" s="343" t="s">
        <v>168</v>
      </c>
    </row>
    <row r="4143" spans="1:11" ht="26.25" customHeight="1">
      <c r="A4143" s="343" t="s">
        <v>6434</v>
      </c>
      <c r="B4143" s="344" t="s">
        <v>162</v>
      </c>
      <c r="C4143" s="344">
        <v>11336</v>
      </c>
      <c r="D4143" s="343" t="s">
        <v>6657</v>
      </c>
      <c r="E4143" s="344">
        <v>4939650</v>
      </c>
      <c r="F4143" s="343" t="s">
        <v>6664</v>
      </c>
      <c r="G4143" s="360" t="s">
        <v>10055</v>
      </c>
      <c r="H4143" s="361">
        <v>42178</v>
      </c>
      <c r="I4143" s="343" t="s">
        <v>4108</v>
      </c>
      <c r="J4143" s="343" t="s">
        <v>10303</v>
      </c>
      <c r="K4143" s="343" t="s">
        <v>168</v>
      </c>
    </row>
    <row r="4144" spans="1:11" ht="26.25" customHeight="1">
      <c r="A4144" s="343" t="s">
        <v>6434</v>
      </c>
      <c r="B4144" s="344" t="s">
        <v>162</v>
      </c>
      <c r="C4144" s="344">
        <v>11343</v>
      </c>
      <c r="D4144" s="343" t="s">
        <v>6795</v>
      </c>
      <c r="E4144" s="344">
        <v>5671886</v>
      </c>
      <c r="F4144" s="343" t="s">
        <v>6797</v>
      </c>
      <c r="G4144" s="360" t="s">
        <v>10533</v>
      </c>
      <c r="H4144" s="361">
        <v>42156</v>
      </c>
      <c r="I4144" s="343" t="s">
        <v>4017</v>
      </c>
      <c r="J4144" s="343" t="s">
        <v>10294</v>
      </c>
      <c r="K4144" s="343" t="s">
        <v>168</v>
      </c>
    </row>
    <row r="4145" spans="1:11" ht="26.25" customHeight="1">
      <c r="A4145" s="343" t="s">
        <v>6434</v>
      </c>
      <c r="B4145" s="344" t="s">
        <v>162</v>
      </c>
      <c r="C4145" s="344">
        <v>7202</v>
      </c>
      <c r="D4145" s="343" t="s">
        <v>6550</v>
      </c>
      <c r="E4145" s="344">
        <v>4729391</v>
      </c>
      <c r="F4145" s="343" t="s">
        <v>6553</v>
      </c>
      <c r="G4145" s="360" t="s">
        <v>12415</v>
      </c>
      <c r="H4145" s="361">
        <v>42167</v>
      </c>
      <c r="I4145" s="343" t="s">
        <v>211</v>
      </c>
      <c r="J4145" s="343" t="s">
        <v>211</v>
      </c>
      <c r="K4145" s="343" t="s">
        <v>168</v>
      </c>
    </row>
    <row r="4146" spans="1:11" ht="26.25" customHeight="1">
      <c r="A4146" s="343" t="s">
        <v>6434</v>
      </c>
      <c r="B4146" s="344" t="s">
        <v>162</v>
      </c>
      <c r="C4146" s="344">
        <v>7202</v>
      </c>
      <c r="D4146" s="343" t="s">
        <v>6550</v>
      </c>
      <c r="E4146" s="344">
        <v>5079260</v>
      </c>
      <c r="F4146" s="343" t="s">
        <v>6554</v>
      </c>
      <c r="G4146" s="360" t="s">
        <v>13203</v>
      </c>
      <c r="H4146" s="361">
        <v>42158</v>
      </c>
      <c r="I4146" s="343" t="s">
        <v>166</v>
      </c>
      <c r="J4146" s="343" t="s">
        <v>13204</v>
      </c>
      <c r="K4146" s="343" t="s">
        <v>168</v>
      </c>
    </row>
    <row r="4147" spans="1:11" ht="26.25" customHeight="1">
      <c r="A4147" s="343" t="s">
        <v>6434</v>
      </c>
      <c r="B4147" s="344" t="s">
        <v>162</v>
      </c>
      <c r="C4147" s="344">
        <v>9294</v>
      </c>
      <c r="D4147" s="343" t="s">
        <v>6630</v>
      </c>
      <c r="E4147" s="344">
        <v>4660736</v>
      </c>
      <c r="F4147" s="343" t="s">
        <v>6631</v>
      </c>
      <c r="G4147" s="360" t="s">
        <v>10393</v>
      </c>
      <c r="H4147" s="361">
        <v>42167</v>
      </c>
      <c r="I4147" s="343" t="s">
        <v>6632</v>
      </c>
      <c r="J4147" s="343" t="s">
        <v>13205</v>
      </c>
      <c r="K4147" s="343" t="s">
        <v>168</v>
      </c>
    </row>
    <row r="4148" spans="1:11" ht="26.25" customHeight="1">
      <c r="A4148" s="343" t="s">
        <v>6434</v>
      </c>
      <c r="B4148" s="344" t="s">
        <v>162</v>
      </c>
      <c r="C4148" s="344">
        <v>12037</v>
      </c>
      <c r="D4148" s="343" t="s">
        <v>6707</v>
      </c>
      <c r="E4148" s="344">
        <v>4360112</v>
      </c>
      <c r="F4148" s="343" t="s">
        <v>6710</v>
      </c>
      <c r="G4148" s="360" t="s">
        <v>11930</v>
      </c>
      <c r="H4148" s="361">
        <v>42164</v>
      </c>
      <c r="I4148" s="343" t="s">
        <v>198</v>
      </c>
      <c r="J4148" s="343" t="s">
        <v>198</v>
      </c>
      <c r="K4148" s="343" t="s">
        <v>168</v>
      </c>
    </row>
    <row r="4149" spans="1:11" ht="26.25" customHeight="1">
      <c r="A4149" s="343" t="s">
        <v>6434</v>
      </c>
      <c r="B4149" s="344" t="s">
        <v>162</v>
      </c>
      <c r="C4149" s="344">
        <v>9294</v>
      </c>
      <c r="D4149" s="343" t="s">
        <v>6630</v>
      </c>
      <c r="E4149" s="344">
        <v>5120328</v>
      </c>
      <c r="F4149" s="343" t="s">
        <v>6634</v>
      </c>
      <c r="G4149" s="360" t="s">
        <v>13206</v>
      </c>
      <c r="H4149" s="361">
        <v>42163</v>
      </c>
      <c r="I4149" s="343" t="s">
        <v>166</v>
      </c>
      <c r="J4149" s="343" t="s">
        <v>478</v>
      </c>
      <c r="K4149" s="343" t="s">
        <v>168</v>
      </c>
    </row>
    <row r="4150" spans="1:11" ht="26.25" customHeight="1">
      <c r="A4150" s="343" t="s">
        <v>6434</v>
      </c>
      <c r="B4150" s="344" t="s">
        <v>162</v>
      </c>
      <c r="C4150" s="344">
        <v>11680</v>
      </c>
      <c r="D4150" s="343" t="s">
        <v>6513</v>
      </c>
      <c r="E4150" s="344">
        <v>6142312</v>
      </c>
      <c r="F4150" s="343" t="s">
        <v>6518</v>
      </c>
      <c r="G4150" s="360" t="s">
        <v>12465</v>
      </c>
      <c r="H4150" s="361">
        <v>42083</v>
      </c>
      <c r="I4150" s="343" t="s">
        <v>284</v>
      </c>
      <c r="J4150" s="343" t="s">
        <v>13207</v>
      </c>
      <c r="K4150" s="343" t="s">
        <v>168</v>
      </c>
    </row>
    <row r="4151" spans="1:11" ht="26.25" customHeight="1">
      <c r="A4151" s="343" t="s">
        <v>6434</v>
      </c>
      <c r="B4151" s="344" t="s">
        <v>162</v>
      </c>
      <c r="C4151" s="344">
        <v>7192</v>
      </c>
      <c r="D4151" s="343" t="s">
        <v>6596</v>
      </c>
      <c r="E4151" s="344">
        <v>5089743</v>
      </c>
      <c r="F4151" s="343" t="s">
        <v>6598</v>
      </c>
      <c r="G4151" s="360" t="s">
        <v>13208</v>
      </c>
      <c r="H4151" s="361">
        <v>42074</v>
      </c>
      <c r="I4151" s="343" t="s">
        <v>709</v>
      </c>
      <c r="J4151" s="343" t="s">
        <v>13209</v>
      </c>
      <c r="K4151" s="343" t="s">
        <v>173</v>
      </c>
    </row>
    <row r="4152" spans="1:11" ht="26.25" customHeight="1">
      <c r="A4152" s="343" t="s">
        <v>6434</v>
      </c>
      <c r="B4152" s="344" t="s">
        <v>162</v>
      </c>
      <c r="C4152" s="344">
        <v>12263</v>
      </c>
      <c r="D4152" s="343" t="s">
        <v>6601</v>
      </c>
      <c r="E4152" s="344">
        <v>5541833</v>
      </c>
      <c r="F4152" s="343" t="s">
        <v>6602</v>
      </c>
      <c r="G4152" s="360" t="s">
        <v>13210</v>
      </c>
      <c r="H4152" s="361">
        <v>42153</v>
      </c>
      <c r="I4152" s="343" t="s">
        <v>193</v>
      </c>
      <c r="J4152" s="343" t="s">
        <v>600</v>
      </c>
      <c r="K4152" s="343" t="s">
        <v>168</v>
      </c>
    </row>
    <row r="4153" spans="1:11" ht="26.25" customHeight="1">
      <c r="A4153" s="343" t="s">
        <v>6434</v>
      </c>
      <c r="B4153" s="344" t="s">
        <v>162</v>
      </c>
      <c r="C4153" s="344">
        <v>7198</v>
      </c>
      <c r="D4153" s="343" t="s">
        <v>6735</v>
      </c>
      <c r="E4153" s="344">
        <v>4871375</v>
      </c>
      <c r="F4153" s="343" t="s">
        <v>6737</v>
      </c>
      <c r="G4153" s="360" t="s">
        <v>11859</v>
      </c>
      <c r="H4153" s="361">
        <v>42138</v>
      </c>
      <c r="I4153" s="343" t="s">
        <v>547</v>
      </c>
      <c r="J4153" s="343" t="s">
        <v>1028</v>
      </c>
      <c r="K4153" s="343" t="s">
        <v>248</v>
      </c>
    </row>
    <row r="4154" spans="1:11" ht="26.25" customHeight="1">
      <c r="A4154" s="343" t="s">
        <v>6434</v>
      </c>
      <c r="B4154" s="344" t="s">
        <v>162</v>
      </c>
      <c r="C4154" s="344">
        <v>11442</v>
      </c>
      <c r="D4154" s="343" t="s">
        <v>6965</v>
      </c>
      <c r="E4154" s="344">
        <v>6038185</v>
      </c>
      <c r="F4154" s="343" t="s">
        <v>6967</v>
      </c>
      <c r="G4154" s="360" t="s">
        <v>13211</v>
      </c>
      <c r="H4154" s="361">
        <v>42138</v>
      </c>
      <c r="I4154" s="343" t="s">
        <v>261</v>
      </c>
      <c r="J4154" s="343" t="s">
        <v>262</v>
      </c>
      <c r="K4154" s="343" t="s">
        <v>168</v>
      </c>
    </row>
    <row r="4155" spans="1:11" ht="26.25" customHeight="1">
      <c r="A4155" s="343" t="s">
        <v>6434</v>
      </c>
      <c r="B4155" s="344" t="s">
        <v>162</v>
      </c>
      <c r="C4155" s="344">
        <v>11349</v>
      </c>
      <c r="D4155" s="343" t="s">
        <v>6813</v>
      </c>
      <c r="E4155" s="344">
        <v>6044965</v>
      </c>
      <c r="F4155" s="343" t="s">
        <v>6817</v>
      </c>
      <c r="G4155" s="360" t="s">
        <v>13212</v>
      </c>
      <c r="H4155" s="361">
        <v>42136</v>
      </c>
      <c r="I4155" s="343" t="s">
        <v>180</v>
      </c>
      <c r="J4155" s="343" t="s">
        <v>13213</v>
      </c>
      <c r="K4155" s="343" t="s">
        <v>173</v>
      </c>
    </row>
    <row r="4156" spans="1:11" ht="26.25" customHeight="1">
      <c r="A4156" s="343" t="s">
        <v>6434</v>
      </c>
      <c r="B4156" s="344" t="s">
        <v>162</v>
      </c>
      <c r="C4156" s="344">
        <v>9294</v>
      </c>
      <c r="D4156" s="343" t="s">
        <v>6630</v>
      </c>
      <c r="E4156" s="344">
        <v>5097148</v>
      </c>
      <c r="F4156" s="343" t="s">
        <v>6635</v>
      </c>
      <c r="G4156" s="360" t="s">
        <v>13214</v>
      </c>
      <c r="H4156" s="361">
        <v>42122</v>
      </c>
      <c r="I4156" s="343" t="s">
        <v>180</v>
      </c>
      <c r="J4156" s="343" t="s">
        <v>13215</v>
      </c>
      <c r="K4156" s="343" t="s">
        <v>173</v>
      </c>
    </row>
    <row r="4157" spans="1:11" ht="26.25" customHeight="1">
      <c r="A4157" s="343" t="s">
        <v>6434</v>
      </c>
      <c r="B4157" s="344" t="s">
        <v>162</v>
      </c>
      <c r="C4157" s="344">
        <v>11446</v>
      </c>
      <c r="D4157" s="343" t="s">
        <v>6555</v>
      </c>
      <c r="E4157" s="344">
        <v>5195980</v>
      </c>
      <c r="F4157" s="343" t="s">
        <v>6558</v>
      </c>
      <c r="G4157" s="360" t="s">
        <v>13216</v>
      </c>
      <c r="H4157" s="361">
        <v>42111</v>
      </c>
      <c r="I4157" s="343" t="s">
        <v>180</v>
      </c>
      <c r="J4157" s="343" t="s">
        <v>13217</v>
      </c>
      <c r="K4157" s="343" t="s">
        <v>173</v>
      </c>
    </row>
    <row r="4158" spans="1:11" ht="26.25" customHeight="1">
      <c r="A4158" s="343" t="s">
        <v>6434</v>
      </c>
      <c r="B4158" s="344" t="s">
        <v>162</v>
      </c>
      <c r="C4158" s="344">
        <v>11332</v>
      </c>
      <c r="D4158" s="343" t="s">
        <v>6609</v>
      </c>
      <c r="E4158" s="344">
        <v>4704976</v>
      </c>
      <c r="F4158" s="343" t="s">
        <v>6614</v>
      </c>
      <c r="G4158" s="360" t="s">
        <v>11941</v>
      </c>
      <c r="H4158" s="361">
        <v>42102</v>
      </c>
      <c r="I4158" s="343" t="s">
        <v>198</v>
      </c>
      <c r="J4158" s="343" t="s">
        <v>577</v>
      </c>
      <c r="K4158" s="343" t="s">
        <v>168</v>
      </c>
    </row>
    <row r="4159" spans="1:11" ht="26.25" customHeight="1">
      <c r="A4159" s="343" t="s">
        <v>6434</v>
      </c>
      <c r="B4159" s="344" t="s">
        <v>162</v>
      </c>
      <c r="C4159" s="344">
        <v>11461</v>
      </c>
      <c r="D4159" s="343" t="s">
        <v>6616</v>
      </c>
      <c r="E4159" s="344">
        <v>4184847</v>
      </c>
      <c r="F4159" s="343" t="s">
        <v>6620</v>
      </c>
      <c r="G4159" s="360" t="s">
        <v>13218</v>
      </c>
      <c r="H4159" s="361">
        <v>42096</v>
      </c>
      <c r="I4159" s="343" t="s">
        <v>580</v>
      </c>
      <c r="J4159" s="343" t="s">
        <v>13219</v>
      </c>
      <c r="K4159" s="343" t="s">
        <v>248</v>
      </c>
    </row>
    <row r="4160" spans="1:11" ht="26.25" customHeight="1">
      <c r="A4160" s="343" t="s">
        <v>6434</v>
      </c>
      <c r="B4160" s="344" t="s">
        <v>162</v>
      </c>
      <c r="C4160" s="344">
        <v>7198</v>
      </c>
      <c r="D4160" s="343" t="s">
        <v>6735</v>
      </c>
      <c r="E4160" s="344">
        <v>5620060</v>
      </c>
      <c r="F4160" s="343" t="s">
        <v>6736</v>
      </c>
      <c r="G4160" s="360" t="s">
        <v>13220</v>
      </c>
      <c r="H4160" s="361">
        <v>42138</v>
      </c>
      <c r="I4160" s="343" t="s">
        <v>198</v>
      </c>
      <c r="J4160" s="343" t="s">
        <v>198</v>
      </c>
      <c r="K4160" s="343" t="s">
        <v>168</v>
      </c>
    </row>
    <row r="4161" spans="1:11" ht="26.25" customHeight="1">
      <c r="A4161" s="343" t="s">
        <v>6434</v>
      </c>
      <c r="B4161" s="344" t="s">
        <v>162</v>
      </c>
      <c r="C4161" s="344">
        <v>7193</v>
      </c>
      <c r="D4161" s="343" t="s">
        <v>6607</v>
      </c>
      <c r="E4161" s="344">
        <v>6268898</v>
      </c>
      <c r="F4161" s="343" t="s">
        <v>6608</v>
      </c>
      <c r="G4161" s="360" t="s">
        <v>13221</v>
      </c>
      <c r="H4161" s="361">
        <v>42377</v>
      </c>
      <c r="I4161" s="343" t="s">
        <v>275</v>
      </c>
      <c r="J4161" s="343" t="s">
        <v>13222</v>
      </c>
      <c r="K4161" s="343" t="s">
        <v>168</v>
      </c>
    </row>
    <row r="4162" spans="1:11" ht="26.25" customHeight="1">
      <c r="A4162" s="343" t="s">
        <v>6434</v>
      </c>
      <c r="B4162" s="344" t="s">
        <v>162</v>
      </c>
      <c r="C4162" s="344">
        <v>11315</v>
      </c>
      <c r="D4162" s="343" t="s">
        <v>6879</v>
      </c>
      <c r="E4162" s="344">
        <v>5908988</v>
      </c>
      <c r="F4162" s="343" t="s">
        <v>6880</v>
      </c>
      <c r="G4162" s="360" t="s">
        <v>11402</v>
      </c>
      <c r="H4162" s="361">
        <v>42419</v>
      </c>
      <c r="I4162" s="343" t="s">
        <v>219</v>
      </c>
      <c r="J4162" s="343" t="s">
        <v>506</v>
      </c>
      <c r="K4162" s="343" t="s">
        <v>173</v>
      </c>
    </row>
    <row r="4163" spans="1:11" ht="26.25" customHeight="1">
      <c r="A4163" s="343" t="s">
        <v>6434</v>
      </c>
      <c r="B4163" s="344" t="s">
        <v>162</v>
      </c>
      <c r="C4163" s="344">
        <v>11363</v>
      </c>
      <c r="D4163" s="343" t="s">
        <v>6479</v>
      </c>
      <c r="E4163" s="344">
        <v>6434433</v>
      </c>
      <c r="F4163" s="343" t="s">
        <v>6485</v>
      </c>
      <c r="G4163" s="360" t="s">
        <v>10187</v>
      </c>
      <c r="H4163" s="361">
        <v>42425</v>
      </c>
      <c r="I4163" s="343" t="s">
        <v>166</v>
      </c>
      <c r="J4163" s="343" t="s">
        <v>11385</v>
      </c>
      <c r="K4163" s="343" t="s">
        <v>168</v>
      </c>
    </row>
    <row r="4164" spans="1:11" ht="26.25" customHeight="1">
      <c r="A4164" s="343" t="s">
        <v>6434</v>
      </c>
      <c r="B4164" s="344" t="s">
        <v>162</v>
      </c>
      <c r="C4164" s="344">
        <v>6846</v>
      </c>
      <c r="D4164" s="343" t="s">
        <v>6873</v>
      </c>
      <c r="E4164" s="344">
        <v>6146361</v>
      </c>
      <c r="F4164" s="343" t="s">
        <v>6878</v>
      </c>
      <c r="G4164" s="360" t="s">
        <v>13223</v>
      </c>
      <c r="H4164" s="361">
        <v>42425</v>
      </c>
      <c r="I4164" s="343" t="s">
        <v>166</v>
      </c>
      <c r="J4164" s="343" t="s">
        <v>11385</v>
      </c>
      <c r="K4164" s="343" t="s">
        <v>168</v>
      </c>
    </row>
    <row r="4165" spans="1:11" ht="26.25" customHeight="1">
      <c r="A4165" s="343" t="s">
        <v>6434</v>
      </c>
      <c r="B4165" s="344" t="s">
        <v>162</v>
      </c>
      <c r="C4165" s="344">
        <v>11320</v>
      </c>
      <c r="D4165" s="343" t="s">
        <v>6921</v>
      </c>
      <c r="E4165" s="344">
        <v>5618154</v>
      </c>
      <c r="F4165" s="343" t="s">
        <v>6925</v>
      </c>
      <c r="G4165" s="360" t="s">
        <v>9447</v>
      </c>
      <c r="H4165" s="361">
        <v>42425</v>
      </c>
      <c r="I4165" s="343" t="s">
        <v>3850</v>
      </c>
      <c r="J4165" s="343" t="s">
        <v>13224</v>
      </c>
      <c r="K4165" s="343" t="s">
        <v>168</v>
      </c>
    </row>
    <row r="4166" spans="1:11" ht="26.25" customHeight="1">
      <c r="A4166" s="343" t="s">
        <v>6434</v>
      </c>
      <c r="B4166" s="344" t="s">
        <v>162</v>
      </c>
      <c r="C4166" s="344">
        <v>11449</v>
      </c>
      <c r="D4166" s="343" t="s">
        <v>6784</v>
      </c>
      <c r="E4166" s="344">
        <v>4140238</v>
      </c>
      <c r="F4166" s="343" t="s">
        <v>6785</v>
      </c>
      <c r="G4166" s="360" t="s">
        <v>11838</v>
      </c>
      <c r="H4166" s="361">
        <v>42430</v>
      </c>
      <c r="I4166" s="343" t="s">
        <v>193</v>
      </c>
      <c r="J4166" s="343" t="s">
        <v>651</v>
      </c>
      <c r="K4166" s="343" t="s">
        <v>168</v>
      </c>
    </row>
    <row r="4167" spans="1:11" ht="26.25" customHeight="1">
      <c r="A4167" s="343" t="s">
        <v>6434</v>
      </c>
      <c r="B4167" s="344" t="s">
        <v>162</v>
      </c>
      <c r="C4167" s="344">
        <v>11320</v>
      </c>
      <c r="D4167" s="343" t="s">
        <v>6921</v>
      </c>
      <c r="E4167" s="344">
        <v>5750067</v>
      </c>
      <c r="F4167" s="343" t="s">
        <v>6926</v>
      </c>
      <c r="G4167" s="360" t="s">
        <v>1295</v>
      </c>
      <c r="H4167" s="361">
        <v>42432</v>
      </c>
      <c r="I4167" s="343" t="s">
        <v>193</v>
      </c>
      <c r="J4167" s="343" t="s">
        <v>536</v>
      </c>
      <c r="K4167" s="343" t="s">
        <v>168</v>
      </c>
    </row>
    <row r="4168" spans="1:11" ht="26.25" customHeight="1">
      <c r="A4168" s="343" t="s">
        <v>6434</v>
      </c>
      <c r="B4168" s="344" t="s">
        <v>162</v>
      </c>
      <c r="C4168" s="344">
        <v>11680</v>
      </c>
      <c r="D4168" s="343" t="s">
        <v>6513</v>
      </c>
      <c r="E4168" s="344">
        <v>6245949</v>
      </c>
      <c r="F4168" s="343" t="s">
        <v>6516</v>
      </c>
      <c r="G4168" s="360" t="s">
        <v>13225</v>
      </c>
      <c r="H4168" s="361">
        <v>42432</v>
      </c>
      <c r="I4168" s="343" t="s">
        <v>6517</v>
      </c>
      <c r="J4168" s="343" t="s">
        <v>13226</v>
      </c>
      <c r="K4168" s="343" t="s">
        <v>168</v>
      </c>
    </row>
    <row r="4169" spans="1:11" ht="26.25" customHeight="1">
      <c r="A4169" s="343" t="s">
        <v>6434</v>
      </c>
      <c r="B4169" s="344" t="s">
        <v>162</v>
      </c>
      <c r="C4169" s="344">
        <v>7196</v>
      </c>
      <c r="D4169" s="343" t="s">
        <v>6820</v>
      </c>
      <c r="E4169" s="344">
        <v>5085691</v>
      </c>
      <c r="F4169" s="343" t="s">
        <v>6823</v>
      </c>
      <c r="G4169" s="360" t="s">
        <v>11342</v>
      </c>
      <c r="H4169" s="361">
        <v>42436</v>
      </c>
      <c r="I4169" s="343" t="s">
        <v>171</v>
      </c>
      <c r="J4169" s="343" t="s">
        <v>172</v>
      </c>
      <c r="K4169" s="343" t="s">
        <v>173</v>
      </c>
    </row>
    <row r="4170" spans="1:11" ht="26.25" customHeight="1">
      <c r="A4170" s="343" t="s">
        <v>6434</v>
      </c>
      <c r="B4170" s="344" t="s">
        <v>162</v>
      </c>
      <c r="C4170" s="344">
        <v>11446</v>
      </c>
      <c r="D4170" s="343" t="s">
        <v>6555</v>
      </c>
      <c r="E4170" s="344">
        <v>4105904</v>
      </c>
      <c r="F4170" s="343" t="s">
        <v>6556</v>
      </c>
      <c r="G4170" s="360" t="s">
        <v>13227</v>
      </c>
      <c r="H4170" s="361">
        <v>42436</v>
      </c>
      <c r="I4170" s="343" t="s">
        <v>709</v>
      </c>
      <c r="J4170" s="343" t="s">
        <v>9426</v>
      </c>
      <c r="K4170" s="343" t="s">
        <v>173</v>
      </c>
    </row>
    <row r="4171" spans="1:11" ht="26.25" customHeight="1">
      <c r="A4171" s="343" t="s">
        <v>6434</v>
      </c>
      <c r="B4171" s="344" t="s">
        <v>162</v>
      </c>
      <c r="C4171" s="344">
        <v>7196</v>
      </c>
      <c r="D4171" s="343" t="s">
        <v>6820</v>
      </c>
      <c r="E4171" s="344">
        <v>5158703</v>
      </c>
      <c r="F4171" s="343" t="s">
        <v>6824</v>
      </c>
      <c r="G4171" s="360" t="s">
        <v>12207</v>
      </c>
      <c r="H4171" s="361">
        <v>42436</v>
      </c>
      <c r="I4171" s="343" t="s">
        <v>6825</v>
      </c>
      <c r="J4171" s="343" t="s">
        <v>13228</v>
      </c>
      <c r="K4171" s="343" t="s">
        <v>168</v>
      </c>
    </row>
    <row r="4172" spans="1:11" ht="26.25" customHeight="1">
      <c r="A4172" s="343" t="s">
        <v>6434</v>
      </c>
      <c r="B4172" s="344" t="s">
        <v>162</v>
      </c>
      <c r="C4172" s="344">
        <v>7189</v>
      </c>
      <c r="D4172" s="343" t="s">
        <v>6831</v>
      </c>
      <c r="E4172" s="344">
        <v>5015110</v>
      </c>
      <c r="F4172" s="343" t="s">
        <v>6834</v>
      </c>
      <c r="G4172" s="360" t="s">
        <v>13229</v>
      </c>
      <c r="H4172" s="361">
        <v>42440</v>
      </c>
      <c r="I4172" s="343" t="s">
        <v>211</v>
      </c>
      <c r="J4172" s="343" t="s">
        <v>12813</v>
      </c>
      <c r="K4172" s="343" t="s">
        <v>168</v>
      </c>
    </row>
    <row r="4173" spans="1:11" ht="26.25" customHeight="1">
      <c r="A4173" s="343" t="s">
        <v>6434</v>
      </c>
      <c r="B4173" s="344" t="s">
        <v>162</v>
      </c>
      <c r="C4173" s="344">
        <v>9641</v>
      </c>
      <c r="D4173" s="343" t="s">
        <v>6838</v>
      </c>
      <c r="E4173" s="344">
        <v>6065233</v>
      </c>
      <c r="F4173" s="343" t="s">
        <v>6845</v>
      </c>
      <c r="G4173" s="360" t="s">
        <v>12762</v>
      </c>
      <c r="H4173" s="361">
        <v>42440</v>
      </c>
      <c r="I4173" s="343" t="s">
        <v>313</v>
      </c>
      <c r="J4173" s="343" t="s">
        <v>314</v>
      </c>
      <c r="K4173" s="343" t="s">
        <v>173</v>
      </c>
    </row>
    <row r="4174" spans="1:11" ht="26.25" customHeight="1">
      <c r="A4174" s="343" t="s">
        <v>6434</v>
      </c>
      <c r="B4174" s="344" t="s">
        <v>162</v>
      </c>
      <c r="C4174" s="344">
        <v>12911</v>
      </c>
      <c r="D4174" s="343" t="s">
        <v>6639</v>
      </c>
      <c r="E4174" s="344">
        <v>4695681</v>
      </c>
      <c r="F4174" s="343" t="s">
        <v>6644</v>
      </c>
      <c r="G4174" s="360" t="s">
        <v>13230</v>
      </c>
      <c r="H4174" s="361">
        <v>42440</v>
      </c>
      <c r="I4174" s="343" t="s">
        <v>709</v>
      </c>
      <c r="J4174" s="343" t="s">
        <v>9426</v>
      </c>
      <c r="K4174" s="343" t="s">
        <v>173</v>
      </c>
    </row>
    <row r="4175" spans="1:11" ht="26.25" customHeight="1">
      <c r="A4175" s="343" t="s">
        <v>6434</v>
      </c>
      <c r="B4175" s="344" t="s">
        <v>162</v>
      </c>
      <c r="C4175" s="344">
        <v>12911</v>
      </c>
      <c r="D4175" s="343" t="s">
        <v>6639</v>
      </c>
      <c r="E4175" s="344">
        <v>5306982</v>
      </c>
      <c r="F4175" s="343" t="s">
        <v>6641</v>
      </c>
      <c r="G4175" s="360" t="s">
        <v>13231</v>
      </c>
      <c r="H4175" s="361">
        <v>42443</v>
      </c>
      <c r="I4175" s="343" t="s">
        <v>4086</v>
      </c>
      <c r="J4175" s="343" t="s">
        <v>13232</v>
      </c>
      <c r="K4175" s="343" t="s">
        <v>248</v>
      </c>
    </row>
    <row r="4176" spans="1:11" ht="26.25" customHeight="1">
      <c r="A4176" s="343" t="s">
        <v>6434</v>
      </c>
      <c r="B4176" s="344" t="s">
        <v>162</v>
      </c>
      <c r="C4176" s="344">
        <v>12911</v>
      </c>
      <c r="D4176" s="343" t="s">
        <v>6639</v>
      </c>
      <c r="E4176" s="344">
        <v>5285961</v>
      </c>
      <c r="F4176" s="343" t="s">
        <v>6643</v>
      </c>
      <c r="G4176" s="360" t="s">
        <v>13233</v>
      </c>
      <c r="H4176" s="361">
        <v>42443</v>
      </c>
      <c r="I4176" s="343" t="s">
        <v>4086</v>
      </c>
      <c r="J4176" s="343" t="s">
        <v>13234</v>
      </c>
      <c r="K4176" s="343" t="s">
        <v>248</v>
      </c>
    </row>
    <row r="4177" spans="1:11" ht="26.25" customHeight="1">
      <c r="A4177" s="343" t="s">
        <v>6434</v>
      </c>
      <c r="B4177" s="344" t="s">
        <v>162</v>
      </c>
      <c r="C4177" s="344">
        <v>7199</v>
      </c>
      <c r="D4177" s="343" t="s">
        <v>6625</v>
      </c>
      <c r="E4177" s="344">
        <v>5622226</v>
      </c>
      <c r="F4177" s="343" t="s">
        <v>6626</v>
      </c>
      <c r="G4177" s="360" t="s">
        <v>13235</v>
      </c>
      <c r="H4177" s="361">
        <v>42447</v>
      </c>
      <c r="I4177" s="343" t="s">
        <v>166</v>
      </c>
      <c r="J4177" s="343" t="s">
        <v>13236</v>
      </c>
      <c r="K4177" s="343" t="s">
        <v>168</v>
      </c>
    </row>
    <row r="4178" spans="1:11" ht="26.25" customHeight="1">
      <c r="A4178" s="343" t="s">
        <v>6434</v>
      </c>
      <c r="B4178" s="344" t="s">
        <v>162</v>
      </c>
      <c r="C4178" s="344">
        <v>11442</v>
      </c>
      <c r="D4178" s="343" t="s">
        <v>6965</v>
      </c>
      <c r="E4178" s="344">
        <v>6387373</v>
      </c>
      <c r="F4178" s="343" t="s">
        <v>6966</v>
      </c>
      <c r="G4178" s="360" t="s">
        <v>10438</v>
      </c>
      <c r="H4178" s="361">
        <v>42445</v>
      </c>
      <c r="I4178" s="343" t="s">
        <v>366</v>
      </c>
      <c r="J4178" s="343" t="s">
        <v>9849</v>
      </c>
      <c r="K4178" s="343" t="s">
        <v>168</v>
      </c>
    </row>
    <row r="4179" spans="1:11" ht="26.25" customHeight="1">
      <c r="A4179" s="343" t="s">
        <v>6434</v>
      </c>
      <c r="B4179" s="344" t="s">
        <v>162</v>
      </c>
      <c r="C4179" s="344">
        <v>7200</v>
      </c>
      <c r="D4179" s="343" t="s">
        <v>6599</v>
      </c>
      <c r="E4179" s="344">
        <v>4762975</v>
      </c>
      <c r="F4179" s="343" t="s">
        <v>6600</v>
      </c>
      <c r="G4179" s="360" t="s">
        <v>13237</v>
      </c>
      <c r="H4179" s="361">
        <v>42445</v>
      </c>
      <c r="I4179" s="343" t="s">
        <v>211</v>
      </c>
      <c r="J4179" s="343" t="s">
        <v>13238</v>
      </c>
      <c r="K4179" s="343" t="s">
        <v>168</v>
      </c>
    </row>
    <row r="4180" spans="1:11" ht="26.25" customHeight="1">
      <c r="A4180" s="343" t="s">
        <v>6434</v>
      </c>
      <c r="B4180" s="344" t="s">
        <v>162</v>
      </c>
      <c r="C4180" s="344">
        <v>11442</v>
      </c>
      <c r="D4180" s="343" t="s">
        <v>6965</v>
      </c>
      <c r="E4180" s="344">
        <v>6485438</v>
      </c>
      <c r="F4180" s="343" t="s">
        <v>6969</v>
      </c>
      <c r="G4180" s="360" t="s">
        <v>10656</v>
      </c>
      <c r="H4180" s="361">
        <v>42465</v>
      </c>
      <c r="I4180" s="343" t="s">
        <v>4086</v>
      </c>
      <c r="J4180" s="343" t="s">
        <v>13239</v>
      </c>
      <c r="K4180" s="343" t="s">
        <v>248</v>
      </c>
    </row>
    <row r="4181" spans="1:11" ht="26.25" customHeight="1">
      <c r="A4181" s="343" t="s">
        <v>6434</v>
      </c>
      <c r="B4181" s="344" t="s">
        <v>162</v>
      </c>
      <c r="C4181" s="344">
        <v>11356</v>
      </c>
      <c r="D4181" s="343" t="s">
        <v>6444</v>
      </c>
      <c r="E4181" s="344">
        <v>6155088</v>
      </c>
      <c r="F4181" s="343" t="s">
        <v>6447</v>
      </c>
      <c r="G4181" s="360" t="s">
        <v>10578</v>
      </c>
      <c r="H4181" s="361">
        <v>42464</v>
      </c>
      <c r="I4181" s="343" t="s">
        <v>166</v>
      </c>
      <c r="J4181" s="343" t="s">
        <v>243</v>
      </c>
      <c r="K4181" s="343" t="s">
        <v>168</v>
      </c>
    </row>
    <row r="4182" spans="1:11" ht="26.25" customHeight="1">
      <c r="A4182" s="343" t="s">
        <v>6434</v>
      </c>
      <c r="B4182" s="344" t="s">
        <v>162</v>
      </c>
      <c r="C4182" s="344">
        <v>11325</v>
      </c>
      <c r="D4182" s="343" t="s">
        <v>6948</v>
      </c>
      <c r="E4182" s="344">
        <v>5745671</v>
      </c>
      <c r="F4182" s="343" t="s">
        <v>6949</v>
      </c>
      <c r="G4182" s="360" t="s">
        <v>13240</v>
      </c>
      <c r="H4182" s="361">
        <v>42464</v>
      </c>
      <c r="I4182" s="343" t="s">
        <v>166</v>
      </c>
      <c r="J4182" s="343" t="s">
        <v>243</v>
      </c>
      <c r="K4182" s="343" t="s">
        <v>168</v>
      </c>
    </row>
    <row r="4183" spans="1:11" ht="26.25" customHeight="1">
      <c r="A4183" s="343" t="s">
        <v>6434</v>
      </c>
      <c r="B4183" s="344" t="s">
        <v>162</v>
      </c>
      <c r="C4183" s="344">
        <v>11449</v>
      </c>
      <c r="D4183" s="343" t="s">
        <v>6784</v>
      </c>
      <c r="E4183" s="344">
        <v>6022648</v>
      </c>
      <c r="F4183" s="343" t="s">
        <v>6791</v>
      </c>
      <c r="G4183" s="360" t="s">
        <v>13241</v>
      </c>
      <c r="H4183" s="361">
        <v>42465</v>
      </c>
      <c r="I4183" s="343" t="s">
        <v>6792</v>
      </c>
      <c r="J4183" s="343" t="s">
        <v>13242</v>
      </c>
      <c r="K4183" s="343" t="s">
        <v>168</v>
      </c>
    </row>
    <row r="4184" spans="1:11" ht="26.25" customHeight="1">
      <c r="A4184" s="343" t="s">
        <v>6434</v>
      </c>
      <c r="B4184" s="344" t="s">
        <v>162</v>
      </c>
      <c r="C4184" s="344">
        <v>7197</v>
      </c>
      <c r="D4184" s="343" t="s">
        <v>6716</v>
      </c>
      <c r="E4184" s="344">
        <v>3574395</v>
      </c>
      <c r="F4184" s="343" t="s">
        <v>6724</v>
      </c>
      <c r="G4184" s="360" t="s">
        <v>13243</v>
      </c>
      <c r="H4184" s="361">
        <v>42472</v>
      </c>
      <c r="I4184" s="343" t="s">
        <v>198</v>
      </c>
      <c r="J4184" s="343" t="s">
        <v>13244</v>
      </c>
      <c r="K4184" s="343" t="s">
        <v>168</v>
      </c>
    </row>
    <row r="4185" spans="1:11" ht="26.25" customHeight="1">
      <c r="A4185" s="343" t="s">
        <v>6434</v>
      </c>
      <c r="B4185" s="344" t="s">
        <v>162</v>
      </c>
      <c r="C4185" s="344">
        <v>13354</v>
      </c>
      <c r="D4185" s="343" t="s">
        <v>6587</v>
      </c>
      <c r="E4185" s="344">
        <v>4923511</v>
      </c>
      <c r="F4185" s="343" t="s">
        <v>6588</v>
      </c>
      <c r="G4185" s="360" t="s">
        <v>13245</v>
      </c>
      <c r="H4185" s="361">
        <v>42472</v>
      </c>
      <c r="I4185" s="343" t="s">
        <v>275</v>
      </c>
      <c r="J4185" s="343" t="s">
        <v>275</v>
      </c>
      <c r="K4185" s="343" t="s">
        <v>173</v>
      </c>
    </row>
    <row r="4186" spans="1:11" ht="26.25" customHeight="1">
      <c r="A4186" s="343" t="s">
        <v>6434</v>
      </c>
      <c r="B4186" s="344" t="s">
        <v>162</v>
      </c>
      <c r="C4186" s="344">
        <v>7198</v>
      </c>
      <c r="D4186" s="343" t="s">
        <v>6735</v>
      </c>
      <c r="E4186" s="344">
        <v>5600089</v>
      </c>
      <c r="F4186" s="343" t="s">
        <v>6738</v>
      </c>
      <c r="G4186" s="360" t="s">
        <v>12499</v>
      </c>
      <c r="H4186" s="361">
        <v>42466</v>
      </c>
      <c r="I4186" s="343" t="s">
        <v>211</v>
      </c>
      <c r="J4186" s="343" t="s">
        <v>948</v>
      </c>
      <c r="K4186" s="343" t="s">
        <v>168</v>
      </c>
    </row>
    <row r="4187" spans="1:11" ht="26.25" customHeight="1">
      <c r="A4187" s="343" t="s">
        <v>6434</v>
      </c>
      <c r="B4187" s="344" t="s">
        <v>162</v>
      </c>
      <c r="C4187" s="344">
        <v>9667</v>
      </c>
      <c r="D4187" s="343" t="s">
        <v>6475</v>
      </c>
      <c r="E4187" s="344">
        <v>6438125</v>
      </c>
      <c r="F4187" s="343" t="s">
        <v>6477</v>
      </c>
      <c r="G4187" s="360" t="s">
        <v>11248</v>
      </c>
      <c r="H4187" s="361">
        <v>42458</v>
      </c>
      <c r="I4187" s="343" t="s">
        <v>3629</v>
      </c>
      <c r="J4187" s="343" t="s">
        <v>13246</v>
      </c>
      <c r="K4187" s="343" t="s">
        <v>168</v>
      </c>
    </row>
    <row r="4188" spans="1:11" ht="26.25" customHeight="1">
      <c r="A4188" s="343" t="s">
        <v>6434</v>
      </c>
      <c r="B4188" s="344" t="s">
        <v>162</v>
      </c>
      <c r="C4188" s="344">
        <v>11318</v>
      </c>
      <c r="D4188" s="343" t="s">
        <v>6899</v>
      </c>
      <c r="E4188" s="344">
        <v>5695513</v>
      </c>
      <c r="F4188" s="343" t="s">
        <v>6904</v>
      </c>
      <c r="G4188" s="360" t="s">
        <v>11549</v>
      </c>
      <c r="H4188" s="361">
        <v>42468</v>
      </c>
      <c r="I4188" s="343" t="s">
        <v>5480</v>
      </c>
      <c r="J4188" s="343" t="s">
        <v>13247</v>
      </c>
      <c r="K4188" s="343" t="s">
        <v>168</v>
      </c>
    </row>
    <row r="4189" spans="1:11" ht="26.25" customHeight="1">
      <c r="A4189" s="343" t="s">
        <v>6434</v>
      </c>
      <c r="B4189" s="344" t="s">
        <v>162</v>
      </c>
      <c r="C4189" s="344">
        <v>11347</v>
      </c>
      <c r="D4189" s="343" t="s">
        <v>6773</v>
      </c>
      <c r="E4189" s="344">
        <v>5064796</v>
      </c>
      <c r="F4189" s="343" t="s">
        <v>6775</v>
      </c>
      <c r="G4189" s="360" t="s">
        <v>13248</v>
      </c>
      <c r="H4189" s="361">
        <v>42499</v>
      </c>
      <c r="I4189" s="343" t="s">
        <v>180</v>
      </c>
      <c r="J4189" s="343" t="s">
        <v>13249</v>
      </c>
      <c r="K4189" s="343" t="s">
        <v>168</v>
      </c>
    </row>
    <row r="4190" spans="1:11" ht="26.25" customHeight="1">
      <c r="A4190" s="343" t="s">
        <v>6434</v>
      </c>
      <c r="B4190" s="344" t="s">
        <v>162</v>
      </c>
      <c r="C4190" s="344">
        <v>11346</v>
      </c>
      <c r="D4190" s="343" t="s">
        <v>6754</v>
      </c>
      <c r="E4190" s="344">
        <v>5261984</v>
      </c>
      <c r="F4190" s="343" t="s">
        <v>6758</v>
      </c>
      <c r="G4190" s="360" t="s">
        <v>12330</v>
      </c>
      <c r="H4190" s="361">
        <v>42488</v>
      </c>
      <c r="I4190" s="343" t="s">
        <v>547</v>
      </c>
      <c r="J4190" s="343" t="s">
        <v>936</v>
      </c>
      <c r="K4190" s="343" t="s">
        <v>248</v>
      </c>
    </row>
    <row r="4191" spans="1:11" ht="26.25" customHeight="1">
      <c r="A4191" s="343" t="s">
        <v>6434</v>
      </c>
      <c r="B4191" s="344" t="s">
        <v>162</v>
      </c>
      <c r="C4191" s="344">
        <v>11680</v>
      </c>
      <c r="D4191" s="343" t="s">
        <v>6513</v>
      </c>
      <c r="E4191" s="344">
        <v>6220321</v>
      </c>
      <c r="F4191" s="343" t="s">
        <v>6520</v>
      </c>
      <c r="G4191" s="360" t="s">
        <v>12158</v>
      </c>
      <c r="H4191" s="361">
        <v>42489</v>
      </c>
      <c r="I4191" s="343" t="s">
        <v>211</v>
      </c>
      <c r="J4191" s="343" t="s">
        <v>13250</v>
      </c>
      <c r="K4191" s="343" t="s">
        <v>168</v>
      </c>
    </row>
    <row r="4192" spans="1:11" ht="26.25" customHeight="1">
      <c r="A4192" s="343" t="s">
        <v>6434</v>
      </c>
      <c r="B4192" s="344" t="s">
        <v>162</v>
      </c>
      <c r="C4192" s="344">
        <v>7679</v>
      </c>
      <c r="D4192" s="343" t="s">
        <v>6502</v>
      </c>
      <c r="E4192" s="344">
        <v>6095642</v>
      </c>
      <c r="F4192" s="343" t="s">
        <v>6504</v>
      </c>
      <c r="G4192" s="360" t="s">
        <v>13016</v>
      </c>
      <c r="H4192" s="361">
        <v>42488</v>
      </c>
      <c r="I4192" s="343" t="s">
        <v>198</v>
      </c>
      <c r="J4192" s="343" t="s">
        <v>13251</v>
      </c>
      <c r="K4192" s="343" t="s">
        <v>168</v>
      </c>
    </row>
    <row r="4193" spans="1:11" ht="26.25" customHeight="1">
      <c r="A4193" s="343" t="s">
        <v>6434</v>
      </c>
      <c r="B4193" s="344" t="s">
        <v>162</v>
      </c>
      <c r="C4193" s="344">
        <v>6841</v>
      </c>
      <c r="D4193" s="343" t="s">
        <v>6848</v>
      </c>
      <c r="E4193" s="344">
        <v>5913094</v>
      </c>
      <c r="F4193" s="343" t="s">
        <v>6854</v>
      </c>
      <c r="G4193" s="360" t="s">
        <v>605</v>
      </c>
      <c r="H4193" s="361">
        <v>42486</v>
      </c>
      <c r="I4193" s="343" t="s">
        <v>166</v>
      </c>
      <c r="J4193" s="343" t="s">
        <v>10327</v>
      </c>
      <c r="K4193" s="343" t="s">
        <v>168</v>
      </c>
    </row>
    <row r="4194" spans="1:11" ht="26.25" customHeight="1">
      <c r="A4194" s="343" t="s">
        <v>6434</v>
      </c>
      <c r="B4194" s="344" t="s">
        <v>162</v>
      </c>
      <c r="C4194" s="344">
        <v>11338</v>
      </c>
      <c r="D4194" s="343" t="s">
        <v>6677</v>
      </c>
      <c r="E4194" s="344">
        <v>5650125</v>
      </c>
      <c r="F4194" s="343" t="s">
        <v>6683</v>
      </c>
      <c r="G4194" s="360" t="s">
        <v>13252</v>
      </c>
      <c r="H4194" s="361">
        <v>42486</v>
      </c>
      <c r="I4194" s="343" t="s">
        <v>366</v>
      </c>
      <c r="J4194" s="343" t="s">
        <v>13253</v>
      </c>
      <c r="K4194" s="343" t="s">
        <v>168</v>
      </c>
    </row>
    <row r="4195" spans="1:11" ht="26.25" customHeight="1">
      <c r="A4195" s="343" t="s">
        <v>6434</v>
      </c>
      <c r="B4195" s="344" t="s">
        <v>162</v>
      </c>
      <c r="C4195" s="344">
        <v>11852</v>
      </c>
      <c r="D4195" s="343" t="s">
        <v>6542</v>
      </c>
      <c r="E4195" s="344">
        <v>4261445</v>
      </c>
      <c r="F4195" s="343" t="s">
        <v>6544</v>
      </c>
      <c r="G4195" s="360" t="s">
        <v>13254</v>
      </c>
      <c r="H4195" s="361">
        <v>42480</v>
      </c>
      <c r="I4195" s="343" t="s">
        <v>211</v>
      </c>
      <c r="J4195" s="343" t="s">
        <v>13255</v>
      </c>
      <c r="K4195" s="343" t="s">
        <v>168</v>
      </c>
    </row>
    <row r="4196" spans="1:11" ht="26.25" customHeight="1">
      <c r="A4196" s="343" t="s">
        <v>6434</v>
      </c>
      <c r="B4196" s="344" t="s">
        <v>162</v>
      </c>
      <c r="C4196" s="344">
        <v>11852</v>
      </c>
      <c r="D4196" s="343" t="s">
        <v>6542</v>
      </c>
      <c r="E4196" s="344">
        <v>4427572</v>
      </c>
      <c r="F4196" s="343" t="s">
        <v>6548</v>
      </c>
      <c r="G4196" s="360" t="s">
        <v>13256</v>
      </c>
      <c r="H4196" s="361">
        <v>42480</v>
      </c>
      <c r="I4196" s="343" t="s">
        <v>709</v>
      </c>
      <c r="J4196" s="343" t="s">
        <v>13257</v>
      </c>
      <c r="K4196" s="343" t="s">
        <v>168</v>
      </c>
    </row>
    <row r="4197" spans="1:11" ht="26.25" customHeight="1">
      <c r="A4197" s="343" t="s">
        <v>6434</v>
      </c>
      <c r="B4197" s="344" t="s">
        <v>162</v>
      </c>
      <c r="C4197" s="344">
        <v>11449</v>
      </c>
      <c r="D4197" s="343" t="s">
        <v>6784</v>
      </c>
      <c r="E4197" s="344">
        <v>5618122</v>
      </c>
      <c r="F4197" s="343" t="s">
        <v>6788</v>
      </c>
      <c r="G4197" s="360" t="s">
        <v>13258</v>
      </c>
      <c r="H4197" s="361">
        <v>42475</v>
      </c>
      <c r="I4197" s="343" t="s">
        <v>6789</v>
      </c>
      <c r="J4197" s="343" t="s">
        <v>13259</v>
      </c>
      <c r="K4197" s="343" t="s">
        <v>168</v>
      </c>
    </row>
    <row r="4198" spans="1:11" ht="26.25" customHeight="1">
      <c r="A4198" s="343" t="s">
        <v>6434</v>
      </c>
      <c r="B4198" s="344" t="s">
        <v>162</v>
      </c>
      <c r="C4198" s="344">
        <v>11338</v>
      </c>
      <c r="D4198" s="343" t="s">
        <v>6677</v>
      </c>
      <c r="E4198" s="344">
        <v>5552061</v>
      </c>
      <c r="F4198" s="343" t="s">
        <v>6686</v>
      </c>
      <c r="G4198" s="360" t="s">
        <v>13260</v>
      </c>
      <c r="H4198" s="361">
        <v>42480</v>
      </c>
      <c r="I4198" s="343" t="s">
        <v>3857</v>
      </c>
      <c r="J4198" s="343" t="s">
        <v>13261</v>
      </c>
      <c r="K4198" s="343" t="s">
        <v>168</v>
      </c>
    </row>
    <row r="4199" spans="1:11" ht="26.25" customHeight="1">
      <c r="A4199" s="343" t="s">
        <v>6434</v>
      </c>
      <c r="B4199" s="344" t="s">
        <v>162</v>
      </c>
      <c r="C4199" s="344">
        <v>11325</v>
      </c>
      <c r="D4199" s="343" t="s">
        <v>6948</v>
      </c>
      <c r="E4199" s="344">
        <v>5977943</v>
      </c>
      <c r="F4199" s="343" t="s">
        <v>6953</v>
      </c>
      <c r="G4199" s="360" t="s">
        <v>11549</v>
      </c>
      <c r="H4199" s="361">
        <v>42503</v>
      </c>
      <c r="I4199" s="343" t="s">
        <v>198</v>
      </c>
      <c r="J4199" s="343" t="s">
        <v>10321</v>
      </c>
      <c r="K4199" s="343" t="s">
        <v>168</v>
      </c>
    </row>
    <row r="4200" spans="1:11" ht="26.25" customHeight="1">
      <c r="A4200" s="343" t="s">
        <v>6434</v>
      </c>
      <c r="B4200" s="344" t="s">
        <v>162</v>
      </c>
      <c r="C4200" s="344">
        <v>11449</v>
      </c>
      <c r="D4200" s="343" t="s">
        <v>6784</v>
      </c>
      <c r="E4200" s="344">
        <v>4724393</v>
      </c>
      <c r="F4200" s="343" t="s">
        <v>6794</v>
      </c>
      <c r="G4200" s="360" t="s">
        <v>13262</v>
      </c>
      <c r="H4200" s="361">
        <v>42508</v>
      </c>
      <c r="I4200" s="343" t="s">
        <v>709</v>
      </c>
      <c r="J4200" s="343" t="s">
        <v>10359</v>
      </c>
      <c r="K4200" s="343" t="s">
        <v>168</v>
      </c>
    </row>
    <row r="4201" spans="1:11" ht="26.25" customHeight="1">
      <c r="A4201" s="343" t="s">
        <v>6434</v>
      </c>
      <c r="B4201" s="344" t="s">
        <v>162</v>
      </c>
      <c r="C4201" s="344">
        <v>11359</v>
      </c>
      <c r="D4201" s="343" t="s">
        <v>6468</v>
      </c>
      <c r="E4201" s="344">
        <v>6177365</v>
      </c>
      <c r="F4201" s="343" t="s">
        <v>6470</v>
      </c>
      <c r="G4201" s="360" t="s">
        <v>13263</v>
      </c>
      <c r="H4201" s="361">
        <v>42508</v>
      </c>
      <c r="I4201" s="343" t="s">
        <v>193</v>
      </c>
      <c r="J4201" s="343" t="s">
        <v>429</v>
      </c>
      <c r="K4201" s="343" t="s">
        <v>168</v>
      </c>
    </row>
    <row r="4202" spans="1:11" ht="26.25" customHeight="1">
      <c r="A4202" s="343" t="s">
        <v>6434</v>
      </c>
      <c r="B4202" s="344" t="s">
        <v>162</v>
      </c>
      <c r="C4202" s="344">
        <v>11321</v>
      </c>
      <c r="D4202" s="343" t="s">
        <v>6929</v>
      </c>
      <c r="E4202" s="344">
        <v>5979673</v>
      </c>
      <c r="F4202" s="343" t="s">
        <v>6931</v>
      </c>
      <c r="G4202" s="360" t="s">
        <v>13264</v>
      </c>
      <c r="H4202" s="361">
        <v>42509</v>
      </c>
      <c r="I4202" s="343" t="s">
        <v>806</v>
      </c>
      <c r="J4202" s="343" t="s">
        <v>13265</v>
      </c>
      <c r="K4202" s="343" t="s">
        <v>168</v>
      </c>
    </row>
    <row r="4203" spans="1:11" ht="26.25" customHeight="1">
      <c r="A4203" s="343" t="s">
        <v>6434</v>
      </c>
      <c r="B4203" s="344" t="s">
        <v>162</v>
      </c>
      <c r="C4203" s="344">
        <v>7197</v>
      </c>
      <c r="D4203" s="343" t="s">
        <v>6716</v>
      </c>
      <c r="E4203" s="344">
        <v>5976623</v>
      </c>
      <c r="F4203" s="343" t="s">
        <v>6719</v>
      </c>
      <c r="G4203" s="360" t="s">
        <v>13266</v>
      </c>
      <c r="H4203" s="361">
        <v>42513</v>
      </c>
      <c r="I4203" s="343" t="s">
        <v>806</v>
      </c>
      <c r="J4203" s="343" t="s">
        <v>10766</v>
      </c>
      <c r="K4203" s="343" t="s">
        <v>168</v>
      </c>
    </row>
    <row r="4204" spans="1:11" ht="26.25" customHeight="1">
      <c r="A4204" s="343" t="s">
        <v>6434</v>
      </c>
      <c r="B4204" s="344" t="s">
        <v>162</v>
      </c>
      <c r="C4204" s="344">
        <v>11680</v>
      </c>
      <c r="D4204" s="343" t="s">
        <v>6513</v>
      </c>
      <c r="E4204" s="344">
        <v>6361719</v>
      </c>
      <c r="F4204" s="343" t="s">
        <v>6515</v>
      </c>
      <c r="G4204" s="360" t="s">
        <v>10610</v>
      </c>
      <c r="H4204" s="361">
        <v>42513</v>
      </c>
      <c r="I4204" s="343" t="s">
        <v>423</v>
      </c>
      <c r="J4204" s="343" t="s">
        <v>13267</v>
      </c>
      <c r="K4204" s="343" t="s">
        <v>168</v>
      </c>
    </row>
    <row r="4205" spans="1:11" ht="26.25" customHeight="1">
      <c r="A4205" s="343" t="s">
        <v>6434</v>
      </c>
      <c r="B4205" s="344" t="s">
        <v>162</v>
      </c>
      <c r="C4205" s="344">
        <v>7188</v>
      </c>
      <c r="D4205" s="343" t="s">
        <v>6764</v>
      </c>
      <c r="E4205" s="344">
        <v>4944478</v>
      </c>
      <c r="F4205" s="343" t="s">
        <v>6766</v>
      </c>
      <c r="G4205" s="360" t="s">
        <v>10331</v>
      </c>
      <c r="H4205" s="361">
        <v>42531</v>
      </c>
      <c r="I4205" s="343" t="s">
        <v>193</v>
      </c>
      <c r="J4205" s="343" t="s">
        <v>12310</v>
      </c>
      <c r="K4205" s="343" t="s">
        <v>168</v>
      </c>
    </row>
    <row r="4206" spans="1:11" ht="26.25" customHeight="1">
      <c r="A4206" s="343" t="s">
        <v>6434</v>
      </c>
      <c r="B4206" s="344" t="s">
        <v>162</v>
      </c>
      <c r="C4206" s="344">
        <v>9840</v>
      </c>
      <c r="D4206" s="343" t="s">
        <v>6507</v>
      </c>
      <c r="E4206" s="344">
        <v>6479079</v>
      </c>
      <c r="F4206" s="343" t="s">
        <v>6509</v>
      </c>
      <c r="G4206" s="360" t="s">
        <v>10308</v>
      </c>
      <c r="H4206" s="361">
        <v>42531</v>
      </c>
      <c r="I4206" s="343" t="s">
        <v>6510</v>
      </c>
      <c r="J4206" s="343" t="s">
        <v>13268</v>
      </c>
      <c r="K4206" s="343" t="s">
        <v>173</v>
      </c>
    </row>
    <row r="4207" spans="1:11" ht="26.25" customHeight="1">
      <c r="A4207" s="343" t="s">
        <v>6434</v>
      </c>
      <c r="B4207" s="344" t="s">
        <v>162</v>
      </c>
      <c r="C4207" s="344">
        <v>11344</v>
      </c>
      <c r="D4207" s="343" t="s">
        <v>6746</v>
      </c>
      <c r="E4207" s="344">
        <v>5756843</v>
      </c>
      <c r="F4207" s="343" t="s">
        <v>6748</v>
      </c>
      <c r="G4207" s="360" t="s">
        <v>11919</v>
      </c>
      <c r="H4207" s="361">
        <v>42524</v>
      </c>
      <c r="I4207" s="343" t="s">
        <v>709</v>
      </c>
      <c r="J4207" s="343" t="s">
        <v>13269</v>
      </c>
      <c r="K4207" s="343" t="s">
        <v>168</v>
      </c>
    </row>
    <row r="4208" spans="1:11" ht="26.25" customHeight="1">
      <c r="A4208" s="343" t="s">
        <v>6434</v>
      </c>
      <c r="B4208" s="344" t="s">
        <v>162</v>
      </c>
      <c r="C4208" s="344">
        <v>12036</v>
      </c>
      <c r="D4208" s="343" t="s">
        <v>6776</v>
      </c>
      <c r="E4208" s="344">
        <v>6344856</v>
      </c>
      <c r="F4208" s="343" t="s">
        <v>6779</v>
      </c>
      <c r="G4208" s="360" t="s">
        <v>13270</v>
      </c>
      <c r="H4208" s="361">
        <v>42551</v>
      </c>
      <c r="I4208" s="343" t="s">
        <v>709</v>
      </c>
      <c r="J4208" s="343" t="s">
        <v>10359</v>
      </c>
      <c r="K4208" s="343" t="s">
        <v>168</v>
      </c>
    </row>
    <row r="4209" spans="1:11" ht="26.25" customHeight="1">
      <c r="A4209" s="343" t="s">
        <v>6434</v>
      </c>
      <c r="B4209" s="344" t="s">
        <v>162</v>
      </c>
      <c r="C4209" s="344">
        <v>7199</v>
      </c>
      <c r="D4209" s="343" t="s">
        <v>6625</v>
      </c>
      <c r="E4209" s="344">
        <v>2944015</v>
      </c>
      <c r="F4209" s="343" t="s">
        <v>6627</v>
      </c>
      <c r="G4209" s="360" t="s">
        <v>13271</v>
      </c>
      <c r="H4209" s="361">
        <v>42551</v>
      </c>
      <c r="I4209" s="343" t="s">
        <v>198</v>
      </c>
      <c r="J4209" s="343" t="s">
        <v>198</v>
      </c>
      <c r="K4209" s="343" t="s">
        <v>168</v>
      </c>
    </row>
    <row r="4210" spans="1:11" ht="26.25" customHeight="1">
      <c r="A4210" s="343" t="s">
        <v>6434</v>
      </c>
      <c r="B4210" s="344" t="s">
        <v>162</v>
      </c>
      <c r="C4210" s="344">
        <v>11338</v>
      </c>
      <c r="D4210" s="343" t="s">
        <v>6677</v>
      </c>
      <c r="E4210" s="344">
        <v>5603634</v>
      </c>
      <c r="F4210" s="343" t="s">
        <v>6682</v>
      </c>
      <c r="G4210" s="360" t="s">
        <v>13272</v>
      </c>
      <c r="H4210" s="361">
        <v>42545</v>
      </c>
      <c r="I4210" s="343" t="s">
        <v>301</v>
      </c>
      <c r="J4210" s="343" t="s">
        <v>302</v>
      </c>
      <c r="K4210" s="343" t="s">
        <v>168</v>
      </c>
    </row>
    <row r="4211" spans="1:11" ht="26.25" customHeight="1">
      <c r="A4211" s="343" t="s">
        <v>6434</v>
      </c>
      <c r="B4211" s="344" t="s">
        <v>162</v>
      </c>
      <c r="C4211" s="344">
        <v>11458</v>
      </c>
      <c r="D4211" s="343" t="s">
        <v>6533</v>
      </c>
      <c r="E4211" s="344">
        <v>6363068</v>
      </c>
      <c r="F4211" s="343" t="s">
        <v>6534</v>
      </c>
      <c r="G4211" s="360" t="s">
        <v>468</v>
      </c>
      <c r="H4211" s="361">
        <v>42545</v>
      </c>
      <c r="I4211" s="343" t="s">
        <v>3745</v>
      </c>
      <c r="J4211" s="343" t="s">
        <v>9961</v>
      </c>
      <c r="K4211" s="343" t="s">
        <v>173</v>
      </c>
    </row>
    <row r="4212" spans="1:11" ht="26.25" customHeight="1">
      <c r="A4212" s="343" t="s">
        <v>6434</v>
      </c>
      <c r="B4212" s="344" t="s">
        <v>162</v>
      </c>
      <c r="C4212" s="344">
        <v>11315</v>
      </c>
      <c r="D4212" s="343" t="s">
        <v>6879</v>
      </c>
      <c r="E4212" s="344">
        <v>5112217</v>
      </c>
      <c r="F4212" s="343" t="s">
        <v>6882</v>
      </c>
      <c r="G4212" s="360" t="s">
        <v>1218</v>
      </c>
      <c r="H4212" s="361">
        <v>42543</v>
      </c>
      <c r="I4212" s="343" t="s">
        <v>984</v>
      </c>
      <c r="J4212" s="343" t="s">
        <v>9373</v>
      </c>
      <c r="K4212" s="343" t="s">
        <v>168</v>
      </c>
    </row>
    <row r="4213" spans="1:11" ht="26.25" customHeight="1">
      <c r="A4213" s="343" t="s">
        <v>6434</v>
      </c>
      <c r="B4213" s="344" t="s">
        <v>162</v>
      </c>
      <c r="C4213" s="344">
        <v>11450</v>
      </c>
      <c r="D4213" s="343" t="s">
        <v>6457</v>
      </c>
      <c r="E4213" s="344">
        <v>6136194</v>
      </c>
      <c r="F4213" s="343" t="s">
        <v>6458</v>
      </c>
      <c r="G4213" s="360" t="s">
        <v>10109</v>
      </c>
      <c r="H4213" s="361">
        <v>42543</v>
      </c>
      <c r="I4213" s="343" t="s">
        <v>271</v>
      </c>
      <c r="J4213" s="343" t="s">
        <v>333</v>
      </c>
      <c r="K4213" s="343" t="s">
        <v>168</v>
      </c>
    </row>
    <row r="4214" spans="1:11" ht="26.25" customHeight="1">
      <c r="A4214" s="343" t="s">
        <v>6434</v>
      </c>
      <c r="B4214" s="344" t="s">
        <v>162</v>
      </c>
      <c r="C4214" s="344">
        <v>11356</v>
      </c>
      <c r="D4214" s="343" t="s">
        <v>6444</v>
      </c>
      <c r="E4214" s="344">
        <v>6262958</v>
      </c>
      <c r="F4214" s="343" t="s">
        <v>6448</v>
      </c>
      <c r="G4214" s="360" t="s">
        <v>13273</v>
      </c>
      <c r="H4214" s="361">
        <v>42543</v>
      </c>
      <c r="I4214" s="343" t="s">
        <v>193</v>
      </c>
      <c r="J4214" s="343" t="s">
        <v>536</v>
      </c>
      <c r="K4214" s="343" t="s">
        <v>168</v>
      </c>
    </row>
    <row r="4215" spans="1:11" ht="26.25" customHeight="1">
      <c r="A4215" s="343" t="s">
        <v>6434</v>
      </c>
      <c r="B4215" s="344" t="s">
        <v>162</v>
      </c>
      <c r="C4215" s="344">
        <v>11319</v>
      </c>
      <c r="D4215" s="343" t="s">
        <v>6912</v>
      </c>
      <c r="E4215" s="344">
        <v>6486863</v>
      </c>
      <c r="F4215" s="343" t="s">
        <v>6915</v>
      </c>
      <c r="G4215" s="360" t="s">
        <v>10758</v>
      </c>
      <c r="H4215" s="361">
        <v>42542</v>
      </c>
      <c r="I4215" s="343" t="s">
        <v>3601</v>
      </c>
      <c r="J4215" s="343" t="s">
        <v>13274</v>
      </c>
      <c r="K4215" s="343" t="s">
        <v>168</v>
      </c>
    </row>
    <row r="4216" spans="1:11" ht="26.25" customHeight="1">
      <c r="A4216" s="343" t="s">
        <v>6434</v>
      </c>
      <c r="B4216" s="344" t="s">
        <v>162</v>
      </c>
      <c r="C4216" s="344">
        <v>7351</v>
      </c>
      <c r="D4216" s="343" t="s">
        <v>6605</v>
      </c>
      <c r="E4216" s="344">
        <v>4446282</v>
      </c>
      <c r="F4216" s="343" t="s">
        <v>6606</v>
      </c>
      <c r="G4216" s="360" t="s">
        <v>11382</v>
      </c>
      <c r="H4216" s="361">
        <v>42542</v>
      </c>
      <c r="I4216" s="343" t="s">
        <v>193</v>
      </c>
      <c r="J4216" s="343" t="s">
        <v>1256</v>
      </c>
      <c r="K4216" s="343" t="s">
        <v>168</v>
      </c>
    </row>
    <row r="4217" spans="1:11" ht="26.25" customHeight="1">
      <c r="A4217" s="343" t="s">
        <v>6434</v>
      </c>
      <c r="B4217" s="344" t="s">
        <v>162</v>
      </c>
      <c r="C4217" s="344">
        <v>11447</v>
      </c>
      <c r="D4217" s="343" t="s">
        <v>6698</v>
      </c>
      <c r="E4217" s="344">
        <v>4459975</v>
      </c>
      <c r="F4217" s="343" t="s">
        <v>6699</v>
      </c>
      <c r="G4217" s="360" t="s">
        <v>12833</v>
      </c>
      <c r="H4217" s="361">
        <v>42542</v>
      </c>
      <c r="I4217" s="343" t="s">
        <v>198</v>
      </c>
      <c r="J4217" s="343" t="s">
        <v>198</v>
      </c>
      <c r="K4217" s="343" t="s">
        <v>168</v>
      </c>
    </row>
    <row r="4218" spans="1:11" ht="26.25" customHeight="1">
      <c r="A4218" s="343" t="s">
        <v>6434</v>
      </c>
      <c r="B4218" s="344" t="s">
        <v>162</v>
      </c>
      <c r="C4218" s="344">
        <v>11457</v>
      </c>
      <c r="D4218" s="343" t="s">
        <v>6523</v>
      </c>
      <c r="E4218" s="344">
        <v>6452624</v>
      </c>
      <c r="F4218" s="343" t="s">
        <v>6524</v>
      </c>
      <c r="G4218" s="360" t="s">
        <v>206</v>
      </c>
      <c r="H4218" s="361">
        <v>42542</v>
      </c>
      <c r="I4218" s="343" t="s">
        <v>1182</v>
      </c>
      <c r="J4218" s="343" t="s">
        <v>1183</v>
      </c>
      <c r="K4218" s="343" t="s">
        <v>173</v>
      </c>
    </row>
    <row r="4219" spans="1:11" ht="26.25" customHeight="1">
      <c r="A4219" s="343" t="s">
        <v>6434</v>
      </c>
      <c r="B4219" s="344" t="s">
        <v>162</v>
      </c>
      <c r="C4219" s="344">
        <v>12911</v>
      </c>
      <c r="D4219" s="343" t="s">
        <v>6639</v>
      </c>
      <c r="E4219" s="344">
        <v>4712258</v>
      </c>
      <c r="F4219" s="343" t="s">
        <v>6651</v>
      </c>
      <c r="G4219" s="360" t="s">
        <v>12295</v>
      </c>
      <c r="H4219" s="361">
        <v>42562</v>
      </c>
      <c r="I4219" s="343" t="s">
        <v>547</v>
      </c>
      <c r="J4219" s="343" t="s">
        <v>936</v>
      </c>
      <c r="K4219" s="343" t="s">
        <v>248</v>
      </c>
    </row>
    <row r="4220" spans="1:11" ht="26.25" customHeight="1">
      <c r="A4220" s="343" t="s">
        <v>6434</v>
      </c>
      <c r="B4220" s="344" t="s">
        <v>162</v>
      </c>
      <c r="C4220" s="344">
        <v>7680</v>
      </c>
      <c r="D4220" s="343" t="s">
        <v>6498</v>
      </c>
      <c r="E4220" s="344">
        <v>6217875</v>
      </c>
      <c r="F4220" s="343" t="s">
        <v>6499</v>
      </c>
      <c r="G4220" s="360" t="s">
        <v>13275</v>
      </c>
      <c r="H4220" s="361">
        <v>42583</v>
      </c>
      <c r="I4220" s="343" t="s">
        <v>171</v>
      </c>
      <c r="J4220" s="343" t="s">
        <v>13276</v>
      </c>
      <c r="K4220" s="343" t="s">
        <v>173</v>
      </c>
    </row>
    <row r="4221" spans="1:11" ht="26.25" customHeight="1">
      <c r="A4221" s="343" t="s">
        <v>6434</v>
      </c>
      <c r="B4221" s="344" t="s">
        <v>162</v>
      </c>
      <c r="C4221" s="344">
        <v>11457</v>
      </c>
      <c r="D4221" s="343" t="s">
        <v>6523</v>
      </c>
      <c r="E4221" s="344">
        <v>6284726</v>
      </c>
      <c r="F4221" s="343" t="s">
        <v>6529</v>
      </c>
      <c r="G4221" s="360" t="s">
        <v>9789</v>
      </c>
      <c r="H4221" s="361">
        <v>42594</v>
      </c>
      <c r="I4221" s="343" t="s">
        <v>166</v>
      </c>
      <c r="J4221" s="343" t="s">
        <v>13277</v>
      </c>
      <c r="K4221" s="343" t="s">
        <v>248</v>
      </c>
    </row>
    <row r="4222" spans="1:11" ht="26.25" customHeight="1">
      <c r="A4222" s="343" t="s">
        <v>6434</v>
      </c>
      <c r="B4222" s="344" t="s">
        <v>162</v>
      </c>
      <c r="C4222" s="344">
        <v>11318</v>
      </c>
      <c r="D4222" s="343" t="s">
        <v>6899</v>
      </c>
      <c r="E4222" s="344">
        <v>6332735</v>
      </c>
      <c r="F4222" s="343" t="s">
        <v>6908</v>
      </c>
      <c r="G4222" s="360" t="s">
        <v>13278</v>
      </c>
      <c r="H4222" s="361">
        <v>42593</v>
      </c>
      <c r="I4222" s="343" t="s">
        <v>198</v>
      </c>
      <c r="J4222" s="343" t="s">
        <v>1327</v>
      </c>
      <c r="K4222" s="343" t="s">
        <v>168</v>
      </c>
    </row>
    <row r="4223" spans="1:11" ht="26.25" customHeight="1">
      <c r="A4223" s="343" t="s">
        <v>6434</v>
      </c>
      <c r="B4223" s="344" t="s">
        <v>162</v>
      </c>
      <c r="C4223" s="344">
        <v>11600</v>
      </c>
      <c r="D4223" s="343" t="s">
        <v>6560</v>
      </c>
      <c r="E4223" s="344">
        <v>6514016</v>
      </c>
      <c r="F4223" s="343" t="s">
        <v>6561</v>
      </c>
      <c r="G4223" s="360" t="s">
        <v>13279</v>
      </c>
      <c r="H4223" s="361">
        <v>42592</v>
      </c>
      <c r="I4223" s="343" t="s">
        <v>547</v>
      </c>
      <c r="J4223" s="343" t="s">
        <v>1028</v>
      </c>
      <c r="K4223" s="343" t="s">
        <v>248</v>
      </c>
    </row>
    <row r="4224" spans="1:11" ht="26.25" customHeight="1">
      <c r="A4224" s="343" t="s">
        <v>6434</v>
      </c>
      <c r="B4224" s="344" t="s">
        <v>162</v>
      </c>
      <c r="C4224" s="344">
        <v>6841</v>
      </c>
      <c r="D4224" s="343" t="s">
        <v>6848</v>
      </c>
      <c r="E4224" s="344">
        <v>6082062</v>
      </c>
      <c r="F4224" s="343" t="s">
        <v>6856</v>
      </c>
      <c r="G4224" s="360" t="s">
        <v>10657</v>
      </c>
      <c r="H4224" s="361">
        <v>42592</v>
      </c>
      <c r="I4224" s="343" t="s">
        <v>670</v>
      </c>
      <c r="J4224" s="343" t="s">
        <v>10731</v>
      </c>
      <c r="K4224" s="343" t="s">
        <v>173</v>
      </c>
    </row>
    <row r="4225" spans="1:11" ht="26.25" customHeight="1">
      <c r="A4225" s="343" t="s">
        <v>6434</v>
      </c>
      <c r="B4225" s="344" t="s">
        <v>162</v>
      </c>
      <c r="C4225" s="344">
        <v>7191</v>
      </c>
      <c r="D4225" s="343" t="s">
        <v>6621</v>
      </c>
      <c r="E4225" s="344">
        <v>4260960</v>
      </c>
      <c r="F4225" s="343" t="s">
        <v>6623</v>
      </c>
      <c r="G4225" s="360" t="s">
        <v>13280</v>
      </c>
      <c r="H4225" s="361">
        <v>42599</v>
      </c>
      <c r="I4225" s="343" t="s">
        <v>6624</v>
      </c>
      <c r="J4225" s="343" t="s">
        <v>13281</v>
      </c>
      <c r="K4225" s="343" t="s">
        <v>168</v>
      </c>
    </row>
    <row r="4226" spans="1:11" ht="26.25" customHeight="1">
      <c r="A4226" s="343" t="s">
        <v>6434</v>
      </c>
      <c r="B4226" s="344" t="s">
        <v>162</v>
      </c>
      <c r="C4226" s="344">
        <v>12911</v>
      </c>
      <c r="D4226" s="343" t="s">
        <v>6639</v>
      </c>
      <c r="E4226" s="344">
        <v>4455269</v>
      </c>
      <c r="F4226" s="343" t="s">
        <v>6648</v>
      </c>
      <c r="G4226" s="360" t="s">
        <v>13282</v>
      </c>
      <c r="H4226" s="361">
        <v>42600</v>
      </c>
      <c r="I4226" s="343" t="s">
        <v>366</v>
      </c>
      <c r="J4226" s="343" t="s">
        <v>366</v>
      </c>
      <c r="K4226" s="343" t="s">
        <v>168</v>
      </c>
    </row>
    <row r="4227" spans="1:11" ht="26.25" customHeight="1">
      <c r="A4227" s="343" t="s">
        <v>6434</v>
      </c>
      <c r="B4227" s="344" t="s">
        <v>162</v>
      </c>
      <c r="C4227" s="344">
        <v>12911</v>
      </c>
      <c r="D4227" s="343" t="s">
        <v>6639</v>
      </c>
      <c r="E4227" s="344">
        <v>4706319</v>
      </c>
      <c r="F4227" s="343" t="s">
        <v>6656</v>
      </c>
      <c r="G4227" s="360" t="s">
        <v>10277</v>
      </c>
      <c r="H4227" s="361">
        <v>42600</v>
      </c>
      <c r="I4227" s="343" t="s">
        <v>709</v>
      </c>
      <c r="J4227" s="343" t="s">
        <v>13283</v>
      </c>
      <c r="K4227" s="343" t="s">
        <v>168</v>
      </c>
    </row>
    <row r="4228" spans="1:11" ht="26.25" customHeight="1">
      <c r="A4228" s="343" t="s">
        <v>6434</v>
      </c>
      <c r="B4228" s="344" t="s">
        <v>162</v>
      </c>
      <c r="C4228" s="344">
        <v>11320</v>
      </c>
      <c r="D4228" s="343" t="s">
        <v>6921</v>
      </c>
      <c r="E4228" s="344">
        <v>5680394</v>
      </c>
      <c r="F4228" s="343" t="s">
        <v>6922</v>
      </c>
      <c r="G4228" s="360" t="s">
        <v>10065</v>
      </c>
      <c r="H4228" s="361">
        <v>42600</v>
      </c>
      <c r="I4228" s="343" t="s">
        <v>166</v>
      </c>
      <c r="J4228" s="343" t="s">
        <v>344</v>
      </c>
      <c r="K4228" s="343" t="s">
        <v>168</v>
      </c>
    </row>
    <row r="4229" spans="1:11" ht="26.25" customHeight="1">
      <c r="A4229" s="343" t="s">
        <v>6434</v>
      </c>
      <c r="B4229" s="344" t="s">
        <v>162</v>
      </c>
      <c r="C4229" s="344">
        <v>13354</v>
      </c>
      <c r="D4229" s="343" t="s">
        <v>6587</v>
      </c>
      <c r="E4229" s="344">
        <v>4697983</v>
      </c>
      <c r="F4229" s="343" t="s">
        <v>6589</v>
      </c>
      <c r="G4229" s="360" t="s">
        <v>13284</v>
      </c>
      <c r="H4229" s="361">
        <v>42608</v>
      </c>
      <c r="I4229" s="343" t="s">
        <v>6590</v>
      </c>
      <c r="J4229" s="343" t="s">
        <v>13285</v>
      </c>
      <c r="K4229" s="343" t="s">
        <v>168</v>
      </c>
    </row>
    <row r="4230" spans="1:11" ht="26.25" customHeight="1">
      <c r="A4230" s="343" t="s">
        <v>6434</v>
      </c>
      <c r="B4230" s="344" t="s">
        <v>162</v>
      </c>
      <c r="C4230" s="344">
        <v>7195</v>
      </c>
      <c r="D4230" s="343" t="s">
        <v>6826</v>
      </c>
      <c r="E4230" s="344">
        <v>4453773</v>
      </c>
      <c r="F4230" s="343" t="s">
        <v>6827</v>
      </c>
      <c r="G4230" s="360" t="s">
        <v>12450</v>
      </c>
      <c r="H4230" s="361">
        <v>42608</v>
      </c>
      <c r="I4230" s="343" t="s">
        <v>198</v>
      </c>
      <c r="J4230" s="343" t="s">
        <v>1327</v>
      </c>
      <c r="K4230" s="343" t="s">
        <v>168</v>
      </c>
    </row>
    <row r="4231" spans="1:11" ht="26.25" customHeight="1">
      <c r="A4231" s="343" t="s">
        <v>6434</v>
      </c>
      <c r="B4231" s="344" t="s">
        <v>162</v>
      </c>
      <c r="C4231" s="344">
        <v>7195</v>
      </c>
      <c r="D4231" s="343" t="s">
        <v>6826</v>
      </c>
      <c r="E4231" s="344">
        <v>4726267</v>
      </c>
      <c r="F4231" s="343" t="s">
        <v>6830</v>
      </c>
      <c r="G4231" s="360" t="s">
        <v>13286</v>
      </c>
      <c r="H4231" s="361">
        <v>42608</v>
      </c>
      <c r="I4231" s="343" t="s">
        <v>198</v>
      </c>
      <c r="J4231" s="343" t="s">
        <v>1327</v>
      </c>
      <c r="K4231" s="343" t="s">
        <v>168</v>
      </c>
    </row>
    <row r="4232" spans="1:11" ht="26.25" customHeight="1">
      <c r="A4232" s="343" t="s">
        <v>6434</v>
      </c>
      <c r="B4232" s="344" t="s">
        <v>162</v>
      </c>
      <c r="C4232" s="344">
        <v>11348</v>
      </c>
      <c r="D4232" s="343" t="s">
        <v>6802</v>
      </c>
      <c r="E4232" s="344">
        <v>4771010</v>
      </c>
      <c r="F4232" s="343" t="s">
        <v>6808</v>
      </c>
      <c r="G4232" s="360" t="s">
        <v>13287</v>
      </c>
      <c r="H4232" s="361">
        <v>42612</v>
      </c>
      <c r="I4232" s="343" t="s">
        <v>6809</v>
      </c>
      <c r="J4232" s="343" t="s">
        <v>13288</v>
      </c>
      <c r="K4232" s="343" t="s">
        <v>168</v>
      </c>
    </row>
    <row r="4233" spans="1:11" ht="26.25" customHeight="1">
      <c r="A4233" s="343" t="s">
        <v>6434</v>
      </c>
      <c r="B4233" s="344" t="s">
        <v>162</v>
      </c>
      <c r="C4233" s="344">
        <v>8440</v>
      </c>
      <c r="D4233" s="343" t="s">
        <v>6750</v>
      </c>
      <c r="E4233" s="344">
        <v>3878312</v>
      </c>
      <c r="F4233" s="343" t="s">
        <v>6751</v>
      </c>
      <c r="G4233" s="360" t="s">
        <v>942</v>
      </c>
      <c r="H4233" s="361">
        <v>42626</v>
      </c>
      <c r="I4233" s="343" t="s">
        <v>4900</v>
      </c>
      <c r="J4233" s="343" t="s">
        <v>13289</v>
      </c>
      <c r="K4233" s="343" t="s">
        <v>168</v>
      </c>
    </row>
    <row r="4234" spans="1:11" ht="26.25" customHeight="1">
      <c r="A4234" s="343" t="s">
        <v>6434</v>
      </c>
      <c r="B4234" s="344" t="s">
        <v>162</v>
      </c>
      <c r="C4234" s="344">
        <v>11457</v>
      </c>
      <c r="D4234" s="343" t="s">
        <v>6523</v>
      </c>
      <c r="E4234" s="344">
        <v>6400171</v>
      </c>
      <c r="F4234" s="343" t="s">
        <v>6525</v>
      </c>
      <c r="G4234" s="360" t="s">
        <v>13290</v>
      </c>
      <c r="H4234" s="361">
        <v>42613</v>
      </c>
      <c r="I4234" s="343" t="s">
        <v>313</v>
      </c>
      <c r="J4234" s="343" t="s">
        <v>314</v>
      </c>
      <c r="K4234" s="343" t="s">
        <v>173</v>
      </c>
    </row>
    <row r="4235" spans="1:11" ht="26.25" customHeight="1">
      <c r="A4235" s="343" t="s">
        <v>6434</v>
      </c>
      <c r="B4235" s="344" t="s">
        <v>162</v>
      </c>
      <c r="C4235" s="344">
        <v>9294</v>
      </c>
      <c r="D4235" s="343" t="s">
        <v>6630</v>
      </c>
      <c r="E4235" s="344">
        <v>5114894</v>
      </c>
      <c r="F4235" s="343" t="s">
        <v>6636</v>
      </c>
      <c r="G4235" s="360" t="s">
        <v>13291</v>
      </c>
      <c r="H4235" s="361">
        <v>42614</v>
      </c>
      <c r="I4235" s="343" t="s">
        <v>193</v>
      </c>
      <c r="J4235" s="343" t="s">
        <v>536</v>
      </c>
      <c r="K4235" s="343" t="s">
        <v>168</v>
      </c>
    </row>
    <row r="4236" spans="1:11" ht="26.25" customHeight="1">
      <c r="A4236" s="343" t="s">
        <v>6434</v>
      </c>
      <c r="B4236" s="344" t="s">
        <v>162</v>
      </c>
      <c r="C4236" s="344">
        <v>11318</v>
      </c>
      <c r="D4236" s="343" t="s">
        <v>6899</v>
      </c>
      <c r="E4236" s="344">
        <v>5775597</v>
      </c>
      <c r="F4236" s="343" t="s">
        <v>6911</v>
      </c>
      <c r="G4236" s="360" t="s">
        <v>13292</v>
      </c>
      <c r="H4236" s="361">
        <v>42613</v>
      </c>
      <c r="I4236" s="343" t="s">
        <v>166</v>
      </c>
      <c r="J4236" s="343" t="s">
        <v>13293</v>
      </c>
      <c r="K4236" s="343" t="s">
        <v>168</v>
      </c>
    </row>
    <row r="4237" spans="1:11" ht="26.25" customHeight="1">
      <c r="A4237" s="343" t="s">
        <v>6434</v>
      </c>
      <c r="B4237" s="344" t="s">
        <v>162</v>
      </c>
      <c r="C4237" s="344">
        <v>9840</v>
      </c>
      <c r="D4237" s="343" t="s">
        <v>6507</v>
      </c>
      <c r="E4237" s="344">
        <v>6205260</v>
      </c>
      <c r="F4237" s="343" t="s">
        <v>6512</v>
      </c>
      <c r="G4237" s="360" t="s">
        <v>11880</v>
      </c>
      <c r="H4237" s="361">
        <v>42629</v>
      </c>
      <c r="I4237" s="343" t="s">
        <v>271</v>
      </c>
      <c r="J4237" s="343" t="s">
        <v>13294</v>
      </c>
      <c r="K4237" s="343" t="s">
        <v>168</v>
      </c>
    </row>
    <row r="4238" spans="1:11" ht="26.25" customHeight="1">
      <c r="A4238" s="343" t="s">
        <v>6434</v>
      </c>
      <c r="B4238" s="344" t="s">
        <v>162</v>
      </c>
      <c r="C4238" s="344">
        <v>11447</v>
      </c>
      <c r="D4238" s="343" t="s">
        <v>6698</v>
      </c>
      <c r="E4238" s="344">
        <v>5057700</v>
      </c>
      <c r="F4238" s="343" t="s">
        <v>6702</v>
      </c>
      <c r="G4238" s="360" t="s">
        <v>13295</v>
      </c>
      <c r="H4238" s="361">
        <v>42628</v>
      </c>
      <c r="I4238" s="343" t="s">
        <v>6703</v>
      </c>
      <c r="J4238" s="343" t="s">
        <v>13296</v>
      </c>
      <c r="K4238" s="343" t="s">
        <v>168</v>
      </c>
    </row>
    <row r="4239" spans="1:11" ht="26.25" customHeight="1">
      <c r="A4239" s="343" t="s">
        <v>6434</v>
      </c>
      <c r="B4239" s="344" t="s">
        <v>162</v>
      </c>
      <c r="C4239" s="344">
        <v>12441</v>
      </c>
      <c r="D4239" s="343" t="s">
        <v>6919</v>
      </c>
      <c r="E4239" s="344">
        <v>5827831</v>
      </c>
      <c r="F4239" s="343" t="s">
        <v>6920</v>
      </c>
      <c r="G4239" s="360" t="s">
        <v>1247</v>
      </c>
      <c r="H4239" s="361">
        <v>42635</v>
      </c>
      <c r="I4239" s="343" t="s">
        <v>193</v>
      </c>
      <c r="J4239" s="343" t="s">
        <v>377</v>
      </c>
      <c r="K4239" s="343" t="s">
        <v>168</v>
      </c>
    </row>
    <row r="4240" spans="1:11" ht="26.25" customHeight="1">
      <c r="A4240" s="343" t="s">
        <v>6434</v>
      </c>
      <c r="B4240" s="344" t="s">
        <v>162</v>
      </c>
      <c r="C4240" s="344">
        <v>11356</v>
      </c>
      <c r="D4240" s="343" t="s">
        <v>6444</v>
      </c>
      <c r="E4240" s="344">
        <v>6384692</v>
      </c>
      <c r="F4240" s="343" t="s">
        <v>6445</v>
      </c>
      <c r="G4240" s="360" t="s">
        <v>13297</v>
      </c>
      <c r="H4240" s="361">
        <v>42635</v>
      </c>
      <c r="I4240" s="343" t="s">
        <v>301</v>
      </c>
      <c r="J4240" s="343" t="s">
        <v>302</v>
      </c>
      <c r="K4240" s="343" t="s">
        <v>168</v>
      </c>
    </row>
    <row r="4241" spans="1:11" ht="26.25" customHeight="1">
      <c r="A4241" s="343" t="s">
        <v>6434</v>
      </c>
      <c r="B4241" s="344" t="s">
        <v>162</v>
      </c>
      <c r="C4241" s="344">
        <v>12911</v>
      </c>
      <c r="D4241" s="343" t="s">
        <v>6639</v>
      </c>
      <c r="E4241" s="344">
        <v>4726250</v>
      </c>
      <c r="F4241" s="343" t="s">
        <v>6652</v>
      </c>
      <c r="G4241" s="360" t="s">
        <v>13298</v>
      </c>
      <c r="H4241" s="361">
        <v>42634</v>
      </c>
      <c r="I4241" s="343" t="s">
        <v>709</v>
      </c>
      <c r="J4241" s="343" t="s">
        <v>9426</v>
      </c>
      <c r="K4241" s="343" t="s">
        <v>173</v>
      </c>
    </row>
    <row r="4242" spans="1:11" ht="26.25" customHeight="1">
      <c r="A4242" s="343" t="s">
        <v>6434</v>
      </c>
      <c r="B4242" s="344" t="s">
        <v>162</v>
      </c>
      <c r="C4242" s="344">
        <v>7192</v>
      </c>
      <c r="D4242" s="343" t="s">
        <v>6596</v>
      </c>
      <c r="E4242" s="344">
        <v>4471572</v>
      </c>
      <c r="F4242" s="343" t="s">
        <v>6597</v>
      </c>
      <c r="G4242" s="360" t="s">
        <v>13299</v>
      </c>
      <c r="H4242" s="361">
        <v>42639</v>
      </c>
      <c r="I4242" s="343" t="s">
        <v>547</v>
      </c>
      <c r="J4242" s="343" t="s">
        <v>936</v>
      </c>
      <c r="K4242" s="343" t="s">
        <v>248</v>
      </c>
    </row>
    <row r="4243" spans="1:11" ht="26.25" customHeight="1">
      <c r="A4243" s="343" t="s">
        <v>6434</v>
      </c>
      <c r="B4243" s="344" t="s">
        <v>162</v>
      </c>
      <c r="C4243" s="344">
        <v>11364</v>
      </c>
      <c r="D4243" s="343" t="s">
        <v>6491</v>
      </c>
      <c r="E4243" s="344">
        <v>6594461</v>
      </c>
      <c r="F4243" s="343" t="s">
        <v>6492</v>
      </c>
      <c r="G4243" s="360" t="s">
        <v>13300</v>
      </c>
      <c r="H4243" s="361">
        <v>42639</v>
      </c>
      <c r="I4243" s="343" t="s">
        <v>193</v>
      </c>
      <c r="J4243" s="343" t="s">
        <v>11886</v>
      </c>
      <c r="K4243" s="343" t="s">
        <v>168</v>
      </c>
    </row>
    <row r="4244" spans="1:11" ht="26.25" customHeight="1">
      <c r="A4244" s="343" t="s">
        <v>6434</v>
      </c>
      <c r="B4244" s="344" t="s">
        <v>162</v>
      </c>
      <c r="C4244" s="344">
        <v>11318</v>
      </c>
      <c r="D4244" s="343" t="s">
        <v>6899</v>
      </c>
      <c r="E4244" s="344">
        <v>5147957</v>
      </c>
      <c r="F4244" s="343" t="s">
        <v>6907</v>
      </c>
      <c r="G4244" s="360" t="s">
        <v>13301</v>
      </c>
      <c r="H4244" s="361">
        <v>42641</v>
      </c>
      <c r="I4244" s="343" t="s">
        <v>198</v>
      </c>
      <c r="J4244" s="343" t="s">
        <v>198</v>
      </c>
      <c r="K4244" s="343" t="s">
        <v>168</v>
      </c>
    </row>
    <row r="4245" spans="1:11" ht="26.25" customHeight="1">
      <c r="A4245" s="343" t="s">
        <v>6434</v>
      </c>
      <c r="B4245" s="344" t="s">
        <v>162</v>
      </c>
      <c r="C4245" s="344">
        <v>11332</v>
      </c>
      <c r="D4245" s="343" t="s">
        <v>6609</v>
      </c>
      <c r="E4245" s="344">
        <v>4699348</v>
      </c>
      <c r="F4245" s="343" t="s">
        <v>6610</v>
      </c>
      <c r="G4245" s="360" t="s">
        <v>730</v>
      </c>
      <c r="H4245" s="361">
        <v>42646</v>
      </c>
      <c r="I4245" s="343" t="s">
        <v>709</v>
      </c>
      <c r="J4245" s="343" t="s">
        <v>10359</v>
      </c>
      <c r="K4245" s="343" t="s">
        <v>168</v>
      </c>
    </row>
    <row r="4246" spans="1:11" ht="26.25" customHeight="1">
      <c r="A4246" s="343" t="s">
        <v>6434</v>
      </c>
      <c r="B4246" s="344" t="s">
        <v>162</v>
      </c>
      <c r="C4246" s="344">
        <v>12037</v>
      </c>
      <c r="D4246" s="343" t="s">
        <v>6707</v>
      </c>
      <c r="E4246" s="344">
        <v>4764954</v>
      </c>
      <c r="F4246" s="343" t="s">
        <v>6708</v>
      </c>
      <c r="G4246" s="360" t="s">
        <v>13302</v>
      </c>
      <c r="H4246" s="361">
        <v>42656</v>
      </c>
      <c r="I4246" s="343" t="s">
        <v>709</v>
      </c>
      <c r="J4246" s="343" t="s">
        <v>10359</v>
      </c>
      <c r="K4246" s="343" t="s">
        <v>168</v>
      </c>
    </row>
    <row r="4247" spans="1:11" ht="26.25" customHeight="1">
      <c r="A4247" s="343" t="s">
        <v>6434</v>
      </c>
      <c r="B4247" s="344" t="s">
        <v>162</v>
      </c>
      <c r="C4247" s="344">
        <v>12911</v>
      </c>
      <c r="D4247" s="343" t="s">
        <v>6639</v>
      </c>
      <c r="E4247" s="344">
        <v>5642372</v>
      </c>
      <c r="F4247" s="343" t="s">
        <v>6646</v>
      </c>
      <c r="G4247" s="360" t="s">
        <v>13303</v>
      </c>
      <c r="H4247" s="361">
        <v>42656</v>
      </c>
      <c r="I4247" s="343" t="s">
        <v>1038</v>
      </c>
      <c r="J4247" s="343" t="s">
        <v>1165</v>
      </c>
      <c r="K4247" s="343" t="s">
        <v>168</v>
      </c>
    </row>
    <row r="4248" spans="1:11" ht="26.25" customHeight="1">
      <c r="A4248" s="343" t="s">
        <v>6434</v>
      </c>
      <c r="B4248" s="344" t="s">
        <v>162</v>
      </c>
      <c r="C4248" s="344">
        <v>12911</v>
      </c>
      <c r="D4248" s="343" t="s">
        <v>6639</v>
      </c>
      <c r="E4248" s="344">
        <v>5526740</v>
      </c>
      <c r="F4248" s="343" t="s">
        <v>6642</v>
      </c>
      <c r="G4248" s="360" t="s">
        <v>9415</v>
      </c>
      <c r="H4248" s="361">
        <v>42656</v>
      </c>
      <c r="I4248" s="343" t="s">
        <v>366</v>
      </c>
      <c r="J4248" s="343" t="s">
        <v>366</v>
      </c>
      <c r="K4248" s="343" t="s">
        <v>168</v>
      </c>
    </row>
    <row r="4249" spans="1:11" ht="26.25" customHeight="1">
      <c r="A4249" s="343" t="s">
        <v>6434</v>
      </c>
      <c r="B4249" s="344" t="s">
        <v>162</v>
      </c>
      <c r="C4249" s="344">
        <v>11338</v>
      </c>
      <c r="D4249" s="343" t="s">
        <v>6677</v>
      </c>
      <c r="E4249" s="344">
        <v>4707536</v>
      </c>
      <c r="F4249" s="343" t="s">
        <v>6680</v>
      </c>
      <c r="G4249" s="360" t="s">
        <v>13304</v>
      </c>
      <c r="H4249" s="361">
        <v>42656</v>
      </c>
      <c r="I4249" s="343" t="s">
        <v>166</v>
      </c>
      <c r="J4249" s="343" t="s">
        <v>344</v>
      </c>
      <c r="K4249" s="343" t="s">
        <v>168</v>
      </c>
    </row>
    <row r="4250" spans="1:11" ht="26.25" customHeight="1">
      <c r="A4250" s="343" t="s">
        <v>6434</v>
      </c>
      <c r="B4250" s="344" t="s">
        <v>162</v>
      </c>
      <c r="C4250" s="344">
        <v>11360</v>
      </c>
      <c r="D4250" s="343" t="s">
        <v>6471</v>
      </c>
      <c r="E4250" s="344">
        <v>6409881</v>
      </c>
      <c r="F4250" s="343" t="s">
        <v>6472</v>
      </c>
      <c r="G4250" s="360" t="s">
        <v>13305</v>
      </c>
      <c r="H4250" s="361">
        <v>42661</v>
      </c>
      <c r="I4250" s="343" t="s">
        <v>6473</v>
      </c>
      <c r="J4250" s="343" t="s">
        <v>13306</v>
      </c>
      <c r="K4250" s="343" t="s">
        <v>168</v>
      </c>
    </row>
    <row r="4251" spans="1:11" ht="26.25" customHeight="1">
      <c r="A4251" s="343" t="s">
        <v>6434</v>
      </c>
      <c r="B4251" s="344" t="s">
        <v>162</v>
      </c>
      <c r="C4251" s="344">
        <v>11363</v>
      </c>
      <c r="D4251" s="343" t="s">
        <v>6479</v>
      </c>
      <c r="E4251" s="344">
        <v>6289819</v>
      </c>
      <c r="F4251" s="343" t="s">
        <v>6486</v>
      </c>
      <c r="G4251" s="360" t="s">
        <v>447</v>
      </c>
      <c r="H4251" s="361">
        <v>42661</v>
      </c>
      <c r="I4251" s="343" t="s">
        <v>166</v>
      </c>
      <c r="J4251" s="343" t="s">
        <v>344</v>
      </c>
      <c r="K4251" s="343" t="s">
        <v>168</v>
      </c>
    </row>
    <row r="4252" spans="1:11" ht="26.25" customHeight="1">
      <c r="A4252" s="343" t="s">
        <v>6434</v>
      </c>
      <c r="B4252" s="344" t="s">
        <v>162</v>
      </c>
      <c r="C4252" s="344">
        <v>12037</v>
      </c>
      <c r="D4252" s="343" t="s">
        <v>6707</v>
      </c>
      <c r="E4252" s="344">
        <v>4586879</v>
      </c>
      <c r="F4252" s="343" t="s">
        <v>6714</v>
      </c>
      <c r="G4252" s="360" t="s">
        <v>9806</v>
      </c>
      <c r="H4252" s="361">
        <v>42670</v>
      </c>
      <c r="I4252" s="343" t="s">
        <v>366</v>
      </c>
      <c r="J4252" s="343" t="s">
        <v>366</v>
      </c>
      <c r="K4252" s="343" t="s">
        <v>168</v>
      </c>
    </row>
    <row r="4253" spans="1:11" ht="26.25" customHeight="1">
      <c r="A4253" s="343" t="s">
        <v>6434</v>
      </c>
      <c r="B4253" s="344" t="s">
        <v>162</v>
      </c>
      <c r="C4253" s="344">
        <v>11458</v>
      </c>
      <c r="D4253" s="343" t="s">
        <v>6533</v>
      </c>
      <c r="E4253" s="344">
        <v>6171463</v>
      </c>
      <c r="F4253" s="343" t="s">
        <v>6536</v>
      </c>
      <c r="G4253" s="360" t="s">
        <v>175</v>
      </c>
      <c r="H4253" s="361">
        <v>42670</v>
      </c>
      <c r="I4253" s="343" t="s">
        <v>198</v>
      </c>
      <c r="J4253" s="343" t="s">
        <v>198</v>
      </c>
      <c r="K4253" s="343" t="s">
        <v>168</v>
      </c>
    </row>
    <row r="4254" spans="1:11" ht="26.25" customHeight="1">
      <c r="A4254" s="343" t="s">
        <v>6434</v>
      </c>
      <c r="B4254" s="344" t="s">
        <v>162</v>
      </c>
      <c r="C4254" s="344">
        <v>11442</v>
      </c>
      <c r="D4254" s="343" t="s">
        <v>6965</v>
      </c>
      <c r="E4254" s="344">
        <v>6238357</v>
      </c>
      <c r="F4254" s="343" t="s">
        <v>6968</v>
      </c>
      <c r="G4254" s="360" t="s">
        <v>12831</v>
      </c>
      <c r="H4254" s="361">
        <v>42670</v>
      </c>
      <c r="I4254" s="343" t="s">
        <v>709</v>
      </c>
      <c r="J4254" s="343" t="s">
        <v>10359</v>
      </c>
      <c r="K4254" s="343" t="s">
        <v>168</v>
      </c>
    </row>
    <row r="4255" spans="1:11" ht="26.25" customHeight="1">
      <c r="A4255" s="343" t="s">
        <v>6434</v>
      </c>
      <c r="B4255" s="344" t="s">
        <v>162</v>
      </c>
      <c r="C4255" s="344">
        <v>12911</v>
      </c>
      <c r="D4255" s="343" t="s">
        <v>6639</v>
      </c>
      <c r="E4255" s="344">
        <v>4244758</v>
      </c>
      <c r="F4255" s="343" t="s">
        <v>6654</v>
      </c>
      <c r="G4255" s="360" t="s">
        <v>13307</v>
      </c>
      <c r="H4255" s="361">
        <v>42675</v>
      </c>
      <c r="I4255" s="343" t="s">
        <v>709</v>
      </c>
      <c r="J4255" s="343" t="s">
        <v>978</v>
      </c>
      <c r="K4255" s="343" t="s">
        <v>173</v>
      </c>
    </row>
    <row r="4256" spans="1:11" ht="26.25" customHeight="1">
      <c r="A4256" s="343" t="s">
        <v>6434</v>
      </c>
      <c r="B4256" s="344" t="s">
        <v>162</v>
      </c>
      <c r="C4256" s="344">
        <v>11457</v>
      </c>
      <c r="D4256" s="343" t="s">
        <v>6523</v>
      </c>
      <c r="E4256" s="344">
        <v>6242933</v>
      </c>
      <c r="F4256" s="343" t="s">
        <v>6526</v>
      </c>
      <c r="G4256" s="360" t="s">
        <v>10606</v>
      </c>
      <c r="H4256" s="361">
        <v>42682</v>
      </c>
      <c r="I4256" s="343" t="s">
        <v>193</v>
      </c>
      <c r="J4256" s="343" t="s">
        <v>637</v>
      </c>
      <c r="K4256" s="343" t="s">
        <v>168</v>
      </c>
    </row>
    <row r="4257" spans="1:11" ht="26.25" customHeight="1">
      <c r="A4257" s="343" t="s">
        <v>6434</v>
      </c>
      <c r="B4257" s="344" t="s">
        <v>162</v>
      </c>
      <c r="C4257" s="344">
        <v>12911</v>
      </c>
      <c r="D4257" s="343" t="s">
        <v>6639</v>
      </c>
      <c r="E4257" s="344">
        <v>6007464</v>
      </c>
      <c r="F4257" s="343" t="s">
        <v>6647</v>
      </c>
      <c r="G4257" s="360" t="s">
        <v>13308</v>
      </c>
      <c r="H4257" s="361">
        <v>42690</v>
      </c>
      <c r="I4257" s="343" t="s">
        <v>198</v>
      </c>
      <c r="J4257" s="343" t="s">
        <v>198</v>
      </c>
      <c r="K4257" s="343" t="s">
        <v>168</v>
      </c>
    </row>
    <row r="4258" spans="1:11" ht="26.25" customHeight="1">
      <c r="A4258" s="343" t="s">
        <v>6434</v>
      </c>
      <c r="B4258" s="344" t="s">
        <v>162</v>
      </c>
      <c r="C4258" s="344">
        <v>11458</v>
      </c>
      <c r="D4258" s="343" t="s">
        <v>6533</v>
      </c>
      <c r="E4258" s="344">
        <v>6142742</v>
      </c>
      <c r="F4258" s="343" t="s">
        <v>6540</v>
      </c>
      <c r="G4258" s="360" t="s">
        <v>9523</v>
      </c>
      <c r="H4258" s="361">
        <v>42697</v>
      </c>
      <c r="I4258" s="343" t="s">
        <v>6541</v>
      </c>
      <c r="J4258" s="343" t="s">
        <v>13309</v>
      </c>
      <c r="K4258" s="343" t="s">
        <v>168</v>
      </c>
    </row>
    <row r="4259" spans="1:11" ht="26.25" customHeight="1">
      <c r="A4259" s="343" t="s">
        <v>6434</v>
      </c>
      <c r="B4259" s="344" t="s">
        <v>162</v>
      </c>
      <c r="C4259" s="344">
        <v>11600</v>
      </c>
      <c r="D4259" s="343" t="s">
        <v>6560</v>
      </c>
      <c r="E4259" s="344">
        <v>4707524</v>
      </c>
      <c r="F4259" s="343" t="s">
        <v>6565</v>
      </c>
      <c r="G4259" s="360" t="s">
        <v>13310</v>
      </c>
      <c r="H4259" s="361">
        <v>42697</v>
      </c>
      <c r="I4259" s="343" t="s">
        <v>198</v>
      </c>
      <c r="J4259" s="343" t="s">
        <v>198</v>
      </c>
      <c r="K4259" s="343" t="s">
        <v>168</v>
      </c>
    </row>
    <row r="4260" spans="1:11" ht="26.25" customHeight="1">
      <c r="A4260" s="343" t="s">
        <v>6434</v>
      </c>
      <c r="B4260" s="344" t="s">
        <v>162</v>
      </c>
      <c r="C4260" s="344">
        <v>9294</v>
      </c>
      <c r="D4260" s="343" t="s">
        <v>6630</v>
      </c>
      <c r="E4260" s="344">
        <v>3791938</v>
      </c>
      <c r="F4260" s="343" t="s">
        <v>6637</v>
      </c>
      <c r="G4260" s="360" t="s">
        <v>12054</v>
      </c>
      <c r="H4260" s="361">
        <v>42702</v>
      </c>
      <c r="I4260" s="343" t="s">
        <v>4428</v>
      </c>
      <c r="J4260" s="343" t="s">
        <v>13311</v>
      </c>
      <c r="K4260" s="343" t="s">
        <v>168</v>
      </c>
    </row>
    <row r="4261" spans="1:11" ht="26.25" customHeight="1">
      <c r="A4261" s="343" t="s">
        <v>6434</v>
      </c>
      <c r="B4261" s="344" t="s">
        <v>162</v>
      </c>
      <c r="C4261" s="344">
        <v>11336</v>
      </c>
      <c r="D4261" s="343" t="s">
        <v>6657</v>
      </c>
      <c r="E4261" s="344">
        <v>4171310</v>
      </c>
      <c r="F4261" s="343" t="s">
        <v>6665</v>
      </c>
      <c r="G4261" s="360" t="s">
        <v>13312</v>
      </c>
      <c r="H4261" s="361">
        <v>42703</v>
      </c>
      <c r="I4261" s="343" t="s">
        <v>6666</v>
      </c>
      <c r="J4261" s="343" t="s">
        <v>13313</v>
      </c>
      <c r="K4261" s="343" t="s">
        <v>168</v>
      </c>
    </row>
    <row r="4262" spans="1:11" ht="26.25" customHeight="1">
      <c r="A4262" s="343" t="s">
        <v>6434</v>
      </c>
      <c r="B4262" s="344" t="s">
        <v>162</v>
      </c>
      <c r="C4262" s="344">
        <v>11318</v>
      </c>
      <c r="D4262" s="343" t="s">
        <v>6899</v>
      </c>
      <c r="E4262" s="344">
        <v>4932542</v>
      </c>
      <c r="F4262" s="343" t="s">
        <v>6905</v>
      </c>
      <c r="G4262" s="360" t="s">
        <v>13314</v>
      </c>
      <c r="H4262" s="361">
        <v>41669</v>
      </c>
      <c r="I4262" s="343" t="s">
        <v>802</v>
      </c>
      <c r="J4262" s="343" t="s">
        <v>13315</v>
      </c>
      <c r="K4262" s="343" t="s">
        <v>168</v>
      </c>
    </row>
    <row r="4263" spans="1:11" ht="26.25" customHeight="1">
      <c r="A4263" s="343" t="s">
        <v>6434</v>
      </c>
      <c r="B4263" s="344" t="s">
        <v>162</v>
      </c>
      <c r="C4263" s="344">
        <v>11340</v>
      </c>
      <c r="D4263" s="343" t="s">
        <v>6692</v>
      </c>
      <c r="E4263" s="344">
        <v>4158783</v>
      </c>
      <c r="F4263" s="343" t="s">
        <v>6693</v>
      </c>
      <c r="G4263" s="360" t="s">
        <v>13316</v>
      </c>
      <c r="H4263" s="361">
        <v>41684</v>
      </c>
      <c r="I4263" s="343" t="s">
        <v>193</v>
      </c>
      <c r="J4263" s="343" t="s">
        <v>167</v>
      </c>
      <c r="K4263" s="343" t="s">
        <v>168</v>
      </c>
    </row>
    <row r="4264" spans="1:11" ht="26.25" customHeight="1">
      <c r="A4264" s="343" t="s">
        <v>6434</v>
      </c>
      <c r="B4264" s="344" t="s">
        <v>162</v>
      </c>
      <c r="C4264" s="344">
        <v>11449</v>
      </c>
      <c r="D4264" s="343" t="s">
        <v>6784</v>
      </c>
      <c r="E4264" s="344">
        <v>5097171</v>
      </c>
      <c r="F4264" s="343" t="s">
        <v>6790</v>
      </c>
      <c r="G4264" s="360" t="s">
        <v>12439</v>
      </c>
      <c r="H4264" s="361">
        <v>41684</v>
      </c>
      <c r="I4264" s="343" t="s">
        <v>5091</v>
      </c>
      <c r="J4264" s="343" t="s">
        <v>13190</v>
      </c>
      <c r="K4264" s="343" t="s">
        <v>168</v>
      </c>
    </row>
    <row r="4265" spans="1:11" ht="26.25" customHeight="1">
      <c r="A4265" s="343" t="s">
        <v>6434</v>
      </c>
      <c r="B4265" s="344" t="s">
        <v>162</v>
      </c>
      <c r="C4265" s="344">
        <v>12035</v>
      </c>
      <c r="D4265" s="343" t="s">
        <v>6741</v>
      </c>
      <c r="E4265" s="344">
        <v>3889105</v>
      </c>
      <c r="F4265" s="343" t="s">
        <v>6743</v>
      </c>
      <c r="G4265" s="360" t="s">
        <v>13317</v>
      </c>
      <c r="H4265" s="361">
        <v>41687</v>
      </c>
      <c r="I4265" s="343" t="s">
        <v>211</v>
      </c>
      <c r="J4265" s="343" t="s">
        <v>13318</v>
      </c>
      <c r="K4265" s="343" t="s">
        <v>168</v>
      </c>
    </row>
    <row r="4266" spans="1:11" ht="26.25" customHeight="1">
      <c r="A4266" s="343" t="s">
        <v>6434</v>
      </c>
      <c r="B4266" s="344" t="s">
        <v>162</v>
      </c>
      <c r="C4266" s="344">
        <v>6841</v>
      </c>
      <c r="D4266" s="343" t="s">
        <v>6848</v>
      </c>
      <c r="E4266" s="344">
        <v>5918311</v>
      </c>
      <c r="F4266" s="343" t="s">
        <v>6859</v>
      </c>
      <c r="G4266" s="360" t="s">
        <v>13319</v>
      </c>
      <c r="H4266" s="361">
        <v>42706</v>
      </c>
      <c r="I4266" s="343" t="s">
        <v>806</v>
      </c>
      <c r="J4266" s="343" t="s">
        <v>13320</v>
      </c>
      <c r="K4266" s="343" t="s">
        <v>168</v>
      </c>
    </row>
    <row r="4267" spans="1:11" ht="26.25" customHeight="1">
      <c r="A4267" s="343" t="s">
        <v>6434</v>
      </c>
      <c r="B4267" s="344" t="s">
        <v>162</v>
      </c>
      <c r="C4267" s="344">
        <v>11449</v>
      </c>
      <c r="D4267" s="343" t="s">
        <v>6784</v>
      </c>
      <c r="E4267" s="344">
        <v>6631597</v>
      </c>
      <c r="F4267" s="343" t="s">
        <v>6786</v>
      </c>
      <c r="G4267" s="360" t="s">
        <v>1141</v>
      </c>
      <c r="H4267" s="361">
        <v>42709</v>
      </c>
      <c r="I4267" s="343" t="s">
        <v>580</v>
      </c>
      <c r="J4267" s="343" t="s">
        <v>13321</v>
      </c>
      <c r="K4267" s="343" t="s">
        <v>248</v>
      </c>
    </row>
    <row r="4268" spans="1:11" ht="26.25" customHeight="1">
      <c r="A4268" s="343" t="s">
        <v>6434</v>
      </c>
      <c r="B4268" s="344" t="s">
        <v>162</v>
      </c>
      <c r="C4268" s="344">
        <v>9641</v>
      </c>
      <c r="D4268" s="343" t="s">
        <v>6838</v>
      </c>
      <c r="E4268" s="344">
        <v>4928702</v>
      </c>
      <c r="F4268" s="343" t="s">
        <v>6843</v>
      </c>
      <c r="G4268" s="360" t="s">
        <v>13322</v>
      </c>
      <c r="H4268" s="361">
        <v>41688</v>
      </c>
      <c r="I4268" s="343" t="s">
        <v>465</v>
      </c>
      <c r="J4268" s="343" t="s">
        <v>553</v>
      </c>
      <c r="K4268" s="343" t="s">
        <v>168</v>
      </c>
    </row>
    <row r="4269" spans="1:11" ht="26.25" customHeight="1">
      <c r="A4269" s="343" t="s">
        <v>6434</v>
      </c>
      <c r="B4269" s="344" t="s">
        <v>162</v>
      </c>
      <c r="C4269" s="344">
        <v>11338</v>
      </c>
      <c r="D4269" s="343" t="s">
        <v>6677</v>
      </c>
      <c r="E4269" s="344">
        <v>4232762</v>
      </c>
      <c r="F4269" s="343" t="s">
        <v>6678</v>
      </c>
      <c r="G4269" s="360" t="s">
        <v>13323</v>
      </c>
      <c r="H4269" s="361">
        <v>40619</v>
      </c>
      <c r="I4269" s="343" t="s">
        <v>1182</v>
      </c>
      <c r="J4269" s="343" t="s">
        <v>10879</v>
      </c>
      <c r="K4269" s="343" t="s">
        <v>173</v>
      </c>
    </row>
    <row r="4270" spans="1:11" ht="26.25" customHeight="1">
      <c r="A4270" s="343" t="s">
        <v>6434</v>
      </c>
      <c r="B4270" s="344" t="s">
        <v>162</v>
      </c>
      <c r="C4270" s="344">
        <v>12037</v>
      </c>
      <c r="D4270" s="343" t="s">
        <v>6707</v>
      </c>
      <c r="E4270" s="344">
        <v>4198605</v>
      </c>
      <c r="F4270" s="343" t="s">
        <v>6711</v>
      </c>
      <c r="G4270" s="360" t="s">
        <v>13324</v>
      </c>
      <c r="H4270" s="361">
        <v>40625</v>
      </c>
      <c r="I4270" s="343" t="s">
        <v>166</v>
      </c>
      <c r="J4270" s="343" t="s">
        <v>9871</v>
      </c>
      <c r="K4270" s="343" t="s">
        <v>168</v>
      </c>
    </row>
    <row r="4271" spans="1:11" ht="26.25" customHeight="1">
      <c r="A4271" s="343" t="s">
        <v>6434</v>
      </c>
      <c r="B4271" s="344" t="s">
        <v>162</v>
      </c>
      <c r="C4271" s="344">
        <v>7201</v>
      </c>
      <c r="D4271" s="343" t="s">
        <v>6727</v>
      </c>
      <c r="E4271" s="344">
        <v>2952982</v>
      </c>
      <c r="F4271" s="343" t="s">
        <v>6730</v>
      </c>
      <c r="G4271" s="360" t="s">
        <v>12402</v>
      </c>
      <c r="H4271" s="361">
        <v>40340</v>
      </c>
      <c r="I4271" s="343" t="s">
        <v>166</v>
      </c>
      <c r="J4271" s="343" t="s">
        <v>9871</v>
      </c>
      <c r="K4271" s="343" t="s">
        <v>168</v>
      </c>
    </row>
    <row r="4272" spans="1:11" ht="26.25" customHeight="1">
      <c r="A4272" s="343" t="s">
        <v>6434</v>
      </c>
      <c r="B4272" s="344" t="s">
        <v>162</v>
      </c>
      <c r="C4272" s="344">
        <v>11346</v>
      </c>
      <c r="D4272" s="343" t="s">
        <v>6754</v>
      </c>
      <c r="E4272" s="344">
        <v>4504716</v>
      </c>
      <c r="F4272" s="343" t="s">
        <v>6755</v>
      </c>
      <c r="G4272" s="360" t="s">
        <v>10858</v>
      </c>
      <c r="H4272" s="361">
        <v>41933</v>
      </c>
      <c r="I4272" s="343" t="s">
        <v>984</v>
      </c>
      <c r="J4272" s="343" t="s">
        <v>13325</v>
      </c>
      <c r="K4272" s="343" t="s">
        <v>168</v>
      </c>
    </row>
    <row r="4273" spans="1:11" ht="26.25" customHeight="1">
      <c r="A4273" s="343" t="s">
        <v>6434</v>
      </c>
      <c r="B4273" s="344" t="s">
        <v>162</v>
      </c>
      <c r="C4273" s="344">
        <v>7201</v>
      </c>
      <c r="D4273" s="343" t="s">
        <v>6727</v>
      </c>
      <c r="E4273" s="344">
        <v>4207019</v>
      </c>
      <c r="F4273" s="343" t="s">
        <v>6732</v>
      </c>
      <c r="G4273" s="360" t="s">
        <v>13326</v>
      </c>
      <c r="H4273" s="361">
        <v>40645</v>
      </c>
      <c r="I4273" s="343" t="s">
        <v>6733</v>
      </c>
      <c r="J4273" s="343" t="s">
        <v>13327</v>
      </c>
      <c r="K4273" s="343" t="s">
        <v>173</v>
      </c>
    </row>
    <row r="4274" spans="1:11" ht="26.25" customHeight="1">
      <c r="A4274" s="343" t="s">
        <v>6434</v>
      </c>
      <c r="B4274" s="344" t="s">
        <v>162</v>
      </c>
      <c r="C4274" s="344">
        <v>11337</v>
      </c>
      <c r="D4274" s="343" t="s">
        <v>6673</v>
      </c>
      <c r="E4274" s="344">
        <v>3171291</v>
      </c>
      <c r="F4274" s="343" t="s">
        <v>6674</v>
      </c>
      <c r="G4274" s="360" t="s">
        <v>13328</v>
      </c>
      <c r="H4274" s="361">
        <v>40837</v>
      </c>
      <c r="I4274" s="343" t="s">
        <v>211</v>
      </c>
      <c r="J4274" s="343" t="s">
        <v>211</v>
      </c>
      <c r="K4274" s="343" t="s">
        <v>168</v>
      </c>
    </row>
    <row r="4275" spans="1:11" ht="26.25" customHeight="1">
      <c r="A4275" s="343" t="s">
        <v>6434</v>
      </c>
      <c r="B4275" s="344" t="s">
        <v>162</v>
      </c>
      <c r="C4275" s="344">
        <v>7189</v>
      </c>
      <c r="D4275" s="343" t="s">
        <v>6831</v>
      </c>
      <c r="E4275" s="344">
        <v>3608824</v>
      </c>
      <c r="F4275" s="343" t="s">
        <v>6835</v>
      </c>
      <c r="G4275" s="360" t="s">
        <v>13329</v>
      </c>
      <c r="H4275" s="361">
        <v>40794</v>
      </c>
      <c r="I4275" s="343" t="s">
        <v>193</v>
      </c>
      <c r="J4275" s="343" t="s">
        <v>9871</v>
      </c>
      <c r="K4275" s="343" t="s">
        <v>168</v>
      </c>
    </row>
    <row r="4276" spans="1:11" ht="26.25" customHeight="1">
      <c r="A4276" s="343" t="s">
        <v>6434</v>
      </c>
      <c r="B4276" s="344" t="s">
        <v>162</v>
      </c>
      <c r="C4276" s="344">
        <v>7191</v>
      </c>
      <c r="D4276" s="343" t="s">
        <v>6621</v>
      </c>
      <c r="E4276" s="344">
        <v>3994723</v>
      </c>
      <c r="F4276" s="343" t="s">
        <v>6622</v>
      </c>
      <c r="G4276" s="360" t="s">
        <v>13330</v>
      </c>
      <c r="H4276" s="361">
        <v>40779</v>
      </c>
      <c r="I4276" s="343" t="s">
        <v>275</v>
      </c>
      <c r="J4276" s="343" t="s">
        <v>13331</v>
      </c>
      <c r="K4276" s="343" t="s">
        <v>173</v>
      </c>
    </row>
    <row r="4277" spans="1:11" ht="26.25" customHeight="1">
      <c r="A4277" s="343" t="s">
        <v>6434</v>
      </c>
      <c r="B4277" s="344" t="s">
        <v>162</v>
      </c>
      <c r="C4277" s="344">
        <v>11448</v>
      </c>
      <c r="D4277" s="343" t="s">
        <v>6752</v>
      </c>
      <c r="E4277" s="344">
        <v>4802071</v>
      </c>
      <c r="F4277" s="343" t="s">
        <v>6753</v>
      </c>
      <c r="G4277" s="360" t="s">
        <v>13332</v>
      </c>
      <c r="H4277" s="361">
        <v>40771</v>
      </c>
      <c r="I4277" s="343" t="s">
        <v>211</v>
      </c>
      <c r="J4277" s="343" t="s">
        <v>211</v>
      </c>
      <c r="K4277" s="343" t="s">
        <v>168</v>
      </c>
    </row>
    <row r="4278" spans="1:11" ht="26.25" customHeight="1">
      <c r="A4278" s="343" t="s">
        <v>6434</v>
      </c>
      <c r="B4278" s="344" t="s">
        <v>162</v>
      </c>
      <c r="C4278" s="344">
        <v>7189</v>
      </c>
      <c r="D4278" s="343" t="s">
        <v>6831</v>
      </c>
      <c r="E4278" s="344">
        <v>3602343</v>
      </c>
      <c r="F4278" s="343" t="s">
        <v>6833</v>
      </c>
      <c r="G4278" s="360" t="s">
        <v>13333</v>
      </c>
      <c r="H4278" s="361">
        <v>40764</v>
      </c>
      <c r="I4278" s="343" t="s">
        <v>211</v>
      </c>
      <c r="J4278" s="343" t="s">
        <v>211</v>
      </c>
      <c r="K4278" s="343" t="s">
        <v>168</v>
      </c>
    </row>
    <row r="4279" spans="1:11" ht="26.25" customHeight="1">
      <c r="A4279" s="343" t="s">
        <v>6434</v>
      </c>
      <c r="B4279" s="344" t="s">
        <v>162</v>
      </c>
      <c r="C4279" s="344">
        <v>7190</v>
      </c>
      <c r="D4279" s="343" t="s">
        <v>6628</v>
      </c>
      <c r="E4279" s="344">
        <v>3172555</v>
      </c>
      <c r="F4279" s="343" t="s">
        <v>6629</v>
      </c>
      <c r="G4279" s="360" t="s">
        <v>13334</v>
      </c>
      <c r="H4279" s="361">
        <v>40687</v>
      </c>
      <c r="I4279" s="343" t="s">
        <v>211</v>
      </c>
      <c r="J4279" s="343" t="s">
        <v>13335</v>
      </c>
      <c r="K4279" s="343" t="s">
        <v>168</v>
      </c>
    </row>
    <row r="4280" spans="1:11" ht="26.25" customHeight="1">
      <c r="A4280" s="343" t="s">
        <v>6434</v>
      </c>
      <c r="B4280" s="344" t="s">
        <v>162</v>
      </c>
      <c r="C4280" s="344">
        <v>9711</v>
      </c>
      <c r="D4280" s="343" t="s">
        <v>6759</v>
      </c>
      <c r="E4280" s="344">
        <v>4445644</v>
      </c>
      <c r="F4280" s="343" t="s">
        <v>6763</v>
      </c>
      <c r="G4280" s="360" t="s">
        <v>13336</v>
      </c>
      <c r="H4280" s="361">
        <v>41697</v>
      </c>
      <c r="I4280" s="343" t="s">
        <v>211</v>
      </c>
      <c r="J4280" s="343" t="s">
        <v>211</v>
      </c>
      <c r="K4280" s="343" t="s">
        <v>168</v>
      </c>
    </row>
    <row r="4281" spans="1:11" ht="26.25" customHeight="1">
      <c r="A4281" s="343" t="s">
        <v>6434</v>
      </c>
      <c r="B4281" s="344" t="s">
        <v>162</v>
      </c>
      <c r="C4281" s="344">
        <v>11338</v>
      </c>
      <c r="D4281" s="343" t="s">
        <v>6677</v>
      </c>
      <c r="E4281" s="344">
        <v>4708822</v>
      </c>
      <c r="F4281" s="343" t="s">
        <v>6687</v>
      </c>
      <c r="G4281" s="360" t="s">
        <v>13337</v>
      </c>
      <c r="H4281" s="361">
        <v>40966</v>
      </c>
      <c r="I4281" s="343" t="s">
        <v>670</v>
      </c>
      <c r="J4281" s="343" t="s">
        <v>10076</v>
      </c>
      <c r="K4281" s="343" t="s">
        <v>173</v>
      </c>
    </row>
    <row r="4282" spans="1:11" ht="26.25" customHeight="1">
      <c r="A4282" s="343" t="s">
        <v>6434</v>
      </c>
      <c r="B4282" s="344" t="s">
        <v>162</v>
      </c>
      <c r="C4282" s="344">
        <v>7188</v>
      </c>
      <c r="D4282" s="343" t="s">
        <v>6764</v>
      </c>
      <c r="E4282" s="344">
        <v>4673693</v>
      </c>
      <c r="F4282" s="343" t="s">
        <v>6767</v>
      </c>
      <c r="G4282" s="360" t="s">
        <v>13338</v>
      </c>
      <c r="H4282" s="361">
        <v>40976</v>
      </c>
      <c r="I4282" s="343" t="s">
        <v>4054</v>
      </c>
      <c r="J4282" s="343" t="s">
        <v>13339</v>
      </c>
      <c r="K4282" s="343" t="s">
        <v>168</v>
      </c>
    </row>
    <row r="4283" spans="1:11" ht="26.25" customHeight="1">
      <c r="A4283" s="343" t="s">
        <v>6434</v>
      </c>
      <c r="B4283" s="344" t="s">
        <v>162</v>
      </c>
      <c r="C4283" s="344">
        <v>11337</v>
      </c>
      <c r="D4283" s="343" t="s">
        <v>6673</v>
      </c>
      <c r="E4283" s="344">
        <v>3884018</v>
      </c>
      <c r="F4283" s="343" t="s">
        <v>6675</v>
      </c>
      <c r="G4283" s="360" t="s">
        <v>13340</v>
      </c>
      <c r="H4283" s="361">
        <v>40977</v>
      </c>
      <c r="I4283" s="343" t="s">
        <v>709</v>
      </c>
      <c r="J4283" s="343" t="s">
        <v>709</v>
      </c>
      <c r="K4283" s="343" t="s">
        <v>173</v>
      </c>
    </row>
    <row r="4284" spans="1:11" ht="26.25" customHeight="1">
      <c r="A4284" s="343" t="s">
        <v>6434</v>
      </c>
      <c r="B4284" s="344" t="s">
        <v>162</v>
      </c>
      <c r="C4284" s="344">
        <v>11339</v>
      </c>
      <c r="D4284" s="343" t="s">
        <v>6689</v>
      </c>
      <c r="E4284" s="344">
        <v>4183186</v>
      </c>
      <c r="F4284" s="343" t="s">
        <v>6690</v>
      </c>
      <c r="G4284" s="360" t="s">
        <v>13341</v>
      </c>
      <c r="H4284" s="361">
        <v>40990</v>
      </c>
      <c r="I4284" s="343" t="s">
        <v>211</v>
      </c>
      <c r="J4284" s="343" t="s">
        <v>909</v>
      </c>
      <c r="K4284" s="343" t="s">
        <v>168</v>
      </c>
    </row>
    <row r="4285" spans="1:11" ht="26.25" customHeight="1">
      <c r="A4285" s="343" t="s">
        <v>6434</v>
      </c>
      <c r="B4285" s="344" t="s">
        <v>162</v>
      </c>
      <c r="C4285" s="344">
        <v>7189</v>
      </c>
      <c r="D4285" s="343" t="s">
        <v>6831</v>
      </c>
      <c r="E4285" s="344">
        <v>4411374</v>
      </c>
      <c r="F4285" s="343" t="s">
        <v>6832</v>
      </c>
      <c r="G4285" s="360" t="s">
        <v>13342</v>
      </c>
      <c r="H4285" s="361">
        <v>41089</v>
      </c>
      <c r="I4285" s="343" t="s">
        <v>5777</v>
      </c>
      <c r="J4285" s="343" t="s">
        <v>13343</v>
      </c>
      <c r="K4285" s="343" t="s">
        <v>168</v>
      </c>
    </row>
    <row r="4286" spans="1:11" ht="26.25" customHeight="1">
      <c r="A4286" s="343" t="s">
        <v>6434</v>
      </c>
      <c r="B4286" s="344" t="s">
        <v>162</v>
      </c>
      <c r="C4286" s="344">
        <v>11600</v>
      </c>
      <c r="D4286" s="343" t="s">
        <v>6560</v>
      </c>
      <c r="E4286" s="344">
        <v>4827173</v>
      </c>
      <c r="F4286" s="343" t="s">
        <v>6563</v>
      </c>
      <c r="G4286" s="360" t="s">
        <v>13344</v>
      </c>
      <c r="H4286" s="361">
        <v>41045</v>
      </c>
      <c r="I4286" s="343" t="s">
        <v>709</v>
      </c>
      <c r="J4286" s="343" t="s">
        <v>9629</v>
      </c>
      <c r="K4286" s="343" t="s">
        <v>168</v>
      </c>
    </row>
    <row r="4287" spans="1:11" ht="26.25" customHeight="1">
      <c r="A4287" s="343" t="s">
        <v>6434</v>
      </c>
      <c r="B4287" s="344" t="s">
        <v>162</v>
      </c>
      <c r="C4287" s="344">
        <v>9641</v>
      </c>
      <c r="D4287" s="343" t="s">
        <v>6838</v>
      </c>
      <c r="E4287" s="344">
        <v>5101934</v>
      </c>
      <c r="F4287" s="343" t="s">
        <v>6842</v>
      </c>
      <c r="G4287" s="360" t="s">
        <v>13345</v>
      </c>
      <c r="H4287" s="361">
        <v>41326</v>
      </c>
      <c r="I4287" s="343" t="s">
        <v>1403</v>
      </c>
      <c r="J4287" s="343" t="s">
        <v>13346</v>
      </c>
      <c r="K4287" s="343" t="s">
        <v>168</v>
      </c>
    </row>
    <row r="4288" spans="1:11" ht="26.25" customHeight="1">
      <c r="A4288" s="343" t="s">
        <v>6434</v>
      </c>
      <c r="B4288" s="344" t="s">
        <v>162</v>
      </c>
      <c r="C4288" s="344">
        <v>11349</v>
      </c>
      <c r="D4288" s="343" t="s">
        <v>6813</v>
      </c>
      <c r="E4288" s="344">
        <v>4454522</v>
      </c>
      <c r="F4288" s="343" t="s">
        <v>6818</v>
      </c>
      <c r="G4288" s="360" t="s">
        <v>13347</v>
      </c>
      <c r="H4288" s="361">
        <v>41341</v>
      </c>
      <c r="I4288" s="343" t="s">
        <v>301</v>
      </c>
      <c r="J4288" s="343" t="s">
        <v>13348</v>
      </c>
      <c r="K4288" s="343" t="s">
        <v>168</v>
      </c>
    </row>
    <row r="4289" spans="1:11" ht="26.25" customHeight="1">
      <c r="A4289" s="343" t="s">
        <v>6434</v>
      </c>
      <c r="B4289" s="344" t="s">
        <v>162</v>
      </c>
      <c r="C4289" s="344">
        <v>11349</v>
      </c>
      <c r="D4289" s="343" t="s">
        <v>6813</v>
      </c>
      <c r="E4289" s="344">
        <v>3778999</v>
      </c>
      <c r="F4289" s="343" t="s">
        <v>6819</v>
      </c>
      <c r="G4289" s="360" t="s">
        <v>13349</v>
      </c>
      <c r="H4289" s="361">
        <v>41341</v>
      </c>
      <c r="I4289" s="343" t="s">
        <v>211</v>
      </c>
      <c r="J4289" s="343" t="s">
        <v>211</v>
      </c>
      <c r="K4289" s="343" t="s">
        <v>168</v>
      </c>
    </row>
    <row r="4290" spans="1:11" ht="26.25" customHeight="1">
      <c r="A4290" s="343" t="s">
        <v>6434</v>
      </c>
      <c r="B4290" s="344" t="s">
        <v>162</v>
      </c>
      <c r="C4290" s="344">
        <v>7188</v>
      </c>
      <c r="D4290" s="343" t="s">
        <v>6764</v>
      </c>
      <c r="E4290" s="344">
        <v>4441574</v>
      </c>
      <c r="F4290" s="343" t="s">
        <v>6765</v>
      </c>
      <c r="G4290" s="360" t="s">
        <v>13350</v>
      </c>
      <c r="H4290" s="361">
        <v>41551</v>
      </c>
      <c r="I4290" s="343" t="s">
        <v>3606</v>
      </c>
      <c r="J4290" s="343" t="s">
        <v>3606</v>
      </c>
      <c r="K4290" s="343" t="s">
        <v>168</v>
      </c>
    </row>
    <row r="4291" spans="1:11" ht="26.25" customHeight="1">
      <c r="A4291" s="343" t="s">
        <v>6434</v>
      </c>
      <c r="B4291" s="344" t="s">
        <v>162</v>
      </c>
      <c r="C4291" s="344">
        <v>11343</v>
      </c>
      <c r="D4291" s="343" t="s">
        <v>6795</v>
      </c>
      <c r="E4291" s="344">
        <v>5213873</v>
      </c>
      <c r="F4291" s="343" t="s">
        <v>6796</v>
      </c>
      <c r="G4291" s="360" t="s">
        <v>13351</v>
      </c>
      <c r="H4291" s="361">
        <v>41807</v>
      </c>
      <c r="I4291" s="343" t="s">
        <v>709</v>
      </c>
      <c r="J4291" s="343" t="s">
        <v>13352</v>
      </c>
      <c r="K4291" s="343" t="s">
        <v>168</v>
      </c>
    </row>
    <row r="4292" spans="1:11" ht="26.25" customHeight="1">
      <c r="A4292" s="343" t="s">
        <v>6434</v>
      </c>
      <c r="B4292" s="344" t="s">
        <v>162</v>
      </c>
      <c r="C4292" s="344">
        <v>11461</v>
      </c>
      <c r="D4292" s="343" t="s">
        <v>6616</v>
      </c>
      <c r="E4292" s="344">
        <v>3197435</v>
      </c>
      <c r="F4292" s="343" t="s">
        <v>6617</v>
      </c>
      <c r="G4292" s="360" t="s">
        <v>13353</v>
      </c>
      <c r="H4292" s="361">
        <v>41838</v>
      </c>
      <c r="I4292" s="343" t="s">
        <v>211</v>
      </c>
      <c r="J4292" s="343" t="s">
        <v>211</v>
      </c>
      <c r="K4292" s="343" t="s">
        <v>168</v>
      </c>
    </row>
    <row r="4293" spans="1:11" ht="26.25" customHeight="1">
      <c r="A4293" s="343" t="s">
        <v>6434</v>
      </c>
      <c r="B4293" s="344" t="s">
        <v>162</v>
      </c>
      <c r="C4293" s="344">
        <v>11338</v>
      </c>
      <c r="D4293" s="343" t="s">
        <v>6677</v>
      </c>
      <c r="E4293" s="344">
        <v>3888646</v>
      </c>
      <c r="F4293" s="343" t="s">
        <v>6688</v>
      </c>
      <c r="G4293" s="360" t="s">
        <v>13354</v>
      </c>
      <c r="H4293" s="361">
        <v>41843</v>
      </c>
      <c r="I4293" s="343" t="s">
        <v>380</v>
      </c>
      <c r="J4293" s="343" t="s">
        <v>13355</v>
      </c>
      <c r="K4293" s="343" t="s">
        <v>173</v>
      </c>
    </row>
    <row r="4294" spans="1:11" ht="26.25" customHeight="1">
      <c r="A4294" s="343" t="s">
        <v>6434</v>
      </c>
      <c r="B4294" s="344" t="s">
        <v>162</v>
      </c>
      <c r="C4294" s="344">
        <v>12036</v>
      </c>
      <c r="D4294" s="343" t="s">
        <v>6776</v>
      </c>
      <c r="E4294" s="344">
        <v>4914300</v>
      </c>
      <c r="F4294" s="343" t="s">
        <v>6781</v>
      </c>
      <c r="G4294" s="360" t="s">
        <v>13356</v>
      </c>
      <c r="H4294" s="361">
        <v>41353</v>
      </c>
      <c r="I4294" s="343" t="s">
        <v>166</v>
      </c>
      <c r="J4294" s="343" t="s">
        <v>167</v>
      </c>
      <c r="K4294" s="343" t="s">
        <v>168</v>
      </c>
    </row>
    <row r="4295" spans="1:11" ht="26.25" customHeight="1">
      <c r="A4295" s="343" t="s">
        <v>6434</v>
      </c>
      <c r="B4295" s="344" t="s">
        <v>162</v>
      </c>
      <c r="C4295" s="344">
        <v>12036</v>
      </c>
      <c r="D4295" s="343" t="s">
        <v>6776</v>
      </c>
      <c r="E4295" s="344">
        <v>4439567</v>
      </c>
      <c r="F4295" s="343" t="s">
        <v>6783</v>
      </c>
      <c r="G4295" s="360" t="s">
        <v>13357</v>
      </c>
      <c r="H4295" s="361">
        <v>41353</v>
      </c>
      <c r="I4295" s="343" t="s">
        <v>193</v>
      </c>
      <c r="J4295" s="343" t="s">
        <v>228</v>
      </c>
      <c r="K4295" s="343" t="s">
        <v>168</v>
      </c>
    </row>
    <row r="4296" spans="1:11" ht="26.25" customHeight="1">
      <c r="A4296" s="343" t="s">
        <v>6434</v>
      </c>
      <c r="B4296" s="344" t="s">
        <v>162</v>
      </c>
      <c r="C4296" s="344">
        <v>7196</v>
      </c>
      <c r="D4296" s="343" t="s">
        <v>6820</v>
      </c>
      <c r="E4296" s="344">
        <v>4679726</v>
      </c>
      <c r="F4296" s="343" t="s">
        <v>6822</v>
      </c>
      <c r="G4296" s="360" t="s">
        <v>13358</v>
      </c>
      <c r="H4296" s="361">
        <v>41530</v>
      </c>
      <c r="I4296" s="343" t="s">
        <v>166</v>
      </c>
      <c r="J4296" s="343" t="s">
        <v>794</v>
      </c>
      <c r="K4296" s="343" t="s">
        <v>168</v>
      </c>
    </row>
    <row r="4297" spans="1:11" ht="26.25" customHeight="1">
      <c r="A4297" s="343" t="s">
        <v>6434</v>
      </c>
      <c r="B4297" s="344" t="s">
        <v>162</v>
      </c>
      <c r="C4297" s="344">
        <v>11341</v>
      </c>
      <c r="D4297" s="343" t="s">
        <v>6704</v>
      </c>
      <c r="E4297" s="344">
        <v>4675301</v>
      </c>
      <c r="F4297" s="343" t="s">
        <v>6705</v>
      </c>
      <c r="G4297" s="360" t="s">
        <v>13359</v>
      </c>
      <c r="H4297" s="361">
        <v>41365</v>
      </c>
      <c r="I4297" s="343" t="s">
        <v>742</v>
      </c>
      <c r="J4297" s="343" t="s">
        <v>742</v>
      </c>
      <c r="K4297" s="343" t="s">
        <v>168</v>
      </c>
    </row>
    <row r="4298" spans="1:11" ht="26.25" customHeight="1">
      <c r="A4298" s="343" t="s">
        <v>6434</v>
      </c>
      <c r="B4298" s="344" t="s">
        <v>162</v>
      </c>
      <c r="C4298" s="344">
        <v>11337</v>
      </c>
      <c r="D4298" s="343" t="s">
        <v>6673</v>
      </c>
      <c r="E4298" s="344">
        <v>5088813</v>
      </c>
      <c r="F4298" s="343" t="s">
        <v>6676</v>
      </c>
      <c r="G4298" s="360" t="s">
        <v>13360</v>
      </c>
      <c r="H4298" s="361">
        <v>41376</v>
      </c>
      <c r="I4298" s="343" t="s">
        <v>211</v>
      </c>
      <c r="J4298" s="343" t="s">
        <v>211</v>
      </c>
      <c r="K4298" s="343" t="s">
        <v>168</v>
      </c>
    </row>
    <row r="4299" spans="1:11" ht="26.25" customHeight="1">
      <c r="A4299" s="343" t="s">
        <v>6434</v>
      </c>
      <c r="B4299" s="344" t="s">
        <v>162</v>
      </c>
      <c r="C4299" s="344">
        <v>11343</v>
      </c>
      <c r="D4299" s="343" t="s">
        <v>6795</v>
      </c>
      <c r="E4299" s="344">
        <v>5082446</v>
      </c>
      <c r="F4299" s="343" t="s">
        <v>6801</v>
      </c>
      <c r="G4299" s="360" t="s">
        <v>13361</v>
      </c>
      <c r="H4299" s="361">
        <v>41390</v>
      </c>
      <c r="I4299" s="343" t="s">
        <v>366</v>
      </c>
      <c r="J4299" s="343" t="s">
        <v>366</v>
      </c>
      <c r="K4299" s="343" t="s">
        <v>168</v>
      </c>
    </row>
    <row r="4300" spans="1:11" ht="26.25" customHeight="1">
      <c r="A4300" s="343" t="s">
        <v>6434</v>
      </c>
      <c r="B4300" s="344" t="s">
        <v>162</v>
      </c>
      <c r="C4300" s="344">
        <v>12036</v>
      </c>
      <c r="D4300" s="343" t="s">
        <v>6776</v>
      </c>
      <c r="E4300" s="344">
        <v>4853663</v>
      </c>
      <c r="F4300" s="343" t="s">
        <v>6778</v>
      </c>
      <c r="G4300" s="360" t="s">
        <v>13362</v>
      </c>
      <c r="H4300" s="361">
        <v>41453</v>
      </c>
      <c r="I4300" s="343" t="s">
        <v>180</v>
      </c>
      <c r="J4300" s="343" t="s">
        <v>13363</v>
      </c>
      <c r="K4300" s="343" t="s">
        <v>168</v>
      </c>
    </row>
    <row r="4301" spans="1:11" ht="26.25" customHeight="1">
      <c r="A4301" s="343" t="s">
        <v>6434</v>
      </c>
      <c r="B4301" s="344" t="s">
        <v>162</v>
      </c>
      <c r="C4301" s="344">
        <v>11344</v>
      </c>
      <c r="D4301" s="343" t="s">
        <v>6746</v>
      </c>
      <c r="E4301" s="344">
        <v>5237810</v>
      </c>
      <c r="F4301" s="343" t="s">
        <v>6747</v>
      </c>
      <c r="G4301" s="360" t="s">
        <v>935</v>
      </c>
      <c r="H4301" s="361">
        <v>41396</v>
      </c>
      <c r="I4301" s="343" t="s">
        <v>261</v>
      </c>
      <c r="J4301" s="343" t="s">
        <v>9727</v>
      </c>
      <c r="K4301" s="343" t="s">
        <v>168</v>
      </c>
    </row>
    <row r="4302" spans="1:11" ht="26.25" customHeight="1">
      <c r="A4302" s="343" t="s">
        <v>6434</v>
      </c>
      <c r="B4302" s="344" t="s">
        <v>162</v>
      </c>
      <c r="C4302" s="344">
        <v>11446</v>
      </c>
      <c r="D4302" s="343" t="s">
        <v>6555</v>
      </c>
      <c r="E4302" s="344">
        <v>3592967</v>
      </c>
      <c r="F4302" s="343" t="s">
        <v>6559</v>
      </c>
      <c r="G4302" s="360" t="s">
        <v>13364</v>
      </c>
      <c r="H4302" s="361">
        <v>41409</v>
      </c>
      <c r="I4302" s="343" t="s">
        <v>984</v>
      </c>
      <c r="J4302" s="343" t="s">
        <v>9373</v>
      </c>
      <c r="K4302" s="343" t="s">
        <v>168</v>
      </c>
    </row>
    <row r="4303" spans="1:11" ht="26.25" customHeight="1">
      <c r="A4303" s="343" t="s">
        <v>6434</v>
      </c>
      <c r="B4303" s="344" t="s">
        <v>162</v>
      </c>
      <c r="C4303" s="344">
        <v>12035</v>
      </c>
      <c r="D4303" s="343" t="s">
        <v>6741</v>
      </c>
      <c r="E4303" s="344">
        <v>3888178</v>
      </c>
      <c r="F4303" s="343" t="s">
        <v>6744</v>
      </c>
      <c r="G4303" s="360" t="s">
        <v>13365</v>
      </c>
      <c r="H4303" s="361">
        <v>41708</v>
      </c>
      <c r="I4303" s="343" t="s">
        <v>198</v>
      </c>
      <c r="J4303" s="343" t="s">
        <v>198</v>
      </c>
      <c r="K4303" s="343" t="s">
        <v>168</v>
      </c>
    </row>
    <row r="4304" spans="1:11" ht="26.25" customHeight="1">
      <c r="A4304" s="343" t="s">
        <v>6434</v>
      </c>
      <c r="B4304" s="344" t="s">
        <v>162</v>
      </c>
      <c r="C4304" s="344">
        <v>12036</v>
      </c>
      <c r="D4304" s="343" t="s">
        <v>6776</v>
      </c>
      <c r="E4304" s="344">
        <v>3896259</v>
      </c>
      <c r="F4304" s="343" t="s">
        <v>6782</v>
      </c>
      <c r="G4304" s="360" t="s">
        <v>903</v>
      </c>
      <c r="H4304" s="361">
        <v>41708</v>
      </c>
      <c r="I4304" s="343" t="s">
        <v>1305</v>
      </c>
      <c r="J4304" s="343" t="s">
        <v>13366</v>
      </c>
      <c r="K4304" s="343" t="s">
        <v>168</v>
      </c>
    </row>
    <row r="4305" spans="1:11" ht="26.25" customHeight="1">
      <c r="A4305" s="343" t="s">
        <v>6434</v>
      </c>
      <c r="B4305" s="344" t="s">
        <v>162</v>
      </c>
      <c r="C4305" s="344">
        <v>7202</v>
      </c>
      <c r="D4305" s="343" t="s">
        <v>6550</v>
      </c>
      <c r="E4305" s="344">
        <v>5433394</v>
      </c>
      <c r="F4305" s="343" t="s">
        <v>6552</v>
      </c>
      <c r="G4305" s="360" t="s">
        <v>13367</v>
      </c>
      <c r="H4305" s="361">
        <v>41710</v>
      </c>
      <c r="I4305" s="343" t="s">
        <v>219</v>
      </c>
      <c r="J4305" s="343" t="s">
        <v>13368</v>
      </c>
      <c r="K4305" s="343" t="s">
        <v>173</v>
      </c>
    </row>
    <row r="4306" spans="1:11" ht="26.25" customHeight="1">
      <c r="A4306" s="343" t="s">
        <v>6434</v>
      </c>
      <c r="B4306" s="344" t="s">
        <v>162</v>
      </c>
      <c r="C4306" s="344">
        <v>11852</v>
      </c>
      <c r="D4306" s="343" t="s">
        <v>6542</v>
      </c>
      <c r="E4306" s="344">
        <v>4458243</v>
      </c>
      <c r="F4306" s="343" t="s">
        <v>6545</v>
      </c>
      <c r="G4306" s="360" t="s">
        <v>11555</v>
      </c>
      <c r="H4306" s="361">
        <v>41774</v>
      </c>
      <c r="I4306" s="343" t="s">
        <v>305</v>
      </c>
      <c r="J4306" s="343" t="s">
        <v>13369</v>
      </c>
      <c r="K4306" s="343" t="s">
        <v>173</v>
      </c>
    </row>
    <row r="4307" spans="1:11" ht="26.25" customHeight="1">
      <c r="A4307" s="343" t="s">
        <v>6434</v>
      </c>
      <c r="B4307" s="344" t="s">
        <v>162</v>
      </c>
      <c r="C4307" s="344">
        <v>11336</v>
      </c>
      <c r="D4307" s="343" t="s">
        <v>6657</v>
      </c>
      <c r="E4307" s="344">
        <v>4711733</v>
      </c>
      <c r="F4307" s="343" t="s">
        <v>6663</v>
      </c>
      <c r="G4307" s="360" t="s">
        <v>13370</v>
      </c>
      <c r="H4307" s="361">
        <v>41767</v>
      </c>
      <c r="I4307" s="343" t="s">
        <v>366</v>
      </c>
      <c r="J4307" s="343" t="s">
        <v>366</v>
      </c>
      <c r="K4307" s="343" t="s">
        <v>168</v>
      </c>
    </row>
    <row r="4308" spans="1:11" ht="26.25" customHeight="1">
      <c r="A4308" s="343" t="s">
        <v>6434</v>
      </c>
      <c r="B4308" s="344" t="s">
        <v>162</v>
      </c>
      <c r="C4308" s="344">
        <v>11346</v>
      </c>
      <c r="D4308" s="343" t="s">
        <v>6754</v>
      </c>
      <c r="E4308" s="344">
        <v>5143428</v>
      </c>
      <c r="F4308" s="343" t="s">
        <v>6757</v>
      </c>
      <c r="G4308" s="360" t="s">
        <v>13371</v>
      </c>
      <c r="H4308" s="361">
        <v>41765</v>
      </c>
      <c r="I4308" s="343" t="s">
        <v>465</v>
      </c>
      <c r="J4308" s="343" t="s">
        <v>553</v>
      </c>
      <c r="K4308" s="343" t="s">
        <v>168</v>
      </c>
    </row>
    <row r="4309" spans="1:11" ht="26.25" customHeight="1">
      <c r="A4309" s="343" t="s">
        <v>6434</v>
      </c>
      <c r="B4309" s="344" t="s">
        <v>162</v>
      </c>
      <c r="C4309" s="344">
        <v>11340</v>
      </c>
      <c r="D4309" s="343" t="s">
        <v>6692</v>
      </c>
      <c r="E4309" s="344">
        <v>2984735</v>
      </c>
      <c r="F4309" s="343" t="s">
        <v>6695</v>
      </c>
      <c r="G4309" s="360" t="s">
        <v>10266</v>
      </c>
      <c r="H4309" s="361">
        <v>41754</v>
      </c>
      <c r="I4309" s="343" t="s">
        <v>6696</v>
      </c>
      <c r="J4309" s="343" t="s">
        <v>13372</v>
      </c>
      <c r="K4309" s="343" t="s">
        <v>168</v>
      </c>
    </row>
    <row r="4310" spans="1:11" ht="26.25" customHeight="1">
      <c r="A4310" s="343" t="s">
        <v>6434</v>
      </c>
      <c r="B4310" s="344" t="s">
        <v>162</v>
      </c>
      <c r="C4310" s="344">
        <v>12911</v>
      </c>
      <c r="D4310" s="343" t="s">
        <v>6639</v>
      </c>
      <c r="E4310" s="344">
        <v>5795946</v>
      </c>
      <c r="F4310" s="343" t="s">
        <v>6645</v>
      </c>
      <c r="G4310" s="360" t="s">
        <v>11415</v>
      </c>
      <c r="H4310" s="361">
        <v>41788</v>
      </c>
      <c r="I4310" s="343" t="s">
        <v>193</v>
      </c>
      <c r="J4310" s="343" t="s">
        <v>167</v>
      </c>
      <c r="K4310" s="343" t="s">
        <v>168</v>
      </c>
    </row>
    <row r="4311" spans="1:11" ht="26.25" customHeight="1">
      <c r="A4311" s="343" t="s">
        <v>6434</v>
      </c>
      <c r="B4311" s="344" t="s">
        <v>162</v>
      </c>
      <c r="C4311" s="344">
        <v>11346</v>
      </c>
      <c r="D4311" s="343" t="s">
        <v>6754</v>
      </c>
      <c r="E4311" s="344">
        <v>5774820</v>
      </c>
      <c r="F4311" s="343" t="s">
        <v>6756</v>
      </c>
      <c r="G4311" s="360" t="s">
        <v>705</v>
      </c>
      <c r="H4311" s="361">
        <v>41729</v>
      </c>
      <c r="I4311" s="343" t="s">
        <v>284</v>
      </c>
      <c r="J4311" s="343" t="s">
        <v>13373</v>
      </c>
      <c r="K4311" s="343" t="s">
        <v>168</v>
      </c>
    </row>
    <row r="4312" spans="1:11" ht="26.25" customHeight="1">
      <c r="A4312" s="343" t="s">
        <v>6434</v>
      </c>
      <c r="B4312" s="344" t="s">
        <v>162</v>
      </c>
      <c r="C4312" s="344">
        <v>11338</v>
      </c>
      <c r="D4312" s="343" t="s">
        <v>6677</v>
      </c>
      <c r="E4312" s="344">
        <v>4721440</v>
      </c>
      <c r="F4312" s="343" t="s">
        <v>6685</v>
      </c>
      <c r="G4312" s="360" t="s">
        <v>10490</v>
      </c>
      <c r="H4312" s="361">
        <v>40966</v>
      </c>
      <c r="I4312" s="343" t="s">
        <v>198</v>
      </c>
      <c r="J4312" s="343" t="s">
        <v>577</v>
      </c>
      <c r="K4312" s="343" t="s">
        <v>168</v>
      </c>
    </row>
    <row r="4313" spans="1:11" ht="26.25" customHeight="1">
      <c r="A4313" s="343" t="s">
        <v>6434</v>
      </c>
      <c r="B4313" s="344" t="s">
        <v>162</v>
      </c>
      <c r="C4313" s="344">
        <v>7201</v>
      </c>
      <c r="D4313" s="343" t="s">
        <v>6727</v>
      </c>
      <c r="E4313" s="344">
        <v>4454230</v>
      </c>
      <c r="F4313" s="343" t="s">
        <v>6731</v>
      </c>
      <c r="G4313" s="360" t="s">
        <v>13338</v>
      </c>
      <c r="H4313" s="361">
        <v>41729</v>
      </c>
      <c r="I4313" s="343" t="s">
        <v>211</v>
      </c>
      <c r="J4313" s="343" t="s">
        <v>211</v>
      </c>
      <c r="K4313" s="343" t="s">
        <v>168</v>
      </c>
    </row>
    <row r="4314" spans="1:11" ht="26.25" customHeight="1">
      <c r="A4314" s="343" t="s">
        <v>6434</v>
      </c>
      <c r="B4314" s="344" t="s">
        <v>162</v>
      </c>
      <c r="C4314" s="344">
        <v>11332</v>
      </c>
      <c r="D4314" s="343" t="s">
        <v>6609</v>
      </c>
      <c r="E4314" s="344">
        <v>5080809</v>
      </c>
      <c r="F4314" s="343" t="s">
        <v>6612</v>
      </c>
      <c r="G4314" s="360" t="s">
        <v>13374</v>
      </c>
      <c r="H4314" s="361">
        <v>41730</v>
      </c>
      <c r="I4314" s="343" t="s">
        <v>6613</v>
      </c>
      <c r="J4314" s="343" t="s">
        <v>13375</v>
      </c>
      <c r="K4314" s="343" t="s">
        <v>168</v>
      </c>
    </row>
    <row r="4315" spans="1:11" ht="26.25" customHeight="1">
      <c r="A4315" s="343" t="s">
        <v>6434</v>
      </c>
      <c r="B4315" s="344" t="s">
        <v>162</v>
      </c>
      <c r="C4315" s="344">
        <v>7196</v>
      </c>
      <c r="D4315" s="343" t="s">
        <v>6820</v>
      </c>
      <c r="E4315" s="344">
        <v>4525780</v>
      </c>
      <c r="F4315" s="343" t="s">
        <v>6821</v>
      </c>
      <c r="G4315" s="360" t="s">
        <v>11976</v>
      </c>
      <c r="H4315" s="361">
        <v>41731</v>
      </c>
      <c r="I4315" s="343" t="s">
        <v>5949</v>
      </c>
      <c r="J4315" s="343" t="s">
        <v>13376</v>
      </c>
      <c r="K4315" s="343" t="s">
        <v>173</v>
      </c>
    </row>
    <row r="4316" spans="1:11" ht="26.25" customHeight="1">
      <c r="A4316" s="343" t="s">
        <v>6434</v>
      </c>
      <c r="B4316" s="344" t="s">
        <v>162</v>
      </c>
      <c r="C4316" s="344">
        <v>12036</v>
      </c>
      <c r="D4316" s="343" t="s">
        <v>6776</v>
      </c>
      <c r="E4316" s="344">
        <v>4240893</v>
      </c>
      <c r="F4316" s="343" t="s">
        <v>6777</v>
      </c>
      <c r="G4316" s="360" t="s">
        <v>13377</v>
      </c>
      <c r="H4316" s="361">
        <v>41729</v>
      </c>
      <c r="I4316" s="343" t="s">
        <v>193</v>
      </c>
      <c r="J4316" s="343" t="s">
        <v>167</v>
      </c>
      <c r="K4316" s="343" t="s">
        <v>168</v>
      </c>
    </row>
    <row r="4317" spans="1:11" ht="26.25" customHeight="1">
      <c r="A4317" s="343" t="s">
        <v>6434</v>
      </c>
      <c r="B4317" s="344" t="s">
        <v>162</v>
      </c>
      <c r="C4317" s="344">
        <v>11461</v>
      </c>
      <c r="D4317" s="343" t="s">
        <v>6616</v>
      </c>
      <c r="E4317" s="344">
        <v>3142340</v>
      </c>
      <c r="F4317" s="343" t="s">
        <v>6618</v>
      </c>
      <c r="G4317" s="360" t="s">
        <v>13378</v>
      </c>
      <c r="H4317" s="361">
        <v>41221</v>
      </c>
      <c r="I4317" s="343" t="s">
        <v>211</v>
      </c>
      <c r="J4317" s="343" t="s">
        <v>211</v>
      </c>
      <c r="K4317" s="343" t="s">
        <v>168</v>
      </c>
    </row>
    <row r="4318" spans="1:11" ht="26.25" customHeight="1">
      <c r="A4318" s="343" t="s">
        <v>6434</v>
      </c>
      <c r="B4318" s="344" t="s">
        <v>162</v>
      </c>
      <c r="C4318" s="344">
        <v>6847</v>
      </c>
      <c r="D4318" s="343" t="s">
        <v>6869</v>
      </c>
      <c r="E4318" s="344">
        <v>5615314</v>
      </c>
      <c r="F4318" s="343" t="s">
        <v>6871</v>
      </c>
      <c r="G4318" s="360" t="s">
        <v>1356</v>
      </c>
      <c r="H4318" s="361">
        <v>42745</v>
      </c>
      <c r="I4318" s="343" t="s">
        <v>193</v>
      </c>
      <c r="J4318" s="343" t="s">
        <v>637</v>
      </c>
      <c r="K4318" s="343" t="s">
        <v>168</v>
      </c>
    </row>
    <row r="4319" spans="1:11" ht="26.25" customHeight="1">
      <c r="A4319" s="343" t="s">
        <v>6434</v>
      </c>
      <c r="B4319" s="344" t="s">
        <v>162</v>
      </c>
      <c r="C4319" s="344">
        <v>12036</v>
      </c>
      <c r="D4319" s="343" t="s">
        <v>6776</v>
      </c>
      <c r="E4319" s="344">
        <v>4944387</v>
      </c>
      <c r="F4319" s="343" t="s">
        <v>6780</v>
      </c>
      <c r="G4319" s="360" t="s">
        <v>13379</v>
      </c>
      <c r="H4319" s="361">
        <v>42745</v>
      </c>
      <c r="I4319" s="343" t="s">
        <v>193</v>
      </c>
      <c r="J4319" s="343" t="s">
        <v>637</v>
      </c>
      <c r="K4319" s="343" t="s">
        <v>168</v>
      </c>
    </row>
    <row r="4320" spans="1:11" ht="26.25" customHeight="1">
      <c r="A4320" s="343" t="s">
        <v>6434</v>
      </c>
      <c r="B4320" s="344" t="s">
        <v>162</v>
      </c>
      <c r="C4320" s="344">
        <v>11312</v>
      </c>
      <c r="D4320" s="343" t="s">
        <v>6846</v>
      </c>
      <c r="E4320" s="344">
        <v>5851318</v>
      </c>
      <c r="F4320" s="343" t="s">
        <v>6847</v>
      </c>
      <c r="G4320" s="360" t="s">
        <v>9507</v>
      </c>
      <c r="H4320" s="361">
        <v>42747</v>
      </c>
      <c r="I4320" s="343" t="s">
        <v>193</v>
      </c>
      <c r="J4320" s="343" t="s">
        <v>637</v>
      </c>
      <c r="K4320" s="343" t="s">
        <v>168</v>
      </c>
    </row>
    <row r="4321" spans="1:11" ht="26.25" customHeight="1">
      <c r="A4321" s="343" t="s">
        <v>6434</v>
      </c>
      <c r="B4321" s="344" t="s">
        <v>162</v>
      </c>
      <c r="C4321" s="344">
        <v>11316</v>
      </c>
      <c r="D4321" s="343" t="s">
        <v>6884</v>
      </c>
      <c r="E4321" s="344">
        <v>6416293</v>
      </c>
      <c r="F4321" s="343" t="s">
        <v>6885</v>
      </c>
      <c r="G4321" s="360" t="s">
        <v>1091</v>
      </c>
      <c r="H4321" s="361">
        <v>42747</v>
      </c>
      <c r="I4321" s="343" t="s">
        <v>211</v>
      </c>
      <c r="J4321" s="343" t="s">
        <v>211</v>
      </c>
      <c r="K4321" s="343" t="s">
        <v>168</v>
      </c>
    </row>
    <row r="4322" spans="1:11" ht="26.25" customHeight="1">
      <c r="A4322" s="343" t="s">
        <v>6434</v>
      </c>
      <c r="B4322" s="344" t="s">
        <v>162</v>
      </c>
      <c r="C4322" s="344">
        <v>11323</v>
      </c>
      <c r="D4322" s="343" t="s">
        <v>6937</v>
      </c>
      <c r="E4322" s="344">
        <v>6433422</v>
      </c>
      <c r="F4322" s="343" t="s">
        <v>6938</v>
      </c>
      <c r="G4322" s="360" t="s">
        <v>10153</v>
      </c>
      <c r="H4322" s="361">
        <v>42754</v>
      </c>
      <c r="I4322" s="343" t="s">
        <v>211</v>
      </c>
      <c r="J4322" s="343" t="s">
        <v>211</v>
      </c>
      <c r="K4322" s="343" t="s">
        <v>168</v>
      </c>
    </row>
    <row r="4323" spans="1:11" ht="26.25" customHeight="1">
      <c r="A4323" s="343" t="s">
        <v>6434</v>
      </c>
      <c r="B4323" s="344" t="s">
        <v>162</v>
      </c>
      <c r="C4323" s="344">
        <v>11599</v>
      </c>
      <c r="D4323" s="343" t="s">
        <v>6572</v>
      </c>
      <c r="E4323" s="344">
        <v>6686495</v>
      </c>
      <c r="F4323" s="343" t="s">
        <v>6577</v>
      </c>
      <c r="G4323" s="360" t="s">
        <v>9423</v>
      </c>
      <c r="H4323" s="361">
        <v>42758</v>
      </c>
      <c r="I4323" s="343" t="s">
        <v>166</v>
      </c>
      <c r="J4323" s="343" t="s">
        <v>296</v>
      </c>
      <c r="K4323" s="343" t="s">
        <v>168</v>
      </c>
    </row>
    <row r="4324" spans="1:11" ht="26.25" customHeight="1">
      <c r="A4324" s="343" t="s">
        <v>6434</v>
      </c>
      <c r="B4324" s="344" t="s">
        <v>162</v>
      </c>
      <c r="C4324" s="344">
        <v>11338</v>
      </c>
      <c r="D4324" s="343" t="s">
        <v>6677</v>
      </c>
      <c r="E4324" s="344">
        <v>5635569</v>
      </c>
      <c r="F4324" s="343" t="s">
        <v>6684</v>
      </c>
      <c r="G4324" s="360" t="s">
        <v>13380</v>
      </c>
      <c r="H4324" s="361">
        <v>42762</v>
      </c>
      <c r="I4324" s="343" t="s">
        <v>166</v>
      </c>
      <c r="J4324" s="343" t="s">
        <v>327</v>
      </c>
      <c r="K4324" s="343" t="s">
        <v>168</v>
      </c>
    </row>
    <row r="4325" spans="1:11" ht="26.25" customHeight="1">
      <c r="A4325" s="343" t="s">
        <v>6434</v>
      </c>
      <c r="B4325" s="344" t="s">
        <v>162</v>
      </c>
      <c r="C4325" s="344">
        <v>11310</v>
      </c>
      <c r="D4325" s="343" t="s">
        <v>6888</v>
      </c>
      <c r="E4325" s="344">
        <v>6704517</v>
      </c>
      <c r="F4325" s="343" t="s">
        <v>6889</v>
      </c>
      <c r="G4325" s="360" t="s">
        <v>1239</v>
      </c>
      <c r="H4325" s="361">
        <v>42775</v>
      </c>
      <c r="I4325" s="343" t="s">
        <v>6890</v>
      </c>
      <c r="J4325" s="343" t="s">
        <v>13381</v>
      </c>
      <c r="K4325" s="343" t="s">
        <v>168</v>
      </c>
    </row>
    <row r="4326" spans="1:11" ht="26.25" customHeight="1">
      <c r="A4326" s="343" t="s">
        <v>6434</v>
      </c>
      <c r="B4326" s="344" t="s">
        <v>162</v>
      </c>
      <c r="C4326" s="344">
        <v>7683</v>
      </c>
      <c r="D4326" s="343" t="s">
        <v>6450</v>
      </c>
      <c r="E4326" s="344">
        <v>6451249</v>
      </c>
      <c r="F4326" s="343" t="s">
        <v>6451</v>
      </c>
      <c r="G4326" s="360" t="s">
        <v>13382</v>
      </c>
      <c r="H4326" s="361">
        <v>42776</v>
      </c>
      <c r="I4326" s="343" t="s">
        <v>354</v>
      </c>
      <c r="J4326" s="343" t="s">
        <v>9564</v>
      </c>
      <c r="K4326" s="343" t="s">
        <v>168</v>
      </c>
    </row>
    <row r="4327" spans="1:11" ht="26.25" customHeight="1">
      <c r="A4327" s="343" t="s">
        <v>6434</v>
      </c>
      <c r="B4327" s="344" t="s">
        <v>162</v>
      </c>
      <c r="C4327" s="344">
        <v>7686</v>
      </c>
      <c r="D4327" s="343" t="s">
        <v>6493</v>
      </c>
      <c r="E4327" s="344">
        <v>6092877</v>
      </c>
      <c r="F4327" s="343" t="s">
        <v>6494</v>
      </c>
      <c r="G4327" s="360" t="s">
        <v>13383</v>
      </c>
      <c r="H4327" s="361">
        <v>42776</v>
      </c>
      <c r="I4327" s="343" t="s">
        <v>193</v>
      </c>
      <c r="J4327" s="343" t="s">
        <v>637</v>
      </c>
      <c r="K4327" s="343" t="s">
        <v>168</v>
      </c>
    </row>
    <row r="4328" spans="1:11" ht="26.25" customHeight="1">
      <c r="A4328" s="343" t="s">
        <v>6434</v>
      </c>
      <c r="B4328" s="344" t="s">
        <v>162</v>
      </c>
      <c r="C4328" s="344">
        <v>6846</v>
      </c>
      <c r="D4328" s="343" t="s">
        <v>6873</v>
      </c>
      <c r="E4328" s="344">
        <v>5850905</v>
      </c>
      <c r="F4328" s="343" t="s">
        <v>6876</v>
      </c>
      <c r="G4328" s="360" t="s">
        <v>1091</v>
      </c>
      <c r="H4328" s="361">
        <v>42776</v>
      </c>
      <c r="I4328" s="343" t="s">
        <v>193</v>
      </c>
      <c r="J4328" s="343" t="s">
        <v>637</v>
      </c>
      <c r="K4328" s="343" t="s">
        <v>168</v>
      </c>
    </row>
    <row r="4329" spans="1:11" ht="26.25" customHeight="1">
      <c r="A4329" s="343" t="s">
        <v>6434</v>
      </c>
      <c r="B4329" s="344" t="s">
        <v>162</v>
      </c>
      <c r="C4329" s="344">
        <v>6851</v>
      </c>
      <c r="D4329" s="343" t="s">
        <v>6865</v>
      </c>
      <c r="E4329" s="344">
        <v>6478613</v>
      </c>
      <c r="F4329" s="343" t="s">
        <v>6866</v>
      </c>
      <c r="G4329" s="360" t="s">
        <v>12605</v>
      </c>
      <c r="H4329" s="361">
        <v>42779</v>
      </c>
      <c r="I4329" s="343" t="s">
        <v>349</v>
      </c>
      <c r="J4329" s="343" t="s">
        <v>13384</v>
      </c>
      <c r="K4329" s="343" t="s">
        <v>168</v>
      </c>
    </row>
    <row r="4330" spans="1:11" ht="26.25" customHeight="1">
      <c r="A4330" s="343" t="s">
        <v>6434</v>
      </c>
      <c r="B4330" s="344" t="s">
        <v>162</v>
      </c>
      <c r="C4330" s="344">
        <v>11323</v>
      </c>
      <c r="D4330" s="343" t="s">
        <v>6937</v>
      </c>
      <c r="E4330" s="344">
        <v>5948997</v>
      </c>
      <c r="F4330" s="343" t="s">
        <v>6939</v>
      </c>
      <c r="G4330" s="360" t="s">
        <v>12605</v>
      </c>
      <c r="H4330" s="361">
        <v>42779</v>
      </c>
      <c r="I4330" s="343" t="s">
        <v>423</v>
      </c>
      <c r="J4330" s="343" t="s">
        <v>13385</v>
      </c>
      <c r="K4330" s="343" t="s">
        <v>168</v>
      </c>
    </row>
    <row r="4331" spans="1:11" ht="26.25" customHeight="1">
      <c r="A4331" s="343" t="s">
        <v>6434</v>
      </c>
      <c r="B4331" s="344" t="s">
        <v>162</v>
      </c>
      <c r="C4331" s="344">
        <v>11443</v>
      </c>
      <c r="D4331" s="343" t="s">
        <v>6927</v>
      </c>
      <c r="E4331" s="344">
        <v>6502023</v>
      </c>
      <c r="F4331" s="343" t="s">
        <v>6928</v>
      </c>
      <c r="G4331" s="360" t="s">
        <v>12646</v>
      </c>
      <c r="H4331" s="361">
        <v>42786</v>
      </c>
      <c r="I4331" s="343" t="s">
        <v>180</v>
      </c>
      <c r="J4331" s="343" t="s">
        <v>13386</v>
      </c>
      <c r="K4331" s="343" t="s">
        <v>168</v>
      </c>
    </row>
    <row r="4332" spans="1:11" ht="26.25" customHeight="1">
      <c r="A4332" s="343" t="s">
        <v>6434</v>
      </c>
      <c r="B4332" s="344" t="s">
        <v>162</v>
      </c>
      <c r="C4332" s="344">
        <v>11363</v>
      </c>
      <c r="D4332" s="343" t="s">
        <v>6479</v>
      </c>
      <c r="E4332" s="344">
        <v>6702240</v>
      </c>
      <c r="F4332" s="343" t="s">
        <v>6482</v>
      </c>
      <c r="G4332" s="360" t="s">
        <v>13387</v>
      </c>
      <c r="H4332" s="361">
        <v>42781</v>
      </c>
      <c r="I4332" s="343" t="s">
        <v>271</v>
      </c>
      <c r="J4332" s="343" t="s">
        <v>12228</v>
      </c>
      <c r="K4332" s="343" t="s">
        <v>168</v>
      </c>
    </row>
    <row r="4333" spans="1:11" ht="26.25" customHeight="1">
      <c r="A4333" s="343" t="s">
        <v>6434</v>
      </c>
      <c r="B4333" s="344" t="s">
        <v>162</v>
      </c>
      <c r="C4333" s="344">
        <v>6841</v>
      </c>
      <c r="D4333" s="343" t="s">
        <v>6848</v>
      </c>
      <c r="E4333" s="344">
        <v>6082698</v>
      </c>
      <c r="F4333" s="343" t="s">
        <v>6857</v>
      </c>
      <c r="G4333" s="360" t="s">
        <v>10038</v>
      </c>
      <c r="H4333" s="361">
        <v>42780</v>
      </c>
      <c r="I4333" s="343" t="s">
        <v>802</v>
      </c>
      <c r="J4333" s="343" t="s">
        <v>13388</v>
      </c>
      <c r="K4333" s="343" t="s">
        <v>248</v>
      </c>
    </row>
    <row r="4334" spans="1:11" ht="26.25" customHeight="1">
      <c r="A4334" s="343" t="s">
        <v>6434</v>
      </c>
      <c r="B4334" s="344" t="s">
        <v>162</v>
      </c>
      <c r="C4334" s="344">
        <v>11325</v>
      </c>
      <c r="D4334" s="343" t="s">
        <v>6948</v>
      </c>
      <c r="E4334" s="344">
        <v>6059877</v>
      </c>
      <c r="F4334" s="343" t="s">
        <v>6950</v>
      </c>
      <c r="G4334" s="360" t="s">
        <v>9445</v>
      </c>
      <c r="H4334" s="361">
        <v>42781</v>
      </c>
      <c r="I4334" s="343" t="s">
        <v>193</v>
      </c>
      <c r="J4334" s="343" t="s">
        <v>194</v>
      </c>
      <c r="K4334" s="343" t="s">
        <v>168</v>
      </c>
    </row>
    <row r="4335" spans="1:11" ht="26.25" customHeight="1">
      <c r="A4335" s="343" t="s">
        <v>6434</v>
      </c>
      <c r="B4335" s="344" t="s">
        <v>162</v>
      </c>
      <c r="C4335" s="344">
        <v>11325</v>
      </c>
      <c r="D4335" s="343" t="s">
        <v>6948</v>
      </c>
      <c r="E4335" s="344">
        <v>6186257</v>
      </c>
      <c r="F4335" s="343" t="s">
        <v>6951</v>
      </c>
      <c r="G4335" s="360" t="s">
        <v>9363</v>
      </c>
      <c r="H4335" s="361">
        <v>42781</v>
      </c>
      <c r="I4335" s="343" t="s">
        <v>166</v>
      </c>
      <c r="J4335" s="343" t="s">
        <v>296</v>
      </c>
      <c r="K4335" s="343" t="s">
        <v>168</v>
      </c>
    </row>
    <row r="4336" spans="1:11" ht="26.25" customHeight="1">
      <c r="A4336" s="343" t="s">
        <v>6434</v>
      </c>
      <c r="B4336" s="344" t="s">
        <v>162</v>
      </c>
      <c r="C4336" s="344">
        <v>11325</v>
      </c>
      <c r="D4336" s="343" t="s">
        <v>6948</v>
      </c>
      <c r="E4336" s="344">
        <v>5888683</v>
      </c>
      <c r="F4336" s="343" t="s">
        <v>6952</v>
      </c>
      <c r="G4336" s="360" t="s">
        <v>1275</v>
      </c>
      <c r="H4336" s="361">
        <v>42781</v>
      </c>
      <c r="I4336" s="343" t="s">
        <v>198</v>
      </c>
      <c r="J4336" s="343" t="s">
        <v>198</v>
      </c>
      <c r="K4336" s="343" t="s">
        <v>168</v>
      </c>
    </row>
    <row r="4337" spans="1:11" ht="26.25" customHeight="1">
      <c r="A4337" s="343" t="s">
        <v>6434</v>
      </c>
      <c r="B4337" s="344" t="s">
        <v>162</v>
      </c>
      <c r="C4337" s="344">
        <v>6841</v>
      </c>
      <c r="D4337" s="343" t="s">
        <v>6848</v>
      </c>
      <c r="E4337" s="344">
        <v>6241187</v>
      </c>
      <c r="F4337" s="343" t="s">
        <v>6849</v>
      </c>
      <c r="G4337" s="360" t="s">
        <v>9951</v>
      </c>
      <c r="H4337" s="361">
        <v>42781</v>
      </c>
      <c r="I4337" s="343" t="s">
        <v>211</v>
      </c>
      <c r="J4337" s="343" t="s">
        <v>211</v>
      </c>
      <c r="K4337" s="343" t="s">
        <v>168</v>
      </c>
    </row>
    <row r="4338" spans="1:11" ht="26.25" customHeight="1">
      <c r="A4338" s="343" t="s">
        <v>6434</v>
      </c>
      <c r="B4338" s="344" t="s">
        <v>162</v>
      </c>
      <c r="C4338" s="344">
        <v>11320</v>
      </c>
      <c r="D4338" s="343" t="s">
        <v>6921</v>
      </c>
      <c r="E4338" s="344">
        <v>5871366</v>
      </c>
      <c r="F4338" s="343" t="s">
        <v>6924</v>
      </c>
      <c r="G4338" s="360" t="s">
        <v>10280</v>
      </c>
      <c r="H4338" s="361">
        <v>42781</v>
      </c>
      <c r="I4338" s="343" t="s">
        <v>6431</v>
      </c>
      <c r="J4338" s="343" t="s">
        <v>631</v>
      </c>
      <c r="K4338" s="343" t="s">
        <v>168</v>
      </c>
    </row>
    <row r="4339" spans="1:11" ht="26.25" customHeight="1">
      <c r="A4339" s="343" t="s">
        <v>6434</v>
      </c>
      <c r="B4339" s="344" t="s">
        <v>162</v>
      </c>
      <c r="C4339" s="344">
        <v>11310</v>
      </c>
      <c r="D4339" s="343" t="s">
        <v>6888</v>
      </c>
      <c r="E4339" s="344">
        <v>5917646</v>
      </c>
      <c r="F4339" s="343" t="s">
        <v>6894</v>
      </c>
      <c r="G4339" s="360" t="s">
        <v>9929</v>
      </c>
      <c r="H4339" s="361">
        <v>42788</v>
      </c>
      <c r="I4339" s="343" t="s">
        <v>6895</v>
      </c>
      <c r="J4339" s="343" t="s">
        <v>13389</v>
      </c>
      <c r="K4339" s="343" t="s">
        <v>248</v>
      </c>
    </row>
    <row r="4340" spans="1:11" ht="26.25" customHeight="1">
      <c r="A4340" s="343" t="s">
        <v>6434</v>
      </c>
      <c r="B4340" s="344" t="s">
        <v>162</v>
      </c>
      <c r="C4340" s="344">
        <v>11440</v>
      </c>
      <c r="D4340" s="343" t="s">
        <v>6583</v>
      </c>
      <c r="E4340" s="344">
        <v>6264249</v>
      </c>
      <c r="F4340" s="343" t="s">
        <v>6586</v>
      </c>
      <c r="G4340" s="360" t="s">
        <v>12080</v>
      </c>
      <c r="H4340" s="361">
        <v>42787</v>
      </c>
      <c r="I4340" s="343" t="s">
        <v>166</v>
      </c>
      <c r="J4340" s="343" t="s">
        <v>327</v>
      </c>
      <c r="K4340" s="343" t="s">
        <v>168</v>
      </c>
    </row>
    <row r="4341" spans="1:11" ht="26.25" customHeight="1">
      <c r="A4341" s="343" t="s">
        <v>6434</v>
      </c>
      <c r="B4341" s="344" t="s">
        <v>162</v>
      </c>
      <c r="C4341" s="344">
        <v>11315</v>
      </c>
      <c r="D4341" s="343" t="s">
        <v>6879</v>
      </c>
      <c r="E4341" s="344">
        <v>5801643</v>
      </c>
      <c r="F4341" s="343" t="s">
        <v>6881</v>
      </c>
      <c r="G4341" s="360" t="s">
        <v>9385</v>
      </c>
      <c r="H4341" s="361">
        <v>42787</v>
      </c>
      <c r="I4341" s="343" t="s">
        <v>211</v>
      </c>
      <c r="J4341" s="343" t="s">
        <v>909</v>
      </c>
      <c r="K4341" s="343" t="s">
        <v>168</v>
      </c>
    </row>
    <row r="4342" spans="1:11" ht="26.25" customHeight="1">
      <c r="A4342" s="343" t="s">
        <v>6434</v>
      </c>
      <c r="B4342" s="344" t="s">
        <v>162</v>
      </c>
      <c r="C4342" s="344">
        <v>11328</v>
      </c>
      <c r="D4342" s="343" t="s">
        <v>6974</v>
      </c>
      <c r="E4342" s="344">
        <v>5801212</v>
      </c>
      <c r="F4342" s="343" t="s">
        <v>6975</v>
      </c>
      <c r="G4342" s="360" t="s">
        <v>222</v>
      </c>
      <c r="H4342" s="361">
        <v>42787</v>
      </c>
      <c r="I4342" s="343" t="s">
        <v>6976</v>
      </c>
      <c r="J4342" s="343" t="s">
        <v>13390</v>
      </c>
      <c r="K4342" s="343" t="s">
        <v>168</v>
      </c>
    </row>
    <row r="4343" spans="1:11" ht="26.25" customHeight="1">
      <c r="A4343" s="343" t="s">
        <v>6434</v>
      </c>
      <c r="B4343" s="344" t="s">
        <v>162</v>
      </c>
      <c r="C4343" s="344">
        <v>11458</v>
      </c>
      <c r="D4343" s="343" t="s">
        <v>6533</v>
      </c>
      <c r="E4343" s="344">
        <v>6302602</v>
      </c>
      <c r="F4343" s="343" t="s">
        <v>6539</v>
      </c>
      <c r="G4343" s="360" t="s">
        <v>13391</v>
      </c>
      <c r="H4343" s="361">
        <v>42787</v>
      </c>
      <c r="I4343" s="343" t="s">
        <v>166</v>
      </c>
      <c r="J4343" s="343" t="s">
        <v>327</v>
      </c>
      <c r="K4343" s="343" t="s">
        <v>168</v>
      </c>
    </row>
    <row r="4344" spans="1:11" ht="26.25" customHeight="1">
      <c r="A4344" s="343" t="s">
        <v>6434</v>
      </c>
      <c r="B4344" s="344" t="s">
        <v>162</v>
      </c>
      <c r="C4344" s="344">
        <v>11851</v>
      </c>
      <c r="D4344" s="343" t="s">
        <v>6566</v>
      </c>
      <c r="E4344" s="344">
        <v>6575978</v>
      </c>
      <c r="F4344" s="343" t="s">
        <v>6567</v>
      </c>
      <c r="G4344" s="360" t="s">
        <v>9909</v>
      </c>
      <c r="H4344" s="361">
        <v>42787</v>
      </c>
      <c r="I4344" s="343" t="s">
        <v>547</v>
      </c>
      <c r="J4344" s="343" t="s">
        <v>936</v>
      </c>
      <c r="K4344" s="343" t="s">
        <v>248</v>
      </c>
    </row>
    <row r="4345" spans="1:11" ht="26.25" customHeight="1">
      <c r="A4345" s="343" t="s">
        <v>6434</v>
      </c>
      <c r="B4345" s="344" t="s">
        <v>162</v>
      </c>
      <c r="C4345" s="344">
        <v>11441</v>
      </c>
      <c r="D4345" s="343" t="s">
        <v>6896</v>
      </c>
      <c r="E4345" s="344">
        <v>5900972</v>
      </c>
      <c r="F4345" s="343" t="s">
        <v>6897</v>
      </c>
      <c r="G4345" s="360" t="s">
        <v>10532</v>
      </c>
      <c r="H4345" s="361">
        <v>42786</v>
      </c>
      <c r="I4345" s="343" t="s">
        <v>193</v>
      </c>
      <c r="J4345" s="343" t="s">
        <v>194</v>
      </c>
      <c r="K4345" s="343" t="s">
        <v>168</v>
      </c>
    </row>
    <row r="4346" spans="1:11" ht="26.25" customHeight="1">
      <c r="A4346" s="343" t="s">
        <v>6434</v>
      </c>
      <c r="B4346" s="344" t="s">
        <v>162</v>
      </c>
      <c r="C4346" s="344">
        <v>11310</v>
      </c>
      <c r="D4346" s="343" t="s">
        <v>6888</v>
      </c>
      <c r="E4346" s="344">
        <v>5935324</v>
      </c>
      <c r="F4346" s="343" t="s">
        <v>6893</v>
      </c>
      <c r="G4346" s="360" t="s">
        <v>11449</v>
      </c>
      <c r="H4346" s="361">
        <v>42786</v>
      </c>
      <c r="I4346" s="343" t="s">
        <v>166</v>
      </c>
      <c r="J4346" s="343" t="s">
        <v>327</v>
      </c>
      <c r="K4346" s="343" t="s">
        <v>168</v>
      </c>
    </row>
    <row r="4347" spans="1:11" ht="26.25" customHeight="1">
      <c r="A4347" s="343" t="s">
        <v>6434</v>
      </c>
      <c r="B4347" s="344" t="s">
        <v>162</v>
      </c>
      <c r="C4347" s="344">
        <v>11852</v>
      </c>
      <c r="D4347" s="343" t="s">
        <v>6542</v>
      </c>
      <c r="E4347" s="344">
        <v>4751230</v>
      </c>
      <c r="F4347" s="343" t="s">
        <v>6546</v>
      </c>
      <c r="G4347" s="360" t="s">
        <v>12092</v>
      </c>
      <c r="H4347" s="361">
        <v>42786</v>
      </c>
      <c r="I4347" s="343" t="s">
        <v>366</v>
      </c>
      <c r="J4347" s="343" t="s">
        <v>366</v>
      </c>
      <c r="K4347" s="343" t="s">
        <v>168</v>
      </c>
    </row>
    <row r="4348" spans="1:11" ht="26.25" customHeight="1">
      <c r="A4348" s="343" t="s">
        <v>6434</v>
      </c>
      <c r="B4348" s="344" t="s">
        <v>162</v>
      </c>
      <c r="C4348" s="344">
        <v>12379</v>
      </c>
      <c r="D4348" s="343" t="s">
        <v>6768</v>
      </c>
      <c r="E4348" s="344">
        <v>5844913</v>
      </c>
      <c r="F4348" s="343" t="s">
        <v>6769</v>
      </c>
      <c r="G4348" s="360" t="s">
        <v>13392</v>
      </c>
      <c r="H4348" s="361">
        <v>42786</v>
      </c>
      <c r="I4348" s="343" t="s">
        <v>211</v>
      </c>
      <c r="J4348" s="343" t="s">
        <v>909</v>
      </c>
      <c r="K4348" s="343" t="s">
        <v>168</v>
      </c>
    </row>
    <row r="4349" spans="1:11" ht="26.25" customHeight="1">
      <c r="A4349" s="343" t="s">
        <v>6434</v>
      </c>
      <c r="B4349" s="344" t="s">
        <v>162</v>
      </c>
      <c r="C4349" s="344">
        <v>11344</v>
      </c>
      <c r="D4349" s="343" t="s">
        <v>6746</v>
      </c>
      <c r="E4349" s="344">
        <v>4453742</v>
      </c>
      <c r="F4349" s="343" t="s">
        <v>6749</v>
      </c>
      <c r="G4349" s="360" t="s">
        <v>13393</v>
      </c>
      <c r="H4349" s="361">
        <v>42786</v>
      </c>
      <c r="I4349" s="343" t="s">
        <v>198</v>
      </c>
      <c r="J4349" s="343" t="s">
        <v>198</v>
      </c>
      <c r="K4349" s="343" t="s">
        <v>168</v>
      </c>
    </row>
    <row r="4350" spans="1:11" ht="26.25" customHeight="1">
      <c r="A4350" s="343" t="s">
        <v>6434</v>
      </c>
      <c r="B4350" s="344" t="s">
        <v>162</v>
      </c>
      <c r="C4350" s="344">
        <v>11680</v>
      </c>
      <c r="D4350" s="343" t="s">
        <v>6513</v>
      </c>
      <c r="E4350" s="344">
        <v>5951882</v>
      </c>
      <c r="F4350" s="343" t="s">
        <v>6521</v>
      </c>
      <c r="G4350" s="360" t="s">
        <v>10648</v>
      </c>
      <c r="H4350" s="361">
        <v>42786</v>
      </c>
      <c r="I4350" s="343" t="s">
        <v>465</v>
      </c>
      <c r="J4350" s="343" t="s">
        <v>1118</v>
      </c>
      <c r="K4350" s="343" t="s">
        <v>168</v>
      </c>
    </row>
    <row r="4351" spans="1:11" ht="26.25" customHeight="1">
      <c r="A4351" s="343" t="s">
        <v>6434</v>
      </c>
      <c r="B4351" s="344" t="s">
        <v>162</v>
      </c>
      <c r="C4351" s="344">
        <v>11336</v>
      </c>
      <c r="D4351" s="343" t="s">
        <v>6657</v>
      </c>
      <c r="E4351" s="344">
        <v>5703829</v>
      </c>
      <c r="F4351" s="343" t="s">
        <v>6660</v>
      </c>
      <c r="G4351" s="360" t="s">
        <v>13394</v>
      </c>
      <c r="H4351" s="361">
        <v>42787</v>
      </c>
      <c r="I4351" s="343" t="s">
        <v>366</v>
      </c>
      <c r="J4351" s="343" t="s">
        <v>366</v>
      </c>
      <c r="K4351" s="343" t="s">
        <v>168</v>
      </c>
    </row>
    <row r="4352" spans="1:11" ht="26.25" customHeight="1">
      <c r="A4352" s="343" t="s">
        <v>6434</v>
      </c>
      <c r="B4352" s="344" t="s">
        <v>162</v>
      </c>
      <c r="C4352" s="344">
        <v>11680</v>
      </c>
      <c r="D4352" s="343" t="s">
        <v>6513</v>
      </c>
      <c r="E4352" s="344">
        <v>6343642</v>
      </c>
      <c r="F4352" s="343" t="s">
        <v>6514</v>
      </c>
      <c r="G4352" s="360" t="s">
        <v>9942</v>
      </c>
      <c r="H4352" s="361">
        <v>42797</v>
      </c>
      <c r="I4352" s="343" t="s">
        <v>606</v>
      </c>
      <c r="J4352" s="343" t="s">
        <v>13395</v>
      </c>
      <c r="K4352" s="343" t="s">
        <v>168</v>
      </c>
    </row>
    <row r="4353" spans="1:11" ht="26.25" customHeight="1">
      <c r="A4353" s="343" t="s">
        <v>6434</v>
      </c>
      <c r="B4353" s="344" t="s">
        <v>162</v>
      </c>
      <c r="C4353" s="344">
        <v>11311</v>
      </c>
      <c r="D4353" s="343" t="s">
        <v>6916</v>
      </c>
      <c r="E4353" s="344">
        <v>5930765</v>
      </c>
      <c r="F4353" s="343" t="s">
        <v>6917</v>
      </c>
      <c r="G4353" s="360" t="s">
        <v>1262</v>
      </c>
      <c r="H4353" s="361">
        <v>42802</v>
      </c>
      <c r="I4353" s="343" t="s">
        <v>3857</v>
      </c>
      <c r="J4353" s="343" t="s">
        <v>13396</v>
      </c>
      <c r="K4353" s="343" t="s">
        <v>168</v>
      </c>
    </row>
    <row r="4354" spans="1:11" ht="26.25" customHeight="1">
      <c r="A4354" s="343" t="s">
        <v>6434</v>
      </c>
      <c r="B4354" s="344" t="s">
        <v>162</v>
      </c>
      <c r="C4354" s="344">
        <v>7194</v>
      </c>
      <c r="D4354" s="343" t="s">
        <v>6667</v>
      </c>
      <c r="E4354" s="344">
        <v>5575476</v>
      </c>
      <c r="F4354" s="343" t="s">
        <v>6672</v>
      </c>
      <c r="G4354" s="360" t="s">
        <v>11879</v>
      </c>
      <c r="H4354" s="361">
        <v>42790</v>
      </c>
      <c r="I4354" s="343" t="s">
        <v>219</v>
      </c>
      <c r="J4354" s="343" t="s">
        <v>220</v>
      </c>
      <c r="K4354" s="343" t="s">
        <v>173</v>
      </c>
    </row>
    <row r="4355" spans="1:11" ht="26.25" customHeight="1">
      <c r="A4355" s="343" t="s">
        <v>6434</v>
      </c>
      <c r="B4355" s="344" t="s">
        <v>162</v>
      </c>
      <c r="C4355" s="344">
        <v>11349</v>
      </c>
      <c r="D4355" s="343" t="s">
        <v>6813</v>
      </c>
      <c r="E4355" s="344">
        <v>4693873</v>
      </c>
      <c r="F4355" s="343" t="s">
        <v>6816</v>
      </c>
      <c r="G4355" s="360" t="s">
        <v>13397</v>
      </c>
      <c r="H4355" s="361">
        <v>42790</v>
      </c>
      <c r="I4355" s="343" t="s">
        <v>211</v>
      </c>
      <c r="J4355" s="343" t="s">
        <v>909</v>
      </c>
      <c r="K4355" s="343" t="s">
        <v>168</v>
      </c>
    </row>
    <row r="4356" spans="1:11" ht="26.25" customHeight="1">
      <c r="A4356" s="343" t="s">
        <v>6434</v>
      </c>
      <c r="B4356" s="344" t="s">
        <v>162</v>
      </c>
      <c r="C4356" s="344">
        <v>7194</v>
      </c>
      <c r="D4356" s="343" t="s">
        <v>6667</v>
      </c>
      <c r="E4356" s="344">
        <v>6247406</v>
      </c>
      <c r="F4356" s="343" t="s">
        <v>6668</v>
      </c>
      <c r="G4356" s="360" t="s">
        <v>13398</v>
      </c>
      <c r="H4356" s="361">
        <v>42790</v>
      </c>
      <c r="I4356" s="343" t="s">
        <v>193</v>
      </c>
      <c r="J4356" s="343" t="s">
        <v>194</v>
      </c>
      <c r="K4356" s="343" t="s">
        <v>168</v>
      </c>
    </row>
    <row r="4357" spans="1:11" ht="26.25" customHeight="1">
      <c r="A4357" s="343" t="s">
        <v>6434</v>
      </c>
      <c r="B4357" s="344" t="s">
        <v>162</v>
      </c>
      <c r="C4357" s="344">
        <v>11447</v>
      </c>
      <c r="D4357" s="343" t="s">
        <v>6698</v>
      </c>
      <c r="E4357" s="344">
        <v>4904625</v>
      </c>
      <c r="F4357" s="343" t="s">
        <v>6701</v>
      </c>
      <c r="G4357" s="360" t="s">
        <v>13235</v>
      </c>
      <c r="H4357" s="361">
        <v>42790</v>
      </c>
      <c r="I4357" s="343" t="s">
        <v>366</v>
      </c>
      <c r="J4357" s="343" t="s">
        <v>366</v>
      </c>
      <c r="K4357" s="343" t="s">
        <v>168</v>
      </c>
    </row>
    <row r="4358" spans="1:11" ht="26.25" customHeight="1">
      <c r="A4358" s="343" t="s">
        <v>6434</v>
      </c>
      <c r="B4358" s="344" t="s">
        <v>162</v>
      </c>
      <c r="C4358" s="344">
        <v>9641</v>
      </c>
      <c r="D4358" s="343" t="s">
        <v>6838</v>
      </c>
      <c r="E4358" s="344">
        <v>5814563</v>
      </c>
      <c r="F4358" s="343" t="s">
        <v>6840</v>
      </c>
      <c r="G4358" s="360" t="s">
        <v>13399</v>
      </c>
      <c r="H4358" s="361">
        <v>42796</v>
      </c>
      <c r="I4358" s="343" t="s">
        <v>6841</v>
      </c>
      <c r="J4358" s="343" t="s">
        <v>13400</v>
      </c>
      <c r="K4358" s="343" t="s">
        <v>168</v>
      </c>
    </row>
    <row r="4359" spans="1:11" ht="26.25" customHeight="1">
      <c r="A4359" s="343" t="s">
        <v>6434</v>
      </c>
      <c r="B4359" s="344" t="s">
        <v>162</v>
      </c>
      <c r="C4359" s="344">
        <v>9641</v>
      </c>
      <c r="D4359" s="343" t="s">
        <v>6838</v>
      </c>
      <c r="E4359" s="344">
        <v>6386341</v>
      </c>
      <c r="F4359" s="343" t="s">
        <v>6839</v>
      </c>
      <c r="G4359" s="360" t="s">
        <v>12666</v>
      </c>
      <c r="H4359" s="361">
        <v>42796</v>
      </c>
      <c r="I4359" s="343" t="s">
        <v>211</v>
      </c>
      <c r="J4359" s="343" t="s">
        <v>909</v>
      </c>
      <c r="K4359" s="343" t="s">
        <v>168</v>
      </c>
    </row>
    <row r="4360" spans="1:11" ht="26.25" customHeight="1">
      <c r="A4360" s="343" t="s">
        <v>6434</v>
      </c>
      <c r="B4360" s="344" t="s">
        <v>162</v>
      </c>
      <c r="C4360" s="344">
        <v>11340</v>
      </c>
      <c r="D4360" s="343" t="s">
        <v>6692</v>
      </c>
      <c r="E4360" s="344">
        <v>4371175</v>
      </c>
      <c r="F4360" s="343" t="s">
        <v>6697</v>
      </c>
      <c r="G4360" s="360" t="s">
        <v>13401</v>
      </c>
      <c r="H4360" s="361">
        <v>42788</v>
      </c>
      <c r="I4360" s="343" t="s">
        <v>709</v>
      </c>
      <c r="J4360" s="343" t="s">
        <v>9388</v>
      </c>
      <c r="K4360" s="343" t="s">
        <v>168</v>
      </c>
    </row>
    <row r="4361" spans="1:11" ht="26.25" customHeight="1">
      <c r="A4361" s="343" t="s">
        <v>6434</v>
      </c>
      <c r="B4361" s="344" t="s">
        <v>162</v>
      </c>
      <c r="C4361" s="344">
        <v>11326</v>
      </c>
      <c r="D4361" s="343" t="s">
        <v>6958</v>
      </c>
      <c r="E4361" s="344">
        <v>5786875</v>
      </c>
      <c r="F4361" s="343" t="s">
        <v>6959</v>
      </c>
      <c r="G4361" s="360" t="s">
        <v>13402</v>
      </c>
      <c r="H4361" s="361">
        <v>42788</v>
      </c>
      <c r="I4361" s="343" t="s">
        <v>211</v>
      </c>
      <c r="J4361" s="343" t="s">
        <v>909</v>
      </c>
      <c r="K4361" s="343" t="s">
        <v>168</v>
      </c>
    </row>
    <row r="4362" spans="1:11" ht="26.25" customHeight="1">
      <c r="A4362" s="343" t="s">
        <v>6434</v>
      </c>
      <c r="B4362" s="344" t="s">
        <v>162</v>
      </c>
      <c r="C4362" s="344">
        <v>11332</v>
      </c>
      <c r="D4362" s="343" t="s">
        <v>6609</v>
      </c>
      <c r="E4362" s="344">
        <v>6220936</v>
      </c>
      <c r="F4362" s="343" t="s">
        <v>6615</v>
      </c>
      <c r="G4362" s="360" t="s">
        <v>9688</v>
      </c>
      <c r="H4362" s="361">
        <v>42804</v>
      </c>
      <c r="I4362" s="343" t="s">
        <v>180</v>
      </c>
      <c r="J4362" s="343" t="s">
        <v>13403</v>
      </c>
      <c r="K4362" s="343" t="s">
        <v>173</v>
      </c>
    </row>
    <row r="4363" spans="1:11" ht="26.25" customHeight="1">
      <c r="A4363" s="343" t="s">
        <v>6434</v>
      </c>
      <c r="B4363" s="344" t="s">
        <v>162</v>
      </c>
      <c r="C4363" s="344">
        <v>12037</v>
      </c>
      <c r="D4363" s="343" t="s">
        <v>6707</v>
      </c>
      <c r="E4363" s="344">
        <v>5026224</v>
      </c>
      <c r="F4363" s="343" t="s">
        <v>6709</v>
      </c>
      <c r="G4363" s="360" t="s">
        <v>13404</v>
      </c>
      <c r="H4363" s="361">
        <v>42810</v>
      </c>
      <c r="I4363" s="343" t="s">
        <v>580</v>
      </c>
      <c r="J4363" s="343" t="s">
        <v>13405</v>
      </c>
      <c r="K4363" s="343" t="s">
        <v>248</v>
      </c>
    </row>
    <row r="4364" spans="1:11" ht="26.25" customHeight="1">
      <c r="A4364" s="343" t="s">
        <v>6434</v>
      </c>
      <c r="B4364" s="344" t="s">
        <v>162</v>
      </c>
      <c r="C4364" s="344">
        <v>11327</v>
      </c>
      <c r="D4364" s="343" t="s">
        <v>6960</v>
      </c>
      <c r="E4364" s="344">
        <v>6289504</v>
      </c>
      <c r="F4364" s="343" t="s">
        <v>6962</v>
      </c>
      <c r="G4364" s="360" t="s">
        <v>11275</v>
      </c>
      <c r="H4364" s="361">
        <v>42800</v>
      </c>
      <c r="I4364" s="343" t="s">
        <v>193</v>
      </c>
      <c r="J4364" s="343" t="s">
        <v>194</v>
      </c>
      <c r="K4364" s="343" t="s">
        <v>168</v>
      </c>
    </row>
    <row r="4365" spans="1:11" ht="26.25" customHeight="1">
      <c r="A4365" s="343" t="s">
        <v>6434</v>
      </c>
      <c r="B4365" s="344" t="s">
        <v>162</v>
      </c>
      <c r="C4365" s="344">
        <v>11327</v>
      </c>
      <c r="D4365" s="343" t="s">
        <v>6960</v>
      </c>
      <c r="E4365" s="344">
        <v>5717276</v>
      </c>
      <c r="F4365" s="343" t="s">
        <v>6964</v>
      </c>
      <c r="G4365" s="360" t="s">
        <v>13402</v>
      </c>
      <c r="H4365" s="361">
        <v>42800</v>
      </c>
      <c r="I4365" s="343" t="s">
        <v>465</v>
      </c>
      <c r="J4365" s="343" t="s">
        <v>466</v>
      </c>
      <c r="K4365" s="343" t="s">
        <v>168</v>
      </c>
    </row>
    <row r="4366" spans="1:11" ht="26.25" customHeight="1">
      <c r="A4366" s="343" t="s">
        <v>6434</v>
      </c>
      <c r="B4366" s="344" t="s">
        <v>162</v>
      </c>
      <c r="C4366" s="344">
        <v>7197</v>
      </c>
      <c r="D4366" s="343" t="s">
        <v>6716</v>
      </c>
      <c r="E4366" s="344">
        <v>5006505</v>
      </c>
      <c r="F4366" s="343" t="s">
        <v>6726</v>
      </c>
      <c r="G4366" s="360" t="s">
        <v>13406</v>
      </c>
      <c r="H4366" s="361">
        <v>42800</v>
      </c>
      <c r="I4366" s="343" t="s">
        <v>193</v>
      </c>
      <c r="J4366" s="343" t="s">
        <v>612</v>
      </c>
      <c r="K4366" s="343" t="s">
        <v>168</v>
      </c>
    </row>
    <row r="4367" spans="1:11" ht="26.25" customHeight="1">
      <c r="A4367" s="343" t="s">
        <v>6434</v>
      </c>
      <c r="B4367" s="344" t="s">
        <v>162</v>
      </c>
      <c r="C4367" s="344">
        <v>7197</v>
      </c>
      <c r="D4367" s="343" t="s">
        <v>6716</v>
      </c>
      <c r="E4367" s="344">
        <v>4446414</v>
      </c>
      <c r="F4367" s="343" t="s">
        <v>6723</v>
      </c>
      <c r="G4367" s="360" t="s">
        <v>13407</v>
      </c>
      <c r="H4367" s="361">
        <v>42800</v>
      </c>
      <c r="I4367" s="343" t="s">
        <v>1082</v>
      </c>
      <c r="J4367" s="343" t="s">
        <v>13408</v>
      </c>
      <c r="K4367" s="343" t="s">
        <v>168</v>
      </c>
    </row>
    <row r="4368" spans="1:11" ht="26.25" customHeight="1">
      <c r="A4368" s="343" t="s">
        <v>6434</v>
      </c>
      <c r="B4368" s="344" t="s">
        <v>162</v>
      </c>
      <c r="C4368" s="344">
        <v>11319</v>
      </c>
      <c r="D4368" s="343" t="s">
        <v>6912</v>
      </c>
      <c r="E4368" s="344">
        <v>5148467</v>
      </c>
      <c r="F4368" s="343" t="s">
        <v>6914</v>
      </c>
      <c r="G4368" s="360" t="s">
        <v>13409</v>
      </c>
      <c r="H4368" s="361">
        <v>42800</v>
      </c>
      <c r="I4368" s="343" t="s">
        <v>366</v>
      </c>
      <c r="J4368" s="343" t="s">
        <v>366</v>
      </c>
      <c r="K4368" s="343" t="s">
        <v>168</v>
      </c>
    </row>
    <row r="4369" spans="1:11" ht="26.25" customHeight="1">
      <c r="A4369" s="343" t="s">
        <v>6434</v>
      </c>
      <c r="B4369" s="344" t="s">
        <v>162</v>
      </c>
      <c r="C4369" s="344">
        <v>11447</v>
      </c>
      <c r="D4369" s="343" t="s">
        <v>6698</v>
      </c>
      <c r="E4369" s="344">
        <v>5749259</v>
      </c>
      <c r="F4369" s="343" t="s">
        <v>6700</v>
      </c>
      <c r="G4369" s="360" t="s">
        <v>12110</v>
      </c>
      <c r="H4369" s="361">
        <v>42800</v>
      </c>
      <c r="I4369" s="343" t="s">
        <v>166</v>
      </c>
      <c r="J4369" s="343" t="s">
        <v>327</v>
      </c>
      <c r="K4369" s="343" t="s">
        <v>168</v>
      </c>
    </row>
    <row r="4370" spans="1:11" ht="26.25" customHeight="1">
      <c r="A4370" s="343" t="s">
        <v>6434</v>
      </c>
      <c r="B4370" s="344" t="s">
        <v>162</v>
      </c>
      <c r="C4370" s="344">
        <v>11600</v>
      </c>
      <c r="D4370" s="343" t="s">
        <v>6560</v>
      </c>
      <c r="E4370" s="344">
        <v>6529260</v>
      </c>
      <c r="F4370" s="343" t="s">
        <v>6562</v>
      </c>
      <c r="G4370" s="360" t="s">
        <v>9419</v>
      </c>
      <c r="H4370" s="361">
        <v>42796</v>
      </c>
      <c r="I4370" s="343" t="s">
        <v>3920</v>
      </c>
      <c r="J4370" s="343" t="s">
        <v>13410</v>
      </c>
      <c r="K4370" s="343" t="s">
        <v>168</v>
      </c>
    </row>
    <row r="4371" spans="1:11" ht="26.25" customHeight="1">
      <c r="A4371" s="343" t="s">
        <v>6434</v>
      </c>
      <c r="B4371" s="344" t="s">
        <v>162</v>
      </c>
      <c r="C4371" s="344">
        <v>11318</v>
      </c>
      <c r="D4371" s="343" t="s">
        <v>6899</v>
      </c>
      <c r="E4371" s="344">
        <v>6069512</v>
      </c>
      <c r="F4371" s="343" t="s">
        <v>4393</v>
      </c>
      <c r="G4371" s="360" t="s">
        <v>227</v>
      </c>
      <c r="H4371" s="361">
        <v>42797</v>
      </c>
      <c r="I4371" s="343" t="s">
        <v>193</v>
      </c>
      <c r="J4371" s="343" t="s">
        <v>194</v>
      </c>
      <c r="K4371" s="343" t="s">
        <v>168</v>
      </c>
    </row>
    <row r="4372" spans="1:11" ht="26.25" customHeight="1">
      <c r="A4372" s="343" t="s">
        <v>6434</v>
      </c>
      <c r="B4372" s="344" t="s">
        <v>162</v>
      </c>
      <c r="C4372" s="344">
        <v>11318</v>
      </c>
      <c r="D4372" s="343" t="s">
        <v>6899</v>
      </c>
      <c r="E4372" s="344">
        <v>6464673</v>
      </c>
      <c r="F4372" s="343" t="s">
        <v>6902</v>
      </c>
      <c r="G4372" s="360" t="s">
        <v>1361</v>
      </c>
      <c r="H4372" s="361">
        <v>42797</v>
      </c>
      <c r="I4372" s="343" t="s">
        <v>802</v>
      </c>
      <c r="J4372" s="343" t="s">
        <v>1075</v>
      </c>
      <c r="K4372" s="343" t="s">
        <v>168</v>
      </c>
    </row>
    <row r="4373" spans="1:11" ht="26.25" customHeight="1">
      <c r="A4373" s="343" t="s">
        <v>6434</v>
      </c>
      <c r="B4373" s="344" t="s">
        <v>162</v>
      </c>
      <c r="C4373" s="344">
        <v>11318</v>
      </c>
      <c r="D4373" s="343" t="s">
        <v>6899</v>
      </c>
      <c r="E4373" s="344">
        <v>5929495</v>
      </c>
      <c r="F4373" s="343" t="s">
        <v>6909</v>
      </c>
      <c r="G4373" s="360" t="s">
        <v>203</v>
      </c>
      <c r="H4373" s="361">
        <v>42796</v>
      </c>
      <c r="I4373" s="343" t="s">
        <v>193</v>
      </c>
      <c r="J4373" s="343" t="s">
        <v>194</v>
      </c>
      <c r="K4373" s="343" t="s">
        <v>168</v>
      </c>
    </row>
    <row r="4374" spans="1:11" ht="26.25" customHeight="1">
      <c r="A4374" s="343" t="s">
        <v>6434</v>
      </c>
      <c r="B4374" s="344" t="s">
        <v>162</v>
      </c>
      <c r="C4374" s="344">
        <v>6840</v>
      </c>
      <c r="D4374" s="343" t="s">
        <v>6943</v>
      </c>
      <c r="E4374" s="344">
        <v>6153208</v>
      </c>
      <c r="F4374" s="343" t="s">
        <v>6947</v>
      </c>
      <c r="G4374" s="360" t="s">
        <v>12506</v>
      </c>
      <c r="H4374" s="361">
        <v>42796</v>
      </c>
      <c r="I4374" s="343" t="s">
        <v>3920</v>
      </c>
      <c r="J4374" s="343" t="s">
        <v>13410</v>
      </c>
      <c r="K4374" s="343" t="s">
        <v>168</v>
      </c>
    </row>
    <row r="4375" spans="1:11" ht="26.25" customHeight="1">
      <c r="A4375" s="343" t="s">
        <v>6434</v>
      </c>
      <c r="B4375" s="344" t="s">
        <v>162</v>
      </c>
      <c r="C4375" s="344">
        <v>9037</v>
      </c>
      <c r="D4375" s="343" t="s">
        <v>6983</v>
      </c>
      <c r="E4375" s="344">
        <v>6249908</v>
      </c>
      <c r="F4375" s="343" t="s">
        <v>6984</v>
      </c>
      <c r="G4375" s="360" t="s">
        <v>227</v>
      </c>
      <c r="H4375" s="361">
        <v>42796</v>
      </c>
      <c r="I4375" s="343" t="s">
        <v>3583</v>
      </c>
      <c r="J4375" s="343" t="s">
        <v>9390</v>
      </c>
      <c r="K4375" s="343" t="s">
        <v>173</v>
      </c>
    </row>
    <row r="4376" spans="1:11" ht="26.25" customHeight="1">
      <c r="A4376" s="343" t="s">
        <v>6434</v>
      </c>
      <c r="B4376" s="344" t="s">
        <v>162</v>
      </c>
      <c r="C4376" s="344">
        <v>9711</v>
      </c>
      <c r="D4376" s="343" t="s">
        <v>6759</v>
      </c>
      <c r="E4376" s="344">
        <v>5557573</v>
      </c>
      <c r="F4376" s="343" t="s">
        <v>6762</v>
      </c>
      <c r="G4376" s="360" t="s">
        <v>13411</v>
      </c>
      <c r="H4376" s="361">
        <v>42796</v>
      </c>
      <c r="I4376" s="343" t="s">
        <v>166</v>
      </c>
      <c r="J4376" s="343" t="s">
        <v>296</v>
      </c>
      <c r="K4376" s="343" t="s">
        <v>168</v>
      </c>
    </row>
    <row r="4377" spans="1:11" ht="26.25" customHeight="1">
      <c r="A4377" s="343" t="s">
        <v>6434</v>
      </c>
      <c r="B4377" s="344" t="s">
        <v>162</v>
      </c>
      <c r="C4377" s="344">
        <v>11357</v>
      </c>
      <c r="D4377" s="343" t="s">
        <v>6453</v>
      </c>
      <c r="E4377" s="344">
        <v>6654628</v>
      </c>
      <c r="F4377" s="343" t="s">
        <v>6455</v>
      </c>
      <c r="G4377" s="360" t="s">
        <v>13412</v>
      </c>
      <c r="H4377" s="361">
        <v>42797</v>
      </c>
      <c r="I4377" s="343" t="s">
        <v>6456</v>
      </c>
      <c r="J4377" s="343" t="s">
        <v>13413</v>
      </c>
      <c r="K4377" s="343" t="s">
        <v>173</v>
      </c>
    </row>
    <row r="4378" spans="1:11" ht="26.25" customHeight="1">
      <c r="A4378" s="343" t="s">
        <v>6434</v>
      </c>
      <c r="B4378" s="344" t="s">
        <v>162</v>
      </c>
      <c r="C4378" s="344">
        <v>11310</v>
      </c>
      <c r="D4378" s="343" t="s">
        <v>6888</v>
      </c>
      <c r="E4378" s="344">
        <v>5802135</v>
      </c>
      <c r="F4378" s="343" t="s">
        <v>6891</v>
      </c>
      <c r="G4378" s="360" t="s">
        <v>13414</v>
      </c>
      <c r="H4378" s="361">
        <v>42797</v>
      </c>
      <c r="I4378" s="343" t="s">
        <v>198</v>
      </c>
      <c r="J4378" s="343" t="s">
        <v>198</v>
      </c>
      <c r="K4378" s="343" t="s">
        <v>168</v>
      </c>
    </row>
    <row r="4379" spans="1:11" ht="26.25" customHeight="1">
      <c r="A4379" s="343" t="s">
        <v>6434</v>
      </c>
      <c r="B4379" s="344" t="s">
        <v>162</v>
      </c>
      <c r="C4379" s="344">
        <v>11359</v>
      </c>
      <c r="D4379" s="343" t="s">
        <v>6468</v>
      </c>
      <c r="E4379" s="344">
        <v>6378157</v>
      </c>
      <c r="F4379" s="343" t="s">
        <v>6469</v>
      </c>
      <c r="G4379" s="360" t="s">
        <v>13415</v>
      </c>
      <c r="H4379" s="361">
        <v>42797</v>
      </c>
      <c r="I4379" s="343" t="s">
        <v>193</v>
      </c>
      <c r="J4379" s="343" t="s">
        <v>194</v>
      </c>
      <c r="K4379" s="343" t="s">
        <v>168</v>
      </c>
    </row>
    <row r="4380" spans="1:11" ht="26.25" customHeight="1">
      <c r="A4380" s="343" t="s">
        <v>6434</v>
      </c>
      <c r="B4380" s="344" t="s">
        <v>162</v>
      </c>
      <c r="C4380" s="344">
        <v>11600</v>
      </c>
      <c r="D4380" s="343" t="s">
        <v>6560</v>
      </c>
      <c r="E4380" s="344">
        <v>5288135</v>
      </c>
      <c r="F4380" s="343" t="s">
        <v>6564</v>
      </c>
      <c r="G4380" s="360" t="s">
        <v>13416</v>
      </c>
      <c r="H4380" s="361">
        <v>42796</v>
      </c>
      <c r="I4380" s="343" t="s">
        <v>287</v>
      </c>
      <c r="J4380" s="343" t="s">
        <v>13417</v>
      </c>
      <c r="K4380" s="343" t="s">
        <v>168</v>
      </c>
    </row>
    <row r="4381" spans="1:11" ht="26.25" customHeight="1">
      <c r="A4381" s="343" t="s">
        <v>6434</v>
      </c>
      <c r="B4381" s="344" t="s">
        <v>162</v>
      </c>
      <c r="C4381" s="344">
        <v>11458</v>
      </c>
      <c r="D4381" s="343" t="s">
        <v>6533</v>
      </c>
      <c r="E4381" s="344">
        <v>6176294</v>
      </c>
      <c r="F4381" s="343" t="s">
        <v>6537</v>
      </c>
      <c r="G4381" s="360" t="s">
        <v>13418</v>
      </c>
      <c r="H4381" s="361">
        <v>42803</v>
      </c>
      <c r="I4381" s="343" t="s">
        <v>6538</v>
      </c>
      <c r="J4381" s="343" t="s">
        <v>13419</v>
      </c>
      <c r="K4381" s="343" t="s">
        <v>168</v>
      </c>
    </row>
    <row r="4382" spans="1:11" ht="26.25" customHeight="1">
      <c r="A4382" s="343" t="s">
        <v>6434</v>
      </c>
      <c r="B4382" s="344" t="s">
        <v>162</v>
      </c>
      <c r="C4382" s="344">
        <v>6841</v>
      </c>
      <c r="D4382" s="343" t="s">
        <v>6848</v>
      </c>
      <c r="E4382" s="344">
        <v>6143947</v>
      </c>
      <c r="F4382" s="343" t="s">
        <v>6850</v>
      </c>
      <c r="G4382" s="360" t="s">
        <v>10040</v>
      </c>
      <c r="H4382" s="361">
        <v>42803</v>
      </c>
      <c r="I4382" s="343" t="s">
        <v>275</v>
      </c>
      <c r="J4382" s="343" t="s">
        <v>585</v>
      </c>
      <c r="K4382" s="343" t="s">
        <v>173</v>
      </c>
    </row>
    <row r="4383" spans="1:11" ht="26.25" customHeight="1">
      <c r="A4383" s="343" t="s">
        <v>6434</v>
      </c>
      <c r="B4383" s="344" t="s">
        <v>162</v>
      </c>
      <c r="C4383" s="344">
        <v>11330</v>
      </c>
      <c r="D4383" s="343" t="s">
        <v>6977</v>
      </c>
      <c r="E4383" s="344">
        <v>5656232</v>
      </c>
      <c r="F4383" s="343" t="s">
        <v>6979</v>
      </c>
      <c r="G4383" s="360" t="s">
        <v>11337</v>
      </c>
      <c r="H4383" s="361">
        <v>42807</v>
      </c>
      <c r="I4383" s="343" t="s">
        <v>366</v>
      </c>
      <c r="J4383" s="343" t="s">
        <v>366</v>
      </c>
      <c r="K4383" s="343" t="s">
        <v>168</v>
      </c>
    </row>
    <row r="4384" spans="1:11" ht="26.25" customHeight="1">
      <c r="A4384" s="343" t="s">
        <v>6434</v>
      </c>
      <c r="B4384" s="344" t="s">
        <v>162</v>
      </c>
      <c r="C4384" s="344">
        <v>11599</v>
      </c>
      <c r="D4384" s="343" t="s">
        <v>6572</v>
      </c>
      <c r="E4384" s="344">
        <v>5869707</v>
      </c>
      <c r="F4384" s="343" t="s">
        <v>6574</v>
      </c>
      <c r="G4384" s="360" t="s">
        <v>13420</v>
      </c>
      <c r="H4384" s="361">
        <v>42803</v>
      </c>
      <c r="I4384" s="343" t="s">
        <v>198</v>
      </c>
      <c r="J4384" s="343" t="s">
        <v>198</v>
      </c>
      <c r="K4384" s="343" t="s">
        <v>168</v>
      </c>
    </row>
    <row r="4385" spans="1:11" ht="26.25" customHeight="1">
      <c r="A4385" s="343" t="s">
        <v>6434</v>
      </c>
      <c r="B4385" s="344" t="s">
        <v>162</v>
      </c>
      <c r="C4385" s="344">
        <v>7197</v>
      </c>
      <c r="D4385" s="343" t="s">
        <v>6716</v>
      </c>
      <c r="E4385" s="344">
        <v>5189817</v>
      </c>
      <c r="F4385" s="343" t="s">
        <v>6721</v>
      </c>
      <c r="G4385" s="360" t="s">
        <v>13421</v>
      </c>
      <c r="H4385" s="361">
        <v>42804</v>
      </c>
      <c r="I4385" s="343" t="s">
        <v>198</v>
      </c>
      <c r="J4385" s="343" t="s">
        <v>198</v>
      </c>
      <c r="K4385" s="343" t="s">
        <v>168</v>
      </c>
    </row>
    <row r="4386" spans="1:11" ht="26.25" customHeight="1">
      <c r="A4386" s="343" t="s">
        <v>6434</v>
      </c>
      <c r="B4386" s="344" t="s">
        <v>162</v>
      </c>
      <c r="C4386" s="344">
        <v>11599</v>
      </c>
      <c r="D4386" s="343" t="s">
        <v>6572</v>
      </c>
      <c r="E4386" s="344">
        <v>6453176</v>
      </c>
      <c r="F4386" s="343" t="s">
        <v>6579</v>
      </c>
      <c r="G4386" s="360" t="s">
        <v>1277</v>
      </c>
      <c r="H4386" s="361">
        <v>42803</v>
      </c>
      <c r="I4386" s="343" t="s">
        <v>301</v>
      </c>
      <c r="J4386" s="343" t="s">
        <v>1113</v>
      </c>
      <c r="K4386" s="343" t="s">
        <v>168</v>
      </c>
    </row>
    <row r="4387" spans="1:11" ht="26.25" customHeight="1">
      <c r="A4387" s="343" t="s">
        <v>6434</v>
      </c>
      <c r="B4387" s="344" t="s">
        <v>162</v>
      </c>
      <c r="C4387" s="344">
        <v>11311</v>
      </c>
      <c r="D4387" s="343" t="s">
        <v>6916</v>
      </c>
      <c r="E4387" s="344">
        <v>5715576</v>
      </c>
      <c r="F4387" s="343" t="s">
        <v>6918</v>
      </c>
      <c r="G4387" s="360" t="s">
        <v>9367</v>
      </c>
      <c r="H4387" s="361">
        <v>42807</v>
      </c>
      <c r="I4387" s="343" t="s">
        <v>366</v>
      </c>
      <c r="J4387" s="343" t="s">
        <v>366</v>
      </c>
      <c r="K4387" s="343" t="s">
        <v>168</v>
      </c>
    </row>
    <row r="4388" spans="1:11" ht="26.25" customHeight="1">
      <c r="A4388" s="343" t="s">
        <v>6434</v>
      </c>
      <c r="B4388" s="344" t="s">
        <v>162</v>
      </c>
      <c r="C4388" s="344">
        <v>11321</v>
      </c>
      <c r="D4388" s="343" t="s">
        <v>6929</v>
      </c>
      <c r="E4388" s="344">
        <v>5930850</v>
      </c>
      <c r="F4388" s="343" t="s">
        <v>6932</v>
      </c>
      <c r="G4388" s="360" t="s">
        <v>10982</v>
      </c>
      <c r="H4388" s="361">
        <v>42807</v>
      </c>
      <c r="I4388" s="343" t="s">
        <v>776</v>
      </c>
      <c r="J4388" s="343" t="s">
        <v>11538</v>
      </c>
      <c r="K4388" s="343" t="s">
        <v>168</v>
      </c>
    </row>
    <row r="4389" spans="1:11" ht="26.25" customHeight="1">
      <c r="A4389" s="343" t="s">
        <v>6434</v>
      </c>
      <c r="B4389" s="344" t="s">
        <v>162</v>
      </c>
      <c r="C4389" s="344">
        <v>6852</v>
      </c>
      <c r="D4389" s="343" t="s">
        <v>6981</v>
      </c>
      <c r="E4389" s="344">
        <v>6150832</v>
      </c>
      <c r="F4389" s="343" t="s">
        <v>6982</v>
      </c>
      <c r="G4389" s="360" t="s">
        <v>511</v>
      </c>
      <c r="H4389" s="361">
        <v>42803</v>
      </c>
      <c r="I4389" s="343" t="s">
        <v>742</v>
      </c>
      <c r="J4389" s="343" t="s">
        <v>742</v>
      </c>
      <c r="K4389" s="343" t="s">
        <v>168</v>
      </c>
    </row>
    <row r="4390" spans="1:11" ht="26.25" customHeight="1">
      <c r="A4390" s="343" t="s">
        <v>6434</v>
      </c>
      <c r="B4390" s="344" t="s">
        <v>162</v>
      </c>
      <c r="C4390" s="344">
        <v>11348</v>
      </c>
      <c r="D4390" s="343" t="s">
        <v>6802</v>
      </c>
      <c r="E4390" s="344">
        <v>6817760</v>
      </c>
      <c r="F4390" s="343" t="s">
        <v>6803</v>
      </c>
      <c r="G4390" s="360" t="s">
        <v>10256</v>
      </c>
      <c r="H4390" s="361">
        <v>42818</v>
      </c>
      <c r="I4390" s="343" t="s">
        <v>193</v>
      </c>
      <c r="J4390" s="343" t="s">
        <v>194</v>
      </c>
      <c r="K4390" s="343" t="s">
        <v>168</v>
      </c>
    </row>
    <row r="4391" spans="1:11" ht="26.25" customHeight="1">
      <c r="A4391" s="343" t="s">
        <v>6434</v>
      </c>
      <c r="B4391" s="344" t="s">
        <v>162</v>
      </c>
      <c r="C4391" s="344">
        <v>9840</v>
      </c>
      <c r="D4391" s="343" t="s">
        <v>6507</v>
      </c>
      <c r="E4391" s="344">
        <v>6750652</v>
      </c>
      <c r="F4391" s="343" t="s">
        <v>6511</v>
      </c>
      <c r="G4391" s="360" t="s">
        <v>13422</v>
      </c>
      <c r="H4391" s="361">
        <v>42814</v>
      </c>
      <c r="I4391" s="343" t="s">
        <v>284</v>
      </c>
      <c r="J4391" s="343" t="s">
        <v>9963</v>
      </c>
      <c r="K4391" s="343" t="s">
        <v>168</v>
      </c>
    </row>
    <row r="4392" spans="1:11" ht="26.25" customHeight="1">
      <c r="A4392" s="343" t="s">
        <v>6434</v>
      </c>
      <c r="B4392" s="344" t="s">
        <v>162</v>
      </c>
      <c r="C4392" s="344">
        <v>7202</v>
      </c>
      <c r="D4392" s="343" t="s">
        <v>6550</v>
      </c>
      <c r="E4392" s="344">
        <v>4949426</v>
      </c>
      <c r="F4392" s="343" t="s">
        <v>6551</v>
      </c>
      <c r="G4392" s="360" t="s">
        <v>13423</v>
      </c>
      <c r="H4392" s="361">
        <v>42810</v>
      </c>
      <c r="I4392" s="343" t="s">
        <v>187</v>
      </c>
      <c r="J4392" s="343" t="s">
        <v>187</v>
      </c>
      <c r="K4392" s="343" t="s">
        <v>168</v>
      </c>
    </row>
    <row r="4393" spans="1:11" ht="26.25" customHeight="1">
      <c r="A4393" s="343" t="s">
        <v>6434</v>
      </c>
      <c r="B4393" s="344" t="s">
        <v>162</v>
      </c>
      <c r="C4393" s="344">
        <v>11340</v>
      </c>
      <c r="D4393" s="343" t="s">
        <v>6692</v>
      </c>
      <c r="E4393" s="344">
        <v>4747649</v>
      </c>
      <c r="F4393" s="343" t="s">
        <v>6694</v>
      </c>
      <c r="G4393" s="360" t="s">
        <v>11577</v>
      </c>
      <c r="H4393" s="361">
        <v>42810</v>
      </c>
      <c r="I4393" s="343" t="s">
        <v>166</v>
      </c>
      <c r="J4393" s="343" t="s">
        <v>296</v>
      </c>
      <c r="K4393" s="343" t="s">
        <v>168</v>
      </c>
    </row>
    <row r="4394" spans="1:11" ht="26.25" customHeight="1">
      <c r="A4394" s="343" t="s">
        <v>6434</v>
      </c>
      <c r="B4394" s="344" t="s">
        <v>162</v>
      </c>
      <c r="C4394" s="344">
        <v>7682</v>
      </c>
      <c r="D4394" s="343" t="s">
        <v>6433</v>
      </c>
      <c r="E4394" s="344">
        <v>6384859</v>
      </c>
      <c r="F4394" s="343" t="s">
        <v>6435</v>
      </c>
      <c r="G4394" s="360" t="s">
        <v>11228</v>
      </c>
      <c r="H4394" s="361">
        <v>42810</v>
      </c>
      <c r="I4394" s="343" t="s">
        <v>284</v>
      </c>
      <c r="J4394" s="343" t="s">
        <v>13424</v>
      </c>
      <c r="K4394" s="343" t="s">
        <v>168</v>
      </c>
    </row>
    <row r="4395" spans="1:11" ht="26.25" customHeight="1">
      <c r="A4395" s="343" t="s">
        <v>6434</v>
      </c>
      <c r="B4395" s="344" t="s">
        <v>162</v>
      </c>
      <c r="C4395" s="344">
        <v>11324</v>
      </c>
      <c r="D4395" s="343" t="s">
        <v>6941</v>
      </c>
      <c r="E4395" s="344">
        <v>6059288</v>
      </c>
      <c r="F4395" s="343" t="s">
        <v>6942</v>
      </c>
      <c r="G4395" s="360" t="s">
        <v>9443</v>
      </c>
      <c r="H4395" s="361">
        <v>42810</v>
      </c>
      <c r="I4395" s="343" t="s">
        <v>4357</v>
      </c>
      <c r="J4395" s="343" t="s">
        <v>13425</v>
      </c>
      <c r="K4395" s="343" t="s">
        <v>168</v>
      </c>
    </row>
    <row r="4396" spans="1:11" ht="26.25" customHeight="1">
      <c r="A4396" s="343" t="s">
        <v>6434</v>
      </c>
      <c r="B4396" s="344" t="s">
        <v>162</v>
      </c>
      <c r="C4396" s="344">
        <v>7197</v>
      </c>
      <c r="D4396" s="343" t="s">
        <v>6716</v>
      </c>
      <c r="E4396" s="344">
        <v>4711107</v>
      </c>
      <c r="F4396" s="343" t="s">
        <v>6717</v>
      </c>
      <c r="G4396" s="360" t="s">
        <v>13426</v>
      </c>
      <c r="H4396" s="361">
        <v>42810</v>
      </c>
      <c r="I4396" s="343" t="s">
        <v>198</v>
      </c>
      <c r="J4396" s="343" t="s">
        <v>198</v>
      </c>
      <c r="K4396" s="343" t="s">
        <v>168</v>
      </c>
    </row>
    <row r="4397" spans="1:11" ht="26.25" customHeight="1">
      <c r="A4397" s="343" t="s">
        <v>6434</v>
      </c>
      <c r="B4397" s="344" t="s">
        <v>162</v>
      </c>
      <c r="C4397" s="344">
        <v>6840</v>
      </c>
      <c r="D4397" s="343" t="s">
        <v>6943</v>
      </c>
      <c r="E4397" s="344">
        <v>5992558</v>
      </c>
      <c r="F4397" s="343" t="s">
        <v>6945</v>
      </c>
      <c r="G4397" s="360" t="s">
        <v>12004</v>
      </c>
      <c r="H4397" s="361">
        <v>42810</v>
      </c>
      <c r="I4397" s="343" t="s">
        <v>3920</v>
      </c>
      <c r="J4397" s="343" t="s">
        <v>13427</v>
      </c>
      <c r="K4397" s="343" t="s">
        <v>168</v>
      </c>
    </row>
    <row r="4398" spans="1:11" ht="26.25" customHeight="1">
      <c r="A4398" s="343" t="s">
        <v>6434</v>
      </c>
      <c r="B4398" s="344" t="s">
        <v>162</v>
      </c>
      <c r="C4398" s="344">
        <v>11327</v>
      </c>
      <c r="D4398" s="343" t="s">
        <v>6960</v>
      </c>
      <c r="E4398" s="344">
        <v>5869562</v>
      </c>
      <c r="F4398" s="343" t="s">
        <v>6963</v>
      </c>
      <c r="G4398" s="360" t="s">
        <v>10456</v>
      </c>
      <c r="H4398" s="361">
        <v>42810</v>
      </c>
      <c r="I4398" s="343" t="s">
        <v>166</v>
      </c>
      <c r="J4398" s="343" t="s">
        <v>296</v>
      </c>
      <c r="K4398" s="343" t="s">
        <v>168</v>
      </c>
    </row>
    <row r="4399" spans="1:11" ht="26.25" customHeight="1">
      <c r="A4399" s="343" t="s">
        <v>6434</v>
      </c>
      <c r="B4399" s="344" t="s">
        <v>162</v>
      </c>
      <c r="C4399" s="344">
        <v>11347</v>
      </c>
      <c r="D4399" s="343" t="s">
        <v>6773</v>
      </c>
      <c r="E4399" s="344">
        <v>4693203</v>
      </c>
      <c r="F4399" s="343" t="s">
        <v>6774</v>
      </c>
      <c r="G4399" s="360" t="s">
        <v>13428</v>
      </c>
      <c r="H4399" s="361">
        <v>42811</v>
      </c>
      <c r="I4399" s="343" t="s">
        <v>166</v>
      </c>
      <c r="J4399" s="343" t="s">
        <v>13429</v>
      </c>
      <c r="K4399" s="343" t="s">
        <v>168</v>
      </c>
    </row>
    <row r="4400" spans="1:11" ht="26.25" customHeight="1">
      <c r="A4400" s="343" t="s">
        <v>6434</v>
      </c>
      <c r="B4400" s="344" t="s">
        <v>162</v>
      </c>
      <c r="C4400" s="344">
        <v>6841</v>
      </c>
      <c r="D4400" s="343" t="s">
        <v>6848</v>
      </c>
      <c r="E4400" s="344">
        <v>6506834</v>
      </c>
      <c r="F4400" s="343" t="s">
        <v>6851</v>
      </c>
      <c r="G4400" s="360" t="s">
        <v>10002</v>
      </c>
      <c r="H4400" s="361">
        <v>42808</v>
      </c>
      <c r="I4400" s="343" t="s">
        <v>6852</v>
      </c>
      <c r="J4400" s="343" t="s">
        <v>12024</v>
      </c>
      <c r="K4400" s="343" t="s">
        <v>168</v>
      </c>
    </row>
    <row r="4401" spans="1:11" ht="26.25" customHeight="1">
      <c r="A4401" s="343" t="s">
        <v>6434</v>
      </c>
      <c r="B4401" s="344" t="s">
        <v>162</v>
      </c>
      <c r="C4401" s="344">
        <v>11363</v>
      </c>
      <c r="D4401" s="343" t="s">
        <v>6479</v>
      </c>
      <c r="E4401" s="344">
        <v>6560790</v>
      </c>
      <c r="F4401" s="343" t="s">
        <v>6480</v>
      </c>
      <c r="G4401" s="360" t="s">
        <v>13058</v>
      </c>
      <c r="H4401" s="361">
        <v>42808</v>
      </c>
      <c r="I4401" s="343" t="s">
        <v>166</v>
      </c>
      <c r="J4401" s="343" t="s">
        <v>682</v>
      </c>
      <c r="K4401" s="343" t="s">
        <v>168</v>
      </c>
    </row>
    <row r="4402" spans="1:11" ht="26.25" customHeight="1">
      <c r="A4402" s="343" t="s">
        <v>6434</v>
      </c>
      <c r="B4402" s="344" t="s">
        <v>162</v>
      </c>
      <c r="C4402" s="344">
        <v>6842</v>
      </c>
      <c r="D4402" s="343" t="s">
        <v>6933</v>
      </c>
      <c r="E4402" s="344">
        <v>5921079</v>
      </c>
      <c r="F4402" s="343" t="s">
        <v>6934</v>
      </c>
      <c r="G4402" s="360" t="s">
        <v>11014</v>
      </c>
      <c r="H4402" s="361">
        <v>42808</v>
      </c>
      <c r="I4402" s="343" t="s">
        <v>193</v>
      </c>
      <c r="J4402" s="343" t="s">
        <v>194</v>
      </c>
      <c r="K4402" s="343" t="s">
        <v>168</v>
      </c>
    </row>
    <row r="4403" spans="1:11" ht="26.25" customHeight="1">
      <c r="A4403" s="343" t="s">
        <v>6434</v>
      </c>
      <c r="B4403" s="344" t="s">
        <v>162</v>
      </c>
      <c r="C4403" s="344">
        <v>12263</v>
      </c>
      <c r="D4403" s="343" t="s">
        <v>6601</v>
      </c>
      <c r="E4403" s="344">
        <v>5700802</v>
      </c>
      <c r="F4403" s="343" t="s">
        <v>6604</v>
      </c>
      <c r="G4403" s="360" t="s">
        <v>13430</v>
      </c>
      <c r="H4403" s="361">
        <v>42843</v>
      </c>
      <c r="I4403" s="343" t="s">
        <v>180</v>
      </c>
      <c r="J4403" s="343" t="s">
        <v>13431</v>
      </c>
      <c r="K4403" s="343" t="s">
        <v>168</v>
      </c>
    </row>
    <row r="4404" spans="1:11" ht="26.25" customHeight="1">
      <c r="A4404" s="343" t="s">
        <v>6434</v>
      </c>
      <c r="B4404" s="344" t="s">
        <v>162</v>
      </c>
      <c r="C4404" s="344">
        <v>12379</v>
      </c>
      <c r="D4404" s="343" t="s">
        <v>6768</v>
      </c>
      <c r="E4404" s="344">
        <v>6418863</v>
      </c>
      <c r="F4404" s="343" t="s">
        <v>6771</v>
      </c>
      <c r="G4404" s="360" t="s">
        <v>1418</v>
      </c>
      <c r="H4404" s="361">
        <v>42844</v>
      </c>
      <c r="I4404" s="343" t="s">
        <v>180</v>
      </c>
      <c r="J4404" s="343" t="s">
        <v>13432</v>
      </c>
      <c r="K4404" s="343" t="s">
        <v>248</v>
      </c>
    </row>
    <row r="4405" spans="1:11" ht="26.25" customHeight="1">
      <c r="A4405" s="343" t="s">
        <v>6434</v>
      </c>
      <c r="B4405" s="344" t="s">
        <v>162</v>
      </c>
      <c r="C4405" s="344">
        <v>6847</v>
      </c>
      <c r="D4405" s="343" t="s">
        <v>6869</v>
      </c>
      <c r="E4405" s="344">
        <v>5992322</v>
      </c>
      <c r="F4405" s="343" t="s">
        <v>6870</v>
      </c>
      <c r="G4405" s="360" t="s">
        <v>9478</v>
      </c>
      <c r="H4405" s="361">
        <v>42850</v>
      </c>
      <c r="I4405" s="343" t="s">
        <v>4512</v>
      </c>
      <c r="J4405" s="343" t="s">
        <v>11090</v>
      </c>
      <c r="K4405" s="343" t="s">
        <v>248</v>
      </c>
    </row>
    <row r="4406" spans="1:11" ht="26.25" customHeight="1">
      <c r="A4406" s="343" t="s">
        <v>6434</v>
      </c>
      <c r="B4406" s="344" t="s">
        <v>162</v>
      </c>
      <c r="C4406" s="344">
        <v>11360</v>
      </c>
      <c r="D4406" s="343" t="s">
        <v>6471</v>
      </c>
      <c r="E4406" s="344">
        <v>6523765</v>
      </c>
      <c r="F4406" s="343" t="s">
        <v>6474</v>
      </c>
      <c r="G4406" s="360" t="s">
        <v>13433</v>
      </c>
      <c r="H4406" s="361">
        <v>42837</v>
      </c>
      <c r="I4406" s="343" t="s">
        <v>336</v>
      </c>
      <c r="J4406" s="343" t="s">
        <v>13434</v>
      </c>
      <c r="K4406" s="343" t="s">
        <v>168</v>
      </c>
    </row>
    <row r="4407" spans="1:11" ht="26.25" customHeight="1">
      <c r="A4407" s="343" t="s">
        <v>6434</v>
      </c>
      <c r="B4407" s="344" t="s">
        <v>162</v>
      </c>
      <c r="C4407" s="344">
        <v>6844</v>
      </c>
      <c r="D4407" s="343" t="s">
        <v>6836</v>
      </c>
      <c r="E4407" s="344">
        <v>5864917</v>
      </c>
      <c r="F4407" s="343" t="s">
        <v>6837</v>
      </c>
      <c r="G4407" s="360" t="s">
        <v>12302</v>
      </c>
      <c r="H4407" s="361">
        <v>42837</v>
      </c>
      <c r="I4407" s="343" t="s">
        <v>198</v>
      </c>
      <c r="J4407" s="343" t="s">
        <v>198</v>
      </c>
      <c r="K4407" s="343" t="s">
        <v>168</v>
      </c>
    </row>
    <row r="4408" spans="1:11" ht="26.25" customHeight="1">
      <c r="A4408" s="343" t="s">
        <v>6434</v>
      </c>
      <c r="B4408" s="344" t="s">
        <v>162</v>
      </c>
      <c r="C4408" s="344">
        <v>11310</v>
      </c>
      <c r="D4408" s="343" t="s">
        <v>6888</v>
      </c>
      <c r="E4408" s="344">
        <v>6158443</v>
      </c>
      <c r="F4408" s="343" t="s">
        <v>6892</v>
      </c>
      <c r="G4408" s="360" t="s">
        <v>10153</v>
      </c>
      <c r="H4408" s="361">
        <v>42837</v>
      </c>
      <c r="I4408" s="343" t="s">
        <v>465</v>
      </c>
      <c r="J4408" s="343" t="s">
        <v>1118</v>
      </c>
      <c r="K4408" s="343" t="s">
        <v>168</v>
      </c>
    </row>
    <row r="4409" spans="1:11" ht="26.25" customHeight="1">
      <c r="A4409" s="343" t="s">
        <v>6434</v>
      </c>
      <c r="B4409" s="344" t="s">
        <v>162</v>
      </c>
      <c r="C4409" s="344">
        <v>6846</v>
      </c>
      <c r="D4409" s="343" t="s">
        <v>6873</v>
      </c>
      <c r="E4409" s="344">
        <v>6243339</v>
      </c>
      <c r="F4409" s="343" t="s">
        <v>6874</v>
      </c>
      <c r="G4409" s="360" t="s">
        <v>1292</v>
      </c>
      <c r="H4409" s="361">
        <v>42837</v>
      </c>
      <c r="I4409" s="343" t="s">
        <v>6875</v>
      </c>
      <c r="J4409" s="343" t="s">
        <v>13435</v>
      </c>
      <c r="K4409" s="343" t="s">
        <v>173</v>
      </c>
    </row>
    <row r="4410" spans="1:11" ht="26.25" customHeight="1">
      <c r="A4410" s="343" t="s">
        <v>6434</v>
      </c>
      <c r="B4410" s="344" t="s">
        <v>162</v>
      </c>
      <c r="C4410" s="344">
        <v>11851</v>
      </c>
      <c r="D4410" s="343" t="s">
        <v>6566</v>
      </c>
      <c r="E4410" s="344">
        <v>5705666</v>
      </c>
      <c r="F4410" s="343" t="s">
        <v>6571</v>
      </c>
      <c r="G4410" s="360" t="s">
        <v>10173</v>
      </c>
      <c r="H4410" s="361">
        <v>42842</v>
      </c>
      <c r="I4410" s="343" t="s">
        <v>193</v>
      </c>
      <c r="J4410" s="343" t="s">
        <v>194</v>
      </c>
      <c r="K4410" s="343" t="s">
        <v>168</v>
      </c>
    </row>
    <row r="4411" spans="1:11" ht="26.25" customHeight="1">
      <c r="A4411" s="343" t="s">
        <v>6434</v>
      </c>
      <c r="B4411" s="344" t="s">
        <v>162</v>
      </c>
      <c r="C4411" s="344">
        <v>9840</v>
      </c>
      <c r="D4411" s="343" t="s">
        <v>6507</v>
      </c>
      <c r="E4411" s="344">
        <v>6292554</v>
      </c>
      <c r="F4411" s="343" t="s">
        <v>6508</v>
      </c>
      <c r="G4411" s="360" t="s">
        <v>13436</v>
      </c>
      <c r="H4411" s="361">
        <v>42842</v>
      </c>
      <c r="I4411" s="343" t="s">
        <v>1038</v>
      </c>
      <c r="J4411" s="343" t="s">
        <v>9369</v>
      </c>
      <c r="K4411" s="343" t="s">
        <v>168</v>
      </c>
    </row>
    <row r="4412" spans="1:11" ht="26.25" customHeight="1">
      <c r="A4412" s="343" t="s">
        <v>6434</v>
      </c>
      <c r="B4412" s="344" t="s">
        <v>162</v>
      </c>
      <c r="C4412" s="344">
        <v>11457</v>
      </c>
      <c r="D4412" s="343" t="s">
        <v>6523</v>
      </c>
      <c r="E4412" s="344">
        <v>6637945</v>
      </c>
      <c r="F4412" s="343" t="s">
        <v>6530</v>
      </c>
      <c r="G4412" s="360" t="s">
        <v>13437</v>
      </c>
      <c r="H4412" s="361">
        <v>42843</v>
      </c>
      <c r="I4412" s="343" t="s">
        <v>313</v>
      </c>
      <c r="J4412" s="343" t="s">
        <v>397</v>
      </c>
      <c r="K4412" s="343" t="s">
        <v>173</v>
      </c>
    </row>
    <row r="4413" spans="1:11" ht="26.25" customHeight="1">
      <c r="A4413" s="343" t="s">
        <v>6434</v>
      </c>
      <c r="B4413" s="344" t="s">
        <v>162</v>
      </c>
      <c r="C4413" s="344">
        <v>11851</v>
      </c>
      <c r="D4413" s="343" t="s">
        <v>6566</v>
      </c>
      <c r="E4413" s="344">
        <v>6462882</v>
      </c>
      <c r="F4413" s="343" t="s">
        <v>6570</v>
      </c>
      <c r="G4413" s="360" t="s">
        <v>12478</v>
      </c>
      <c r="H4413" s="361">
        <v>42849</v>
      </c>
      <c r="I4413" s="343" t="s">
        <v>198</v>
      </c>
      <c r="J4413" s="343" t="s">
        <v>198</v>
      </c>
      <c r="K4413" s="343" t="s">
        <v>168</v>
      </c>
    </row>
    <row r="4414" spans="1:11" ht="26.25" customHeight="1">
      <c r="A4414" s="343" t="s">
        <v>6434</v>
      </c>
      <c r="B4414" s="344" t="s">
        <v>162</v>
      </c>
      <c r="C4414" s="344">
        <v>11363</v>
      </c>
      <c r="D4414" s="343" t="s">
        <v>6479</v>
      </c>
      <c r="E4414" s="344">
        <v>6453547</v>
      </c>
      <c r="F4414" s="343" t="s">
        <v>6483</v>
      </c>
      <c r="G4414" s="360" t="s">
        <v>12532</v>
      </c>
      <c r="H4414" s="361">
        <v>42851</v>
      </c>
      <c r="I4414" s="343" t="s">
        <v>6484</v>
      </c>
      <c r="J4414" s="343" t="s">
        <v>13438</v>
      </c>
      <c r="K4414" s="343" t="s">
        <v>173</v>
      </c>
    </row>
    <row r="4415" spans="1:11" ht="26.25" customHeight="1">
      <c r="A4415" s="343" t="s">
        <v>6434</v>
      </c>
      <c r="B4415" s="344" t="s">
        <v>162</v>
      </c>
      <c r="C4415" s="344">
        <v>9294</v>
      </c>
      <c r="D4415" s="343" t="s">
        <v>6630</v>
      </c>
      <c r="E4415" s="344">
        <v>5878465</v>
      </c>
      <c r="F4415" s="343" t="s">
        <v>6638</v>
      </c>
      <c r="G4415" s="360" t="s">
        <v>11992</v>
      </c>
      <c r="H4415" s="361">
        <v>42851</v>
      </c>
      <c r="I4415" s="343" t="s">
        <v>366</v>
      </c>
      <c r="J4415" s="343" t="s">
        <v>366</v>
      </c>
      <c r="K4415" s="343" t="s">
        <v>168</v>
      </c>
    </row>
    <row r="4416" spans="1:11" ht="26.25" customHeight="1">
      <c r="A4416" s="343" t="s">
        <v>6434</v>
      </c>
      <c r="B4416" s="344" t="s">
        <v>162</v>
      </c>
      <c r="C4416" s="344">
        <v>12911</v>
      </c>
      <c r="D4416" s="343" t="s">
        <v>6639</v>
      </c>
      <c r="E4416" s="344">
        <v>4734253</v>
      </c>
      <c r="F4416" s="343" t="s">
        <v>6650</v>
      </c>
      <c r="G4416" s="360" t="s">
        <v>13439</v>
      </c>
      <c r="H4416" s="361">
        <v>42851</v>
      </c>
      <c r="I4416" s="343" t="s">
        <v>198</v>
      </c>
      <c r="J4416" s="343" t="s">
        <v>198</v>
      </c>
      <c r="K4416" s="343" t="s">
        <v>168</v>
      </c>
    </row>
    <row r="4417" spans="1:11" ht="26.25" customHeight="1">
      <c r="A4417" s="343" t="s">
        <v>6434</v>
      </c>
      <c r="B4417" s="344" t="s">
        <v>162</v>
      </c>
      <c r="C4417" s="344">
        <v>11680</v>
      </c>
      <c r="D4417" s="343" t="s">
        <v>6513</v>
      </c>
      <c r="E4417" s="344">
        <v>6303674</v>
      </c>
      <c r="F4417" s="343" t="s">
        <v>6519</v>
      </c>
      <c r="G4417" s="360" t="s">
        <v>13440</v>
      </c>
      <c r="H4417" s="361">
        <v>42850</v>
      </c>
      <c r="I4417" s="343" t="s">
        <v>193</v>
      </c>
      <c r="J4417" s="343" t="s">
        <v>194</v>
      </c>
      <c r="K4417" s="343" t="s">
        <v>168</v>
      </c>
    </row>
    <row r="4418" spans="1:11" ht="26.25" customHeight="1">
      <c r="A4418" s="343" t="s">
        <v>6434</v>
      </c>
      <c r="B4418" s="344" t="s">
        <v>162</v>
      </c>
      <c r="C4418" s="344">
        <v>11338</v>
      </c>
      <c r="D4418" s="343" t="s">
        <v>6677</v>
      </c>
      <c r="E4418" s="344">
        <v>5562754</v>
      </c>
      <c r="F4418" s="343" t="s">
        <v>6681</v>
      </c>
      <c r="G4418" s="360" t="s">
        <v>9917</v>
      </c>
      <c r="H4418" s="361">
        <v>42850</v>
      </c>
      <c r="I4418" s="343" t="s">
        <v>366</v>
      </c>
      <c r="J4418" s="343" t="s">
        <v>366</v>
      </c>
      <c r="K4418" s="343" t="s">
        <v>168</v>
      </c>
    </row>
    <row r="4419" spans="1:11" ht="26.25" customHeight="1">
      <c r="A4419" s="343" t="s">
        <v>6434</v>
      </c>
      <c r="B4419" s="344" t="s">
        <v>162</v>
      </c>
      <c r="C4419" s="344">
        <v>7195</v>
      </c>
      <c r="D4419" s="343" t="s">
        <v>6826</v>
      </c>
      <c r="E4419" s="344">
        <v>5784633</v>
      </c>
      <c r="F4419" s="343" t="s">
        <v>6829</v>
      </c>
      <c r="G4419" s="360" t="s">
        <v>13441</v>
      </c>
      <c r="H4419" s="361">
        <v>42858</v>
      </c>
      <c r="I4419" s="343" t="s">
        <v>580</v>
      </c>
      <c r="J4419" s="343" t="s">
        <v>13442</v>
      </c>
      <c r="K4419" s="343" t="s">
        <v>248</v>
      </c>
    </row>
    <row r="4420" spans="1:11" ht="26.25" customHeight="1">
      <c r="A4420" s="343" t="s">
        <v>6434</v>
      </c>
      <c r="B4420" s="344" t="s">
        <v>162</v>
      </c>
      <c r="C4420" s="344">
        <v>12035</v>
      </c>
      <c r="D4420" s="343" t="s">
        <v>6741</v>
      </c>
      <c r="E4420" s="344">
        <v>6043296</v>
      </c>
      <c r="F4420" s="343" t="s">
        <v>6742</v>
      </c>
      <c r="G4420" s="360" t="s">
        <v>13443</v>
      </c>
      <c r="H4420" s="361">
        <v>42870</v>
      </c>
      <c r="I4420" s="343" t="s">
        <v>180</v>
      </c>
      <c r="J4420" s="343" t="s">
        <v>13444</v>
      </c>
      <c r="K4420" s="343" t="s">
        <v>173</v>
      </c>
    </row>
    <row r="4421" spans="1:11" ht="26.25" customHeight="1">
      <c r="A4421" s="343" t="s">
        <v>6434</v>
      </c>
      <c r="B4421" s="344" t="s">
        <v>162</v>
      </c>
      <c r="C4421" s="344">
        <v>6841</v>
      </c>
      <c r="D4421" s="343" t="s">
        <v>6848</v>
      </c>
      <c r="E4421" s="344">
        <v>6365172</v>
      </c>
      <c r="F4421" s="343" t="s">
        <v>6858</v>
      </c>
      <c r="G4421" s="360" t="s">
        <v>9544</v>
      </c>
      <c r="H4421" s="361">
        <v>42858</v>
      </c>
      <c r="I4421" s="343" t="s">
        <v>366</v>
      </c>
      <c r="J4421" s="343" t="s">
        <v>366</v>
      </c>
      <c r="K4421" s="343" t="s">
        <v>168</v>
      </c>
    </row>
    <row r="4422" spans="1:11" ht="26.25" customHeight="1">
      <c r="A4422" s="343" t="s">
        <v>6434</v>
      </c>
      <c r="B4422" s="344" t="s">
        <v>162</v>
      </c>
      <c r="C4422" s="344">
        <v>11342</v>
      </c>
      <c r="D4422" s="343" t="s">
        <v>6739</v>
      </c>
      <c r="E4422" s="344">
        <v>6225925</v>
      </c>
      <c r="F4422" s="343" t="s">
        <v>6740</v>
      </c>
      <c r="G4422" s="360" t="s">
        <v>13445</v>
      </c>
      <c r="H4422" s="361">
        <v>42858</v>
      </c>
      <c r="I4422" s="343" t="s">
        <v>193</v>
      </c>
      <c r="J4422" s="343" t="s">
        <v>194</v>
      </c>
      <c r="K4422" s="343" t="s">
        <v>168</v>
      </c>
    </row>
    <row r="4423" spans="1:11" ht="26.25" customHeight="1">
      <c r="A4423" s="343" t="s">
        <v>6434</v>
      </c>
      <c r="B4423" s="344" t="s">
        <v>162</v>
      </c>
      <c r="C4423" s="344">
        <v>11313</v>
      </c>
      <c r="D4423" s="343" t="s">
        <v>6860</v>
      </c>
      <c r="E4423" s="344">
        <v>6747725</v>
      </c>
      <c r="F4423" s="343" t="s">
        <v>6862</v>
      </c>
      <c r="G4423" s="360" t="s">
        <v>9507</v>
      </c>
      <c r="H4423" s="361">
        <v>42860</v>
      </c>
      <c r="I4423" s="343" t="s">
        <v>1038</v>
      </c>
      <c r="J4423" s="343" t="s">
        <v>9369</v>
      </c>
      <c r="K4423" s="343" t="s">
        <v>168</v>
      </c>
    </row>
    <row r="4424" spans="1:11" ht="26.25" customHeight="1">
      <c r="A4424" s="343" t="s">
        <v>6434</v>
      </c>
      <c r="B4424" s="344" t="s">
        <v>162</v>
      </c>
      <c r="C4424" s="344">
        <v>11851</v>
      </c>
      <c r="D4424" s="343" t="s">
        <v>6566</v>
      </c>
      <c r="E4424" s="344">
        <v>6248345</v>
      </c>
      <c r="F4424" s="343" t="s">
        <v>6568</v>
      </c>
      <c r="G4424" s="360" t="s">
        <v>13446</v>
      </c>
      <c r="H4424" s="361">
        <v>42863</v>
      </c>
      <c r="I4424" s="343" t="s">
        <v>193</v>
      </c>
      <c r="J4424" s="343" t="s">
        <v>194</v>
      </c>
      <c r="K4424" s="343" t="s">
        <v>168</v>
      </c>
    </row>
    <row r="4425" spans="1:11" ht="26.25" customHeight="1">
      <c r="A4425" s="343" t="s">
        <v>6434</v>
      </c>
      <c r="B4425" s="344" t="s">
        <v>162</v>
      </c>
      <c r="C4425" s="344">
        <v>11457</v>
      </c>
      <c r="D4425" s="343" t="s">
        <v>6523</v>
      </c>
      <c r="E4425" s="344">
        <v>6473032</v>
      </c>
      <c r="F4425" s="343" t="s">
        <v>6531</v>
      </c>
      <c r="G4425" s="360" t="s">
        <v>10575</v>
      </c>
      <c r="H4425" s="361">
        <v>42863</v>
      </c>
      <c r="I4425" s="343" t="s">
        <v>261</v>
      </c>
      <c r="J4425" s="343" t="s">
        <v>631</v>
      </c>
      <c r="K4425" s="343" t="s">
        <v>168</v>
      </c>
    </row>
    <row r="4426" spans="1:11" ht="26.25" customHeight="1">
      <c r="A4426" s="343" t="s">
        <v>6434</v>
      </c>
      <c r="B4426" s="344" t="s">
        <v>162</v>
      </c>
      <c r="C4426" s="344">
        <v>11332</v>
      </c>
      <c r="D4426" s="343" t="s">
        <v>6609</v>
      </c>
      <c r="E4426" s="344">
        <v>5795563</v>
      </c>
      <c r="F4426" s="343" t="s">
        <v>6611</v>
      </c>
      <c r="G4426" s="360" t="s">
        <v>12925</v>
      </c>
      <c r="H4426" s="361">
        <v>42863</v>
      </c>
      <c r="I4426" s="343" t="s">
        <v>366</v>
      </c>
      <c r="J4426" s="343" t="s">
        <v>366</v>
      </c>
      <c r="K4426" s="343" t="s">
        <v>168</v>
      </c>
    </row>
    <row r="4427" spans="1:11" ht="26.25" customHeight="1">
      <c r="A4427" s="343" t="s">
        <v>6434</v>
      </c>
      <c r="B4427" s="344" t="s">
        <v>162</v>
      </c>
      <c r="C4427" s="344">
        <v>11451</v>
      </c>
      <c r="D4427" s="343" t="s">
        <v>6461</v>
      </c>
      <c r="E4427" s="344">
        <v>6442722</v>
      </c>
      <c r="F4427" s="343" t="s">
        <v>6462</v>
      </c>
      <c r="G4427" s="360" t="s">
        <v>13447</v>
      </c>
      <c r="H4427" s="361">
        <v>42863</v>
      </c>
      <c r="I4427" s="343" t="s">
        <v>6463</v>
      </c>
      <c r="J4427" s="343" t="s">
        <v>13448</v>
      </c>
      <c r="K4427" s="343" t="s">
        <v>168</v>
      </c>
    </row>
    <row r="4428" spans="1:11" ht="26.25" customHeight="1">
      <c r="A4428" s="343" t="s">
        <v>6434</v>
      </c>
      <c r="B4428" s="344" t="s">
        <v>162</v>
      </c>
      <c r="C4428" s="344">
        <v>6841</v>
      </c>
      <c r="D4428" s="343" t="s">
        <v>6848</v>
      </c>
      <c r="E4428" s="344">
        <v>6752579</v>
      </c>
      <c r="F4428" s="343" t="s">
        <v>6853</v>
      </c>
      <c r="G4428" s="360" t="s">
        <v>495</v>
      </c>
      <c r="H4428" s="361">
        <v>42865</v>
      </c>
      <c r="I4428" s="343" t="s">
        <v>211</v>
      </c>
      <c r="J4428" s="343" t="s">
        <v>909</v>
      </c>
      <c r="K4428" s="343" t="s">
        <v>168</v>
      </c>
    </row>
    <row r="4429" spans="1:11" ht="26.25" customHeight="1">
      <c r="A4429" s="343" t="s">
        <v>6434</v>
      </c>
      <c r="B4429" s="344" t="s">
        <v>162</v>
      </c>
      <c r="C4429" s="344">
        <v>7201</v>
      </c>
      <c r="D4429" s="343" t="s">
        <v>6727</v>
      </c>
      <c r="E4429" s="344">
        <v>5935371</v>
      </c>
      <c r="F4429" s="343" t="s">
        <v>6728</v>
      </c>
      <c r="G4429" s="360" t="s">
        <v>13449</v>
      </c>
      <c r="H4429" s="361">
        <v>42865</v>
      </c>
      <c r="I4429" s="343" t="s">
        <v>354</v>
      </c>
      <c r="J4429" s="343" t="s">
        <v>13450</v>
      </c>
      <c r="K4429" s="343" t="s">
        <v>168</v>
      </c>
    </row>
    <row r="4430" spans="1:11" ht="26.25" customHeight="1">
      <c r="A4430" s="343" t="s">
        <v>6434</v>
      </c>
      <c r="B4430" s="344" t="s">
        <v>162</v>
      </c>
      <c r="C4430" s="344">
        <v>12379</v>
      </c>
      <c r="D4430" s="343" t="s">
        <v>6768</v>
      </c>
      <c r="E4430" s="344">
        <v>5084798</v>
      </c>
      <c r="F4430" s="343" t="s">
        <v>6772</v>
      </c>
      <c r="G4430" s="360" t="s">
        <v>13451</v>
      </c>
      <c r="H4430" s="361">
        <v>42878</v>
      </c>
      <c r="I4430" s="343" t="s">
        <v>180</v>
      </c>
      <c r="J4430" s="343" t="s">
        <v>13452</v>
      </c>
      <c r="K4430" s="343" t="s">
        <v>173</v>
      </c>
    </row>
    <row r="4431" spans="1:11" ht="26.25" customHeight="1">
      <c r="A4431" s="343" t="s">
        <v>6434</v>
      </c>
      <c r="B4431" s="344" t="s">
        <v>162</v>
      </c>
      <c r="C4431" s="344">
        <v>7197</v>
      </c>
      <c r="D4431" s="343" t="s">
        <v>6716</v>
      </c>
      <c r="E4431" s="344">
        <v>6700720</v>
      </c>
      <c r="F4431" s="343" t="s">
        <v>6725</v>
      </c>
      <c r="G4431" s="360" t="s">
        <v>9365</v>
      </c>
      <c r="H4431" s="361">
        <v>42878</v>
      </c>
      <c r="I4431" s="343" t="s">
        <v>180</v>
      </c>
      <c r="J4431" s="343" t="s">
        <v>13453</v>
      </c>
      <c r="K4431" s="343" t="s">
        <v>168</v>
      </c>
    </row>
    <row r="4432" spans="1:11" ht="26.25" customHeight="1">
      <c r="A4432" s="343" t="s">
        <v>6434</v>
      </c>
      <c r="B4432" s="344" t="s">
        <v>162</v>
      </c>
      <c r="C4432" s="344">
        <v>7687</v>
      </c>
      <c r="D4432" s="343" t="s">
        <v>6436</v>
      </c>
      <c r="E4432" s="344">
        <v>6688650</v>
      </c>
      <c r="F4432" s="343" t="s">
        <v>6438</v>
      </c>
      <c r="G4432" s="360" t="s">
        <v>13454</v>
      </c>
      <c r="H4432" s="361">
        <v>42891</v>
      </c>
      <c r="I4432" s="343" t="s">
        <v>193</v>
      </c>
      <c r="J4432" s="343" t="s">
        <v>13455</v>
      </c>
      <c r="K4432" s="343" t="s">
        <v>168</v>
      </c>
    </row>
    <row r="4433" spans="1:11" ht="26.25" customHeight="1">
      <c r="A4433" s="343" t="s">
        <v>6434</v>
      </c>
      <c r="B4433" s="344" t="s">
        <v>162</v>
      </c>
      <c r="C4433" s="344">
        <v>7687</v>
      </c>
      <c r="D4433" s="343" t="s">
        <v>6436</v>
      </c>
      <c r="E4433" s="344">
        <v>6403307</v>
      </c>
      <c r="F4433" s="343" t="s">
        <v>6437</v>
      </c>
      <c r="G4433" s="360" t="s">
        <v>13456</v>
      </c>
      <c r="H4433" s="361">
        <v>42873</v>
      </c>
      <c r="I4433" s="343" t="s">
        <v>4006</v>
      </c>
      <c r="J4433" s="343" t="s">
        <v>4006</v>
      </c>
      <c r="K4433" s="343" t="s">
        <v>173</v>
      </c>
    </row>
    <row r="4434" spans="1:11" ht="26.25" customHeight="1">
      <c r="A4434" s="343" t="s">
        <v>6434</v>
      </c>
      <c r="B4434" s="344" t="s">
        <v>162</v>
      </c>
      <c r="C4434" s="344">
        <v>11599</v>
      </c>
      <c r="D4434" s="343" t="s">
        <v>6572</v>
      </c>
      <c r="E4434" s="344">
        <v>6809570</v>
      </c>
      <c r="F4434" s="343" t="s">
        <v>6573</v>
      </c>
      <c r="G4434" s="360" t="s">
        <v>1129</v>
      </c>
      <c r="H4434" s="361">
        <v>42873</v>
      </c>
      <c r="I4434" s="343" t="s">
        <v>5116</v>
      </c>
      <c r="J4434" s="343" t="s">
        <v>13457</v>
      </c>
      <c r="K4434" s="343" t="s">
        <v>168</v>
      </c>
    </row>
    <row r="4435" spans="1:11" ht="26.25" customHeight="1">
      <c r="A4435" s="343" t="s">
        <v>6434</v>
      </c>
      <c r="B4435" s="344" t="s">
        <v>162</v>
      </c>
      <c r="C4435" s="344">
        <v>11330</v>
      </c>
      <c r="D4435" s="343" t="s">
        <v>6977</v>
      </c>
      <c r="E4435" s="344">
        <v>5790624</v>
      </c>
      <c r="F4435" s="343" t="s">
        <v>6978</v>
      </c>
      <c r="G4435" s="360" t="s">
        <v>1314</v>
      </c>
      <c r="H4435" s="361">
        <v>42871</v>
      </c>
      <c r="I4435" s="343" t="s">
        <v>366</v>
      </c>
      <c r="J4435" s="343" t="s">
        <v>13458</v>
      </c>
      <c r="K4435" s="343" t="s">
        <v>168</v>
      </c>
    </row>
    <row r="4436" spans="1:11" ht="26.25" customHeight="1">
      <c r="A4436" s="343" t="s">
        <v>6434</v>
      </c>
      <c r="B4436" s="344" t="s">
        <v>162</v>
      </c>
      <c r="C4436" s="344">
        <v>11336</v>
      </c>
      <c r="D4436" s="343" t="s">
        <v>6657</v>
      </c>
      <c r="E4436" s="344">
        <v>4921302</v>
      </c>
      <c r="F4436" s="343" t="s">
        <v>6658</v>
      </c>
      <c r="G4436" s="360" t="s">
        <v>798</v>
      </c>
      <c r="H4436" s="361">
        <v>42877</v>
      </c>
      <c r="I4436" s="343" t="s">
        <v>193</v>
      </c>
      <c r="J4436" s="343" t="s">
        <v>194</v>
      </c>
      <c r="K4436" s="343" t="s">
        <v>168</v>
      </c>
    </row>
    <row r="4437" spans="1:11" ht="26.25" customHeight="1">
      <c r="A4437" s="343" t="s">
        <v>6434</v>
      </c>
      <c r="B4437" s="344" t="s">
        <v>162</v>
      </c>
      <c r="C4437" s="344">
        <v>12035</v>
      </c>
      <c r="D4437" s="343" t="s">
        <v>6741</v>
      </c>
      <c r="E4437" s="344">
        <v>4439846</v>
      </c>
      <c r="F4437" s="343" t="s">
        <v>6745</v>
      </c>
      <c r="G4437" s="360" t="s">
        <v>13459</v>
      </c>
      <c r="H4437" s="361">
        <v>42877</v>
      </c>
      <c r="I4437" s="343" t="s">
        <v>198</v>
      </c>
      <c r="J4437" s="343" t="s">
        <v>198</v>
      </c>
      <c r="K4437" s="343" t="s">
        <v>168</v>
      </c>
    </row>
    <row r="4438" spans="1:11" ht="26.25" customHeight="1">
      <c r="A4438" s="343" t="s">
        <v>6434</v>
      </c>
      <c r="B4438" s="344" t="s">
        <v>162</v>
      </c>
      <c r="C4438" s="344">
        <v>11322</v>
      </c>
      <c r="D4438" s="343" t="s">
        <v>6935</v>
      </c>
      <c r="E4438" s="344">
        <v>5852937</v>
      </c>
      <c r="F4438" s="343" t="s">
        <v>6936</v>
      </c>
      <c r="G4438" s="360" t="s">
        <v>10032</v>
      </c>
      <c r="H4438" s="361">
        <v>42894</v>
      </c>
      <c r="I4438" s="343" t="s">
        <v>193</v>
      </c>
      <c r="J4438" s="343" t="s">
        <v>194</v>
      </c>
      <c r="K4438" s="343" t="s">
        <v>168</v>
      </c>
    </row>
    <row r="4439" spans="1:11" ht="26.25" customHeight="1">
      <c r="A4439" s="343" t="s">
        <v>6434</v>
      </c>
      <c r="B4439" s="344" t="s">
        <v>162</v>
      </c>
      <c r="C4439" s="344">
        <v>11599</v>
      </c>
      <c r="D4439" s="343" t="s">
        <v>6572</v>
      </c>
      <c r="E4439" s="344">
        <v>6088971</v>
      </c>
      <c r="F4439" s="343" t="s">
        <v>6576</v>
      </c>
      <c r="G4439" s="360" t="s">
        <v>9425</v>
      </c>
      <c r="H4439" s="361">
        <v>42879</v>
      </c>
      <c r="I4439" s="343" t="s">
        <v>198</v>
      </c>
      <c r="J4439" s="343" t="s">
        <v>198</v>
      </c>
      <c r="K4439" s="343" t="s">
        <v>168</v>
      </c>
    </row>
    <row r="4440" spans="1:11" ht="26.25" customHeight="1">
      <c r="A4440" s="343" t="s">
        <v>6434</v>
      </c>
      <c r="B4440" s="344" t="s">
        <v>162</v>
      </c>
      <c r="C4440" s="344">
        <v>6851</v>
      </c>
      <c r="D4440" s="343" t="s">
        <v>6865</v>
      </c>
      <c r="E4440" s="344">
        <v>6021367</v>
      </c>
      <c r="F4440" s="343" t="s">
        <v>6867</v>
      </c>
      <c r="G4440" s="360" t="s">
        <v>13460</v>
      </c>
      <c r="H4440" s="361">
        <v>42879</v>
      </c>
      <c r="I4440" s="343" t="s">
        <v>6868</v>
      </c>
      <c r="J4440" s="343" t="s">
        <v>13461</v>
      </c>
      <c r="K4440" s="343" t="s">
        <v>248</v>
      </c>
    </row>
    <row r="4441" spans="1:11" ht="26.25" customHeight="1">
      <c r="A4441" s="343" t="s">
        <v>6434</v>
      </c>
      <c r="B4441" s="344" t="s">
        <v>162</v>
      </c>
      <c r="C4441" s="344">
        <v>11363</v>
      </c>
      <c r="D4441" s="343" t="s">
        <v>6479</v>
      </c>
      <c r="E4441" s="344">
        <v>6556667</v>
      </c>
      <c r="F4441" s="343" t="s">
        <v>6487</v>
      </c>
      <c r="G4441" s="360" t="s">
        <v>13462</v>
      </c>
      <c r="H4441" s="361">
        <v>42880</v>
      </c>
      <c r="I4441" s="343" t="s">
        <v>271</v>
      </c>
      <c r="J4441" s="343" t="s">
        <v>13463</v>
      </c>
      <c r="K4441" s="343" t="s">
        <v>168</v>
      </c>
    </row>
    <row r="4442" spans="1:11" ht="26.25" customHeight="1">
      <c r="A4442" s="343" t="s">
        <v>6434</v>
      </c>
      <c r="B4442" s="344" t="s">
        <v>162</v>
      </c>
      <c r="C4442" s="344">
        <v>11356</v>
      </c>
      <c r="D4442" s="343" t="s">
        <v>6444</v>
      </c>
      <c r="E4442" s="344">
        <v>6757939</v>
      </c>
      <c r="F4442" s="343" t="s">
        <v>6449</v>
      </c>
      <c r="G4442" s="360" t="s">
        <v>13464</v>
      </c>
      <c r="H4442" s="361">
        <v>42891</v>
      </c>
      <c r="I4442" s="343" t="s">
        <v>284</v>
      </c>
      <c r="J4442" s="343" t="s">
        <v>13465</v>
      </c>
      <c r="K4442" s="343" t="s">
        <v>168</v>
      </c>
    </row>
    <row r="4443" spans="1:11" ht="26.25" customHeight="1">
      <c r="A4443" s="343" t="s">
        <v>6434</v>
      </c>
      <c r="B4443" s="344" t="s">
        <v>162</v>
      </c>
      <c r="C4443" s="344">
        <v>7195</v>
      </c>
      <c r="D4443" s="343" t="s">
        <v>6826</v>
      </c>
      <c r="E4443" s="344">
        <v>4453991</v>
      </c>
      <c r="F4443" s="343" t="s">
        <v>6828</v>
      </c>
      <c r="G4443" s="360" t="s">
        <v>13466</v>
      </c>
      <c r="H4443" s="361">
        <v>42905</v>
      </c>
      <c r="I4443" s="343" t="s">
        <v>580</v>
      </c>
      <c r="J4443" s="343" t="s">
        <v>13467</v>
      </c>
      <c r="K4443" s="343" t="s">
        <v>248</v>
      </c>
    </row>
    <row r="4444" spans="1:11" ht="26.25" customHeight="1">
      <c r="A4444" s="343" t="s">
        <v>6434</v>
      </c>
      <c r="B4444" s="344" t="s">
        <v>162</v>
      </c>
      <c r="C4444" s="344">
        <v>11444</v>
      </c>
      <c r="D4444" s="343" t="s">
        <v>6970</v>
      </c>
      <c r="E4444" s="344">
        <v>5916123</v>
      </c>
      <c r="F4444" s="343" t="s">
        <v>6971</v>
      </c>
      <c r="G4444" s="360" t="s">
        <v>10532</v>
      </c>
      <c r="H4444" s="361">
        <v>42894</v>
      </c>
      <c r="I4444" s="343" t="s">
        <v>349</v>
      </c>
      <c r="J4444" s="343" t="s">
        <v>9927</v>
      </c>
      <c r="K4444" s="343" t="s">
        <v>168</v>
      </c>
    </row>
    <row r="4445" spans="1:11" ht="26.25" customHeight="1">
      <c r="A4445" s="343" t="s">
        <v>6434</v>
      </c>
      <c r="B4445" s="344" t="s">
        <v>162</v>
      </c>
      <c r="C4445" s="344">
        <v>11323</v>
      </c>
      <c r="D4445" s="343" t="s">
        <v>6937</v>
      </c>
      <c r="E4445" s="344">
        <v>6033168</v>
      </c>
      <c r="F4445" s="343" t="s">
        <v>6940</v>
      </c>
      <c r="G4445" s="360" t="s">
        <v>11448</v>
      </c>
      <c r="H4445" s="361">
        <v>42893</v>
      </c>
      <c r="I4445" s="343" t="s">
        <v>166</v>
      </c>
      <c r="J4445" s="343" t="s">
        <v>327</v>
      </c>
      <c r="K4445" s="343" t="s">
        <v>168</v>
      </c>
    </row>
    <row r="4446" spans="1:11" ht="26.25" customHeight="1">
      <c r="A4446" s="343" t="s">
        <v>6434</v>
      </c>
      <c r="B4446" s="344" t="s">
        <v>162</v>
      </c>
      <c r="C4446" s="344">
        <v>9037</v>
      </c>
      <c r="D4446" s="343" t="s">
        <v>6983</v>
      </c>
      <c r="E4446" s="344">
        <v>6019490</v>
      </c>
      <c r="F4446" s="343" t="s">
        <v>6986</v>
      </c>
      <c r="G4446" s="360" t="s">
        <v>10982</v>
      </c>
      <c r="H4446" s="361">
        <v>42892</v>
      </c>
      <c r="I4446" s="343" t="s">
        <v>6987</v>
      </c>
      <c r="J4446" s="343" t="s">
        <v>13468</v>
      </c>
      <c r="K4446" s="343" t="s">
        <v>168</v>
      </c>
    </row>
    <row r="4447" spans="1:11" ht="26.25" customHeight="1">
      <c r="A4447" s="343" t="s">
        <v>6434</v>
      </c>
      <c r="B4447" s="344" t="s">
        <v>162</v>
      </c>
      <c r="C4447" s="344">
        <v>6846</v>
      </c>
      <c r="D4447" s="343" t="s">
        <v>6873</v>
      </c>
      <c r="E4447" s="344">
        <v>6207334</v>
      </c>
      <c r="F4447" s="343" t="s">
        <v>6877</v>
      </c>
      <c r="G4447" s="360" t="s">
        <v>9643</v>
      </c>
      <c r="H4447" s="361">
        <v>42892</v>
      </c>
      <c r="I4447" s="343" t="s">
        <v>193</v>
      </c>
      <c r="J4447" s="343" t="s">
        <v>194</v>
      </c>
      <c r="K4447" s="343" t="s">
        <v>168</v>
      </c>
    </row>
    <row r="4448" spans="1:11" ht="26.25" customHeight="1">
      <c r="A4448" s="343" t="s">
        <v>6434</v>
      </c>
      <c r="B4448" s="344" t="s">
        <v>162</v>
      </c>
      <c r="C4448" s="344">
        <v>9294</v>
      </c>
      <c r="D4448" s="343" t="s">
        <v>6630</v>
      </c>
      <c r="E4448" s="344">
        <v>6109388</v>
      </c>
      <c r="F4448" s="343" t="s">
        <v>6633</v>
      </c>
      <c r="G4448" s="360" t="s">
        <v>9915</v>
      </c>
      <c r="H4448" s="361">
        <v>42891</v>
      </c>
      <c r="I4448" s="343" t="s">
        <v>211</v>
      </c>
      <c r="J4448" s="343" t="s">
        <v>909</v>
      </c>
      <c r="K4448" s="343" t="s">
        <v>168</v>
      </c>
    </row>
    <row r="4449" spans="1:11" ht="26.25" customHeight="1">
      <c r="A4449" s="343" t="s">
        <v>6434</v>
      </c>
      <c r="B4449" s="344" t="s">
        <v>162</v>
      </c>
      <c r="C4449" s="344">
        <v>12037</v>
      </c>
      <c r="D4449" s="343" t="s">
        <v>6707</v>
      </c>
      <c r="E4449" s="344">
        <v>5112152</v>
      </c>
      <c r="F4449" s="343" t="s">
        <v>6713</v>
      </c>
      <c r="G4449" s="360" t="s">
        <v>13426</v>
      </c>
      <c r="H4449" s="361">
        <v>42909</v>
      </c>
      <c r="I4449" s="343" t="s">
        <v>465</v>
      </c>
      <c r="J4449" s="343" t="s">
        <v>466</v>
      </c>
      <c r="K4449" s="343" t="s">
        <v>168</v>
      </c>
    </row>
    <row r="4450" spans="1:11" ht="26.25" customHeight="1">
      <c r="A4450" s="343" t="s">
        <v>6434</v>
      </c>
      <c r="B4450" s="344" t="s">
        <v>162</v>
      </c>
      <c r="C4450" s="344">
        <v>11851</v>
      </c>
      <c r="D4450" s="343" t="s">
        <v>6566</v>
      </c>
      <c r="E4450" s="344">
        <v>6640599</v>
      </c>
      <c r="F4450" s="343" t="s">
        <v>6569</v>
      </c>
      <c r="G4450" s="360" t="s">
        <v>1081</v>
      </c>
      <c r="H4450" s="361">
        <v>42909</v>
      </c>
      <c r="I4450" s="343" t="s">
        <v>198</v>
      </c>
      <c r="J4450" s="343" t="s">
        <v>198</v>
      </c>
      <c r="K4450" s="343" t="s">
        <v>168</v>
      </c>
    </row>
    <row r="4451" spans="1:11" ht="26.25" customHeight="1">
      <c r="A4451" s="343" t="s">
        <v>6434</v>
      </c>
      <c r="B4451" s="344" t="s">
        <v>162</v>
      </c>
      <c r="C4451" s="344">
        <v>7683</v>
      </c>
      <c r="D4451" s="343" t="s">
        <v>6450</v>
      </c>
      <c r="E4451" s="344">
        <v>6455236</v>
      </c>
      <c r="F4451" s="343" t="s">
        <v>6452</v>
      </c>
      <c r="G4451" s="360" t="s">
        <v>13469</v>
      </c>
      <c r="H4451" s="361">
        <v>42894</v>
      </c>
      <c r="I4451" s="343" t="s">
        <v>5096</v>
      </c>
      <c r="J4451" s="343" t="s">
        <v>12578</v>
      </c>
      <c r="K4451" s="343" t="s">
        <v>168</v>
      </c>
    </row>
    <row r="4452" spans="1:11" ht="26.25" customHeight="1">
      <c r="A4452" s="343" t="s">
        <v>6434</v>
      </c>
      <c r="B4452" s="344" t="s">
        <v>162</v>
      </c>
      <c r="C4452" s="344">
        <v>11358</v>
      </c>
      <c r="D4452" s="343" t="s">
        <v>6459</v>
      </c>
      <c r="E4452" s="344">
        <v>6537910</v>
      </c>
      <c r="F4452" s="343" t="s">
        <v>6460</v>
      </c>
      <c r="G4452" s="360" t="s">
        <v>384</v>
      </c>
      <c r="H4452" s="361">
        <v>42891</v>
      </c>
      <c r="I4452" s="343" t="s">
        <v>193</v>
      </c>
      <c r="J4452" s="343" t="s">
        <v>1089</v>
      </c>
      <c r="K4452" s="343" t="s">
        <v>168</v>
      </c>
    </row>
    <row r="4453" spans="1:11" ht="26.25" customHeight="1">
      <c r="A4453" s="343" t="s">
        <v>6434</v>
      </c>
      <c r="B4453" s="344" t="s">
        <v>162</v>
      </c>
      <c r="C4453" s="344">
        <v>11363</v>
      </c>
      <c r="D4453" s="343" t="s">
        <v>6479</v>
      </c>
      <c r="E4453" s="344">
        <v>6351689</v>
      </c>
      <c r="F4453" s="343" t="s">
        <v>6481</v>
      </c>
      <c r="G4453" s="360" t="s">
        <v>9414</v>
      </c>
      <c r="H4453" s="361">
        <v>42892</v>
      </c>
      <c r="I4453" s="343" t="s">
        <v>490</v>
      </c>
      <c r="J4453" s="343" t="s">
        <v>667</v>
      </c>
      <c r="K4453" s="343" t="s">
        <v>168</v>
      </c>
    </row>
    <row r="4454" spans="1:11" ht="26.25" customHeight="1">
      <c r="A4454" s="343" t="s">
        <v>6434</v>
      </c>
      <c r="B4454" s="344" t="s">
        <v>162</v>
      </c>
      <c r="C4454" s="344">
        <v>6840</v>
      </c>
      <c r="D4454" s="343" t="s">
        <v>6943</v>
      </c>
      <c r="E4454" s="344">
        <v>6522421</v>
      </c>
      <c r="F4454" s="343" t="s">
        <v>6946</v>
      </c>
      <c r="G4454" s="360" t="s">
        <v>1104</v>
      </c>
      <c r="H4454" s="361">
        <v>42892</v>
      </c>
      <c r="I4454" s="343" t="s">
        <v>301</v>
      </c>
      <c r="J4454" s="343" t="s">
        <v>1113</v>
      </c>
      <c r="K4454" s="343" t="s">
        <v>168</v>
      </c>
    </row>
    <row r="4455" spans="1:11" ht="26.25" customHeight="1">
      <c r="A4455" s="343" t="s">
        <v>6434</v>
      </c>
      <c r="B4455" s="344" t="s">
        <v>162</v>
      </c>
      <c r="C4455" s="344">
        <v>11321</v>
      </c>
      <c r="D4455" s="343" t="s">
        <v>6929</v>
      </c>
      <c r="E4455" s="344">
        <v>5715345</v>
      </c>
      <c r="F4455" s="343" t="s">
        <v>6930</v>
      </c>
      <c r="G4455" s="360" t="s">
        <v>1310</v>
      </c>
      <c r="H4455" s="361">
        <v>42914</v>
      </c>
      <c r="I4455" s="343" t="s">
        <v>301</v>
      </c>
      <c r="J4455" s="343" t="s">
        <v>1113</v>
      </c>
      <c r="K4455" s="343" t="s">
        <v>168</v>
      </c>
    </row>
    <row r="4456" spans="1:11" ht="26.25" customHeight="1">
      <c r="A4456" s="343" t="s">
        <v>6434</v>
      </c>
      <c r="B4456" s="344" t="s">
        <v>162</v>
      </c>
      <c r="C4456" s="344">
        <v>11348</v>
      </c>
      <c r="D4456" s="343" t="s">
        <v>6802</v>
      </c>
      <c r="E4456" s="344">
        <v>4931597</v>
      </c>
      <c r="F4456" s="343" t="s">
        <v>6807</v>
      </c>
      <c r="G4456" s="360" t="s">
        <v>10302</v>
      </c>
      <c r="H4456" s="361">
        <v>42914</v>
      </c>
      <c r="I4456" s="343" t="s">
        <v>806</v>
      </c>
      <c r="J4456" s="343" t="s">
        <v>807</v>
      </c>
      <c r="K4456" s="343" t="s">
        <v>168</v>
      </c>
    </row>
    <row r="4457" spans="1:11" ht="26.25" customHeight="1">
      <c r="A4457" s="343" t="s">
        <v>6434</v>
      </c>
      <c r="B4457" s="344" t="s">
        <v>162</v>
      </c>
      <c r="C4457" s="344">
        <v>9037</v>
      </c>
      <c r="D4457" s="343" t="s">
        <v>6983</v>
      </c>
      <c r="E4457" s="344">
        <v>6270139</v>
      </c>
      <c r="F4457" s="343" t="s">
        <v>6985</v>
      </c>
      <c r="G4457" s="360" t="s">
        <v>10032</v>
      </c>
      <c r="H4457" s="361">
        <v>42914</v>
      </c>
      <c r="I4457" s="343" t="s">
        <v>984</v>
      </c>
      <c r="J4457" s="343" t="s">
        <v>13470</v>
      </c>
      <c r="K4457" s="343" t="s">
        <v>168</v>
      </c>
    </row>
    <row r="4458" spans="1:11" ht="26.25" customHeight="1">
      <c r="A4458" s="343" t="s">
        <v>6434</v>
      </c>
      <c r="B4458" s="344" t="s">
        <v>162</v>
      </c>
      <c r="C4458" s="344">
        <v>7197</v>
      </c>
      <c r="D4458" s="343" t="s">
        <v>6716</v>
      </c>
      <c r="E4458" s="344">
        <v>5177497</v>
      </c>
      <c r="F4458" s="343" t="s">
        <v>6722</v>
      </c>
      <c r="G4458" s="360" t="s">
        <v>13471</v>
      </c>
      <c r="H4458" s="361">
        <v>42915</v>
      </c>
      <c r="I4458" s="343" t="s">
        <v>6268</v>
      </c>
      <c r="J4458" s="343" t="s">
        <v>13472</v>
      </c>
      <c r="K4458" s="343" t="s">
        <v>168</v>
      </c>
    </row>
    <row r="4459" spans="1:11" ht="26.25" customHeight="1">
      <c r="A4459" s="343" t="s">
        <v>6434</v>
      </c>
      <c r="B4459" s="344" t="s">
        <v>162</v>
      </c>
      <c r="C4459" s="344">
        <v>11320</v>
      </c>
      <c r="D4459" s="343" t="s">
        <v>6921</v>
      </c>
      <c r="E4459" s="344">
        <v>5637598</v>
      </c>
      <c r="F4459" s="343" t="s">
        <v>6923</v>
      </c>
      <c r="G4459" s="360" t="s">
        <v>12602</v>
      </c>
      <c r="H4459" s="361">
        <v>42919</v>
      </c>
      <c r="I4459" s="343" t="s">
        <v>5619</v>
      </c>
      <c r="J4459" s="343" t="s">
        <v>13473</v>
      </c>
      <c r="K4459" s="343" t="s">
        <v>173</v>
      </c>
    </row>
    <row r="4460" spans="1:11" ht="26.25" customHeight="1">
      <c r="A4460" s="343" t="s">
        <v>6434</v>
      </c>
      <c r="B4460" s="344" t="s">
        <v>162</v>
      </c>
      <c r="C4460" s="344">
        <v>11363</v>
      </c>
      <c r="D4460" s="343" t="s">
        <v>6479</v>
      </c>
      <c r="E4460" s="344">
        <v>6334754</v>
      </c>
      <c r="F4460" s="343" t="s">
        <v>6488</v>
      </c>
      <c r="G4460" s="360" t="s">
        <v>11532</v>
      </c>
      <c r="H4460" s="361">
        <v>42919</v>
      </c>
      <c r="I4460" s="343" t="s">
        <v>6489</v>
      </c>
      <c r="J4460" s="343" t="s">
        <v>11707</v>
      </c>
      <c r="K4460" s="343" t="s">
        <v>173</v>
      </c>
    </row>
    <row r="4461" spans="1:11" ht="26.25" customHeight="1">
      <c r="A4461" s="343" t="s">
        <v>6434</v>
      </c>
      <c r="B4461" s="344" t="s">
        <v>162</v>
      </c>
      <c r="C4461" s="344">
        <v>11452</v>
      </c>
      <c r="D4461" s="343" t="s">
        <v>6465</v>
      </c>
      <c r="E4461" s="344">
        <v>6355134</v>
      </c>
      <c r="F4461" s="343" t="s">
        <v>6466</v>
      </c>
      <c r="G4461" s="360" t="s">
        <v>9689</v>
      </c>
      <c r="H4461" s="361">
        <v>42919</v>
      </c>
      <c r="I4461" s="343" t="s">
        <v>166</v>
      </c>
      <c r="J4461" s="343" t="s">
        <v>327</v>
      </c>
      <c r="K4461" s="343" t="s">
        <v>168</v>
      </c>
    </row>
    <row r="4462" spans="1:11" ht="26.25" customHeight="1">
      <c r="A4462" s="343" t="s">
        <v>6434</v>
      </c>
      <c r="B4462" s="344" t="s">
        <v>162</v>
      </c>
      <c r="C4462" s="344">
        <v>12911</v>
      </c>
      <c r="D4462" s="343" t="s">
        <v>6639</v>
      </c>
      <c r="E4462" s="344">
        <v>4736903</v>
      </c>
      <c r="F4462" s="343" t="s">
        <v>6653</v>
      </c>
      <c r="G4462" s="360" t="s">
        <v>13474</v>
      </c>
      <c r="H4462" s="361">
        <v>42920</v>
      </c>
      <c r="I4462" s="343" t="s">
        <v>709</v>
      </c>
      <c r="J4462" s="343" t="s">
        <v>9629</v>
      </c>
      <c r="K4462" s="343" t="s">
        <v>168</v>
      </c>
    </row>
    <row r="4463" spans="1:11" ht="26.25" customHeight="1">
      <c r="A4463" s="343" t="s">
        <v>6434</v>
      </c>
      <c r="B4463" s="344" t="s">
        <v>162</v>
      </c>
      <c r="C4463" s="344">
        <v>7689</v>
      </c>
      <c r="D4463" s="343" t="s">
        <v>6439</v>
      </c>
      <c r="E4463" s="344">
        <v>6657962</v>
      </c>
      <c r="F4463" s="343" t="s">
        <v>6441</v>
      </c>
      <c r="G4463" s="360" t="s">
        <v>10026</v>
      </c>
      <c r="H4463" s="361">
        <v>42923</v>
      </c>
      <c r="I4463" s="343" t="s">
        <v>193</v>
      </c>
      <c r="J4463" s="343" t="s">
        <v>1089</v>
      </c>
      <c r="K4463" s="343" t="s">
        <v>168</v>
      </c>
    </row>
    <row r="4464" spans="1:11" ht="26.25" customHeight="1">
      <c r="A4464" s="343" t="s">
        <v>6434</v>
      </c>
      <c r="B4464" s="344" t="s">
        <v>162</v>
      </c>
      <c r="C4464" s="344">
        <v>6845</v>
      </c>
      <c r="D4464" s="343" t="s">
        <v>6955</v>
      </c>
      <c r="E4464" s="344">
        <v>6757993</v>
      </c>
      <c r="F4464" s="343" t="s">
        <v>6957</v>
      </c>
      <c r="G4464" s="360" t="s">
        <v>9385</v>
      </c>
      <c r="H4464" s="361">
        <v>42923</v>
      </c>
      <c r="I4464" s="343" t="s">
        <v>284</v>
      </c>
      <c r="J4464" s="343" t="s">
        <v>13475</v>
      </c>
      <c r="K4464" s="343" t="s">
        <v>168</v>
      </c>
    </row>
    <row r="4465" spans="1:11" ht="26.25" customHeight="1">
      <c r="A4465" s="343" t="s">
        <v>6434</v>
      </c>
      <c r="B4465" s="344" t="s">
        <v>162</v>
      </c>
      <c r="C4465" s="344">
        <v>11331</v>
      </c>
      <c r="D4465" s="343" t="s">
        <v>6592</v>
      </c>
      <c r="E4465" s="344">
        <v>5179225</v>
      </c>
      <c r="F4465" s="343" t="s">
        <v>6593</v>
      </c>
      <c r="G4465" s="360" t="s">
        <v>13476</v>
      </c>
      <c r="H4465" s="361">
        <v>42923</v>
      </c>
      <c r="I4465" s="343" t="s">
        <v>709</v>
      </c>
      <c r="J4465" s="343" t="s">
        <v>10492</v>
      </c>
      <c r="K4465" s="343" t="s">
        <v>168</v>
      </c>
    </row>
    <row r="4466" spans="1:11" ht="26.25" customHeight="1">
      <c r="A4466" s="343" t="s">
        <v>6434</v>
      </c>
      <c r="B4466" s="344" t="s">
        <v>162</v>
      </c>
      <c r="C4466" s="344">
        <v>7688</v>
      </c>
      <c r="D4466" s="343" t="s">
        <v>6495</v>
      </c>
      <c r="E4466" s="344">
        <v>6367914</v>
      </c>
      <c r="F4466" s="343" t="s">
        <v>6496</v>
      </c>
      <c r="G4466" s="360" t="s">
        <v>13477</v>
      </c>
      <c r="H4466" s="361">
        <v>42923</v>
      </c>
      <c r="I4466" s="343" t="s">
        <v>366</v>
      </c>
      <c r="J4466" s="343" t="s">
        <v>366</v>
      </c>
      <c r="K4466" s="343" t="s">
        <v>168</v>
      </c>
    </row>
    <row r="4467" spans="1:11" ht="26.25" customHeight="1">
      <c r="A4467" s="343" t="s">
        <v>6434</v>
      </c>
      <c r="B4467" s="344" t="s">
        <v>162</v>
      </c>
      <c r="C4467" s="344">
        <v>7688</v>
      </c>
      <c r="D4467" s="343" t="s">
        <v>6495</v>
      </c>
      <c r="E4467" s="344">
        <v>6316228</v>
      </c>
      <c r="F4467" s="343" t="s">
        <v>6497</v>
      </c>
      <c r="G4467" s="360" t="s">
        <v>13300</v>
      </c>
      <c r="H4467" s="361">
        <v>42926</v>
      </c>
      <c r="I4467" s="343" t="s">
        <v>366</v>
      </c>
      <c r="J4467" s="343" t="s">
        <v>366</v>
      </c>
      <c r="K4467" s="343" t="s">
        <v>168</v>
      </c>
    </row>
    <row r="4468" spans="1:11" ht="26.25" customHeight="1">
      <c r="A4468" s="343" t="s">
        <v>6434</v>
      </c>
      <c r="B4468" s="344" t="s">
        <v>162</v>
      </c>
      <c r="C4468" s="344">
        <v>6845</v>
      </c>
      <c r="D4468" s="343" t="s">
        <v>6955</v>
      </c>
      <c r="E4468" s="344">
        <v>5844933</v>
      </c>
      <c r="F4468" s="343" t="s">
        <v>6956</v>
      </c>
      <c r="G4468" s="360" t="s">
        <v>1171</v>
      </c>
      <c r="H4468" s="361">
        <v>42936</v>
      </c>
      <c r="I4468" s="343" t="s">
        <v>180</v>
      </c>
      <c r="J4468" s="343" t="s">
        <v>13478</v>
      </c>
      <c r="K4468" s="343" t="s">
        <v>173</v>
      </c>
    </row>
    <row r="4469" spans="1:11" ht="26.25" customHeight="1">
      <c r="A4469" s="343" t="s">
        <v>6434</v>
      </c>
      <c r="B4469" s="344" t="s">
        <v>162</v>
      </c>
      <c r="C4469" s="344">
        <v>6841</v>
      </c>
      <c r="D4469" s="343" t="s">
        <v>6848</v>
      </c>
      <c r="E4469" s="344">
        <v>5737316</v>
      </c>
      <c r="F4469" s="343" t="s">
        <v>6855</v>
      </c>
      <c r="G4469" s="360" t="s">
        <v>13479</v>
      </c>
      <c r="H4469" s="361">
        <v>42542</v>
      </c>
      <c r="I4469" s="343" t="s">
        <v>193</v>
      </c>
      <c r="J4469" s="343" t="s">
        <v>13480</v>
      </c>
      <c r="K4469" s="343" t="s">
        <v>168</v>
      </c>
    </row>
    <row r="4470" spans="1:11" ht="26.25" customHeight="1">
      <c r="A4470" s="343" t="s">
        <v>6434</v>
      </c>
      <c r="B4470" s="344" t="s">
        <v>162</v>
      </c>
      <c r="C4470" s="344">
        <v>11327</v>
      </c>
      <c r="D4470" s="343" t="s">
        <v>6960</v>
      </c>
      <c r="E4470" s="344">
        <v>5786661</v>
      </c>
      <c r="F4470" s="343" t="s">
        <v>6961</v>
      </c>
      <c r="G4470" s="360" t="s">
        <v>9964</v>
      </c>
      <c r="H4470" s="361">
        <v>42950</v>
      </c>
      <c r="I4470" s="343" t="s">
        <v>366</v>
      </c>
      <c r="J4470" s="343" t="s">
        <v>366</v>
      </c>
      <c r="K4470" s="343" t="s">
        <v>168</v>
      </c>
    </row>
    <row r="4471" spans="1:11" ht="26.25" customHeight="1">
      <c r="A4471" s="343" t="s">
        <v>6434</v>
      </c>
      <c r="B4471" s="344" t="s">
        <v>162</v>
      </c>
      <c r="C4471" s="344">
        <v>9711</v>
      </c>
      <c r="D4471" s="343" t="s">
        <v>6759</v>
      </c>
      <c r="E4471" s="344">
        <v>5642489</v>
      </c>
      <c r="F4471" s="343" t="s">
        <v>6761</v>
      </c>
      <c r="G4471" s="360" t="s">
        <v>11568</v>
      </c>
      <c r="H4471" s="361">
        <v>42950</v>
      </c>
      <c r="I4471" s="343" t="s">
        <v>366</v>
      </c>
      <c r="J4471" s="343" t="s">
        <v>366</v>
      </c>
      <c r="K4471" s="343" t="s">
        <v>168</v>
      </c>
    </row>
    <row r="4472" spans="1:11" ht="26.25" customHeight="1">
      <c r="A4472" s="343" t="s">
        <v>6434</v>
      </c>
      <c r="B4472" s="344" t="s">
        <v>162</v>
      </c>
      <c r="C4472" s="344">
        <v>11318</v>
      </c>
      <c r="D4472" s="343" t="s">
        <v>6899</v>
      </c>
      <c r="E4472" s="344">
        <v>5697502</v>
      </c>
      <c r="F4472" s="343" t="s">
        <v>6906</v>
      </c>
      <c r="G4472" s="360" t="s">
        <v>11092</v>
      </c>
      <c r="H4472" s="361">
        <v>42950</v>
      </c>
      <c r="I4472" s="343" t="s">
        <v>366</v>
      </c>
      <c r="J4472" s="343" t="s">
        <v>366</v>
      </c>
      <c r="K4472" s="343" t="s">
        <v>168</v>
      </c>
    </row>
    <row r="4473" spans="1:11" ht="26.25" customHeight="1">
      <c r="A4473" s="343" t="s">
        <v>6434</v>
      </c>
      <c r="B4473" s="344" t="s">
        <v>162</v>
      </c>
      <c r="C4473" s="344">
        <v>7679</v>
      </c>
      <c r="D4473" s="343" t="s">
        <v>6502</v>
      </c>
      <c r="E4473" s="344">
        <v>6342473</v>
      </c>
      <c r="F4473" s="343" t="s">
        <v>6503</v>
      </c>
      <c r="G4473" s="360" t="s">
        <v>13412</v>
      </c>
      <c r="H4473" s="361">
        <v>42950</v>
      </c>
      <c r="I4473" s="343" t="s">
        <v>366</v>
      </c>
      <c r="J4473" s="343" t="s">
        <v>366</v>
      </c>
      <c r="K4473" s="343" t="s">
        <v>168</v>
      </c>
    </row>
    <row r="4474" spans="1:11" ht="26.25" customHeight="1">
      <c r="A4474" s="343" t="s">
        <v>6434</v>
      </c>
      <c r="B4474" s="344" t="s">
        <v>162</v>
      </c>
      <c r="C4474" s="344">
        <v>11348</v>
      </c>
      <c r="D4474" s="343" t="s">
        <v>6802</v>
      </c>
      <c r="E4474" s="344">
        <v>5570356</v>
      </c>
      <c r="F4474" s="343" t="s">
        <v>6805</v>
      </c>
      <c r="G4474" s="360" t="s">
        <v>12499</v>
      </c>
      <c r="H4474" s="361">
        <v>42951</v>
      </c>
      <c r="I4474" s="343" t="s">
        <v>6806</v>
      </c>
      <c r="J4474" s="343" t="s">
        <v>13481</v>
      </c>
      <c r="K4474" s="343" t="s">
        <v>168</v>
      </c>
    </row>
    <row r="4475" spans="1:11" ht="26.25" customHeight="1">
      <c r="A4475" s="343" t="s">
        <v>6434</v>
      </c>
      <c r="B4475" s="344" t="s">
        <v>162</v>
      </c>
      <c r="C4475" s="344">
        <v>13354</v>
      </c>
      <c r="D4475" s="343" t="s">
        <v>6587</v>
      </c>
      <c r="E4475" s="344">
        <v>6078435</v>
      </c>
      <c r="F4475" s="343" t="s">
        <v>6591</v>
      </c>
      <c r="G4475" s="360" t="s">
        <v>13482</v>
      </c>
      <c r="H4475" s="361">
        <v>42954</v>
      </c>
      <c r="I4475" s="343" t="s">
        <v>193</v>
      </c>
      <c r="J4475" s="343" t="s">
        <v>13483</v>
      </c>
      <c r="K4475" s="343" t="s">
        <v>168</v>
      </c>
    </row>
    <row r="4476" spans="1:11" ht="26.25" customHeight="1">
      <c r="A4476" s="343" t="s">
        <v>6434</v>
      </c>
      <c r="B4476" s="344" t="s">
        <v>162</v>
      </c>
      <c r="C4476" s="344">
        <v>11852</v>
      </c>
      <c r="D4476" s="343" t="s">
        <v>6542</v>
      </c>
      <c r="E4476" s="344">
        <v>5618875</v>
      </c>
      <c r="F4476" s="343" t="s">
        <v>6547</v>
      </c>
      <c r="G4476" s="360" t="s">
        <v>13484</v>
      </c>
      <c r="H4476" s="361">
        <v>42954</v>
      </c>
      <c r="I4476" s="343" t="s">
        <v>366</v>
      </c>
      <c r="J4476" s="343" t="s">
        <v>366</v>
      </c>
      <c r="K4476" s="343" t="s">
        <v>168</v>
      </c>
    </row>
    <row r="4477" spans="1:11" ht="26.25" customHeight="1">
      <c r="A4477" s="343" t="s">
        <v>6434</v>
      </c>
      <c r="B4477" s="344" t="s">
        <v>162</v>
      </c>
      <c r="C4477" s="344">
        <v>11852</v>
      </c>
      <c r="D4477" s="343" t="s">
        <v>6542</v>
      </c>
      <c r="E4477" s="344">
        <v>5492880</v>
      </c>
      <c r="F4477" s="343" t="s">
        <v>6549</v>
      </c>
      <c r="G4477" s="360" t="s">
        <v>13485</v>
      </c>
      <c r="H4477" s="361">
        <v>42954</v>
      </c>
      <c r="I4477" s="343" t="s">
        <v>198</v>
      </c>
      <c r="J4477" s="343" t="s">
        <v>198</v>
      </c>
      <c r="K4477" s="343" t="s">
        <v>168</v>
      </c>
    </row>
    <row r="4478" spans="1:11" ht="26.25" customHeight="1">
      <c r="A4478" s="343" t="s">
        <v>6434</v>
      </c>
      <c r="B4478" s="344" t="s">
        <v>162</v>
      </c>
      <c r="C4478" s="344">
        <v>11363</v>
      </c>
      <c r="D4478" s="343" t="s">
        <v>6479</v>
      </c>
      <c r="E4478" s="344">
        <v>6367361</v>
      </c>
      <c r="F4478" s="343" t="s">
        <v>6490</v>
      </c>
      <c r="G4478" s="360" t="s">
        <v>11540</v>
      </c>
      <c r="H4478" s="361">
        <v>42954</v>
      </c>
      <c r="I4478" s="343" t="s">
        <v>366</v>
      </c>
      <c r="J4478" s="343" t="s">
        <v>366</v>
      </c>
      <c r="K4478" s="343" t="s">
        <v>168</v>
      </c>
    </row>
    <row r="4479" spans="1:11" ht="26.25" customHeight="1">
      <c r="A4479" s="343" t="s">
        <v>6434</v>
      </c>
      <c r="B4479" s="344" t="s">
        <v>162</v>
      </c>
      <c r="C4479" s="344">
        <v>11461</v>
      </c>
      <c r="D4479" s="343" t="s">
        <v>6616</v>
      </c>
      <c r="E4479" s="344">
        <v>4439387</v>
      </c>
      <c r="F4479" s="343" t="s">
        <v>6619</v>
      </c>
      <c r="G4479" s="360" t="s">
        <v>13486</v>
      </c>
      <c r="H4479" s="361">
        <v>42956</v>
      </c>
      <c r="I4479" s="343" t="s">
        <v>193</v>
      </c>
      <c r="J4479" s="343" t="s">
        <v>637</v>
      </c>
      <c r="K4479" s="343" t="s">
        <v>168</v>
      </c>
    </row>
    <row r="4480" spans="1:11" ht="26.25" customHeight="1">
      <c r="A4480" s="343" t="s">
        <v>6434</v>
      </c>
      <c r="B4480" s="344" t="s">
        <v>162</v>
      </c>
      <c r="C4480" s="344">
        <v>7681</v>
      </c>
      <c r="D4480" s="343" t="s">
        <v>6500</v>
      </c>
      <c r="E4480" s="344">
        <v>6668058</v>
      </c>
      <c r="F4480" s="343" t="s">
        <v>6501</v>
      </c>
      <c r="G4480" s="360" t="s">
        <v>11572</v>
      </c>
      <c r="H4480" s="361">
        <v>42956</v>
      </c>
      <c r="I4480" s="343" t="s">
        <v>301</v>
      </c>
      <c r="J4480" s="343" t="s">
        <v>1113</v>
      </c>
      <c r="K4480" s="343" t="s">
        <v>168</v>
      </c>
    </row>
    <row r="4481" spans="1:11" ht="26.25" customHeight="1">
      <c r="A4481" s="343" t="s">
        <v>6434</v>
      </c>
      <c r="B4481" s="344" t="s">
        <v>162</v>
      </c>
      <c r="C4481" s="344">
        <v>11356</v>
      </c>
      <c r="D4481" s="343" t="s">
        <v>6444</v>
      </c>
      <c r="E4481" s="344">
        <v>6475549</v>
      </c>
      <c r="F4481" s="343" t="s">
        <v>6446</v>
      </c>
      <c r="G4481" s="360" t="s">
        <v>13487</v>
      </c>
      <c r="H4481" s="361">
        <v>42961</v>
      </c>
      <c r="I4481" s="343" t="s">
        <v>193</v>
      </c>
      <c r="J4481" s="343" t="s">
        <v>603</v>
      </c>
      <c r="K4481" s="343" t="s">
        <v>168</v>
      </c>
    </row>
    <row r="4482" spans="1:11" ht="26.25" customHeight="1">
      <c r="A4482" s="343" t="s">
        <v>6434</v>
      </c>
      <c r="B4482" s="344" t="s">
        <v>162</v>
      </c>
      <c r="C4482" s="344">
        <v>11336</v>
      </c>
      <c r="D4482" s="343" t="s">
        <v>6657</v>
      </c>
      <c r="E4482" s="344">
        <v>5597481</v>
      </c>
      <c r="F4482" s="343" t="s">
        <v>6659</v>
      </c>
      <c r="G4482" s="360" t="s">
        <v>11252</v>
      </c>
      <c r="H4482" s="361">
        <v>42961</v>
      </c>
      <c r="I4482" s="343" t="s">
        <v>3583</v>
      </c>
      <c r="J4482" s="343" t="s">
        <v>9390</v>
      </c>
      <c r="K4482" s="343" t="s">
        <v>173</v>
      </c>
    </row>
    <row r="4483" spans="1:11" ht="26.25" customHeight="1">
      <c r="A4483" s="343" t="s">
        <v>6434</v>
      </c>
      <c r="B4483" s="344" t="s">
        <v>162</v>
      </c>
      <c r="C4483" s="344">
        <v>11336</v>
      </c>
      <c r="D4483" s="343" t="s">
        <v>6657</v>
      </c>
      <c r="E4483" s="344">
        <v>5185511</v>
      </c>
      <c r="F4483" s="343" t="s">
        <v>6662</v>
      </c>
      <c r="G4483" s="360" t="s">
        <v>13488</v>
      </c>
      <c r="H4483" s="361">
        <v>41729</v>
      </c>
      <c r="I4483" s="343" t="s">
        <v>465</v>
      </c>
      <c r="J4483" s="343" t="s">
        <v>13489</v>
      </c>
      <c r="K4483" s="343" t="s">
        <v>168</v>
      </c>
    </row>
    <row r="4484" spans="1:11" ht="26.25" customHeight="1">
      <c r="A4484" s="343" t="s">
        <v>6434</v>
      </c>
      <c r="B4484" s="344" t="s">
        <v>162</v>
      </c>
      <c r="C4484" s="344">
        <v>11457</v>
      </c>
      <c r="D4484" s="343" t="s">
        <v>6523</v>
      </c>
      <c r="E4484" s="344">
        <v>6296385</v>
      </c>
      <c r="F4484" s="343" t="s">
        <v>6532</v>
      </c>
      <c r="G4484" s="360" t="s">
        <v>13490</v>
      </c>
      <c r="H4484" s="361">
        <v>42957</v>
      </c>
      <c r="I4484" s="343" t="s">
        <v>423</v>
      </c>
      <c r="J4484" s="343" t="s">
        <v>13491</v>
      </c>
      <c r="K4484" s="343" t="s">
        <v>168</v>
      </c>
    </row>
    <row r="4485" spans="1:11" ht="26.25" customHeight="1">
      <c r="A4485" s="343" t="s">
        <v>6434</v>
      </c>
      <c r="B4485" s="344" t="s">
        <v>162</v>
      </c>
      <c r="C4485" s="344">
        <v>11444</v>
      </c>
      <c r="D4485" s="343" t="s">
        <v>6970</v>
      </c>
      <c r="E4485" s="344">
        <v>5633434</v>
      </c>
      <c r="F4485" s="343" t="s">
        <v>7188</v>
      </c>
      <c r="G4485" s="360" t="s">
        <v>619</v>
      </c>
      <c r="H4485" s="361">
        <v>42972</v>
      </c>
      <c r="I4485" s="343" t="s">
        <v>193</v>
      </c>
      <c r="J4485" s="343" t="s">
        <v>509</v>
      </c>
      <c r="K4485" s="343" t="s">
        <v>168</v>
      </c>
    </row>
    <row r="4486" spans="1:11" ht="26.25" customHeight="1">
      <c r="A4486" s="343" t="s">
        <v>6434</v>
      </c>
      <c r="B4486" s="344" t="s">
        <v>162</v>
      </c>
      <c r="C4486" s="344">
        <v>11444</v>
      </c>
      <c r="D4486" s="343" t="s">
        <v>6970</v>
      </c>
      <c r="E4486" s="344">
        <v>6227277</v>
      </c>
      <c r="F4486" s="343" t="s">
        <v>7189</v>
      </c>
      <c r="G4486" s="360" t="s">
        <v>10918</v>
      </c>
      <c r="H4486" s="361">
        <v>42972</v>
      </c>
      <c r="I4486" s="343" t="s">
        <v>193</v>
      </c>
      <c r="J4486" s="343" t="s">
        <v>13492</v>
      </c>
      <c r="K4486" s="343" t="s">
        <v>168</v>
      </c>
    </row>
    <row r="4487" spans="1:11" ht="26.25" customHeight="1">
      <c r="A4487" s="343" t="s">
        <v>6434</v>
      </c>
      <c r="B4487" s="344" t="s">
        <v>162</v>
      </c>
      <c r="C4487" s="344">
        <v>11322</v>
      </c>
      <c r="D4487" s="343" t="s">
        <v>6935</v>
      </c>
      <c r="E4487" s="344">
        <v>5905841</v>
      </c>
      <c r="F4487" s="343" t="s">
        <v>7181</v>
      </c>
      <c r="G4487" s="360" t="s">
        <v>499</v>
      </c>
      <c r="H4487" s="361">
        <v>42972</v>
      </c>
      <c r="I4487" s="343" t="s">
        <v>7251</v>
      </c>
      <c r="J4487" s="343" t="s">
        <v>13493</v>
      </c>
      <c r="K4487" s="343" t="s">
        <v>168</v>
      </c>
    </row>
    <row r="4488" spans="1:11" ht="26.25" customHeight="1">
      <c r="A4488" s="343" t="s">
        <v>6434</v>
      </c>
      <c r="B4488" s="344" t="s">
        <v>162</v>
      </c>
      <c r="C4488" s="344">
        <v>11320</v>
      </c>
      <c r="D4488" s="343" t="s">
        <v>6921</v>
      </c>
      <c r="E4488" s="344">
        <v>5818696</v>
      </c>
      <c r="F4488" s="343" t="s">
        <v>7180</v>
      </c>
      <c r="G4488" s="360" t="s">
        <v>13494</v>
      </c>
      <c r="H4488" s="361">
        <v>42975</v>
      </c>
      <c r="I4488" s="343" t="s">
        <v>1215</v>
      </c>
      <c r="J4488" s="343" t="s">
        <v>13495</v>
      </c>
      <c r="K4488" s="343" t="s">
        <v>168</v>
      </c>
    </row>
    <row r="4489" spans="1:11" ht="26.25" customHeight="1">
      <c r="A4489" s="343" t="s">
        <v>6434</v>
      </c>
      <c r="B4489" s="344" t="s">
        <v>162</v>
      </c>
      <c r="C4489" s="344">
        <v>11441</v>
      </c>
      <c r="D4489" s="343" t="s">
        <v>6896</v>
      </c>
      <c r="E4489" s="344">
        <v>5782867</v>
      </c>
      <c r="F4489" s="343" t="s">
        <v>7185</v>
      </c>
      <c r="G4489" s="360" t="s">
        <v>10173</v>
      </c>
      <c r="H4489" s="361">
        <v>42957</v>
      </c>
      <c r="I4489" s="343" t="s">
        <v>1082</v>
      </c>
      <c r="J4489" s="343" t="s">
        <v>1082</v>
      </c>
      <c r="K4489" s="343" t="s">
        <v>168</v>
      </c>
    </row>
    <row r="4490" spans="1:11" ht="26.25" customHeight="1">
      <c r="A4490" s="343" t="s">
        <v>6434</v>
      </c>
      <c r="B4490" s="344" t="s">
        <v>162</v>
      </c>
      <c r="C4490" s="344">
        <v>6841</v>
      </c>
      <c r="D4490" s="343" t="s">
        <v>6848</v>
      </c>
      <c r="E4490" s="344">
        <v>5608157</v>
      </c>
      <c r="F4490" s="343" t="s">
        <v>7174</v>
      </c>
      <c r="G4490" s="360" t="s">
        <v>13301</v>
      </c>
      <c r="H4490" s="361">
        <v>42976</v>
      </c>
      <c r="I4490" s="343" t="s">
        <v>7392</v>
      </c>
      <c r="J4490" s="343" t="s">
        <v>13496</v>
      </c>
      <c r="K4490" s="343" t="s">
        <v>168</v>
      </c>
    </row>
    <row r="4491" spans="1:11" ht="26.25" customHeight="1">
      <c r="A4491" s="343" t="s">
        <v>6434</v>
      </c>
      <c r="B4491" s="344" t="s">
        <v>162</v>
      </c>
      <c r="C4491" s="344">
        <v>11317</v>
      </c>
      <c r="D4491" s="343" t="s">
        <v>6886</v>
      </c>
      <c r="E4491" s="344">
        <v>5902808</v>
      </c>
      <c r="F4491" s="343" t="s">
        <v>7179</v>
      </c>
      <c r="G4491" s="360" t="s">
        <v>11171</v>
      </c>
      <c r="H4491" s="361">
        <v>42977</v>
      </c>
      <c r="I4491" s="343" t="s">
        <v>198</v>
      </c>
      <c r="J4491" s="343" t="s">
        <v>198</v>
      </c>
      <c r="K4491" s="343" t="s">
        <v>168</v>
      </c>
    </row>
    <row r="4492" spans="1:11" ht="26.25" customHeight="1">
      <c r="A4492" s="343" t="s">
        <v>6434</v>
      </c>
      <c r="B4492" s="344" t="s">
        <v>162</v>
      </c>
      <c r="C4492" s="344">
        <v>11355</v>
      </c>
      <c r="D4492" s="343" t="s">
        <v>6442</v>
      </c>
      <c r="E4492" s="344">
        <v>6376950</v>
      </c>
      <c r="F4492" s="343" t="s">
        <v>7184</v>
      </c>
      <c r="G4492" s="360" t="s">
        <v>13497</v>
      </c>
      <c r="H4492" s="361">
        <v>42977</v>
      </c>
      <c r="I4492" s="343" t="s">
        <v>7252</v>
      </c>
      <c r="J4492" s="343" t="s">
        <v>13498</v>
      </c>
      <c r="K4492" s="343" t="s">
        <v>168</v>
      </c>
    </row>
    <row r="4493" spans="1:11" ht="26.25" customHeight="1">
      <c r="A4493" s="343" t="s">
        <v>6434</v>
      </c>
      <c r="B4493" s="344" t="s">
        <v>162</v>
      </c>
      <c r="C4493" s="344">
        <v>11451</v>
      </c>
      <c r="D4493" s="343" t="s">
        <v>6461</v>
      </c>
      <c r="E4493" s="344">
        <v>6749296</v>
      </c>
      <c r="F4493" s="343" t="s">
        <v>7191</v>
      </c>
      <c r="G4493" s="360" t="s">
        <v>13499</v>
      </c>
      <c r="H4493" s="361">
        <v>42979</v>
      </c>
      <c r="I4493" s="343" t="s">
        <v>271</v>
      </c>
      <c r="J4493" s="343" t="s">
        <v>333</v>
      </c>
      <c r="K4493" s="343" t="s">
        <v>168</v>
      </c>
    </row>
    <row r="4494" spans="1:11" ht="26.25" customHeight="1">
      <c r="A4494" s="343" t="s">
        <v>6434</v>
      </c>
      <c r="B4494" s="344" t="s">
        <v>162</v>
      </c>
      <c r="C4494" s="344">
        <v>11443</v>
      </c>
      <c r="D4494" s="343" t="s">
        <v>6927</v>
      </c>
      <c r="E4494" s="344">
        <v>5785221</v>
      </c>
      <c r="F4494" s="343" t="s">
        <v>7187</v>
      </c>
      <c r="G4494" s="360" t="s">
        <v>1292</v>
      </c>
      <c r="H4494" s="361">
        <v>42989</v>
      </c>
      <c r="I4494" s="343" t="s">
        <v>3583</v>
      </c>
      <c r="J4494" s="343" t="s">
        <v>9390</v>
      </c>
      <c r="K4494" s="343" t="s">
        <v>173</v>
      </c>
    </row>
    <row r="4495" spans="1:11" ht="26.25" customHeight="1">
      <c r="A4495" s="343" t="s">
        <v>6434</v>
      </c>
      <c r="B4495" s="344" t="s">
        <v>162</v>
      </c>
      <c r="C4495" s="344">
        <v>11441</v>
      </c>
      <c r="D4495" s="343" t="s">
        <v>6896</v>
      </c>
      <c r="E4495" s="344">
        <v>6588035</v>
      </c>
      <c r="F4495" s="343" t="s">
        <v>7186</v>
      </c>
      <c r="G4495" s="360" t="s">
        <v>13500</v>
      </c>
      <c r="H4495" s="361">
        <v>42989</v>
      </c>
      <c r="I4495" s="343" t="s">
        <v>166</v>
      </c>
      <c r="J4495" s="343" t="s">
        <v>296</v>
      </c>
      <c r="K4495" s="343" t="s">
        <v>168</v>
      </c>
    </row>
    <row r="4496" spans="1:11" ht="26.25" customHeight="1">
      <c r="A4496" s="343" t="s">
        <v>6434</v>
      </c>
      <c r="B4496" s="344" t="s">
        <v>162</v>
      </c>
      <c r="C4496" s="344">
        <v>11599</v>
      </c>
      <c r="D4496" s="343" t="s">
        <v>6572</v>
      </c>
      <c r="E4496" s="344">
        <v>5961499</v>
      </c>
      <c r="F4496" s="343" t="s">
        <v>7193</v>
      </c>
      <c r="G4496" s="360" t="s">
        <v>10229</v>
      </c>
      <c r="H4496" s="361">
        <v>42989</v>
      </c>
      <c r="I4496" s="343" t="s">
        <v>166</v>
      </c>
      <c r="J4496" s="343" t="s">
        <v>296</v>
      </c>
      <c r="K4496" s="343" t="s">
        <v>168</v>
      </c>
    </row>
    <row r="4497" spans="1:11" ht="26.25" customHeight="1">
      <c r="A4497" s="343" t="s">
        <v>6434</v>
      </c>
      <c r="B4497" s="344" t="s">
        <v>162</v>
      </c>
      <c r="C4497" s="344">
        <v>11600</v>
      </c>
      <c r="D4497" s="343" t="s">
        <v>6560</v>
      </c>
      <c r="E4497" s="344">
        <v>5188350</v>
      </c>
      <c r="F4497" s="343" t="s">
        <v>6563</v>
      </c>
      <c r="G4497" s="360" t="s">
        <v>13344</v>
      </c>
      <c r="H4497" s="361">
        <v>42989</v>
      </c>
      <c r="I4497" s="343" t="s">
        <v>709</v>
      </c>
      <c r="J4497" s="343" t="s">
        <v>9388</v>
      </c>
      <c r="K4497" s="343" t="s">
        <v>168</v>
      </c>
    </row>
    <row r="4498" spans="1:11" ht="26.25" customHeight="1">
      <c r="A4498" s="343" t="s">
        <v>6434</v>
      </c>
      <c r="B4498" s="344" t="s">
        <v>162</v>
      </c>
      <c r="C4498" s="344">
        <v>11315</v>
      </c>
      <c r="D4498" s="343" t="s">
        <v>6879</v>
      </c>
      <c r="E4498" s="344">
        <v>6083107</v>
      </c>
      <c r="F4498" s="343" t="s">
        <v>7178</v>
      </c>
      <c r="G4498" s="360" t="s">
        <v>9495</v>
      </c>
      <c r="H4498" s="361">
        <v>42990</v>
      </c>
      <c r="I4498" s="343" t="s">
        <v>193</v>
      </c>
      <c r="J4498" s="343" t="s">
        <v>12067</v>
      </c>
      <c r="K4498" s="343" t="s">
        <v>168</v>
      </c>
    </row>
    <row r="4499" spans="1:11" ht="26.25" customHeight="1">
      <c r="A4499" s="343" t="s">
        <v>6434</v>
      </c>
      <c r="B4499" s="344" t="s">
        <v>162</v>
      </c>
      <c r="C4499" s="344">
        <v>9840</v>
      </c>
      <c r="D4499" s="343" t="s">
        <v>6507</v>
      </c>
      <c r="E4499" s="344">
        <v>6602577</v>
      </c>
      <c r="F4499" s="343" t="s">
        <v>7177</v>
      </c>
      <c r="G4499" s="360" t="s">
        <v>13501</v>
      </c>
      <c r="H4499" s="361">
        <v>42998</v>
      </c>
      <c r="I4499" s="343" t="s">
        <v>166</v>
      </c>
      <c r="J4499" s="343" t="s">
        <v>327</v>
      </c>
      <c r="K4499" s="343" t="s">
        <v>168</v>
      </c>
    </row>
    <row r="4500" spans="1:11" ht="26.25" customHeight="1">
      <c r="A4500" s="343" t="s">
        <v>6434</v>
      </c>
      <c r="B4500" s="344" t="s">
        <v>162</v>
      </c>
      <c r="C4500" s="344">
        <v>7194</v>
      </c>
      <c r="D4500" s="343" t="s">
        <v>6667</v>
      </c>
      <c r="E4500" s="344">
        <v>4069689</v>
      </c>
      <c r="F4500" s="343" t="s">
        <v>6670</v>
      </c>
      <c r="G4500" s="360" t="s">
        <v>13502</v>
      </c>
      <c r="H4500" s="361">
        <v>43003</v>
      </c>
      <c r="I4500" s="343" t="s">
        <v>6671</v>
      </c>
      <c r="J4500" s="343" t="s">
        <v>13503</v>
      </c>
      <c r="K4500" s="343" t="s">
        <v>168</v>
      </c>
    </row>
    <row r="4501" spans="1:11" ht="26.25" customHeight="1">
      <c r="A4501" s="343" t="s">
        <v>6434</v>
      </c>
      <c r="B4501" s="344" t="s">
        <v>162</v>
      </c>
      <c r="C4501" s="344">
        <v>7193</v>
      </c>
      <c r="D4501" s="343" t="s">
        <v>6607</v>
      </c>
      <c r="E4501" s="344">
        <v>4883829</v>
      </c>
      <c r="F4501" s="343" t="s">
        <v>7176</v>
      </c>
      <c r="G4501" s="360" t="s">
        <v>13504</v>
      </c>
      <c r="H4501" s="361">
        <v>43003</v>
      </c>
      <c r="I4501" s="343" t="s">
        <v>193</v>
      </c>
      <c r="J4501" s="343" t="s">
        <v>194</v>
      </c>
      <c r="K4501" s="343" t="s">
        <v>168</v>
      </c>
    </row>
    <row r="4502" spans="1:11" ht="26.25" customHeight="1">
      <c r="A4502" s="343" t="s">
        <v>6434</v>
      </c>
      <c r="B4502" s="344" t="s">
        <v>162</v>
      </c>
      <c r="C4502" s="344">
        <v>11332</v>
      </c>
      <c r="D4502" s="343" t="s">
        <v>6609</v>
      </c>
      <c r="E4502" s="344">
        <v>5644989</v>
      </c>
      <c r="F4502" s="343" t="s">
        <v>7182</v>
      </c>
      <c r="G4502" s="360" t="s">
        <v>13505</v>
      </c>
      <c r="H4502" s="361">
        <v>43005</v>
      </c>
      <c r="I4502" s="343" t="s">
        <v>709</v>
      </c>
      <c r="J4502" s="343" t="s">
        <v>13506</v>
      </c>
      <c r="K4502" s="343" t="s">
        <v>168</v>
      </c>
    </row>
    <row r="4503" spans="1:11" ht="26.25" customHeight="1">
      <c r="A4503" s="343" t="s">
        <v>6434</v>
      </c>
      <c r="B4503" s="344" t="s">
        <v>162</v>
      </c>
      <c r="C4503" s="344">
        <v>11458</v>
      </c>
      <c r="D4503" s="343" t="s">
        <v>6533</v>
      </c>
      <c r="E4503" s="344">
        <v>6572644</v>
      </c>
      <c r="F4503" s="343" t="s">
        <v>7192</v>
      </c>
      <c r="G4503" s="360" t="s">
        <v>13507</v>
      </c>
      <c r="H4503" s="361">
        <v>43011</v>
      </c>
      <c r="I4503" s="343" t="s">
        <v>193</v>
      </c>
      <c r="J4503" s="343" t="s">
        <v>637</v>
      </c>
      <c r="K4503" s="343" t="s">
        <v>168</v>
      </c>
    </row>
    <row r="4504" spans="1:11" ht="26.25" customHeight="1">
      <c r="A4504" s="343" t="s">
        <v>6434</v>
      </c>
      <c r="B4504" s="344" t="s">
        <v>162</v>
      </c>
      <c r="C4504" s="344">
        <v>11450</v>
      </c>
      <c r="D4504" s="343" t="s">
        <v>6457</v>
      </c>
      <c r="E4504" s="344">
        <v>6788874</v>
      </c>
      <c r="F4504" s="343" t="s">
        <v>7190</v>
      </c>
      <c r="G4504" s="360" t="s">
        <v>11767</v>
      </c>
      <c r="H4504" s="361">
        <v>43011</v>
      </c>
      <c r="I4504" s="343" t="s">
        <v>193</v>
      </c>
      <c r="J4504" s="343" t="s">
        <v>201</v>
      </c>
      <c r="K4504" s="343" t="s">
        <v>168</v>
      </c>
    </row>
    <row r="4505" spans="1:11" ht="26.25" customHeight="1">
      <c r="A4505" s="343" t="s">
        <v>6434</v>
      </c>
      <c r="B4505" s="344" t="s">
        <v>162</v>
      </c>
      <c r="C4505" s="344">
        <v>11457</v>
      </c>
      <c r="D4505" s="343" t="s">
        <v>6523</v>
      </c>
      <c r="E4505" s="344">
        <v>6337443</v>
      </c>
      <c r="F4505" s="343" t="s">
        <v>6528</v>
      </c>
      <c r="G4505" s="360" t="s">
        <v>11323</v>
      </c>
      <c r="H4505" s="361">
        <v>43012</v>
      </c>
      <c r="I4505" s="343" t="s">
        <v>271</v>
      </c>
      <c r="J4505" s="343" t="s">
        <v>13508</v>
      </c>
      <c r="K4505" s="343" t="s">
        <v>168</v>
      </c>
    </row>
    <row r="4506" spans="1:11" ht="26.25" customHeight="1">
      <c r="A4506" s="343" t="s">
        <v>6434</v>
      </c>
      <c r="B4506" s="344" t="s">
        <v>162</v>
      </c>
      <c r="C4506" s="344">
        <v>11313</v>
      </c>
      <c r="D4506" s="343" t="s">
        <v>6860</v>
      </c>
      <c r="E4506" s="344">
        <v>5737745</v>
      </c>
      <c r="F4506" s="343" t="s">
        <v>7396</v>
      </c>
      <c r="G4506" s="360" t="s">
        <v>9995</v>
      </c>
      <c r="H4506" s="361">
        <v>43017</v>
      </c>
      <c r="I4506" s="343" t="s">
        <v>193</v>
      </c>
      <c r="J4506" s="343" t="s">
        <v>13509</v>
      </c>
      <c r="K4506" s="343" t="s">
        <v>168</v>
      </c>
    </row>
    <row r="4507" spans="1:11" ht="26.25" customHeight="1">
      <c r="A4507" s="343" t="s">
        <v>6434</v>
      </c>
      <c r="B4507" s="344" t="s">
        <v>162</v>
      </c>
      <c r="C4507" s="344">
        <v>11314</v>
      </c>
      <c r="D4507" s="343" t="s">
        <v>6863</v>
      </c>
      <c r="E4507" s="344">
        <v>6234286</v>
      </c>
      <c r="F4507" s="343" t="s">
        <v>7397</v>
      </c>
      <c r="G4507" s="360" t="s">
        <v>13436</v>
      </c>
      <c r="H4507" s="361">
        <v>43017</v>
      </c>
      <c r="I4507" s="343" t="s">
        <v>366</v>
      </c>
      <c r="J4507" s="343" t="s">
        <v>366</v>
      </c>
      <c r="K4507" s="343" t="s">
        <v>168</v>
      </c>
    </row>
    <row r="4508" spans="1:11" ht="26.25" customHeight="1">
      <c r="A4508" s="343" t="s">
        <v>6434</v>
      </c>
      <c r="B4508" s="344" t="s">
        <v>162</v>
      </c>
      <c r="C4508" s="344">
        <v>7687</v>
      </c>
      <c r="D4508" s="343" t="s">
        <v>6436</v>
      </c>
      <c r="E4508" s="344">
        <v>6317028</v>
      </c>
      <c r="F4508" s="343" t="s">
        <v>7395</v>
      </c>
      <c r="G4508" s="360" t="s">
        <v>9942</v>
      </c>
      <c r="H4508" s="361">
        <v>43019</v>
      </c>
      <c r="I4508" s="343" t="s">
        <v>802</v>
      </c>
      <c r="J4508" s="343" t="s">
        <v>1172</v>
      </c>
      <c r="K4508" s="343" t="s">
        <v>168</v>
      </c>
    </row>
    <row r="4509" spans="1:11" ht="26.25" customHeight="1">
      <c r="A4509" s="343" t="s">
        <v>6434</v>
      </c>
      <c r="B4509" s="344" t="s">
        <v>162</v>
      </c>
      <c r="C4509" s="344">
        <v>11317</v>
      </c>
      <c r="D4509" s="343" t="s">
        <v>6886</v>
      </c>
      <c r="E4509" s="344">
        <v>6667717</v>
      </c>
      <c r="F4509" s="343" t="s">
        <v>7398</v>
      </c>
      <c r="G4509" s="360" t="s">
        <v>12219</v>
      </c>
      <c r="H4509" s="361">
        <v>43048</v>
      </c>
      <c r="I4509" s="343" t="s">
        <v>7399</v>
      </c>
      <c r="J4509" s="343" t="s">
        <v>13510</v>
      </c>
      <c r="K4509" s="343" t="s">
        <v>168</v>
      </c>
    </row>
    <row r="4510" spans="1:11" ht="26.25" customHeight="1">
      <c r="A4510" s="343" t="s">
        <v>6434</v>
      </c>
      <c r="B4510" s="344" t="s">
        <v>162</v>
      </c>
      <c r="C4510" s="344">
        <v>6846</v>
      </c>
      <c r="D4510" s="343" t="s">
        <v>6873</v>
      </c>
      <c r="E4510" s="344">
        <v>6231401</v>
      </c>
      <c r="F4510" s="343" t="s">
        <v>7393</v>
      </c>
      <c r="G4510" s="360" t="s">
        <v>1332</v>
      </c>
      <c r="H4510" s="361">
        <v>43048</v>
      </c>
      <c r="I4510" s="343" t="s">
        <v>7394</v>
      </c>
      <c r="J4510" s="343" t="s">
        <v>13511</v>
      </c>
      <c r="K4510" s="343" t="s">
        <v>168</v>
      </c>
    </row>
    <row r="4511" spans="1:11" ht="26.25" customHeight="1">
      <c r="A4511" s="343" t="s">
        <v>6434</v>
      </c>
      <c r="B4511" s="344" t="s">
        <v>162</v>
      </c>
      <c r="C4511" s="344">
        <v>9843</v>
      </c>
      <c r="D4511" s="343" t="s">
        <v>6580</v>
      </c>
      <c r="E4511" s="344">
        <v>6207183</v>
      </c>
      <c r="F4511" s="343" t="s">
        <v>6582</v>
      </c>
      <c r="G4511" s="360" t="s">
        <v>12164</v>
      </c>
      <c r="H4511" s="361">
        <v>43055</v>
      </c>
      <c r="I4511" s="343" t="s">
        <v>166</v>
      </c>
      <c r="J4511" s="343" t="s">
        <v>13142</v>
      </c>
      <c r="K4511" s="343" t="s">
        <v>168</v>
      </c>
    </row>
    <row r="4512" spans="1:11" ht="26.25" customHeight="1">
      <c r="A4512" s="343" t="s">
        <v>6434</v>
      </c>
      <c r="B4512" s="344" t="s">
        <v>162</v>
      </c>
      <c r="C4512" s="344">
        <v>11458</v>
      </c>
      <c r="D4512" s="343" t="s">
        <v>6533</v>
      </c>
      <c r="E4512" s="344">
        <v>6271128</v>
      </c>
      <c r="F4512" s="343" t="s">
        <v>7400</v>
      </c>
      <c r="G4512" s="360" t="s">
        <v>13512</v>
      </c>
      <c r="H4512" s="361">
        <v>43055</v>
      </c>
      <c r="I4512" s="343" t="s">
        <v>166</v>
      </c>
      <c r="J4512" s="343" t="s">
        <v>1172</v>
      </c>
      <c r="K4512" s="343" t="s">
        <v>168</v>
      </c>
    </row>
    <row r="4513" spans="1:11" ht="26.25" customHeight="1">
      <c r="A4513" s="343" t="s">
        <v>6434</v>
      </c>
      <c r="B4513" s="344" t="s">
        <v>162</v>
      </c>
      <c r="C4513" s="344">
        <v>11451</v>
      </c>
      <c r="D4513" s="343" t="s">
        <v>6461</v>
      </c>
      <c r="E4513" s="344">
        <v>6717728</v>
      </c>
      <c r="F4513" s="343" t="s">
        <v>7449</v>
      </c>
      <c r="G4513" s="360" t="s">
        <v>13513</v>
      </c>
      <c r="H4513" s="361">
        <v>43061</v>
      </c>
      <c r="I4513" s="343" t="s">
        <v>423</v>
      </c>
      <c r="J4513" s="343" t="s">
        <v>10528</v>
      </c>
      <c r="K4513" s="343" t="s">
        <v>168</v>
      </c>
    </row>
    <row r="4514" spans="1:11" ht="26.25" customHeight="1">
      <c r="A4514" s="343" t="s">
        <v>6434</v>
      </c>
      <c r="B4514" s="344" t="s">
        <v>162</v>
      </c>
      <c r="C4514" s="344">
        <v>11852</v>
      </c>
      <c r="D4514" s="343" t="s">
        <v>6542</v>
      </c>
      <c r="E4514" s="344">
        <v>4197221</v>
      </c>
      <c r="F4514" s="343" t="s">
        <v>7450</v>
      </c>
      <c r="G4514" s="360" t="s">
        <v>903</v>
      </c>
      <c r="H4514" s="361">
        <v>43073</v>
      </c>
      <c r="I4514" s="343" t="s">
        <v>187</v>
      </c>
      <c r="J4514" s="343" t="s">
        <v>13514</v>
      </c>
      <c r="K4514" s="343" t="s">
        <v>173</v>
      </c>
    </row>
    <row r="4515" spans="1:11" ht="26.25" customHeight="1">
      <c r="A4515" s="343" t="s">
        <v>6434</v>
      </c>
      <c r="B4515" s="344" t="s">
        <v>162</v>
      </c>
      <c r="C4515" s="344">
        <v>11344</v>
      </c>
      <c r="D4515" s="343" t="s">
        <v>6746</v>
      </c>
      <c r="E4515" s="344">
        <v>6359282</v>
      </c>
      <c r="F4515" s="343" t="s">
        <v>7447</v>
      </c>
      <c r="G4515" s="360" t="s">
        <v>13515</v>
      </c>
      <c r="H4515" s="361">
        <v>43074</v>
      </c>
      <c r="I4515" s="343" t="s">
        <v>4147</v>
      </c>
      <c r="J4515" s="343" t="s">
        <v>12985</v>
      </c>
      <c r="K4515" s="343" t="s">
        <v>173</v>
      </c>
    </row>
    <row r="4516" spans="1:11" ht="26.25" customHeight="1">
      <c r="A4516" s="343" t="s">
        <v>6434</v>
      </c>
      <c r="B4516" s="344" t="s">
        <v>162</v>
      </c>
      <c r="C4516" s="344">
        <v>7188</v>
      </c>
      <c r="D4516" s="343" t="s">
        <v>6764</v>
      </c>
      <c r="E4516" s="344">
        <v>4883979</v>
      </c>
      <c r="F4516" s="343" t="s">
        <v>7440</v>
      </c>
      <c r="G4516" s="360" t="s">
        <v>13516</v>
      </c>
      <c r="H4516" s="361">
        <v>43074</v>
      </c>
      <c r="I4516" s="343" t="s">
        <v>366</v>
      </c>
      <c r="J4516" s="343" t="s">
        <v>366</v>
      </c>
      <c r="K4516" s="343" t="s">
        <v>168</v>
      </c>
    </row>
    <row r="4517" spans="1:11" ht="26.25" customHeight="1">
      <c r="A4517" s="343" t="s">
        <v>6434</v>
      </c>
      <c r="B4517" s="344" t="s">
        <v>162</v>
      </c>
      <c r="C4517" s="344">
        <v>11339</v>
      </c>
      <c r="D4517" s="343" t="s">
        <v>6689</v>
      </c>
      <c r="E4517" s="344">
        <v>5123152</v>
      </c>
      <c r="F4517" s="343" t="s">
        <v>7446</v>
      </c>
      <c r="G4517" s="360" t="s">
        <v>10930</v>
      </c>
      <c r="H4517" s="361">
        <v>43076</v>
      </c>
      <c r="I4517" s="343" t="s">
        <v>284</v>
      </c>
      <c r="J4517" s="343" t="s">
        <v>13517</v>
      </c>
      <c r="K4517" s="343" t="s">
        <v>168</v>
      </c>
    </row>
    <row r="4518" spans="1:11" ht="26.25" customHeight="1">
      <c r="A4518" s="343" t="s">
        <v>6434</v>
      </c>
      <c r="B4518" s="344" t="s">
        <v>162</v>
      </c>
      <c r="C4518" s="344">
        <v>9711</v>
      </c>
      <c r="D4518" s="343" t="s">
        <v>6759</v>
      </c>
      <c r="E4518" s="344">
        <v>5886186</v>
      </c>
      <c r="F4518" s="343" t="s">
        <v>7442</v>
      </c>
      <c r="G4518" s="360" t="s">
        <v>12976</v>
      </c>
      <c r="H4518" s="361">
        <v>43076</v>
      </c>
      <c r="I4518" s="343" t="s">
        <v>366</v>
      </c>
      <c r="J4518" s="343" t="s">
        <v>366</v>
      </c>
      <c r="K4518" s="343" t="s">
        <v>168</v>
      </c>
    </row>
    <row r="4519" spans="1:11" ht="26.25" customHeight="1">
      <c r="A4519" s="343" t="s">
        <v>6434</v>
      </c>
      <c r="B4519" s="344" t="s">
        <v>162</v>
      </c>
      <c r="C4519" s="344">
        <v>11338</v>
      </c>
      <c r="D4519" s="343" t="s">
        <v>6677</v>
      </c>
      <c r="E4519" s="344">
        <v>4460180</v>
      </c>
      <c r="F4519" s="343" t="s">
        <v>7444</v>
      </c>
      <c r="G4519" s="360" t="s">
        <v>11848</v>
      </c>
      <c r="H4519" s="361">
        <v>43077</v>
      </c>
      <c r="I4519" s="343" t="s">
        <v>7445</v>
      </c>
      <c r="J4519" s="343" t="s">
        <v>13518</v>
      </c>
      <c r="K4519" s="343" t="s">
        <v>173</v>
      </c>
    </row>
    <row r="4520" spans="1:11" ht="26.25" customHeight="1">
      <c r="A4520" s="343" t="s">
        <v>6434</v>
      </c>
      <c r="B4520" s="344" t="s">
        <v>162</v>
      </c>
      <c r="C4520" s="344">
        <v>6841</v>
      </c>
      <c r="D4520" s="343" t="s">
        <v>6848</v>
      </c>
      <c r="E4520" s="344">
        <v>6348941</v>
      </c>
      <c r="F4520" s="343" t="s">
        <v>7513</v>
      </c>
      <c r="G4520" s="360" t="s">
        <v>10915</v>
      </c>
      <c r="H4520" s="361">
        <v>43083</v>
      </c>
      <c r="I4520" s="343" t="s">
        <v>8976</v>
      </c>
      <c r="J4520" s="343" t="s">
        <v>13519</v>
      </c>
      <c r="K4520" s="343" t="s">
        <v>168</v>
      </c>
    </row>
    <row r="4521" spans="1:11" ht="26.25" customHeight="1">
      <c r="A4521" s="343" t="s">
        <v>6434</v>
      </c>
      <c r="B4521" s="344" t="s">
        <v>162</v>
      </c>
      <c r="C4521" s="344">
        <v>11451</v>
      </c>
      <c r="D4521" s="343" t="s">
        <v>6461</v>
      </c>
      <c r="E4521" s="344">
        <v>6640254</v>
      </c>
      <c r="F4521" s="343" t="s">
        <v>7515</v>
      </c>
      <c r="G4521" s="360" t="s">
        <v>230</v>
      </c>
      <c r="H4521" s="361">
        <v>43122</v>
      </c>
      <c r="I4521" s="343" t="s">
        <v>4017</v>
      </c>
      <c r="J4521" s="343" t="s">
        <v>11708</v>
      </c>
      <c r="K4521" s="343" t="s">
        <v>168</v>
      </c>
    </row>
    <row r="4522" spans="1:11" ht="26.25" customHeight="1">
      <c r="A4522" s="343" t="s">
        <v>6434</v>
      </c>
      <c r="B4522" s="344" t="s">
        <v>162</v>
      </c>
      <c r="C4522" s="344">
        <v>11327</v>
      </c>
      <c r="D4522" s="343" t="s">
        <v>6960</v>
      </c>
      <c r="E4522" s="344">
        <v>6228693</v>
      </c>
      <c r="F4522" s="343" t="s">
        <v>7617</v>
      </c>
      <c r="G4522" s="360" t="s">
        <v>206</v>
      </c>
      <c r="H4522" s="361">
        <v>43124</v>
      </c>
      <c r="I4522" s="343" t="s">
        <v>275</v>
      </c>
      <c r="J4522" s="343" t="s">
        <v>9392</v>
      </c>
      <c r="K4522" s="343" t="s">
        <v>173</v>
      </c>
    </row>
    <row r="4523" spans="1:11" ht="26.25" customHeight="1">
      <c r="A4523" s="343" t="s">
        <v>6434</v>
      </c>
      <c r="B4523" s="344" t="s">
        <v>162</v>
      </c>
      <c r="C4523" s="344">
        <v>6860</v>
      </c>
      <c r="D4523" s="343" t="s">
        <v>6883</v>
      </c>
      <c r="E4523" s="344">
        <v>6112314</v>
      </c>
      <c r="F4523" s="343" t="s">
        <v>7618</v>
      </c>
      <c r="G4523" s="360" t="s">
        <v>493</v>
      </c>
      <c r="H4523" s="361">
        <v>43132</v>
      </c>
      <c r="I4523" s="343" t="s">
        <v>7619</v>
      </c>
      <c r="J4523" s="343" t="s">
        <v>13520</v>
      </c>
      <c r="K4523" s="343" t="s">
        <v>168</v>
      </c>
    </row>
    <row r="4524" spans="1:11" ht="26.25" customHeight="1">
      <c r="A4524" s="343" t="s">
        <v>6434</v>
      </c>
      <c r="B4524" s="344" t="s">
        <v>162</v>
      </c>
      <c r="C4524" s="344">
        <v>11322</v>
      </c>
      <c r="D4524" s="343" t="s">
        <v>6935</v>
      </c>
      <c r="E4524" s="344">
        <v>6309639</v>
      </c>
      <c r="F4524" s="343" t="s">
        <v>6464</v>
      </c>
      <c r="G4524" s="360" t="s">
        <v>10053</v>
      </c>
      <c r="H4524" s="361">
        <v>43132</v>
      </c>
      <c r="I4524" s="343" t="s">
        <v>193</v>
      </c>
      <c r="J4524" s="343" t="s">
        <v>637</v>
      </c>
      <c r="K4524" s="343" t="s">
        <v>168</v>
      </c>
    </row>
    <row r="4525" spans="1:11" ht="26.25" customHeight="1">
      <c r="A4525" s="343" t="s">
        <v>6434</v>
      </c>
      <c r="B4525" s="344" t="s">
        <v>162</v>
      </c>
      <c r="C4525" s="344">
        <v>6846</v>
      </c>
      <c r="D4525" s="343" t="s">
        <v>6873</v>
      </c>
      <c r="E4525" s="344">
        <v>6708940</v>
      </c>
      <c r="F4525" s="343" t="s">
        <v>7620</v>
      </c>
      <c r="G4525" s="360" t="s">
        <v>9743</v>
      </c>
      <c r="H4525" s="361">
        <v>43132</v>
      </c>
      <c r="I4525" s="343" t="s">
        <v>349</v>
      </c>
      <c r="J4525" s="343" t="s">
        <v>1248</v>
      </c>
      <c r="K4525" s="343" t="s">
        <v>168</v>
      </c>
    </row>
    <row r="4526" spans="1:11" ht="26.25" customHeight="1">
      <c r="A4526" s="343" t="s">
        <v>6434</v>
      </c>
      <c r="B4526" s="344" t="s">
        <v>162</v>
      </c>
      <c r="C4526" s="344">
        <v>11599</v>
      </c>
      <c r="D4526" s="343" t="s">
        <v>6572</v>
      </c>
      <c r="E4526" s="344">
        <v>6393056</v>
      </c>
      <c r="F4526" s="343" t="s">
        <v>7621</v>
      </c>
      <c r="G4526" s="360" t="s">
        <v>13014</v>
      </c>
      <c r="H4526" s="361">
        <v>43132</v>
      </c>
      <c r="I4526" s="343" t="s">
        <v>7622</v>
      </c>
      <c r="J4526" s="343" t="s">
        <v>13521</v>
      </c>
      <c r="K4526" s="343" t="s">
        <v>168</v>
      </c>
    </row>
    <row r="4527" spans="1:11" ht="26.25" customHeight="1">
      <c r="A4527" s="343" t="s">
        <v>6434</v>
      </c>
      <c r="B4527" s="344" t="s">
        <v>162</v>
      </c>
      <c r="C4527" s="344">
        <v>11444</v>
      </c>
      <c r="D4527" s="343" t="s">
        <v>6970</v>
      </c>
      <c r="E4527" s="344">
        <v>6415161</v>
      </c>
      <c r="F4527" s="343" t="s">
        <v>7623</v>
      </c>
      <c r="G4527" s="360" t="s">
        <v>12128</v>
      </c>
      <c r="H4527" s="361">
        <v>43132</v>
      </c>
      <c r="I4527" s="343" t="s">
        <v>180</v>
      </c>
      <c r="J4527" s="343" t="s">
        <v>13522</v>
      </c>
      <c r="K4527" s="343" t="s">
        <v>168</v>
      </c>
    </row>
    <row r="4528" spans="1:11" ht="26.25" customHeight="1">
      <c r="A4528" s="343" t="s">
        <v>6434</v>
      </c>
      <c r="B4528" s="344" t="s">
        <v>162</v>
      </c>
      <c r="C4528" s="344">
        <v>11440</v>
      </c>
      <c r="D4528" s="343" t="s">
        <v>6583</v>
      </c>
      <c r="E4528" s="344">
        <v>6242144</v>
      </c>
      <c r="F4528" s="343" t="s">
        <v>6527</v>
      </c>
      <c r="G4528" s="360" t="s">
        <v>10087</v>
      </c>
      <c r="H4528" s="361">
        <v>43133</v>
      </c>
      <c r="I4528" s="343" t="s">
        <v>802</v>
      </c>
      <c r="J4528" s="343" t="s">
        <v>1172</v>
      </c>
      <c r="K4528" s="343" t="s">
        <v>168</v>
      </c>
    </row>
    <row r="4529" spans="1:11" ht="26.25" customHeight="1">
      <c r="A4529" s="343" t="s">
        <v>6434</v>
      </c>
      <c r="B4529" s="344" t="s">
        <v>162</v>
      </c>
      <c r="C4529" s="344">
        <v>9667</v>
      </c>
      <c r="D4529" s="343" t="s">
        <v>6475</v>
      </c>
      <c r="E4529" s="344">
        <v>6875606</v>
      </c>
      <c r="F4529" s="343" t="s">
        <v>7624</v>
      </c>
      <c r="G4529" s="360" t="s">
        <v>13523</v>
      </c>
      <c r="H4529" s="361">
        <v>43136</v>
      </c>
      <c r="I4529" s="343" t="s">
        <v>284</v>
      </c>
      <c r="J4529" s="343" t="s">
        <v>10521</v>
      </c>
      <c r="K4529" s="343" t="s">
        <v>168</v>
      </c>
    </row>
    <row r="4530" spans="1:11" ht="26.25" customHeight="1">
      <c r="A4530" s="343" t="s">
        <v>6434</v>
      </c>
      <c r="B4530" s="344" t="s">
        <v>162</v>
      </c>
      <c r="C4530" s="344">
        <v>11360</v>
      </c>
      <c r="D4530" s="343" t="s">
        <v>6471</v>
      </c>
      <c r="E4530" s="344">
        <v>6870011</v>
      </c>
      <c r="F4530" s="343" t="s">
        <v>7625</v>
      </c>
      <c r="G4530" s="360" t="s">
        <v>13524</v>
      </c>
      <c r="H4530" s="361">
        <v>43139</v>
      </c>
      <c r="I4530" s="343" t="s">
        <v>284</v>
      </c>
      <c r="J4530" s="343" t="s">
        <v>284</v>
      </c>
      <c r="K4530" s="343" t="s">
        <v>168</v>
      </c>
    </row>
    <row r="4531" spans="1:11" ht="26.25" customHeight="1">
      <c r="A4531" s="343" t="s">
        <v>6434</v>
      </c>
      <c r="B4531" s="344" t="s">
        <v>162</v>
      </c>
      <c r="C4531" s="344">
        <v>11360</v>
      </c>
      <c r="D4531" s="343" t="s">
        <v>6471</v>
      </c>
      <c r="E4531" s="344">
        <v>6793127</v>
      </c>
      <c r="F4531" s="343" t="s">
        <v>7626</v>
      </c>
      <c r="G4531" s="360" t="s">
        <v>13048</v>
      </c>
      <c r="H4531" s="361">
        <v>43139</v>
      </c>
      <c r="I4531" s="343" t="s">
        <v>4026</v>
      </c>
      <c r="J4531" s="343" t="s">
        <v>10120</v>
      </c>
      <c r="K4531" s="343" t="s">
        <v>168</v>
      </c>
    </row>
    <row r="4532" spans="1:11" ht="26.25" customHeight="1">
      <c r="A4532" s="343" t="s">
        <v>6434</v>
      </c>
      <c r="B4532" s="344" t="s">
        <v>162</v>
      </c>
      <c r="C4532" s="344">
        <v>11444</v>
      </c>
      <c r="D4532" s="343" t="s">
        <v>6970</v>
      </c>
      <c r="E4532" s="344">
        <v>6133175</v>
      </c>
      <c r="F4532" s="343" t="s">
        <v>7627</v>
      </c>
      <c r="G4532" s="360" t="s">
        <v>12156</v>
      </c>
      <c r="H4532" s="361">
        <v>43139</v>
      </c>
      <c r="I4532" s="343" t="s">
        <v>198</v>
      </c>
      <c r="J4532" s="343" t="s">
        <v>198</v>
      </c>
      <c r="K4532" s="343" t="s">
        <v>168</v>
      </c>
    </row>
    <row r="4533" spans="1:11" ht="26.25" customHeight="1">
      <c r="A4533" s="343" t="s">
        <v>6434</v>
      </c>
      <c r="B4533" s="344" t="s">
        <v>162</v>
      </c>
      <c r="C4533" s="344">
        <v>11363</v>
      </c>
      <c r="D4533" s="343" t="s">
        <v>7628</v>
      </c>
      <c r="E4533" s="344">
        <v>6775639</v>
      </c>
      <c r="F4533" s="343" t="s">
        <v>7629</v>
      </c>
      <c r="G4533" s="360" t="s">
        <v>12688</v>
      </c>
      <c r="H4533" s="361">
        <v>43145</v>
      </c>
      <c r="I4533" s="343" t="s">
        <v>166</v>
      </c>
      <c r="J4533" s="343" t="s">
        <v>327</v>
      </c>
      <c r="K4533" s="343" t="s">
        <v>168</v>
      </c>
    </row>
    <row r="4534" spans="1:11" ht="26.25" customHeight="1">
      <c r="A4534" s="343" t="s">
        <v>6434</v>
      </c>
      <c r="B4534" s="344" t="s">
        <v>162</v>
      </c>
      <c r="C4534" s="344">
        <v>11339</v>
      </c>
      <c r="D4534" s="343" t="s">
        <v>6689</v>
      </c>
      <c r="E4534" s="344">
        <v>6486863</v>
      </c>
      <c r="F4534" s="343" t="s">
        <v>6915</v>
      </c>
      <c r="G4534" s="360" t="s">
        <v>10758</v>
      </c>
      <c r="H4534" s="361">
        <v>43150</v>
      </c>
      <c r="I4534" s="343" t="s">
        <v>193</v>
      </c>
      <c r="J4534" s="343" t="s">
        <v>509</v>
      </c>
      <c r="K4534" s="343" t="s">
        <v>168</v>
      </c>
    </row>
    <row r="4535" spans="1:11" ht="26.25" customHeight="1">
      <c r="A4535" s="343" t="s">
        <v>6434</v>
      </c>
      <c r="B4535" s="344" t="s">
        <v>162</v>
      </c>
      <c r="C4535" s="344">
        <v>11452</v>
      </c>
      <c r="D4535" s="343" t="s">
        <v>6465</v>
      </c>
      <c r="E4535" s="344">
        <v>6573134</v>
      </c>
      <c r="F4535" s="343" t="s">
        <v>8097</v>
      </c>
      <c r="G4535" s="360" t="s">
        <v>9421</v>
      </c>
      <c r="H4535" s="361">
        <v>43151</v>
      </c>
      <c r="I4535" s="343" t="s">
        <v>271</v>
      </c>
      <c r="J4535" s="343" t="s">
        <v>12271</v>
      </c>
      <c r="K4535" s="343" t="s">
        <v>168</v>
      </c>
    </row>
    <row r="4536" spans="1:11" ht="26.25" customHeight="1">
      <c r="A4536" s="343" t="s">
        <v>6434</v>
      </c>
      <c r="B4536" s="344" t="s">
        <v>162</v>
      </c>
      <c r="C4536" s="344">
        <v>11322</v>
      </c>
      <c r="D4536" s="343" t="s">
        <v>6935</v>
      </c>
      <c r="E4536" s="344">
        <v>6255178</v>
      </c>
      <c r="F4536" s="343" t="s">
        <v>8098</v>
      </c>
      <c r="G4536" s="360" t="s">
        <v>9488</v>
      </c>
      <c r="H4536" s="361">
        <v>43152</v>
      </c>
      <c r="I4536" s="343" t="s">
        <v>193</v>
      </c>
      <c r="J4536" s="343" t="s">
        <v>637</v>
      </c>
      <c r="K4536" s="343" t="s">
        <v>168</v>
      </c>
    </row>
    <row r="4537" spans="1:11" ht="26.25" customHeight="1">
      <c r="A4537" s="343" t="s">
        <v>6434</v>
      </c>
      <c r="B4537" s="344" t="s">
        <v>162</v>
      </c>
      <c r="C4537" s="344">
        <v>9641</v>
      </c>
      <c r="D4537" s="343" t="s">
        <v>6838</v>
      </c>
      <c r="E4537" s="344">
        <v>6905639</v>
      </c>
      <c r="F4537" s="343" t="s">
        <v>8099</v>
      </c>
      <c r="G4537" s="360" t="s">
        <v>12643</v>
      </c>
      <c r="H4537" s="361">
        <v>43157</v>
      </c>
      <c r="I4537" s="343" t="s">
        <v>802</v>
      </c>
      <c r="J4537" s="343" t="s">
        <v>11632</v>
      </c>
      <c r="K4537" s="343" t="s">
        <v>168</v>
      </c>
    </row>
    <row r="4538" spans="1:11" ht="26.25" customHeight="1">
      <c r="A4538" s="343" t="s">
        <v>6434</v>
      </c>
      <c r="B4538" s="344" t="s">
        <v>162</v>
      </c>
      <c r="C4538" s="344">
        <v>6846</v>
      </c>
      <c r="D4538" s="343" t="s">
        <v>6873</v>
      </c>
      <c r="E4538" s="344">
        <v>6898737</v>
      </c>
      <c r="F4538" s="343" t="s">
        <v>8100</v>
      </c>
      <c r="G4538" s="360" t="s">
        <v>11788</v>
      </c>
      <c r="H4538" s="361">
        <v>43157</v>
      </c>
      <c r="I4538" s="343" t="s">
        <v>193</v>
      </c>
      <c r="J4538" s="343" t="s">
        <v>637</v>
      </c>
      <c r="K4538" s="343" t="s">
        <v>168</v>
      </c>
    </row>
    <row r="4539" spans="1:11" ht="26.25" customHeight="1">
      <c r="A4539" s="343" t="s">
        <v>6434</v>
      </c>
      <c r="B4539" s="344" t="s">
        <v>162</v>
      </c>
      <c r="C4539" s="344">
        <v>6847</v>
      </c>
      <c r="D4539" s="343" t="s">
        <v>6869</v>
      </c>
      <c r="E4539" s="344">
        <v>6246148</v>
      </c>
      <c r="F4539" s="343" t="s">
        <v>8101</v>
      </c>
      <c r="G4539" s="360" t="s">
        <v>12750</v>
      </c>
      <c r="H4539" s="361">
        <v>43157</v>
      </c>
      <c r="I4539" s="343" t="s">
        <v>193</v>
      </c>
      <c r="J4539" s="343" t="s">
        <v>9500</v>
      </c>
      <c r="K4539" s="343" t="s">
        <v>168</v>
      </c>
    </row>
    <row r="4540" spans="1:11" ht="26.25" customHeight="1">
      <c r="A4540" s="343" t="s">
        <v>6434</v>
      </c>
      <c r="B4540" s="344" t="s">
        <v>162</v>
      </c>
      <c r="C4540" s="344">
        <v>7687</v>
      </c>
      <c r="D4540" s="343" t="s">
        <v>6436</v>
      </c>
      <c r="E4540" s="344">
        <v>6521192</v>
      </c>
      <c r="F4540" s="343" t="s">
        <v>8102</v>
      </c>
      <c r="G4540" s="360" t="s">
        <v>12594</v>
      </c>
      <c r="H4540" s="361">
        <v>43157</v>
      </c>
      <c r="I4540" s="343" t="s">
        <v>7493</v>
      </c>
      <c r="J4540" s="343" t="s">
        <v>11292</v>
      </c>
      <c r="K4540" s="343" t="s">
        <v>168</v>
      </c>
    </row>
    <row r="4541" spans="1:11" ht="26.25" customHeight="1">
      <c r="A4541" s="343" t="s">
        <v>6434</v>
      </c>
      <c r="B4541" s="344" t="s">
        <v>162</v>
      </c>
      <c r="C4541" s="344">
        <v>11322</v>
      </c>
      <c r="D4541" s="343" t="s">
        <v>6935</v>
      </c>
      <c r="E4541" s="344">
        <v>6201973</v>
      </c>
      <c r="F4541" s="343" t="s">
        <v>8103</v>
      </c>
      <c r="G4541" s="360" t="s">
        <v>9772</v>
      </c>
      <c r="H4541" s="361">
        <v>43157</v>
      </c>
      <c r="I4541" s="343" t="s">
        <v>166</v>
      </c>
      <c r="J4541" s="343" t="s">
        <v>296</v>
      </c>
      <c r="K4541" s="343" t="s">
        <v>168</v>
      </c>
    </row>
    <row r="4542" spans="1:11" ht="26.25" customHeight="1">
      <c r="A4542" s="343" t="s">
        <v>6434</v>
      </c>
      <c r="B4542" s="344" t="s">
        <v>162</v>
      </c>
      <c r="C4542" s="344">
        <v>11456</v>
      </c>
      <c r="D4542" s="343" t="s">
        <v>8105</v>
      </c>
      <c r="E4542" s="344">
        <v>6756088</v>
      </c>
      <c r="F4542" s="343" t="s">
        <v>8977</v>
      </c>
      <c r="G4542" s="360" t="s">
        <v>10562</v>
      </c>
      <c r="H4542" s="361">
        <v>43158</v>
      </c>
      <c r="I4542" s="343" t="s">
        <v>193</v>
      </c>
      <c r="J4542" s="343" t="s">
        <v>637</v>
      </c>
      <c r="K4542" s="343" t="s">
        <v>168</v>
      </c>
    </row>
    <row r="4543" spans="1:11" ht="26.25" customHeight="1">
      <c r="A4543" s="343" t="s">
        <v>6434</v>
      </c>
      <c r="B4543" s="344" t="s">
        <v>162</v>
      </c>
      <c r="C4543" s="344">
        <v>11348</v>
      </c>
      <c r="D4543" s="343" t="s">
        <v>6802</v>
      </c>
      <c r="E4543" s="344">
        <v>5646904</v>
      </c>
      <c r="F4543" s="343" t="s">
        <v>7183</v>
      </c>
      <c r="G4543" s="360" t="s">
        <v>13525</v>
      </c>
      <c r="H4543" s="361">
        <v>43158</v>
      </c>
      <c r="I4543" s="343" t="s">
        <v>366</v>
      </c>
      <c r="J4543" s="343" t="s">
        <v>366</v>
      </c>
      <c r="K4543" s="343" t="s">
        <v>168</v>
      </c>
    </row>
    <row r="4544" spans="1:11" ht="26.25" customHeight="1">
      <c r="A4544" s="343" t="s">
        <v>6434</v>
      </c>
      <c r="B4544" s="344" t="s">
        <v>162</v>
      </c>
      <c r="C4544" s="344">
        <v>11444</v>
      </c>
      <c r="D4544" s="343" t="s">
        <v>6970</v>
      </c>
      <c r="E4544" s="344">
        <v>6354733</v>
      </c>
      <c r="F4544" s="343" t="s">
        <v>8106</v>
      </c>
      <c r="G4544" s="360" t="s">
        <v>13526</v>
      </c>
      <c r="H4544" s="361">
        <v>43158</v>
      </c>
      <c r="I4544" s="343" t="s">
        <v>4038</v>
      </c>
      <c r="J4544" s="343" t="s">
        <v>13527</v>
      </c>
      <c r="K4544" s="343" t="s">
        <v>168</v>
      </c>
    </row>
    <row r="4545" spans="1:11" ht="26.25" customHeight="1">
      <c r="A4545" s="343" t="s">
        <v>6434</v>
      </c>
      <c r="B4545" s="344" t="s">
        <v>162</v>
      </c>
      <c r="C4545" s="344">
        <v>11311</v>
      </c>
      <c r="D4545" s="343" t="s">
        <v>6916</v>
      </c>
      <c r="E4545" s="344">
        <v>6153015</v>
      </c>
      <c r="F4545" s="343" t="s">
        <v>8107</v>
      </c>
      <c r="G4545" s="360" t="s">
        <v>532</v>
      </c>
      <c r="H4545" s="361">
        <v>43158</v>
      </c>
      <c r="I4545" s="343" t="s">
        <v>3857</v>
      </c>
      <c r="J4545" s="343" t="s">
        <v>13528</v>
      </c>
      <c r="K4545" s="343" t="s">
        <v>168</v>
      </c>
    </row>
    <row r="4546" spans="1:11" ht="26.25" customHeight="1">
      <c r="A4546" s="343" t="s">
        <v>6434</v>
      </c>
      <c r="B4546" s="344" t="s">
        <v>162</v>
      </c>
      <c r="C4546" s="344">
        <v>11348</v>
      </c>
      <c r="D4546" s="343" t="s">
        <v>6802</v>
      </c>
      <c r="E4546" s="344">
        <v>5612019</v>
      </c>
      <c r="F4546" s="343" t="s">
        <v>6861</v>
      </c>
      <c r="G4546" s="360" t="s">
        <v>13529</v>
      </c>
      <c r="H4546" s="361">
        <v>43158</v>
      </c>
      <c r="I4546" s="343" t="s">
        <v>193</v>
      </c>
      <c r="J4546" s="343" t="s">
        <v>13530</v>
      </c>
      <c r="K4546" s="343" t="s">
        <v>168</v>
      </c>
    </row>
    <row r="4547" spans="1:11" ht="26.25" customHeight="1">
      <c r="A4547" s="343" t="s">
        <v>6434</v>
      </c>
      <c r="B4547" s="344" t="s">
        <v>162</v>
      </c>
      <c r="C4547" s="344">
        <v>11316</v>
      </c>
      <c r="D4547" s="343" t="s">
        <v>6884</v>
      </c>
      <c r="E4547" s="344">
        <v>6720127</v>
      </c>
      <c r="F4547" s="343" t="s">
        <v>8108</v>
      </c>
      <c r="G4547" s="360" t="s">
        <v>483</v>
      </c>
      <c r="H4547" s="361">
        <v>43159</v>
      </c>
      <c r="I4547" s="343" t="s">
        <v>166</v>
      </c>
      <c r="J4547" s="343" t="s">
        <v>296</v>
      </c>
      <c r="K4547" s="343" t="s">
        <v>168</v>
      </c>
    </row>
    <row r="4548" spans="1:11" ht="26.25" customHeight="1">
      <c r="A4548" s="343" t="s">
        <v>6434</v>
      </c>
      <c r="B4548" s="344" t="s">
        <v>162</v>
      </c>
      <c r="C4548" s="344">
        <v>11315</v>
      </c>
      <c r="D4548" s="343" t="s">
        <v>6879</v>
      </c>
      <c r="E4548" s="344">
        <v>6719103</v>
      </c>
      <c r="F4548" s="343" t="s">
        <v>8109</v>
      </c>
      <c r="G4548" s="360" t="s">
        <v>343</v>
      </c>
      <c r="H4548" s="361">
        <v>43159</v>
      </c>
      <c r="I4548" s="343" t="s">
        <v>284</v>
      </c>
      <c r="J4548" s="343" t="s">
        <v>284</v>
      </c>
      <c r="K4548" s="343" t="s">
        <v>168</v>
      </c>
    </row>
    <row r="4549" spans="1:11" ht="26.25" customHeight="1">
      <c r="A4549" s="343" t="s">
        <v>6434</v>
      </c>
      <c r="B4549" s="344" t="s">
        <v>162</v>
      </c>
      <c r="C4549" s="344">
        <v>11315</v>
      </c>
      <c r="D4549" s="343" t="s">
        <v>6879</v>
      </c>
      <c r="E4549" s="344">
        <v>5976309</v>
      </c>
      <c r="F4549" s="343" t="s">
        <v>8110</v>
      </c>
      <c r="G4549" s="360" t="s">
        <v>10616</v>
      </c>
      <c r="H4549" s="361">
        <v>43159</v>
      </c>
      <c r="I4549" s="343" t="s">
        <v>166</v>
      </c>
      <c r="J4549" s="343" t="s">
        <v>682</v>
      </c>
      <c r="K4549" s="343" t="s">
        <v>168</v>
      </c>
    </row>
    <row r="4550" spans="1:11" ht="26.25" customHeight="1">
      <c r="A4550" s="343" t="s">
        <v>6434</v>
      </c>
      <c r="B4550" s="344" t="s">
        <v>162</v>
      </c>
      <c r="C4550" s="344">
        <v>12847</v>
      </c>
      <c r="D4550" s="343" t="s">
        <v>6478</v>
      </c>
      <c r="E4550" s="344">
        <v>6572354</v>
      </c>
      <c r="F4550" s="343" t="s">
        <v>8111</v>
      </c>
      <c r="G4550" s="360" t="s">
        <v>9622</v>
      </c>
      <c r="H4550" s="361">
        <v>43159</v>
      </c>
      <c r="I4550" s="343" t="s">
        <v>193</v>
      </c>
      <c r="J4550" s="343" t="s">
        <v>13531</v>
      </c>
      <c r="K4550" s="343" t="s">
        <v>168</v>
      </c>
    </row>
    <row r="4551" spans="1:11" ht="26.25" customHeight="1">
      <c r="A4551" s="343" t="s">
        <v>6434</v>
      </c>
      <c r="B4551" s="344" t="s">
        <v>162</v>
      </c>
      <c r="C4551" s="344">
        <v>11441</v>
      </c>
      <c r="D4551" s="343" t="s">
        <v>6896</v>
      </c>
      <c r="E4551" s="344">
        <v>6394342</v>
      </c>
      <c r="F4551" s="343" t="s">
        <v>8112</v>
      </c>
      <c r="G4551" s="360" t="s">
        <v>11612</v>
      </c>
      <c r="H4551" s="361">
        <v>43159</v>
      </c>
      <c r="I4551" s="343" t="s">
        <v>8113</v>
      </c>
      <c r="J4551" s="343" t="s">
        <v>11263</v>
      </c>
      <c r="K4551" s="343" t="s">
        <v>168</v>
      </c>
    </row>
    <row r="4552" spans="1:11" ht="26.25" customHeight="1">
      <c r="A4552" s="343" t="s">
        <v>6434</v>
      </c>
      <c r="B4552" s="344" t="s">
        <v>162</v>
      </c>
      <c r="C4552" s="344">
        <v>11344</v>
      </c>
      <c r="D4552" s="343" t="s">
        <v>6746</v>
      </c>
      <c r="E4552" s="344">
        <v>5690177</v>
      </c>
      <c r="F4552" s="343" t="s">
        <v>8114</v>
      </c>
      <c r="G4552" s="360" t="s">
        <v>13532</v>
      </c>
      <c r="H4552" s="361">
        <v>43159</v>
      </c>
      <c r="I4552" s="343" t="s">
        <v>8115</v>
      </c>
      <c r="J4552" s="343" t="s">
        <v>13533</v>
      </c>
      <c r="K4552" s="343" t="s">
        <v>168</v>
      </c>
    </row>
    <row r="4553" spans="1:11" ht="26.25" customHeight="1">
      <c r="A4553" s="343" t="s">
        <v>6434</v>
      </c>
      <c r="B4553" s="344" t="s">
        <v>162</v>
      </c>
      <c r="C4553" s="344">
        <v>12885</v>
      </c>
      <c r="D4553" s="343" t="s">
        <v>6972</v>
      </c>
      <c r="E4553" s="344">
        <v>6191642</v>
      </c>
      <c r="F4553" s="343" t="s">
        <v>8116</v>
      </c>
      <c r="G4553" s="360" t="s">
        <v>11565</v>
      </c>
      <c r="H4553" s="361">
        <v>43159</v>
      </c>
      <c r="I4553" s="343" t="s">
        <v>166</v>
      </c>
      <c r="J4553" s="343" t="s">
        <v>296</v>
      </c>
      <c r="K4553" s="343" t="s">
        <v>168</v>
      </c>
    </row>
    <row r="4554" spans="1:11" ht="26.25" customHeight="1">
      <c r="A4554" s="343" t="s">
        <v>6434</v>
      </c>
      <c r="B4554" s="344" t="s">
        <v>162</v>
      </c>
      <c r="C4554" s="344">
        <v>11314</v>
      </c>
      <c r="D4554" s="343" t="s">
        <v>6863</v>
      </c>
      <c r="E4554" s="344">
        <v>5978119</v>
      </c>
      <c r="F4554" s="343" t="s">
        <v>1454</v>
      </c>
      <c r="G4554" s="360" t="s">
        <v>1455</v>
      </c>
      <c r="H4554" s="361">
        <v>43159</v>
      </c>
      <c r="I4554" s="343" t="s">
        <v>1456</v>
      </c>
      <c r="J4554" s="343" t="s">
        <v>13534</v>
      </c>
      <c r="K4554" s="343" t="s">
        <v>168</v>
      </c>
    </row>
    <row r="4555" spans="1:11" ht="26.25" customHeight="1">
      <c r="A4555" s="343" t="s">
        <v>6434</v>
      </c>
      <c r="B4555" s="344" t="s">
        <v>162</v>
      </c>
      <c r="C4555" s="344">
        <v>11314</v>
      </c>
      <c r="D4555" s="343" t="s">
        <v>6863</v>
      </c>
      <c r="E4555" s="344">
        <v>5932835</v>
      </c>
      <c r="F4555" s="343" t="s">
        <v>8117</v>
      </c>
      <c r="G4555" s="360" t="s">
        <v>9974</v>
      </c>
      <c r="H4555" s="361">
        <v>43159</v>
      </c>
      <c r="I4555" s="343" t="s">
        <v>275</v>
      </c>
      <c r="J4555" s="343" t="s">
        <v>13535</v>
      </c>
      <c r="K4555" s="343" t="s">
        <v>168</v>
      </c>
    </row>
    <row r="4556" spans="1:11" ht="26.25" customHeight="1">
      <c r="A4556" s="343" t="s">
        <v>6434</v>
      </c>
      <c r="B4556" s="344" t="s">
        <v>162</v>
      </c>
      <c r="C4556" s="344">
        <v>7679</v>
      </c>
      <c r="D4556" s="343" t="s">
        <v>6502</v>
      </c>
      <c r="E4556" s="344">
        <v>6522863</v>
      </c>
      <c r="F4556" s="343" t="s">
        <v>8119</v>
      </c>
      <c r="G4556" s="360" t="s">
        <v>12245</v>
      </c>
      <c r="H4556" s="361">
        <v>43159</v>
      </c>
      <c r="I4556" s="343" t="s">
        <v>166</v>
      </c>
      <c r="J4556" s="343" t="s">
        <v>296</v>
      </c>
      <c r="K4556" s="343" t="s">
        <v>168</v>
      </c>
    </row>
    <row r="4557" spans="1:11" ht="26.25" customHeight="1">
      <c r="A4557" s="343" t="s">
        <v>6434</v>
      </c>
      <c r="B4557" s="344" t="s">
        <v>162</v>
      </c>
      <c r="C4557" s="344">
        <v>11310</v>
      </c>
      <c r="D4557" s="343" t="s">
        <v>6888</v>
      </c>
      <c r="E4557" s="344">
        <v>6068250</v>
      </c>
      <c r="F4557" s="343" t="s">
        <v>8120</v>
      </c>
      <c r="G4557" s="360" t="s">
        <v>10066</v>
      </c>
      <c r="H4557" s="361">
        <v>43159</v>
      </c>
      <c r="I4557" s="343" t="s">
        <v>366</v>
      </c>
      <c r="J4557" s="343" t="s">
        <v>366</v>
      </c>
      <c r="K4557" s="343" t="s">
        <v>168</v>
      </c>
    </row>
    <row r="4558" spans="1:11" ht="26.25" customHeight="1">
      <c r="A4558" s="343" t="s">
        <v>6434</v>
      </c>
      <c r="B4558" s="344" t="s">
        <v>162</v>
      </c>
      <c r="C4558" s="344">
        <v>11310</v>
      </c>
      <c r="D4558" s="343" t="s">
        <v>6888</v>
      </c>
      <c r="E4558" s="344">
        <v>5967897</v>
      </c>
      <c r="F4558" s="343" t="s">
        <v>8122</v>
      </c>
      <c r="G4558" s="360" t="s">
        <v>9545</v>
      </c>
      <c r="H4558" s="361">
        <v>43160</v>
      </c>
      <c r="I4558" s="343" t="s">
        <v>8123</v>
      </c>
      <c r="J4558" s="343" t="s">
        <v>13536</v>
      </c>
      <c r="K4558" s="343" t="s">
        <v>168</v>
      </c>
    </row>
    <row r="4559" spans="1:11" ht="26.25" customHeight="1">
      <c r="A4559" s="343" t="s">
        <v>6434</v>
      </c>
      <c r="B4559" s="344" t="s">
        <v>162</v>
      </c>
      <c r="C4559" s="344">
        <v>11310</v>
      </c>
      <c r="D4559" s="343" t="s">
        <v>6888</v>
      </c>
      <c r="E4559" s="344">
        <v>6082587</v>
      </c>
      <c r="F4559" s="343" t="s">
        <v>8124</v>
      </c>
      <c r="G4559" s="360" t="s">
        <v>11145</v>
      </c>
      <c r="H4559" s="361">
        <v>43160</v>
      </c>
      <c r="I4559" s="343" t="s">
        <v>193</v>
      </c>
      <c r="J4559" s="343" t="s">
        <v>637</v>
      </c>
      <c r="K4559" s="343" t="s">
        <v>168</v>
      </c>
    </row>
    <row r="4560" spans="1:11" ht="26.25" customHeight="1">
      <c r="A4560" s="343" t="s">
        <v>6434</v>
      </c>
      <c r="B4560" s="344" t="s">
        <v>162</v>
      </c>
      <c r="C4560" s="344">
        <v>6847</v>
      </c>
      <c r="D4560" s="343" t="s">
        <v>6869</v>
      </c>
      <c r="E4560" s="344">
        <v>6082391</v>
      </c>
      <c r="F4560" s="343" t="s">
        <v>8125</v>
      </c>
      <c r="G4560" s="360" t="s">
        <v>11751</v>
      </c>
      <c r="H4560" s="361">
        <v>43168</v>
      </c>
      <c r="I4560" s="343" t="s">
        <v>166</v>
      </c>
      <c r="J4560" s="343" t="s">
        <v>327</v>
      </c>
      <c r="K4560" s="343" t="s">
        <v>168</v>
      </c>
    </row>
    <row r="4561" spans="1:11" ht="26.25" customHeight="1">
      <c r="A4561" s="343" t="s">
        <v>6434</v>
      </c>
      <c r="B4561" s="344" t="s">
        <v>162</v>
      </c>
      <c r="C4561" s="344">
        <v>12037</v>
      </c>
      <c r="D4561" s="343" t="s">
        <v>6707</v>
      </c>
      <c r="E4561" s="344">
        <v>5700300</v>
      </c>
      <c r="F4561" s="343" t="s">
        <v>4199</v>
      </c>
      <c r="G4561" s="360" t="s">
        <v>13537</v>
      </c>
      <c r="H4561" s="361">
        <v>43168</v>
      </c>
      <c r="I4561" s="343" t="s">
        <v>301</v>
      </c>
      <c r="J4561" s="343" t="s">
        <v>530</v>
      </c>
      <c r="K4561" s="343" t="s">
        <v>168</v>
      </c>
    </row>
    <row r="4562" spans="1:11" ht="26.25" customHeight="1">
      <c r="A4562" s="343" t="s">
        <v>6434</v>
      </c>
      <c r="B4562" s="344" t="s">
        <v>162</v>
      </c>
      <c r="C4562" s="344">
        <v>9840</v>
      </c>
      <c r="D4562" s="343" t="s">
        <v>6507</v>
      </c>
      <c r="E4562" s="344">
        <v>6865763</v>
      </c>
      <c r="F4562" s="343" t="s">
        <v>8126</v>
      </c>
      <c r="G4562" s="360" t="s">
        <v>13538</v>
      </c>
      <c r="H4562" s="361">
        <v>43173</v>
      </c>
      <c r="I4562" s="343" t="s">
        <v>8127</v>
      </c>
      <c r="J4562" s="343" t="s">
        <v>13539</v>
      </c>
      <c r="K4562" s="343" t="s">
        <v>248</v>
      </c>
    </row>
    <row r="4563" spans="1:11" ht="26.25" customHeight="1">
      <c r="A4563" s="343" t="s">
        <v>6434</v>
      </c>
      <c r="B4563" s="344" t="s">
        <v>162</v>
      </c>
      <c r="C4563" s="344">
        <v>11321</v>
      </c>
      <c r="D4563" s="343" t="s">
        <v>6929</v>
      </c>
      <c r="E4563" s="344">
        <v>6898198</v>
      </c>
      <c r="F4563" s="343" t="s">
        <v>8128</v>
      </c>
      <c r="G4563" s="360" t="s">
        <v>10720</v>
      </c>
      <c r="H4563" s="361">
        <v>43181</v>
      </c>
      <c r="I4563" s="343" t="s">
        <v>8129</v>
      </c>
      <c r="J4563" s="343" t="s">
        <v>13540</v>
      </c>
      <c r="K4563" s="343" t="s">
        <v>248</v>
      </c>
    </row>
    <row r="4564" spans="1:11" ht="26.25" customHeight="1">
      <c r="A4564" s="343" t="s">
        <v>6434</v>
      </c>
      <c r="B4564" s="344" t="s">
        <v>162</v>
      </c>
      <c r="C4564" s="344">
        <v>11451</v>
      </c>
      <c r="D4564" s="343" t="s">
        <v>6461</v>
      </c>
      <c r="E4564" s="344">
        <v>6849247</v>
      </c>
      <c r="F4564" s="343" t="s">
        <v>8130</v>
      </c>
      <c r="G4564" s="360" t="s">
        <v>13541</v>
      </c>
      <c r="H4564" s="361">
        <v>43181</v>
      </c>
      <c r="I4564" s="343" t="s">
        <v>271</v>
      </c>
      <c r="J4564" s="343" t="s">
        <v>13542</v>
      </c>
      <c r="K4564" s="343" t="s">
        <v>168</v>
      </c>
    </row>
    <row r="4565" spans="1:11" ht="26.25" customHeight="1">
      <c r="A4565" s="343" t="s">
        <v>6434</v>
      </c>
      <c r="B4565" s="344" t="s">
        <v>162</v>
      </c>
      <c r="C4565" s="344">
        <v>11324</v>
      </c>
      <c r="D4565" s="343" t="s">
        <v>6941</v>
      </c>
      <c r="E4565" s="344">
        <v>6095985</v>
      </c>
      <c r="F4565" s="343" t="s">
        <v>8131</v>
      </c>
      <c r="G4565" s="360" t="s">
        <v>11102</v>
      </c>
      <c r="H4565" s="361">
        <v>43181</v>
      </c>
      <c r="I4565" s="343" t="s">
        <v>802</v>
      </c>
      <c r="J4565" s="343" t="s">
        <v>1075</v>
      </c>
      <c r="K4565" s="343" t="s">
        <v>168</v>
      </c>
    </row>
    <row r="4566" spans="1:11" ht="26.25" customHeight="1">
      <c r="A4566" s="343" t="s">
        <v>6434</v>
      </c>
      <c r="B4566" s="344" t="s">
        <v>162</v>
      </c>
      <c r="C4566" s="344">
        <v>11857</v>
      </c>
      <c r="D4566" s="343" t="s">
        <v>6505</v>
      </c>
      <c r="E4566" s="344">
        <v>6598049</v>
      </c>
      <c r="F4566" s="343" t="s">
        <v>7616</v>
      </c>
      <c r="G4566" s="360" t="s">
        <v>264</v>
      </c>
      <c r="H4566" s="361">
        <v>43181</v>
      </c>
      <c r="I4566" s="343" t="s">
        <v>423</v>
      </c>
      <c r="J4566" s="343" t="s">
        <v>10679</v>
      </c>
      <c r="K4566" s="343" t="s">
        <v>168</v>
      </c>
    </row>
    <row r="4567" spans="1:11" ht="26.25" customHeight="1">
      <c r="A4567" s="343" t="s">
        <v>6434</v>
      </c>
      <c r="B4567" s="344" t="s">
        <v>162</v>
      </c>
      <c r="C4567" s="344">
        <v>6840</v>
      </c>
      <c r="D4567" s="343" t="s">
        <v>6943</v>
      </c>
      <c r="E4567" s="344">
        <v>6944444</v>
      </c>
      <c r="F4567" s="343" t="s">
        <v>8132</v>
      </c>
      <c r="G4567" s="360" t="s">
        <v>10062</v>
      </c>
      <c r="H4567" s="361">
        <v>43181</v>
      </c>
      <c r="I4567" s="343" t="s">
        <v>301</v>
      </c>
      <c r="J4567" s="343" t="s">
        <v>10197</v>
      </c>
      <c r="K4567" s="343" t="s">
        <v>168</v>
      </c>
    </row>
    <row r="4568" spans="1:11" ht="26.25" customHeight="1">
      <c r="A4568" s="343" t="s">
        <v>6434</v>
      </c>
      <c r="B4568" s="344" t="s">
        <v>162</v>
      </c>
      <c r="C4568" s="344">
        <v>6840</v>
      </c>
      <c r="D4568" s="343" t="s">
        <v>6943</v>
      </c>
      <c r="E4568" s="344">
        <v>5878457</v>
      </c>
      <c r="F4568" s="343" t="s">
        <v>6944</v>
      </c>
      <c r="G4568" s="360" t="s">
        <v>399</v>
      </c>
      <c r="H4568" s="361">
        <v>43181</v>
      </c>
      <c r="I4568" s="343" t="s">
        <v>193</v>
      </c>
      <c r="J4568" s="343" t="s">
        <v>603</v>
      </c>
      <c r="K4568" s="343" t="s">
        <v>168</v>
      </c>
    </row>
    <row r="4569" spans="1:11" ht="26.25" customHeight="1">
      <c r="A4569" s="343" t="s">
        <v>6434</v>
      </c>
      <c r="B4569" s="344" t="s">
        <v>162</v>
      </c>
      <c r="C4569" s="344">
        <v>11358</v>
      </c>
      <c r="D4569" s="343" t="s">
        <v>6459</v>
      </c>
      <c r="E4569" s="344">
        <v>6977059</v>
      </c>
      <c r="F4569" s="343" t="s">
        <v>8133</v>
      </c>
      <c r="G4569" s="360" t="s">
        <v>13543</v>
      </c>
      <c r="H4569" s="361">
        <v>43181</v>
      </c>
      <c r="I4569" s="343" t="s">
        <v>8134</v>
      </c>
      <c r="J4569" s="343" t="s">
        <v>13544</v>
      </c>
      <c r="K4569" s="343" t="s">
        <v>168</v>
      </c>
    </row>
    <row r="4570" spans="1:11" ht="26.25" customHeight="1">
      <c r="A4570" s="343" t="s">
        <v>6434</v>
      </c>
      <c r="B4570" s="344" t="s">
        <v>162</v>
      </c>
      <c r="C4570" s="344">
        <v>11330</v>
      </c>
      <c r="D4570" s="343" t="s">
        <v>6977</v>
      </c>
      <c r="E4570" s="344">
        <v>6750197</v>
      </c>
      <c r="F4570" s="343" t="s">
        <v>6980</v>
      </c>
      <c r="G4570" s="360" t="s">
        <v>11062</v>
      </c>
      <c r="H4570" s="361">
        <v>43181</v>
      </c>
      <c r="I4570" s="343" t="s">
        <v>784</v>
      </c>
      <c r="J4570" s="343" t="s">
        <v>13545</v>
      </c>
      <c r="K4570" s="343" t="s">
        <v>168</v>
      </c>
    </row>
    <row r="4571" spans="1:11" ht="26.25" customHeight="1">
      <c r="A4571" s="343" t="s">
        <v>6434</v>
      </c>
      <c r="B4571" s="344" t="s">
        <v>162</v>
      </c>
      <c r="C4571" s="344">
        <v>11452</v>
      </c>
      <c r="D4571" s="343" t="s">
        <v>6465</v>
      </c>
      <c r="E4571" s="344">
        <v>6657974</v>
      </c>
      <c r="F4571" s="343" t="s">
        <v>8135</v>
      </c>
      <c r="G4571" s="360" t="s">
        <v>12804</v>
      </c>
      <c r="H4571" s="361">
        <v>43181</v>
      </c>
      <c r="I4571" s="343" t="s">
        <v>271</v>
      </c>
      <c r="J4571" s="343" t="s">
        <v>13546</v>
      </c>
      <c r="K4571" s="343" t="s">
        <v>173</v>
      </c>
    </row>
    <row r="4572" spans="1:11" ht="26.25" customHeight="1">
      <c r="A4572" s="343" t="s">
        <v>6434</v>
      </c>
      <c r="B4572" s="344" t="s">
        <v>162</v>
      </c>
      <c r="C4572" s="344">
        <v>11330</v>
      </c>
      <c r="D4572" s="343" t="s">
        <v>6977</v>
      </c>
      <c r="E4572" s="344">
        <v>6038110</v>
      </c>
      <c r="F4572" s="343" t="s">
        <v>8137</v>
      </c>
      <c r="G4572" s="360" t="s">
        <v>11093</v>
      </c>
      <c r="H4572" s="361">
        <v>43181</v>
      </c>
      <c r="I4572" s="343" t="s">
        <v>7841</v>
      </c>
      <c r="J4572" s="343" t="s">
        <v>13547</v>
      </c>
      <c r="K4572" s="343" t="s">
        <v>168</v>
      </c>
    </row>
    <row r="4573" spans="1:11" ht="26.25" customHeight="1">
      <c r="A4573" s="343" t="s">
        <v>6434</v>
      </c>
      <c r="B4573" s="344" t="s">
        <v>162</v>
      </c>
      <c r="C4573" s="344">
        <v>11319</v>
      </c>
      <c r="D4573" s="343" t="s">
        <v>6912</v>
      </c>
      <c r="E4573" s="344">
        <v>5921504</v>
      </c>
      <c r="F4573" s="343" t="s">
        <v>6900</v>
      </c>
      <c r="G4573" s="360" t="s">
        <v>11477</v>
      </c>
      <c r="H4573" s="361">
        <v>43181</v>
      </c>
      <c r="I4573" s="343" t="s">
        <v>6901</v>
      </c>
      <c r="J4573" s="343" t="s">
        <v>13548</v>
      </c>
      <c r="K4573" s="343" t="s">
        <v>173</v>
      </c>
    </row>
    <row r="4574" spans="1:11" ht="26.25" customHeight="1">
      <c r="A4574" s="343" t="s">
        <v>6434</v>
      </c>
      <c r="B4574" s="344" t="s">
        <v>162</v>
      </c>
      <c r="C4574" s="344">
        <v>11319</v>
      </c>
      <c r="D4574" s="343" t="s">
        <v>6912</v>
      </c>
      <c r="E4574" s="344">
        <v>6019602</v>
      </c>
      <c r="F4574" s="343" t="s">
        <v>8138</v>
      </c>
      <c r="G4574" s="360" t="s">
        <v>11630</v>
      </c>
      <c r="H4574" s="361">
        <v>43181</v>
      </c>
      <c r="I4574" s="343" t="s">
        <v>1182</v>
      </c>
      <c r="J4574" s="343" t="s">
        <v>1330</v>
      </c>
      <c r="K4574" s="343" t="s">
        <v>173</v>
      </c>
    </row>
    <row r="4575" spans="1:11" ht="26.25" customHeight="1">
      <c r="A4575" s="343" t="s">
        <v>6434</v>
      </c>
      <c r="B4575" s="344" t="s">
        <v>162</v>
      </c>
      <c r="C4575" s="344">
        <v>11457</v>
      </c>
      <c r="D4575" s="343" t="s">
        <v>6523</v>
      </c>
      <c r="E4575" s="344">
        <v>6916465</v>
      </c>
      <c r="F4575" s="343" t="s">
        <v>8978</v>
      </c>
      <c r="G4575" s="360" t="s">
        <v>13549</v>
      </c>
      <c r="H4575" s="361">
        <v>43181</v>
      </c>
      <c r="I4575" s="343" t="s">
        <v>284</v>
      </c>
      <c r="J4575" s="343" t="s">
        <v>10521</v>
      </c>
      <c r="K4575" s="343" t="s">
        <v>168</v>
      </c>
    </row>
    <row r="4576" spans="1:11" ht="26.25" customHeight="1">
      <c r="A4576" s="343" t="s">
        <v>6434</v>
      </c>
      <c r="B4576" s="344" t="s">
        <v>162</v>
      </c>
      <c r="C4576" s="344">
        <v>11449</v>
      </c>
      <c r="D4576" s="343" t="s">
        <v>6784</v>
      </c>
      <c r="E4576" s="344">
        <v>4674086</v>
      </c>
      <c r="F4576" s="343" t="s">
        <v>8979</v>
      </c>
      <c r="G4576" s="360" t="s">
        <v>13295</v>
      </c>
      <c r="H4576" s="361">
        <v>43181</v>
      </c>
      <c r="I4576" s="343" t="s">
        <v>366</v>
      </c>
      <c r="J4576" s="343" t="s">
        <v>366</v>
      </c>
      <c r="K4576" s="343" t="s">
        <v>168</v>
      </c>
    </row>
    <row r="4577" spans="1:11" ht="26.25" customHeight="1">
      <c r="A4577" s="343" t="s">
        <v>6434</v>
      </c>
      <c r="B4577" s="344" t="s">
        <v>162</v>
      </c>
      <c r="C4577" s="344">
        <v>11349</v>
      </c>
      <c r="D4577" s="343" t="s">
        <v>6813</v>
      </c>
      <c r="E4577" s="344">
        <v>4315676</v>
      </c>
      <c r="F4577" s="343" t="s">
        <v>7448</v>
      </c>
      <c r="G4577" s="360" t="s">
        <v>13087</v>
      </c>
      <c r="H4577" s="361">
        <v>43187</v>
      </c>
      <c r="I4577" s="343" t="s">
        <v>198</v>
      </c>
      <c r="J4577" s="343" t="s">
        <v>198</v>
      </c>
      <c r="K4577" s="343" t="s">
        <v>168</v>
      </c>
    </row>
    <row r="4578" spans="1:11" ht="26.25" customHeight="1">
      <c r="A4578" s="343" t="s">
        <v>6434</v>
      </c>
      <c r="B4578" s="344" t="s">
        <v>162</v>
      </c>
      <c r="C4578" s="344">
        <v>11319</v>
      </c>
      <c r="D4578" s="343" t="s">
        <v>6912</v>
      </c>
      <c r="E4578" s="344">
        <v>6510267</v>
      </c>
      <c r="F4578" s="343" t="s">
        <v>6913</v>
      </c>
      <c r="G4578" s="360" t="s">
        <v>1091</v>
      </c>
      <c r="H4578" s="361">
        <v>43187</v>
      </c>
      <c r="I4578" s="343" t="s">
        <v>193</v>
      </c>
      <c r="J4578" s="343" t="s">
        <v>637</v>
      </c>
      <c r="K4578" s="343" t="s">
        <v>168</v>
      </c>
    </row>
    <row r="4579" spans="1:11" ht="26.25" customHeight="1">
      <c r="A4579" s="343" t="s">
        <v>6434</v>
      </c>
      <c r="B4579" s="344" t="s">
        <v>162</v>
      </c>
      <c r="C4579" s="344">
        <v>9037</v>
      </c>
      <c r="D4579" s="343" t="s">
        <v>6983</v>
      </c>
      <c r="E4579" s="344">
        <v>6394404</v>
      </c>
      <c r="F4579" s="343" t="s">
        <v>8980</v>
      </c>
      <c r="G4579" s="360" t="s">
        <v>9653</v>
      </c>
      <c r="H4579" s="361">
        <v>43194</v>
      </c>
      <c r="I4579" s="343" t="s">
        <v>211</v>
      </c>
      <c r="J4579" s="343" t="s">
        <v>211</v>
      </c>
      <c r="K4579" s="343" t="s">
        <v>168</v>
      </c>
    </row>
    <row r="4580" spans="1:11" ht="26.25" customHeight="1">
      <c r="A4580" s="343" t="s">
        <v>6434</v>
      </c>
      <c r="B4580" s="344" t="s">
        <v>162</v>
      </c>
      <c r="C4580" s="344">
        <v>6842</v>
      </c>
      <c r="D4580" s="343" t="s">
        <v>6933</v>
      </c>
      <c r="E4580" s="344">
        <v>6673146</v>
      </c>
      <c r="F4580" s="343" t="s">
        <v>8981</v>
      </c>
      <c r="G4580" s="360" t="s">
        <v>11113</v>
      </c>
      <c r="H4580" s="361">
        <v>43194</v>
      </c>
      <c r="I4580" s="343" t="s">
        <v>366</v>
      </c>
      <c r="J4580" s="343" t="s">
        <v>366</v>
      </c>
      <c r="K4580" s="343" t="s">
        <v>168</v>
      </c>
    </row>
    <row r="4581" spans="1:11" ht="26.25" customHeight="1">
      <c r="A4581" s="343" t="s">
        <v>6434</v>
      </c>
      <c r="B4581" s="344" t="s">
        <v>162</v>
      </c>
      <c r="C4581" s="344">
        <v>11337</v>
      </c>
      <c r="D4581" s="343" t="s">
        <v>6673</v>
      </c>
      <c r="E4581" s="344">
        <v>5609549</v>
      </c>
      <c r="F4581" s="343" t="s">
        <v>8982</v>
      </c>
      <c r="G4581" s="360" t="s">
        <v>1155</v>
      </c>
      <c r="H4581" s="361">
        <v>43196</v>
      </c>
      <c r="I4581" s="343" t="s">
        <v>366</v>
      </c>
      <c r="J4581" s="343" t="s">
        <v>366</v>
      </c>
      <c r="K4581" s="343" t="s">
        <v>168</v>
      </c>
    </row>
    <row r="4582" spans="1:11" ht="26.25" customHeight="1">
      <c r="A4582" s="343" t="s">
        <v>6434</v>
      </c>
      <c r="B4582" s="344" t="s">
        <v>162</v>
      </c>
      <c r="C4582" s="344">
        <v>11337</v>
      </c>
      <c r="D4582" s="343" t="s">
        <v>6673</v>
      </c>
      <c r="E4582" s="344">
        <v>5713064</v>
      </c>
      <c r="F4582" s="343" t="s">
        <v>8983</v>
      </c>
      <c r="G4582" s="360" t="s">
        <v>12502</v>
      </c>
      <c r="H4582" s="361">
        <v>43196</v>
      </c>
      <c r="I4582" s="343" t="s">
        <v>261</v>
      </c>
      <c r="J4582" s="343" t="s">
        <v>9505</v>
      </c>
      <c r="K4582" s="343" t="s">
        <v>168</v>
      </c>
    </row>
    <row r="4583" spans="1:11" ht="26.25" customHeight="1">
      <c r="A4583" s="343" t="s">
        <v>6434</v>
      </c>
      <c r="B4583" s="344" t="s">
        <v>162</v>
      </c>
      <c r="C4583" s="344">
        <v>11314</v>
      </c>
      <c r="D4583" s="343" t="s">
        <v>6863</v>
      </c>
      <c r="E4583" s="344">
        <v>6142680</v>
      </c>
      <c r="F4583" s="343" t="s">
        <v>6864</v>
      </c>
      <c r="G4583" s="360" t="s">
        <v>10198</v>
      </c>
      <c r="H4583" s="361">
        <v>43196</v>
      </c>
      <c r="I4583" s="343" t="s">
        <v>193</v>
      </c>
      <c r="J4583" s="343" t="s">
        <v>9500</v>
      </c>
      <c r="K4583" s="343" t="s">
        <v>168</v>
      </c>
    </row>
    <row r="4584" spans="1:11" ht="26.25" customHeight="1">
      <c r="A4584" s="343" t="s">
        <v>6434</v>
      </c>
      <c r="B4584" s="344" t="s">
        <v>162</v>
      </c>
      <c r="C4584" s="344">
        <v>7197</v>
      </c>
      <c r="D4584" s="343" t="s">
        <v>6716</v>
      </c>
      <c r="E4584" s="344">
        <v>6570427</v>
      </c>
      <c r="F4584" s="343" t="s">
        <v>6720</v>
      </c>
      <c r="G4584" s="360" t="s">
        <v>11879</v>
      </c>
      <c r="H4584" s="361">
        <v>43196</v>
      </c>
      <c r="I4584" s="343" t="s">
        <v>180</v>
      </c>
      <c r="J4584" s="343" t="s">
        <v>13550</v>
      </c>
      <c r="K4584" s="343" t="s">
        <v>173</v>
      </c>
    </row>
    <row r="4585" spans="1:11" ht="26.25" customHeight="1">
      <c r="A4585" s="343" t="s">
        <v>6434</v>
      </c>
      <c r="B4585" s="344" t="s">
        <v>162</v>
      </c>
      <c r="C4585" s="344">
        <v>11319</v>
      </c>
      <c r="D4585" s="343" t="s">
        <v>6912</v>
      </c>
      <c r="E4585" s="344">
        <v>6008054</v>
      </c>
      <c r="F4585" s="343" t="s">
        <v>8984</v>
      </c>
      <c r="G4585" s="360" t="s">
        <v>11653</v>
      </c>
      <c r="H4585" s="361">
        <v>43196</v>
      </c>
      <c r="I4585" s="343" t="s">
        <v>802</v>
      </c>
      <c r="J4585" s="343" t="s">
        <v>1172</v>
      </c>
      <c r="K4585" s="343" t="s">
        <v>168</v>
      </c>
    </row>
    <row r="4586" spans="1:11" ht="26.25" customHeight="1">
      <c r="A4586" s="343" t="s">
        <v>6434</v>
      </c>
      <c r="B4586" s="344" t="s">
        <v>162</v>
      </c>
      <c r="C4586" s="344">
        <v>6841</v>
      </c>
      <c r="D4586" s="343" t="s">
        <v>6848</v>
      </c>
      <c r="E4586" s="344">
        <v>6632685</v>
      </c>
      <c r="F4586" s="343" t="s">
        <v>8985</v>
      </c>
      <c r="G4586" s="360" t="s">
        <v>12544</v>
      </c>
      <c r="H4586" s="361">
        <v>43199</v>
      </c>
      <c r="I4586" s="343" t="s">
        <v>193</v>
      </c>
      <c r="J4586" s="343" t="s">
        <v>637</v>
      </c>
      <c r="K4586" s="343" t="s">
        <v>168</v>
      </c>
    </row>
    <row r="4587" spans="1:11" ht="26.25" customHeight="1">
      <c r="A4587" s="343" t="s">
        <v>6434</v>
      </c>
      <c r="B4587" s="344" t="s">
        <v>162</v>
      </c>
      <c r="C4587" s="344">
        <v>11444</v>
      </c>
      <c r="D4587" s="343" t="s">
        <v>6970</v>
      </c>
      <c r="E4587" s="344">
        <v>6048029</v>
      </c>
      <c r="F4587" s="343" t="s">
        <v>8986</v>
      </c>
      <c r="G4587" s="360" t="s">
        <v>12755</v>
      </c>
      <c r="H4587" s="361">
        <v>43199</v>
      </c>
      <c r="I4587" s="343" t="s">
        <v>802</v>
      </c>
      <c r="J4587" s="343" t="s">
        <v>1075</v>
      </c>
      <c r="K4587" s="343" t="s">
        <v>168</v>
      </c>
    </row>
    <row r="4588" spans="1:11" ht="26.25" customHeight="1">
      <c r="A4588" s="343" t="s">
        <v>6434</v>
      </c>
      <c r="B4588" s="344" t="s">
        <v>162</v>
      </c>
      <c r="C4588" s="344">
        <v>13354</v>
      </c>
      <c r="D4588" s="343" t="s">
        <v>6587</v>
      </c>
      <c r="E4588" s="344">
        <v>4807391</v>
      </c>
      <c r="F4588" s="343" t="s">
        <v>8987</v>
      </c>
      <c r="G4588" s="360" t="s">
        <v>13551</v>
      </c>
      <c r="H4588" s="361">
        <v>43199</v>
      </c>
      <c r="I4588" s="343" t="s">
        <v>193</v>
      </c>
      <c r="J4588" s="343" t="s">
        <v>509</v>
      </c>
      <c r="K4588" s="343" t="s">
        <v>168</v>
      </c>
    </row>
    <row r="4589" spans="1:11" ht="26.25" customHeight="1">
      <c r="A4589" s="343" t="s">
        <v>6434</v>
      </c>
      <c r="B4589" s="344" t="s">
        <v>162</v>
      </c>
      <c r="C4589" s="344">
        <v>12263</v>
      </c>
      <c r="D4589" s="343" t="s">
        <v>6601</v>
      </c>
      <c r="E4589" s="344">
        <v>5600988</v>
      </c>
      <c r="F4589" s="343" t="s">
        <v>6872</v>
      </c>
      <c r="G4589" s="360" t="s">
        <v>11345</v>
      </c>
      <c r="H4589" s="361">
        <v>43199</v>
      </c>
      <c r="I4589" s="343" t="s">
        <v>301</v>
      </c>
      <c r="J4589" s="343" t="s">
        <v>530</v>
      </c>
      <c r="K4589" s="343" t="s">
        <v>168</v>
      </c>
    </row>
    <row r="4590" spans="1:11" ht="26.25" customHeight="1">
      <c r="A4590" s="343" t="s">
        <v>6434</v>
      </c>
      <c r="B4590" s="344" t="s">
        <v>162</v>
      </c>
      <c r="C4590" s="344">
        <v>11449</v>
      </c>
      <c r="D4590" s="343" t="s">
        <v>6784</v>
      </c>
      <c r="E4590" s="344">
        <v>4935522</v>
      </c>
      <c r="F4590" s="343" t="s">
        <v>8988</v>
      </c>
      <c r="G4590" s="360" t="s">
        <v>9904</v>
      </c>
      <c r="H4590" s="361">
        <v>43199</v>
      </c>
      <c r="I4590" s="343" t="s">
        <v>366</v>
      </c>
      <c r="J4590" s="343" t="s">
        <v>10263</v>
      </c>
      <c r="K4590" s="343" t="s">
        <v>168</v>
      </c>
    </row>
    <row r="4591" spans="1:11" ht="26.25" customHeight="1">
      <c r="A4591" s="343" t="s">
        <v>6434</v>
      </c>
      <c r="B4591" s="344" t="s">
        <v>162</v>
      </c>
      <c r="C4591" s="344">
        <v>11449</v>
      </c>
      <c r="D4591" s="343" t="s">
        <v>6784</v>
      </c>
      <c r="E4591" s="344">
        <v>4935522</v>
      </c>
      <c r="F4591" s="343" t="s">
        <v>8988</v>
      </c>
      <c r="G4591" s="360" t="s">
        <v>9904</v>
      </c>
      <c r="H4591" s="361">
        <v>43199</v>
      </c>
      <c r="I4591" s="343" t="s">
        <v>366</v>
      </c>
      <c r="J4591" s="343" t="s">
        <v>366</v>
      </c>
      <c r="K4591" s="343" t="s">
        <v>168</v>
      </c>
    </row>
    <row r="4592" spans="1:11" ht="26.25" customHeight="1">
      <c r="A4592" s="343" t="s">
        <v>6434</v>
      </c>
      <c r="B4592" s="344" t="s">
        <v>162</v>
      </c>
      <c r="C4592" s="344">
        <v>11444</v>
      </c>
      <c r="D4592" s="343" t="s">
        <v>6970</v>
      </c>
      <c r="E4592" s="344">
        <v>6392909</v>
      </c>
      <c r="F4592" s="343" t="s">
        <v>8989</v>
      </c>
      <c r="G4592" s="360" t="s">
        <v>10144</v>
      </c>
      <c r="H4592" s="361">
        <v>43199</v>
      </c>
      <c r="I4592" s="343" t="s">
        <v>166</v>
      </c>
      <c r="J4592" s="343" t="s">
        <v>327</v>
      </c>
      <c r="K4592" s="343" t="s">
        <v>168</v>
      </c>
    </row>
    <row r="4593" spans="1:11" ht="26.25" customHeight="1">
      <c r="A4593" s="343" t="s">
        <v>6434</v>
      </c>
      <c r="B4593" s="344" t="s">
        <v>162</v>
      </c>
      <c r="C4593" s="344">
        <v>12035</v>
      </c>
      <c r="D4593" s="343" t="s">
        <v>6741</v>
      </c>
      <c r="E4593" s="344">
        <v>4443959</v>
      </c>
      <c r="F4593" s="343" t="s">
        <v>8990</v>
      </c>
      <c r="G4593" s="360" t="s">
        <v>13552</v>
      </c>
      <c r="H4593" s="361">
        <v>43200</v>
      </c>
      <c r="I4593" s="343" t="s">
        <v>180</v>
      </c>
      <c r="J4593" s="343" t="s">
        <v>13553</v>
      </c>
      <c r="K4593" s="343" t="s">
        <v>173</v>
      </c>
    </row>
    <row r="4594" spans="1:11" ht="26.25" customHeight="1">
      <c r="A4594" s="343" t="s">
        <v>6434</v>
      </c>
      <c r="B4594" s="344" t="s">
        <v>162</v>
      </c>
      <c r="C4594" s="344">
        <v>11362</v>
      </c>
      <c r="D4594" s="343" t="s">
        <v>8991</v>
      </c>
      <c r="E4594" s="344">
        <v>6849136</v>
      </c>
      <c r="F4594" s="343" t="s">
        <v>8992</v>
      </c>
      <c r="G4594" s="360" t="s">
        <v>13554</v>
      </c>
      <c r="H4594" s="361">
        <v>43200</v>
      </c>
      <c r="I4594" s="343" t="s">
        <v>514</v>
      </c>
      <c r="J4594" s="343" t="s">
        <v>13555</v>
      </c>
      <c r="K4594" s="343" t="s">
        <v>248</v>
      </c>
    </row>
    <row r="4595" spans="1:11" ht="26.25" customHeight="1">
      <c r="A4595" s="343" t="s">
        <v>6434</v>
      </c>
      <c r="B4595" s="344" t="s">
        <v>162</v>
      </c>
      <c r="C4595" s="344">
        <v>6840</v>
      </c>
      <c r="D4595" s="343" t="s">
        <v>6943</v>
      </c>
      <c r="E4595" s="344">
        <v>5974605</v>
      </c>
      <c r="F4595" s="343" t="s">
        <v>8993</v>
      </c>
      <c r="G4595" s="360" t="s">
        <v>10087</v>
      </c>
      <c r="H4595" s="361">
        <v>43200</v>
      </c>
      <c r="I4595" s="343" t="s">
        <v>8994</v>
      </c>
      <c r="J4595" s="343" t="s">
        <v>13556</v>
      </c>
      <c r="K4595" s="343" t="s">
        <v>168</v>
      </c>
    </row>
    <row r="4596" spans="1:11" ht="26.25" customHeight="1">
      <c r="A4596" s="343" t="s">
        <v>6434</v>
      </c>
      <c r="B4596" s="344" t="s">
        <v>162</v>
      </c>
      <c r="C4596" s="344">
        <v>9641</v>
      </c>
      <c r="D4596" s="343" t="s">
        <v>6838</v>
      </c>
      <c r="E4596" s="344">
        <v>5924446</v>
      </c>
      <c r="F4596" s="343" t="s">
        <v>8995</v>
      </c>
      <c r="G4596" s="360" t="s">
        <v>11624</v>
      </c>
      <c r="H4596" s="361">
        <v>43200</v>
      </c>
      <c r="I4596" s="343" t="s">
        <v>219</v>
      </c>
      <c r="J4596" s="343" t="s">
        <v>220</v>
      </c>
      <c r="K4596" s="343" t="s">
        <v>173</v>
      </c>
    </row>
    <row r="4597" spans="1:11" ht="26.25" customHeight="1">
      <c r="A4597" s="343" t="s">
        <v>6434</v>
      </c>
      <c r="B4597" s="344" t="s">
        <v>162</v>
      </c>
      <c r="C4597" s="344">
        <v>9667</v>
      </c>
      <c r="D4597" s="343" t="s">
        <v>6475</v>
      </c>
      <c r="E4597" s="344">
        <v>6776129</v>
      </c>
      <c r="F4597" s="343" t="s">
        <v>8996</v>
      </c>
      <c r="G4597" s="360" t="s">
        <v>13557</v>
      </c>
      <c r="H4597" s="361">
        <v>43200</v>
      </c>
      <c r="I4597" s="343" t="s">
        <v>354</v>
      </c>
      <c r="J4597" s="343" t="s">
        <v>9564</v>
      </c>
      <c r="K4597" s="343" t="s">
        <v>168</v>
      </c>
    </row>
    <row r="4598" spans="1:11" ht="26.25" customHeight="1">
      <c r="A4598" s="343" t="s">
        <v>6434</v>
      </c>
      <c r="B4598" s="344" t="s">
        <v>162</v>
      </c>
      <c r="C4598" s="344">
        <v>11319</v>
      </c>
      <c r="D4598" s="343" t="s">
        <v>6912</v>
      </c>
      <c r="E4598" s="344">
        <v>6079993</v>
      </c>
      <c r="F4598" s="343" t="s">
        <v>5111</v>
      </c>
      <c r="G4598" s="360" t="s">
        <v>1198</v>
      </c>
      <c r="H4598" s="361">
        <v>43200</v>
      </c>
      <c r="I4598" s="343" t="s">
        <v>219</v>
      </c>
      <c r="J4598" s="343" t="s">
        <v>220</v>
      </c>
      <c r="K4598" s="343" t="s">
        <v>173</v>
      </c>
    </row>
    <row r="4599" spans="1:11" ht="26.25" customHeight="1">
      <c r="A4599" s="343" t="s">
        <v>6434</v>
      </c>
      <c r="B4599" s="344" t="s">
        <v>162</v>
      </c>
      <c r="C4599" s="344">
        <v>11458</v>
      </c>
      <c r="D4599" s="343" t="s">
        <v>6533</v>
      </c>
      <c r="E4599" s="344">
        <v>6818799</v>
      </c>
      <c r="F4599" s="343" t="s">
        <v>8997</v>
      </c>
      <c r="G4599" s="360" t="s">
        <v>13558</v>
      </c>
      <c r="H4599" s="361">
        <v>43200</v>
      </c>
      <c r="I4599" s="343" t="s">
        <v>3583</v>
      </c>
      <c r="J4599" s="343" t="s">
        <v>9390</v>
      </c>
      <c r="K4599" s="343" t="s">
        <v>173</v>
      </c>
    </row>
    <row r="4600" spans="1:11" ht="26.25" customHeight="1">
      <c r="A4600" s="343" t="s">
        <v>6434</v>
      </c>
      <c r="B4600" s="344" t="s">
        <v>162</v>
      </c>
      <c r="C4600" s="344">
        <v>11452</v>
      </c>
      <c r="D4600" s="343" t="s">
        <v>6465</v>
      </c>
      <c r="E4600" s="344">
        <v>6550876</v>
      </c>
      <c r="F4600" s="343" t="s">
        <v>8998</v>
      </c>
      <c r="G4600" s="360" t="s">
        <v>13559</v>
      </c>
      <c r="H4600" s="361">
        <v>43200</v>
      </c>
      <c r="I4600" s="343" t="s">
        <v>366</v>
      </c>
      <c r="J4600" s="343" t="s">
        <v>366</v>
      </c>
      <c r="K4600" s="343" t="s">
        <v>168</v>
      </c>
    </row>
    <row r="4601" spans="1:11" ht="26.25" customHeight="1">
      <c r="A4601" s="343" t="s">
        <v>6434</v>
      </c>
      <c r="B4601" s="344" t="s">
        <v>162</v>
      </c>
      <c r="C4601" s="344">
        <v>11358</v>
      </c>
      <c r="D4601" s="343" t="s">
        <v>6459</v>
      </c>
      <c r="E4601" s="344">
        <v>6972804</v>
      </c>
      <c r="F4601" s="343" t="s">
        <v>8999</v>
      </c>
      <c r="G4601" s="360" t="s">
        <v>13560</v>
      </c>
      <c r="H4601" s="361">
        <v>43200</v>
      </c>
      <c r="I4601" s="343" t="s">
        <v>3629</v>
      </c>
      <c r="J4601" s="343" t="s">
        <v>13561</v>
      </c>
      <c r="K4601" s="343" t="s">
        <v>168</v>
      </c>
    </row>
    <row r="4602" spans="1:11" ht="26.25" customHeight="1">
      <c r="A4602" s="343" t="s">
        <v>6434</v>
      </c>
      <c r="B4602" s="344" t="s">
        <v>162</v>
      </c>
      <c r="C4602" s="344">
        <v>11344</v>
      </c>
      <c r="D4602" s="343" t="s">
        <v>6746</v>
      </c>
      <c r="E4602" s="344">
        <v>3690772</v>
      </c>
      <c r="F4602" s="343" t="s">
        <v>9000</v>
      </c>
      <c r="G4602" s="360" t="s">
        <v>11421</v>
      </c>
      <c r="H4602" s="361">
        <v>43200</v>
      </c>
      <c r="I4602" s="343" t="s">
        <v>1016</v>
      </c>
      <c r="J4602" s="343" t="s">
        <v>13562</v>
      </c>
      <c r="K4602" s="343" t="s">
        <v>168</v>
      </c>
    </row>
    <row r="4603" spans="1:11" ht="26.25" customHeight="1">
      <c r="A4603" s="343" t="s">
        <v>6434</v>
      </c>
      <c r="B4603" s="344" t="s">
        <v>162</v>
      </c>
      <c r="C4603" s="344">
        <v>11317</v>
      </c>
      <c r="D4603" s="343" t="s">
        <v>6886</v>
      </c>
      <c r="E4603" s="344">
        <v>6679216</v>
      </c>
      <c r="F4603" s="343" t="s">
        <v>9001</v>
      </c>
      <c r="G4603" s="360" t="s">
        <v>508</v>
      </c>
      <c r="H4603" s="361">
        <v>43200</v>
      </c>
      <c r="I4603" s="343" t="s">
        <v>336</v>
      </c>
      <c r="J4603" s="343" t="s">
        <v>10159</v>
      </c>
      <c r="K4603" s="343" t="s">
        <v>168</v>
      </c>
    </row>
    <row r="4604" spans="1:11" ht="26.25" customHeight="1">
      <c r="A4604" s="343" t="s">
        <v>6434</v>
      </c>
      <c r="B4604" s="344" t="s">
        <v>162</v>
      </c>
      <c r="C4604" s="344">
        <v>11440</v>
      </c>
      <c r="D4604" s="343" t="s">
        <v>6583</v>
      </c>
      <c r="E4604" s="344">
        <v>6065189</v>
      </c>
      <c r="F4604" s="343" t="s">
        <v>6585</v>
      </c>
      <c r="G4604" s="360" t="s">
        <v>1329</v>
      </c>
      <c r="H4604" s="361">
        <v>43200</v>
      </c>
      <c r="I4604" s="343" t="s">
        <v>193</v>
      </c>
      <c r="J4604" s="343" t="s">
        <v>637</v>
      </c>
      <c r="K4604" s="343" t="s">
        <v>168</v>
      </c>
    </row>
    <row r="4605" spans="1:11" ht="26.25" customHeight="1">
      <c r="A4605" s="343" t="s">
        <v>6434</v>
      </c>
      <c r="B4605" s="344" t="s">
        <v>162</v>
      </c>
      <c r="C4605" s="344">
        <v>11355</v>
      </c>
      <c r="D4605" s="343" t="s">
        <v>6442</v>
      </c>
      <c r="E4605" s="344">
        <v>6644599</v>
      </c>
      <c r="F4605" s="343" t="s">
        <v>9002</v>
      </c>
      <c r="G4605" s="360" t="s">
        <v>11138</v>
      </c>
      <c r="H4605" s="361">
        <v>43200</v>
      </c>
      <c r="I4605" s="343" t="s">
        <v>193</v>
      </c>
      <c r="J4605" s="343" t="s">
        <v>637</v>
      </c>
      <c r="K4605" s="343" t="s">
        <v>168</v>
      </c>
    </row>
    <row r="4606" spans="1:11" ht="26.25" customHeight="1">
      <c r="A4606" s="343" t="s">
        <v>6434</v>
      </c>
      <c r="B4606" s="344" t="s">
        <v>162</v>
      </c>
      <c r="C4606" s="344">
        <v>11311</v>
      </c>
      <c r="D4606" s="343" t="s">
        <v>6916</v>
      </c>
      <c r="E4606" s="344">
        <v>6637960</v>
      </c>
      <c r="F4606" s="343" t="s">
        <v>9003</v>
      </c>
      <c r="G4606" s="360" t="s">
        <v>13563</v>
      </c>
      <c r="H4606" s="361">
        <v>43203</v>
      </c>
      <c r="I4606" s="343" t="s">
        <v>9004</v>
      </c>
      <c r="J4606" s="343" t="s">
        <v>13564</v>
      </c>
      <c r="K4606" s="343" t="s">
        <v>168</v>
      </c>
    </row>
    <row r="4607" spans="1:11" ht="26.25" customHeight="1">
      <c r="A4607" s="343" t="s">
        <v>6434</v>
      </c>
      <c r="B4607" s="344" t="s">
        <v>162</v>
      </c>
      <c r="C4607" s="344">
        <v>11458</v>
      </c>
      <c r="D4607" s="343" t="s">
        <v>6533</v>
      </c>
      <c r="E4607" s="344">
        <v>6525340</v>
      </c>
      <c r="F4607" s="343" t="s">
        <v>6535</v>
      </c>
      <c r="G4607" s="360" t="s">
        <v>13565</v>
      </c>
      <c r="H4607" s="361">
        <v>43203</v>
      </c>
      <c r="I4607" s="343" t="s">
        <v>166</v>
      </c>
      <c r="J4607" s="343" t="s">
        <v>10536</v>
      </c>
      <c r="K4607" s="343" t="s">
        <v>168</v>
      </c>
    </row>
    <row r="4608" spans="1:11" ht="26.25" customHeight="1">
      <c r="A4608" s="343" t="s">
        <v>6434</v>
      </c>
      <c r="B4608" s="344" t="s">
        <v>162</v>
      </c>
      <c r="C4608" s="344">
        <v>11338</v>
      </c>
      <c r="D4608" s="343" t="s">
        <v>6677</v>
      </c>
      <c r="E4608" s="344">
        <v>4655842</v>
      </c>
      <c r="F4608" s="343" t="s">
        <v>9005</v>
      </c>
      <c r="G4608" s="360" t="s">
        <v>13566</v>
      </c>
      <c r="H4608" s="361">
        <v>43203</v>
      </c>
      <c r="I4608" s="343" t="s">
        <v>211</v>
      </c>
      <c r="J4608" s="343" t="s">
        <v>211</v>
      </c>
      <c r="K4608" s="343" t="s">
        <v>168</v>
      </c>
    </row>
    <row r="4609" spans="1:11" ht="26.25" customHeight="1">
      <c r="A4609" s="343" t="s">
        <v>6434</v>
      </c>
      <c r="B4609" s="344" t="s">
        <v>162</v>
      </c>
      <c r="C4609" s="344">
        <v>11458</v>
      </c>
      <c r="D4609" s="343" t="s">
        <v>6533</v>
      </c>
      <c r="E4609" s="344">
        <v>6814879</v>
      </c>
      <c r="F4609" s="343" t="s">
        <v>8136</v>
      </c>
      <c r="G4609" s="360" t="s">
        <v>11633</v>
      </c>
      <c r="H4609" s="361">
        <v>43203</v>
      </c>
      <c r="I4609" s="343" t="s">
        <v>166</v>
      </c>
      <c r="J4609" s="343" t="s">
        <v>327</v>
      </c>
      <c r="K4609" s="343" t="s">
        <v>168</v>
      </c>
    </row>
    <row r="4610" spans="1:11" ht="26.25" customHeight="1">
      <c r="A4610" s="343" t="s">
        <v>6434</v>
      </c>
      <c r="B4610" s="344" t="s">
        <v>162</v>
      </c>
      <c r="C4610" s="344">
        <v>11316</v>
      </c>
      <c r="D4610" s="343" t="s">
        <v>6884</v>
      </c>
      <c r="E4610" s="344">
        <v>6418100</v>
      </c>
      <c r="F4610" s="343" t="s">
        <v>9006</v>
      </c>
      <c r="G4610" s="360" t="s">
        <v>9560</v>
      </c>
      <c r="H4610" s="361">
        <v>43203</v>
      </c>
      <c r="I4610" s="343" t="s">
        <v>3910</v>
      </c>
      <c r="J4610" s="343" t="s">
        <v>9547</v>
      </c>
      <c r="K4610" s="343" t="s">
        <v>173</v>
      </c>
    </row>
    <row r="4611" spans="1:11" ht="26.25" customHeight="1">
      <c r="A4611" s="343" t="s">
        <v>6434</v>
      </c>
      <c r="B4611" s="344" t="s">
        <v>162</v>
      </c>
      <c r="C4611" s="344">
        <v>11320</v>
      </c>
      <c r="D4611" s="343" t="s">
        <v>6921</v>
      </c>
      <c r="E4611" s="344">
        <v>5771705</v>
      </c>
      <c r="F4611" s="343" t="s">
        <v>9007</v>
      </c>
      <c r="G4611" s="360" t="s">
        <v>13567</v>
      </c>
      <c r="H4611" s="361">
        <v>43203</v>
      </c>
      <c r="I4611" s="343" t="s">
        <v>366</v>
      </c>
      <c r="J4611" s="343" t="s">
        <v>366</v>
      </c>
      <c r="K4611" s="343" t="s">
        <v>168</v>
      </c>
    </row>
    <row r="4612" spans="1:11" ht="26.25" customHeight="1">
      <c r="A4612" s="343" t="s">
        <v>6434</v>
      </c>
      <c r="B4612" s="344" t="s">
        <v>162</v>
      </c>
      <c r="C4612" s="344">
        <v>11330</v>
      </c>
      <c r="D4612" s="343" t="s">
        <v>6977</v>
      </c>
      <c r="E4612" s="344">
        <v>7000950</v>
      </c>
      <c r="F4612" s="343" t="s">
        <v>9008</v>
      </c>
      <c r="G4612" s="360" t="s">
        <v>661</v>
      </c>
      <c r="H4612" s="361">
        <v>43203</v>
      </c>
      <c r="I4612" s="343" t="s">
        <v>784</v>
      </c>
      <c r="J4612" s="343" t="s">
        <v>13568</v>
      </c>
      <c r="K4612" s="343" t="s">
        <v>168</v>
      </c>
    </row>
    <row r="4613" spans="1:11" ht="26.25" customHeight="1">
      <c r="A4613" s="343" t="s">
        <v>6434</v>
      </c>
      <c r="B4613" s="344" t="s">
        <v>162</v>
      </c>
      <c r="C4613" s="344">
        <v>9840</v>
      </c>
      <c r="D4613" s="343" t="s">
        <v>6507</v>
      </c>
      <c r="E4613" s="344">
        <v>6591579</v>
      </c>
      <c r="F4613" s="343" t="s">
        <v>9009</v>
      </c>
      <c r="G4613" s="360" t="s">
        <v>237</v>
      </c>
      <c r="H4613" s="361">
        <v>43206</v>
      </c>
      <c r="I4613" s="343" t="s">
        <v>354</v>
      </c>
      <c r="J4613" s="343" t="s">
        <v>13569</v>
      </c>
      <c r="K4613" s="343" t="s">
        <v>168</v>
      </c>
    </row>
    <row r="4614" spans="1:11" ht="26.25" customHeight="1">
      <c r="A4614" s="343" t="s">
        <v>6434</v>
      </c>
      <c r="B4614" s="344" t="s">
        <v>162</v>
      </c>
      <c r="C4614" s="344">
        <v>9840</v>
      </c>
      <c r="D4614" s="343" t="s">
        <v>6507</v>
      </c>
      <c r="E4614" s="344">
        <v>6287631</v>
      </c>
      <c r="F4614" s="343" t="s">
        <v>9010</v>
      </c>
      <c r="G4614" s="360" t="s">
        <v>11870</v>
      </c>
      <c r="H4614" s="361">
        <v>43206</v>
      </c>
      <c r="I4614" s="343" t="s">
        <v>301</v>
      </c>
      <c r="J4614" s="343" t="s">
        <v>13570</v>
      </c>
      <c r="K4614" s="343" t="s">
        <v>173</v>
      </c>
    </row>
    <row r="4615" spans="1:11" ht="26.25" customHeight="1">
      <c r="A4615" s="343" t="s">
        <v>6434</v>
      </c>
      <c r="B4615" s="344" t="s">
        <v>162</v>
      </c>
      <c r="C4615" s="344">
        <v>7689</v>
      </c>
      <c r="D4615" s="343" t="s">
        <v>6439</v>
      </c>
      <c r="E4615" s="344">
        <v>6889932</v>
      </c>
      <c r="F4615" s="343" t="s">
        <v>9011</v>
      </c>
      <c r="G4615" s="360" t="s">
        <v>9783</v>
      </c>
      <c r="H4615" s="361">
        <v>43206</v>
      </c>
      <c r="I4615" s="343" t="s">
        <v>9012</v>
      </c>
      <c r="J4615" s="343" t="s">
        <v>13571</v>
      </c>
      <c r="K4615" s="343" t="s">
        <v>168</v>
      </c>
    </row>
    <row r="4616" spans="1:11" ht="26.25" customHeight="1">
      <c r="A4616" s="343" t="s">
        <v>6434</v>
      </c>
      <c r="B4616" s="344" t="s">
        <v>162</v>
      </c>
      <c r="C4616" s="344">
        <v>11314</v>
      </c>
      <c r="D4616" s="343" t="s">
        <v>6863</v>
      </c>
      <c r="E4616" s="344">
        <v>6160168</v>
      </c>
      <c r="F4616" s="343" t="s">
        <v>9013</v>
      </c>
      <c r="G4616" s="360" t="s">
        <v>12906</v>
      </c>
      <c r="H4616" s="361">
        <v>43206</v>
      </c>
      <c r="I4616" s="343" t="s">
        <v>3583</v>
      </c>
      <c r="J4616" s="343" t="s">
        <v>9613</v>
      </c>
      <c r="K4616" s="343" t="s">
        <v>168</v>
      </c>
    </row>
    <row r="4617" spans="1:11" ht="26.25" customHeight="1">
      <c r="A4617" s="343" t="s">
        <v>6434</v>
      </c>
      <c r="B4617" s="344" t="s">
        <v>162</v>
      </c>
      <c r="C4617" s="344">
        <v>11332</v>
      </c>
      <c r="D4617" s="343" t="s">
        <v>6609</v>
      </c>
      <c r="E4617" s="344">
        <v>6943425</v>
      </c>
      <c r="F4617" s="343" t="s">
        <v>9014</v>
      </c>
      <c r="G4617" s="360" t="s">
        <v>10452</v>
      </c>
      <c r="H4617" s="361">
        <v>43206</v>
      </c>
      <c r="I4617" s="343" t="s">
        <v>5043</v>
      </c>
      <c r="J4617" s="343" t="s">
        <v>13572</v>
      </c>
      <c r="K4617" s="343" t="s">
        <v>248</v>
      </c>
    </row>
    <row r="4618" spans="1:11" ht="26.25" customHeight="1">
      <c r="A4618" s="343" t="s">
        <v>6434</v>
      </c>
      <c r="B4618" s="344" t="s">
        <v>162</v>
      </c>
      <c r="C4618" s="344">
        <v>11343</v>
      </c>
      <c r="D4618" s="343" t="s">
        <v>6795</v>
      </c>
      <c r="E4618" s="344">
        <v>5599283</v>
      </c>
      <c r="F4618" s="343" t="s">
        <v>9015</v>
      </c>
      <c r="G4618" s="360" t="s">
        <v>13573</v>
      </c>
      <c r="H4618" s="361">
        <v>43207</v>
      </c>
      <c r="I4618" s="343" t="s">
        <v>180</v>
      </c>
      <c r="J4618" s="343" t="s">
        <v>13574</v>
      </c>
      <c r="K4618" s="343" t="s">
        <v>173</v>
      </c>
    </row>
    <row r="4619" spans="1:11" ht="26.25" customHeight="1">
      <c r="A4619" s="343" t="s">
        <v>6434</v>
      </c>
      <c r="B4619" s="344" t="s">
        <v>162</v>
      </c>
      <c r="C4619" s="344">
        <v>11348</v>
      </c>
      <c r="D4619" s="343" t="s">
        <v>6802</v>
      </c>
      <c r="E4619" s="344">
        <v>5117862</v>
      </c>
      <c r="F4619" s="343" t="s">
        <v>6811</v>
      </c>
      <c r="G4619" s="360" t="s">
        <v>11521</v>
      </c>
      <c r="H4619" s="361">
        <v>43207</v>
      </c>
      <c r="I4619" s="343" t="s">
        <v>709</v>
      </c>
      <c r="J4619" s="343" t="s">
        <v>9388</v>
      </c>
      <c r="K4619" s="343" t="s">
        <v>168</v>
      </c>
    </row>
    <row r="4620" spans="1:11" ht="26.25" customHeight="1">
      <c r="A4620" s="343" t="s">
        <v>6434</v>
      </c>
      <c r="B4620" s="344" t="s">
        <v>162</v>
      </c>
      <c r="C4620" s="344">
        <v>11339</v>
      </c>
      <c r="D4620" s="343" t="s">
        <v>6689</v>
      </c>
      <c r="E4620" s="344">
        <v>6167834</v>
      </c>
      <c r="F4620" s="343" t="s">
        <v>6954</v>
      </c>
      <c r="G4620" s="360" t="s">
        <v>13575</v>
      </c>
      <c r="H4620" s="361">
        <v>43208</v>
      </c>
      <c r="I4620" s="343" t="s">
        <v>180</v>
      </c>
      <c r="J4620" s="343" t="s">
        <v>13576</v>
      </c>
      <c r="K4620" s="343" t="s">
        <v>168</v>
      </c>
    </row>
    <row r="4621" spans="1:11" ht="26.25" customHeight="1">
      <c r="A4621" s="343" t="s">
        <v>6434</v>
      </c>
      <c r="B4621" s="344" t="s">
        <v>162</v>
      </c>
      <c r="C4621" s="344">
        <v>7686</v>
      </c>
      <c r="D4621" s="343" t="s">
        <v>6493</v>
      </c>
      <c r="E4621" s="344">
        <v>6317159</v>
      </c>
      <c r="F4621" s="343" t="s">
        <v>9016</v>
      </c>
      <c r="G4621" s="360" t="s">
        <v>11531</v>
      </c>
      <c r="H4621" s="361">
        <v>43208</v>
      </c>
      <c r="I4621" s="343" t="s">
        <v>198</v>
      </c>
      <c r="J4621" s="343" t="s">
        <v>198</v>
      </c>
      <c r="K4621" s="343" t="s">
        <v>168</v>
      </c>
    </row>
    <row r="4622" spans="1:11" ht="26.25" customHeight="1">
      <c r="A4622" s="343" t="s">
        <v>6434</v>
      </c>
      <c r="B4622" s="344" t="s">
        <v>162</v>
      </c>
      <c r="C4622" s="344">
        <v>6848</v>
      </c>
      <c r="D4622" s="343" t="s">
        <v>8118</v>
      </c>
      <c r="E4622" s="344">
        <v>6977787</v>
      </c>
      <c r="F4622" s="343" t="s">
        <v>9017</v>
      </c>
      <c r="G4622" s="360" t="s">
        <v>13577</v>
      </c>
      <c r="H4622" s="361">
        <v>43208</v>
      </c>
      <c r="I4622" s="343" t="s">
        <v>6027</v>
      </c>
      <c r="J4622" s="343" t="s">
        <v>13578</v>
      </c>
      <c r="K4622" s="343" t="s">
        <v>168</v>
      </c>
    </row>
    <row r="4623" spans="1:11" ht="26.25" customHeight="1">
      <c r="A4623" s="343" t="s">
        <v>6434</v>
      </c>
      <c r="B4623" s="344" t="s">
        <v>162</v>
      </c>
      <c r="C4623" s="344">
        <v>6844</v>
      </c>
      <c r="D4623" s="343" t="s">
        <v>6836</v>
      </c>
      <c r="E4623" s="344">
        <v>5924887</v>
      </c>
      <c r="F4623" s="343" t="s">
        <v>9018</v>
      </c>
      <c r="G4623" s="360" t="s">
        <v>12779</v>
      </c>
      <c r="H4623" s="361">
        <v>43208</v>
      </c>
      <c r="I4623" s="343" t="s">
        <v>366</v>
      </c>
      <c r="J4623" s="343" t="s">
        <v>366</v>
      </c>
      <c r="K4623" s="343" t="s">
        <v>168</v>
      </c>
    </row>
    <row r="4624" spans="1:11" ht="26.25" customHeight="1">
      <c r="A4624" s="343" t="s">
        <v>6434</v>
      </c>
      <c r="B4624" s="344" t="s">
        <v>162</v>
      </c>
      <c r="C4624" s="344">
        <v>11852</v>
      </c>
      <c r="D4624" s="343" t="s">
        <v>6542</v>
      </c>
      <c r="E4624" s="344">
        <v>4511747</v>
      </c>
      <c r="F4624" s="343" t="s">
        <v>6543</v>
      </c>
      <c r="G4624" s="360" t="s">
        <v>13579</v>
      </c>
      <c r="H4624" s="361">
        <v>43208</v>
      </c>
      <c r="I4624" s="343" t="s">
        <v>211</v>
      </c>
      <c r="J4624" s="343" t="s">
        <v>909</v>
      </c>
      <c r="K4624" s="343" t="s">
        <v>168</v>
      </c>
    </row>
    <row r="4625" spans="1:11" ht="26.25" customHeight="1">
      <c r="A4625" s="343" t="s">
        <v>6434</v>
      </c>
      <c r="B4625" s="344" t="s">
        <v>162</v>
      </c>
      <c r="C4625" s="344">
        <v>11851</v>
      </c>
      <c r="D4625" s="343" t="s">
        <v>6566</v>
      </c>
      <c r="E4625" s="344">
        <v>6532124</v>
      </c>
      <c r="F4625" s="343" t="s">
        <v>9019</v>
      </c>
      <c r="G4625" s="360" t="s">
        <v>10659</v>
      </c>
      <c r="H4625" s="361">
        <v>43208</v>
      </c>
      <c r="I4625" s="343" t="s">
        <v>198</v>
      </c>
      <c r="J4625" s="343" t="s">
        <v>198</v>
      </c>
      <c r="K4625" s="343" t="s">
        <v>168</v>
      </c>
    </row>
    <row r="4626" spans="1:11" ht="26.25" customHeight="1">
      <c r="A4626" s="343" t="s">
        <v>6434</v>
      </c>
      <c r="B4626" s="344" t="s">
        <v>162</v>
      </c>
      <c r="C4626" s="344">
        <v>11851</v>
      </c>
      <c r="D4626" s="343" t="s">
        <v>6566</v>
      </c>
      <c r="E4626" s="344">
        <v>6479435</v>
      </c>
      <c r="F4626" s="343" t="s">
        <v>9020</v>
      </c>
      <c r="G4626" s="360" t="s">
        <v>13580</v>
      </c>
      <c r="H4626" s="361">
        <v>43208</v>
      </c>
      <c r="I4626" s="343" t="s">
        <v>198</v>
      </c>
      <c r="J4626" s="343" t="s">
        <v>198</v>
      </c>
      <c r="K4626" s="343" t="s">
        <v>168</v>
      </c>
    </row>
    <row r="4627" spans="1:11" ht="26.25" customHeight="1">
      <c r="A4627" s="343" t="s">
        <v>6434</v>
      </c>
      <c r="B4627" s="344" t="s">
        <v>162</v>
      </c>
      <c r="C4627" s="344">
        <v>11457</v>
      </c>
      <c r="D4627" s="343" t="s">
        <v>6523</v>
      </c>
      <c r="E4627" s="344">
        <v>6643753</v>
      </c>
      <c r="F4627" s="343" t="s">
        <v>9021</v>
      </c>
      <c r="G4627" s="360" t="s">
        <v>10527</v>
      </c>
      <c r="H4627" s="361">
        <v>43208</v>
      </c>
      <c r="I4627" s="343" t="s">
        <v>166</v>
      </c>
      <c r="J4627" s="343" t="s">
        <v>296</v>
      </c>
      <c r="K4627" s="343" t="s">
        <v>168</v>
      </c>
    </row>
    <row r="4628" spans="1:11" ht="26.25" customHeight="1">
      <c r="A4628" s="343" t="s">
        <v>6434</v>
      </c>
      <c r="B4628" s="344" t="s">
        <v>162</v>
      </c>
      <c r="C4628" s="344">
        <v>12847</v>
      </c>
      <c r="D4628" s="343" t="s">
        <v>6478</v>
      </c>
      <c r="E4628" s="344">
        <v>6205449</v>
      </c>
      <c r="F4628" s="343" t="s">
        <v>9022</v>
      </c>
      <c r="G4628" s="360" t="s">
        <v>12943</v>
      </c>
      <c r="H4628" s="361">
        <v>43208</v>
      </c>
      <c r="I4628" s="343" t="s">
        <v>193</v>
      </c>
      <c r="J4628" s="343" t="s">
        <v>509</v>
      </c>
      <c r="K4628" s="343" t="s">
        <v>168</v>
      </c>
    </row>
    <row r="4629" spans="1:11" ht="26.25" customHeight="1">
      <c r="A4629" s="343" t="s">
        <v>6434</v>
      </c>
      <c r="B4629" s="344" t="s">
        <v>162</v>
      </c>
      <c r="C4629" s="344">
        <v>12885</v>
      </c>
      <c r="D4629" s="343" t="s">
        <v>6972</v>
      </c>
      <c r="E4629" s="344">
        <v>6889333</v>
      </c>
      <c r="F4629" s="343" t="s">
        <v>9023</v>
      </c>
      <c r="G4629" s="360" t="s">
        <v>11788</v>
      </c>
      <c r="H4629" s="361">
        <v>43215</v>
      </c>
      <c r="I4629" s="343" t="s">
        <v>193</v>
      </c>
      <c r="J4629" s="343" t="s">
        <v>637</v>
      </c>
      <c r="K4629" s="343" t="s">
        <v>168</v>
      </c>
    </row>
    <row r="4630" spans="1:11" ht="26.25" customHeight="1">
      <c r="A4630" s="343" t="s">
        <v>6434</v>
      </c>
      <c r="B4630" s="344" t="s">
        <v>162</v>
      </c>
      <c r="C4630" s="344">
        <v>11447</v>
      </c>
      <c r="D4630" s="343" t="s">
        <v>6698</v>
      </c>
      <c r="E4630" s="344">
        <v>5313413</v>
      </c>
      <c r="F4630" s="343" t="s">
        <v>9024</v>
      </c>
      <c r="G4630" s="360" t="s">
        <v>13581</v>
      </c>
      <c r="H4630" s="361">
        <v>43217</v>
      </c>
      <c r="I4630" s="343" t="s">
        <v>9025</v>
      </c>
      <c r="J4630" s="343" t="s">
        <v>13582</v>
      </c>
      <c r="K4630" s="343" t="s">
        <v>168</v>
      </c>
    </row>
    <row r="4631" spans="1:11" ht="26.25" customHeight="1">
      <c r="A4631" s="343" t="s">
        <v>6434</v>
      </c>
      <c r="B4631" s="344" t="s">
        <v>162</v>
      </c>
      <c r="C4631" s="344">
        <v>11312</v>
      </c>
      <c r="D4631" s="343" t="s">
        <v>6846</v>
      </c>
      <c r="E4631" s="344">
        <v>6008977</v>
      </c>
      <c r="F4631" s="343" t="s">
        <v>9026</v>
      </c>
      <c r="G4631" s="360" t="s">
        <v>10592</v>
      </c>
      <c r="H4631" s="361">
        <v>43222</v>
      </c>
      <c r="I4631" s="343" t="s">
        <v>166</v>
      </c>
      <c r="J4631" s="343" t="s">
        <v>296</v>
      </c>
      <c r="K4631" s="343" t="s">
        <v>168</v>
      </c>
    </row>
    <row r="4632" spans="1:11" ht="26.25" customHeight="1">
      <c r="A4632" s="343" t="s">
        <v>6434</v>
      </c>
      <c r="B4632" s="344" t="s">
        <v>162</v>
      </c>
      <c r="C4632" s="344">
        <v>11451</v>
      </c>
      <c r="D4632" s="343" t="s">
        <v>6461</v>
      </c>
      <c r="E4632" s="344">
        <v>6701381</v>
      </c>
      <c r="F4632" s="343" t="s">
        <v>9027</v>
      </c>
      <c r="G4632" s="360" t="s">
        <v>11204</v>
      </c>
      <c r="H4632" s="361">
        <v>43222</v>
      </c>
      <c r="I4632" s="343" t="s">
        <v>349</v>
      </c>
      <c r="J4632" s="343" t="s">
        <v>9692</v>
      </c>
      <c r="K4632" s="343" t="s">
        <v>168</v>
      </c>
    </row>
    <row r="4633" spans="1:11" ht="26.25" customHeight="1">
      <c r="A4633" s="343" t="s">
        <v>6434</v>
      </c>
      <c r="B4633" s="344" t="s">
        <v>162</v>
      </c>
      <c r="C4633" s="344">
        <v>6845</v>
      </c>
      <c r="D4633" s="343" t="s">
        <v>6955</v>
      </c>
      <c r="E4633" s="344">
        <v>6125500</v>
      </c>
      <c r="F4633" s="343" t="s">
        <v>9028</v>
      </c>
      <c r="G4633" s="360" t="s">
        <v>10722</v>
      </c>
      <c r="H4633" s="361">
        <v>43222</v>
      </c>
      <c r="I4633" s="343" t="s">
        <v>620</v>
      </c>
      <c r="J4633" s="343" t="s">
        <v>13583</v>
      </c>
      <c r="K4633" s="343" t="s">
        <v>168</v>
      </c>
    </row>
    <row r="4634" spans="1:11" ht="26.25" customHeight="1">
      <c r="A4634" s="343" t="s">
        <v>6434</v>
      </c>
      <c r="B4634" s="344" t="s">
        <v>162</v>
      </c>
      <c r="C4634" s="344">
        <v>9667</v>
      </c>
      <c r="D4634" s="343" t="s">
        <v>6475</v>
      </c>
      <c r="E4634" s="344">
        <v>6733758</v>
      </c>
      <c r="F4634" s="343" t="s">
        <v>6476</v>
      </c>
      <c r="G4634" s="360" t="s">
        <v>13584</v>
      </c>
      <c r="H4634" s="361">
        <v>43222</v>
      </c>
      <c r="I4634" s="343" t="s">
        <v>305</v>
      </c>
      <c r="J4634" s="343" t="s">
        <v>13585</v>
      </c>
      <c r="K4634" s="343" t="s">
        <v>168</v>
      </c>
    </row>
    <row r="4635" spans="1:11" ht="26.25" customHeight="1">
      <c r="A4635" s="343" t="s">
        <v>6434</v>
      </c>
      <c r="B4635" s="344" t="s">
        <v>162</v>
      </c>
      <c r="C4635" s="344">
        <v>11344</v>
      </c>
      <c r="D4635" s="343" t="s">
        <v>6746</v>
      </c>
      <c r="E4635" s="344">
        <v>5098063</v>
      </c>
      <c r="F4635" s="343" t="s">
        <v>7418</v>
      </c>
      <c r="G4635" s="360" t="s">
        <v>13586</v>
      </c>
      <c r="H4635" s="361">
        <v>43222</v>
      </c>
      <c r="I4635" s="343" t="s">
        <v>709</v>
      </c>
      <c r="J4635" s="343" t="s">
        <v>9629</v>
      </c>
      <c r="K4635" s="343" t="s">
        <v>168</v>
      </c>
    </row>
    <row r="4636" spans="1:11" ht="26.25" customHeight="1">
      <c r="A4636" s="343" t="s">
        <v>6434</v>
      </c>
      <c r="B4636" s="344" t="s">
        <v>162</v>
      </c>
      <c r="C4636" s="344">
        <v>6848</v>
      </c>
      <c r="D4636" s="343" t="s">
        <v>8118</v>
      </c>
      <c r="E4636" s="344">
        <v>6044290</v>
      </c>
      <c r="F4636" s="343" t="s">
        <v>9029</v>
      </c>
      <c r="G4636" s="360" t="s">
        <v>372</v>
      </c>
      <c r="H4636" s="361">
        <v>43222</v>
      </c>
      <c r="I4636" s="343" t="s">
        <v>8872</v>
      </c>
      <c r="J4636" s="343" t="s">
        <v>13587</v>
      </c>
      <c r="K4636" s="343" t="s">
        <v>248</v>
      </c>
    </row>
    <row r="4637" spans="1:11" ht="26.25" customHeight="1">
      <c r="A4637" s="343" t="s">
        <v>6434</v>
      </c>
      <c r="B4637" s="344" t="s">
        <v>162</v>
      </c>
      <c r="C4637" s="344">
        <v>6841</v>
      </c>
      <c r="D4637" s="343" t="s">
        <v>6848</v>
      </c>
      <c r="E4637" s="344">
        <v>6448639</v>
      </c>
      <c r="F4637" s="343" t="s">
        <v>13588</v>
      </c>
      <c r="G4637" s="360" t="s">
        <v>13589</v>
      </c>
      <c r="H4637" s="361">
        <v>43223</v>
      </c>
      <c r="I4637" s="343" t="s">
        <v>3698</v>
      </c>
      <c r="J4637" s="343" t="s">
        <v>12201</v>
      </c>
      <c r="K4637" s="343" t="s">
        <v>168</v>
      </c>
    </row>
    <row r="4638" spans="1:11" ht="26.25" customHeight="1">
      <c r="A4638" s="343" t="s">
        <v>6434</v>
      </c>
      <c r="B4638" s="344" t="s">
        <v>162</v>
      </c>
      <c r="C4638" s="344">
        <v>11310</v>
      </c>
      <c r="D4638" s="343" t="s">
        <v>6888</v>
      </c>
      <c r="E4638" s="344">
        <v>6572700</v>
      </c>
      <c r="F4638" s="343" t="s">
        <v>9030</v>
      </c>
      <c r="G4638" s="360" t="s">
        <v>13415</v>
      </c>
      <c r="H4638" s="361">
        <v>43223</v>
      </c>
      <c r="I4638" s="343" t="s">
        <v>284</v>
      </c>
      <c r="J4638" s="343" t="s">
        <v>10432</v>
      </c>
      <c r="K4638" s="343" t="s">
        <v>168</v>
      </c>
    </row>
    <row r="4639" spans="1:11" ht="26.25" customHeight="1">
      <c r="A4639" s="343" t="s">
        <v>6434</v>
      </c>
      <c r="B4639" s="344" t="s">
        <v>162</v>
      </c>
      <c r="C4639" s="344">
        <v>8440</v>
      </c>
      <c r="D4639" s="343" t="s">
        <v>6750</v>
      </c>
      <c r="E4639" s="344">
        <v>6087993</v>
      </c>
      <c r="F4639" s="343" t="s">
        <v>9031</v>
      </c>
      <c r="G4639" s="360" t="s">
        <v>9971</v>
      </c>
      <c r="H4639" s="361">
        <v>43223</v>
      </c>
      <c r="I4639" s="343" t="s">
        <v>180</v>
      </c>
      <c r="J4639" s="343" t="s">
        <v>13590</v>
      </c>
      <c r="K4639" s="343" t="s">
        <v>168</v>
      </c>
    </row>
    <row r="4640" spans="1:11" ht="26.25" customHeight="1">
      <c r="A4640" s="343" t="s">
        <v>6434</v>
      </c>
      <c r="B4640" s="344" t="s">
        <v>162</v>
      </c>
      <c r="C4640" s="344">
        <v>7201</v>
      </c>
      <c r="D4640" s="343" t="s">
        <v>6727</v>
      </c>
      <c r="E4640" s="344">
        <v>5813767</v>
      </c>
      <c r="F4640" s="343" t="s">
        <v>6988</v>
      </c>
      <c r="G4640" s="360" t="s">
        <v>11706</v>
      </c>
      <c r="H4640" s="361">
        <v>43224</v>
      </c>
      <c r="I4640" s="343" t="s">
        <v>211</v>
      </c>
      <c r="J4640" s="343" t="s">
        <v>211</v>
      </c>
      <c r="K4640" s="343" t="s">
        <v>168</v>
      </c>
    </row>
    <row r="4641" spans="1:11" ht="26.25" customHeight="1">
      <c r="A4641" s="343" t="s">
        <v>6434</v>
      </c>
      <c r="B4641" s="344" t="s">
        <v>162</v>
      </c>
      <c r="C4641" s="344">
        <v>9294</v>
      </c>
      <c r="D4641" s="343" t="s">
        <v>6630</v>
      </c>
      <c r="E4641" s="344">
        <v>5608225</v>
      </c>
      <c r="F4641" s="343" t="s">
        <v>6844</v>
      </c>
      <c r="G4641" s="360" t="s">
        <v>1200</v>
      </c>
      <c r="H4641" s="361">
        <v>43224</v>
      </c>
      <c r="I4641" s="343" t="s">
        <v>211</v>
      </c>
      <c r="J4641" s="343" t="s">
        <v>211</v>
      </c>
      <c r="K4641" s="343" t="s">
        <v>168</v>
      </c>
    </row>
    <row r="4642" spans="1:11" ht="26.25" customHeight="1">
      <c r="A4642" s="343" t="s">
        <v>6434</v>
      </c>
      <c r="B4642" s="344" t="s">
        <v>162</v>
      </c>
      <c r="C4642" s="344">
        <v>11327</v>
      </c>
      <c r="D4642" s="343" t="s">
        <v>6960</v>
      </c>
      <c r="E4642" s="344">
        <v>6016276</v>
      </c>
      <c r="F4642" s="343" t="s">
        <v>9032</v>
      </c>
      <c r="G4642" s="360" t="s">
        <v>9604</v>
      </c>
      <c r="H4642" s="361">
        <v>43224</v>
      </c>
      <c r="I4642" s="343" t="s">
        <v>3692</v>
      </c>
      <c r="J4642" s="343" t="s">
        <v>9858</v>
      </c>
      <c r="K4642" s="343" t="s">
        <v>168</v>
      </c>
    </row>
    <row r="4643" spans="1:11" ht="26.25" customHeight="1">
      <c r="A4643" s="343" t="s">
        <v>6434</v>
      </c>
      <c r="B4643" s="344" t="s">
        <v>162</v>
      </c>
      <c r="C4643" s="344">
        <v>11443</v>
      </c>
      <c r="D4643" s="343" t="s">
        <v>6927</v>
      </c>
      <c r="E4643" s="344">
        <v>6426478</v>
      </c>
      <c r="F4643" s="343" t="s">
        <v>9033</v>
      </c>
      <c r="G4643" s="360" t="s">
        <v>11788</v>
      </c>
      <c r="H4643" s="361">
        <v>43224</v>
      </c>
      <c r="I4643" s="343" t="s">
        <v>271</v>
      </c>
      <c r="J4643" s="343" t="s">
        <v>13591</v>
      </c>
      <c r="K4643" s="343" t="s">
        <v>168</v>
      </c>
    </row>
    <row r="4644" spans="1:11" ht="26.25" customHeight="1">
      <c r="A4644" s="343" t="s">
        <v>6434</v>
      </c>
      <c r="B4644" s="344" t="s">
        <v>162</v>
      </c>
      <c r="C4644" s="344">
        <v>9667</v>
      </c>
      <c r="D4644" s="343" t="s">
        <v>6475</v>
      </c>
      <c r="E4644" s="344">
        <v>6941726</v>
      </c>
      <c r="F4644" s="343" t="s">
        <v>9034</v>
      </c>
      <c r="G4644" s="360" t="s">
        <v>10068</v>
      </c>
      <c r="H4644" s="361">
        <v>43227</v>
      </c>
      <c r="I4644" s="343" t="s">
        <v>284</v>
      </c>
      <c r="J4644" s="343" t="s">
        <v>9963</v>
      </c>
      <c r="K4644" s="343" t="s">
        <v>168</v>
      </c>
    </row>
    <row r="4645" spans="1:11" ht="26.25" customHeight="1">
      <c r="A4645" s="343" t="s">
        <v>6434</v>
      </c>
      <c r="B4645" s="344" t="s">
        <v>162</v>
      </c>
      <c r="C4645" s="344">
        <v>6860</v>
      </c>
      <c r="D4645" s="343" t="s">
        <v>6883</v>
      </c>
      <c r="E4645" s="344">
        <v>5854767</v>
      </c>
      <c r="F4645" s="343" t="s">
        <v>9035</v>
      </c>
      <c r="G4645" s="360" t="s">
        <v>1361</v>
      </c>
      <c r="H4645" s="361">
        <v>43231</v>
      </c>
      <c r="I4645" s="343" t="s">
        <v>198</v>
      </c>
      <c r="J4645" s="343" t="s">
        <v>198</v>
      </c>
      <c r="K4645" s="343" t="s">
        <v>168</v>
      </c>
    </row>
    <row r="4646" spans="1:11" ht="26.25" customHeight="1">
      <c r="A4646" s="343" t="s">
        <v>6434</v>
      </c>
      <c r="B4646" s="344" t="s">
        <v>162</v>
      </c>
      <c r="C4646" s="344">
        <v>9667</v>
      </c>
      <c r="D4646" s="343" t="s">
        <v>6475</v>
      </c>
      <c r="E4646" s="344">
        <v>6676190</v>
      </c>
      <c r="F4646" s="343" t="s">
        <v>9036</v>
      </c>
      <c r="G4646" s="360" t="s">
        <v>10493</v>
      </c>
      <c r="H4646" s="361">
        <v>43231</v>
      </c>
      <c r="I4646" s="343" t="s">
        <v>166</v>
      </c>
      <c r="J4646" s="343" t="s">
        <v>10590</v>
      </c>
      <c r="K4646" s="343" t="s">
        <v>248</v>
      </c>
    </row>
    <row r="4647" spans="1:11" ht="26.25" customHeight="1">
      <c r="A4647" s="343" t="s">
        <v>6434</v>
      </c>
      <c r="B4647" s="344" t="s">
        <v>162</v>
      </c>
      <c r="C4647" s="344">
        <v>11445</v>
      </c>
      <c r="D4647" s="343" t="s">
        <v>9037</v>
      </c>
      <c r="E4647" s="344">
        <v>4927447</v>
      </c>
      <c r="F4647" s="343" t="s">
        <v>9038</v>
      </c>
      <c r="G4647" s="360" t="s">
        <v>13592</v>
      </c>
      <c r="H4647" s="361">
        <v>43231</v>
      </c>
      <c r="I4647" s="343" t="s">
        <v>9039</v>
      </c>
      <c r="J4647" s="343" t="s">
        <v>13593</v>
      </c>
      <c r="K4647" s="343" t="s">
        <v>248</v>
      </c>
    </row>
    <row r="4648" spans="1:11" ht="26.25" customHeight="1">
      <c r="A4648" s="343" t="s">
        <v>6434</v>
      </c>
      <c r="B4648" s="344" t="s">
        <v>162</v>
      </c>
      <c r="C4648" s="344">
        <v>11440</v>
      </c>
      <c r="D4648" s="343" t="s">
        <v>6583</v>
      </c>
      <c r="E4648" s="344">
        <v>6069690</v>
      </c>
      <c r="F4648" s="343" t="s">
        <v>9040</v>
      </c>
      <c r="G4648" s="360" t="s">
        <v>11113</v>
      </c>
      <c r="H4648" s="361">
        <v>43234</v>
      </c>
      <c r="I4648" s="343" t="s">
        <v>275</v>
      </c>
      <c r="J4648" s="343" t="s">
        <v>9392</v>
      </c>
      <c r="K4648" s="343" t="s">
        <v>173</v>
      </c>
    </row>
    <row r="4649" spans="1:11" ht="26.25" customHeight="1">
      <c r="A4649" s="343" t="s">
        <v>6434</v>
      </c>
      <c r="B4649" s="344" t="s">
        <v>162</v>
      </c>
      <c r="C4649" s="344">
        <v>11310</v>
      </c>
      <c r="D4649" s="343" t="s">
        <v>6888</v>
      </c>
      <c r="E4649" s="344">
        <v>6160694</v>
      </c>
      <c r="F4649" s="343" t="s">
        <v>3655</v>
      </c>
      <c r="G4649" s="360" t="s">
        <v>9602</v>
      </c>
      <c r="H4649" s="361">
        <v>43234</v>
      </c>
      <c r="I4649" s="343" t="s">
        <v>193</v>
      </c>
      <c r="J4649" s="343" t="s">
        <v>13594</v>
      </c>
      <c r="K4649" s="343" t="s">
        <v>173</v>
      </c>
    </row>
    <row r="4650" spans="1:11" ht="26.25" customHeight="1">
      <c r="A4650" s="343" t="s">
        <v>6434</v>
      </c>
      <c r="B4650" s="344" t="s">
        <v>162</v>
      </c>
      <c r="C4650" s="344">
        <v>11338</v>
      </c>
      <c r="D4650" s="343" t="s">
        <v>6677</v>
      </c>
      <c r="E4650" s="344">
        <v>5692553</v>
      </c>
      <c r="F4650" s="343" t="s">
        <v>9041</v>
      </c>
      <c r="G4650" s="360" t="s">
        <v>10584</v>
      </c>
      <c r="H4650" s="361">
        <v>43234</v>
      </c>
      <c r="I4650" s="343" t="s">
        <v>166</v>
      </c>
      <c r="J4650" s="343" t="s">
        <v>327</v>
      </c>
      <c r="K4650" s="343" t="s">
        <v>168</v>
      </c>
    </row>
    <row r="4651" spans="1:11" ht="26.25" customHeight="1">
      <c r="A4651" s="343" t="s">
        <v>6434</v>
      </c>
      <c r="B4651" s="344" t="s">
        <v>162</v>
      </c>
      <c r="C4651" s="344">
        <v>6840</v>
      </c>
      <c r="D4651" s="343" t="s">
        <v>6943</v>
      </c>
      <c r="E4651" s="344">
        <v>5858033</v>
      </c>
      <c r="F4651" s="343" t="s">
        <v>9042</v>
      </c>
      <c r="G4651" s="360" t="s">
        <v>1353</v>
      </c>
      <c r="H4651" s="361">
        <v>43234</v>
      </c>
      <c r="I4651" s="343" t="s">
        <v>223</v>
      </c>
      <c r="J4651" s="343" t="s">
        <v>13595</v>
      </c>
      <c r="K4651" s="343" t="s">
        <v>173</v>
      </c>
    </row>
    <row r="4652" spans="1:11" ht="26.25" customHeight="1">
      <c r="A4652" s="343" t="s">
        <v>6434</v>
      </c>
      <c r="B4652" s="344" t="s">
        <v>162</v>
      </c>
      <c r="C4652" s="344">
        <v>12441</v>
      </c>
      <c r="D4652" s="343" t="s">
        <v>6919</v>
      </c>
      <c r="E4652" s="344">
        <v>6541615</v>
      </c>
      <c r="F4652" s="343" t="s">
        <v>9043</v>
      </c>
      <c r="G4652" s="360" t="s">
        <v>11988</v>
      </c>
      <c r="H4652" s="361">
        <v>43235</v>
      </c>
      <c r="I4652" s="343" t="s">
        <v>709</v>
      </c>
      <c r="J4652" s="343" t="s">
        <v>9629</v>
      </c>
      <c r="K4652" s="343" t="s">
        <v>168</v>
      </c>
    </row>
    <row r="4653" spans="1:11" ht="26.25" customHeight="1">
      <c r="A4653" s="343" t="s">
        <v>6434</v>
      </c>
      <c r="B4653" s="344" t="s">
        <v>162</v>
      </c>
      <c r="C4653" s="344">
        <v>9843</v>
      </c>
      <c r="D4653" s="343" t="s">
        <v>6580</v>
      </c>
      <c r="E4653" s="344">
        <v>5855709</v>
      </c>
      <c r="F4653" s="343" t="s">
        <v>6581</v>
      </c>
      <c r="G4653" s="360" t="s">
        <v>10153</v>
      </c>
      <c r="H4653" s="361">
        <v>43235</v>
      </c>
      <c r="I4653" s="343" t="s">
        <v>9044</v>
      </c>
      <c r="J4653" s="343" t="s">
        <v>13596</v>
      </c>
      <c r="K4653" s="343" t="s">
        <v>248</v>
      </c>
    </row>
    <row r="4654" spans="1:11" ht="26.25" customHeight="1">
      <c r="A4654" s="343" t="s">
        <v>6434</v>
      </c>
      <c r="B4654" s="344" t="s">
        <v>162</v>
      </c>
      <c r="C4654" s="344">
        <v>12263</v>
      </c>
      <c r="D4654" s="343" t="s">
        <v>6601</v>
      </c>
      <c r="E4654" s="344">
        <v>6021367</v>
      </c>
      <c r="F4654" s="343" t="s">
        <v>6867</v>
      </c>
      <c r="G4654" s="360" t="s">
        <v>13460</v>
      </c>
      <c r="H4654" s="361">
        <v>43235</v>
      </c>
      <c r="I4654" s="343" t="s">
        <v>9045</v>
      </c>
      <c r="J4654" s="343" t="s">
        <v>13597</v>
      </c>
      <c r="K4654" s="343" t="s">
        <v>168</v>
      </c>
    </row>
    <row r="4655" spans="1:11" ht="26.25" customHeight="1">
      <c r="A4655" s="343" t="s">
        <v>6434</v>
      </c>
      <c r="B4655" s="344" t="s">
        <v>162</v>
      </c>
      <c r="C4655" s="344">
        <v>11349</v>
      </c>
      <c r="D4655" s="343" t="s">
        <v>6813</v>
      </c>
      <c r="E4655" s="344">
        <v>5220005</v>
      </c>
      <c r="F4655" s="343" t="s">
        <v>9046</v>
      </c>
      <c r="G4655" s="360" t="s">
        <v>12352</v>
      </c>
      <c r="H4655" s="361">
        <v>43235</v>
      </c>
      <c r="I4655" s="343" t="s">
        <v>211</v>
      </c>
      <c r="J4655" s="343" t="s">
        <v>211</v>
      </c>
      <c r="K4655" s="343" t="s">
        <v>168</v>
      </c>
    </row>
    <row r="4656" spans="1:11" ht="26.25" customHeight="1">
      <c r="A4656" s="343" t="s">
        <v>6434</v>
      </c>
      <c r="B4656" s="344" t="s">
        <v>162</v>
      </c>
      <c r="C4656" s="344">
        <v>11599</v>
      </c>
      <c r="D4656" s="343" t="s">
        <v>6572</v>
      </c>
      <c r="E4656" s="344">
        <v>6028957</v>
      </c>
      <c r="F4656" s="343" t="s">
        <v>6575</v>
      </c>
      <c r="G4656" s="360" t="s">
        <v>10973</v>
      </c>
      <c r="H4656" s="361">
        <v>43235</v>
      </c>
      <c r="I4656" s="343" t="s">
        <v>193</v>
      </c>
      <c r="J4656" s="343" t="s">
        <v>9511</v>
      </c>
      <c r="K4656" s="343" t="s">
        <v>168</v>
      </c>
    </row>
    <row r="4657" spans="1:11" ht="26.25" customHeight="1">
      <c r="A4657" s="343" t="s">
        <v>6434</v>
      </c>
      <c r="B4657" s="344" t="s">
        <v>162</v>
      </c>
      <c r="C4657" s="344">
        <v>11318</v>
      </c>
      <c r="D4657" s="343" t="s">
        <v>6899</v>
      </c>
      <c r="E4657" s="344">
        <v>6116643</v>
      </c>
      <c r="F4657" s="343" t="s">
        <v>9047</v>
      </c>
      <c r="G4657" s="360" t="s">
        <v>9555</v>
      </c>
      <c r="H4657" s="361">
        <v>43235</v>
      </c>
      <c r="I4657" s="343" t="s">
        <v>219</v>
      </c>
      <c r="J4657" s="343" t="s">
        <v>220</v>
      </c>
      <c r="K4657" s="343" t="s">
        <v>173</v>
      </c>
    </row>
    <row r="4658" spans="1:11" ht="26.25" customHeight="1">
      <c r="A4658" s="343" t="s">
        <v>6434</v>
      </c>
      <c r="B4658" s="344" t="s">
        <v>162</v>
      </c>
      <c r="C4658" s="344">
        <v>11318</v>
      </c>
      <c r="D4658" s="343" t="s">
        <v>6899</v>
      </c>
      <c r="E4658" s="344">
        <v>6377221</v>
      </c>
      <c r="F4658" s="343" t="s">
        <v>9048</v>
      </c>
      <c r="G4658" s="360" t="s">
        <v>13598</v>
      </c>
      <c r="H4658" s="361">
        <v>43235</v>
      </c>
      <c r="I4658" s="343" t="s">
        <v>366</v>
      </c>
      <c r="J4658" s="343" t="s">
        <v>366</v>
      </c>
      <c r="K4658" s="343" t="s">
        <v>168</v>
      </c>
    </row>
    <row r="4659" spans="1:11" ht="26.25" customHeight="1">
      <c r="A4659" s="343" t="s">
        <v>6434</v>
      </c>
      <c r="B4659" s="344" t="s">
        <v>162</v>
      </c>
      <c r="C4659" s="344">
        <v>11444</v>
      </c>
      <c r="D4659" s="343" t="s">
        <v>6970</v>
      </c>
      <c r="E4659" s="344">
        <v>6264265</v>
      </c>
      <c r="F4659" s="343" t="s">
        <v>9049</v>
      </c>
      <c r="G4659" s="360" t="s">
        <v>13599</v>
      </c>
      <c r="H4659" s="361">
        <v>43235</v>
      </c>
      <c r="I4659" s="343" t="s">
        <v>301</v>
      </c>
      <c r="J4659" s="343" t="s">
        <v>1113</v>
      </c>
      <c r="K4659" s="343" t="s">
        <v>168</v>
      </c>
    </row>
    <row r="4660" spans="1:11" ht="26.25" customHeight="1">
      <c r="A4660" s="343" t="s">
        <v>6434</v>
      </c>
      <c r="B4660" s="344" t="s">
        <v>162</v>
      </c>
      <c r="C4660" s="344">
        <v>11358</v>
      </c>
      <c r="D4660" s="343" t="s">
        <v>6459</v>
      </c>
      <c r="E4660" s="344">
        <v>7021559</v>
      </c>
      <c r="F4660" s="343" t="s">
        <v>9050</v>
      </c>
      <c r="G4660" s="360" t="s">
        <v>9691</v>
      </c>
      <c r="H4660" s="361">
        <v>43235</v>
      </c>
      <c r="I4660" s="343" t="s">
        <v>193</v>
      </c>
      <c r="J4660" s="343" t="s">
        <v>13600</v>
      </c>
      <c r="K4660" s="343" t="s">
        <v>168</v>
      </c>
    </row>
    <row r="4661" spans="1:11" ht="26.25" customHeight="1">
      <c r="A4661" s="343" t="s">
        <v>6434</v>
      </c>
      <c r="B4661" s="344" t="s">
        <v>162</v>
      </c>
      <c r="C4661" s="344">
        <v>11362</v>
      </c>
      <c r="D4661" s="343" t="s">
        <v>8991</v>
      </c>
      <c r="E4661" s="344">
        <v>6819791</v>
      </c>
      <c r="F4661" s="343" t="s">
        <v>9051</v>
      </c>
      <c r="G4661" s="360" t="s">
        <v>10703</v>
      </c>
      <c r="H4661" s="361">
        <v>43235</v>
      </c>
      <c r="I4661" s="343" t="s">
        <v>3687</v>
      </c>
      <c r="J4661" s="343" t="s">
        <v>3687</v>
      </c>
      <c r="K4661" s="343" t="s">
        <v>168</v>
      </c>
    </row>
    <row r="4662" spans="1:11" ht="26.25" customHeight="1">
      <c r="A4662" s="343" t="s">
        <v>6434</v>
      </c>
      <c r="B4662" s="344" t="s">
        <v>162</v>
      </c>
      <c r="C4662" s="344">
        <v>11449</v>
      </c>
      <c r="D4662" s="343" t="s">
        <v>6784</v>
      </c>
      <c r="E4662" s="344">
        <v>7013256</v>
      </c>
      <c r="F4662" s="343" t="s">
        <v>9052</v>
      </c>
      <c r="G4662" s="360" t="s">
        <v>13601</v>
      </c>
      <c r="H4662" s="361">
        <v>43229</v>
      </c>
      <c r="I4662" s="343" t="s">
        <v>9053</v>
      </c>
      <c r="J4662" s="343" t="s">
        <v>13602</v>
      </c>
      <c r="K4662" s="343" t="s">
        <v>248</v>
      </c>
    </row>
    <row r="4663" spans="1:11" ht="26.25" customHeight="1">
      <c r="A4663" s="343" t="s">
        <v>6434</v>
      </c>
      <c r="B4663" s="344" t="s">
        <v>162</v>
      </c>
      <c r="C4663" s="344">
        <v>11364</v>
      </c>
      <c r="D4663" s="343" t="s">
        <v>6491</v>
      </c>
      <c r="E4663" s="344">
        <v>6886869</v>
      </c>
      <c r="F4663" s="343" t="s">
        <v>9054</v>
      </c>
      <c r="G4663" s="360" t="s">
        <v>13048</v>
      </c>
      <c r="H4663" s="361">
        <v>43236</v>
      </c>
      <c r="I4663" s="343" t="s">
        <v>465</v>
      </c>
      <c r="J4663" s="343" t="s">
        <v>9614</v>
      </c>
      <c r="K4663" s="343" t="s">
        <v>168</v>
      </c>
    </row>
    <row r="4664" spans="1:11" ht="26.25" customHeight="1">
      <c r="A4664" s="343" t="s">
        <v>6434</v>
      </c>
      <c r="B4664" s="344" t="s">
        <v>162</v>
      </c>
      <c r="C4664" s="344">
        <v>11325</v>
      </c>
      <c r="D4664" s="343" t="s">
        <v>6948</v>
      </c>
      <c r="E4664" s="344">
        <v>6132933</v>
      </c>
      <c r="F4664" s="343" t="s">
        <v>7443</v>
      </c>
      <c r="G4664" s="360" t="s">
        <v>11151</v>
      </c>
      <c r="H4664" s="361">
        <v>43236</v>
      </c>
      <c r="I4664" s="343" t="s">
        <v>784</v>
      </c>
      <c r="J4664" s="343" t="s">
        <v>13603</v>
      </c>
      <c r="K4664" s="343" t="s">
        <v>173</v>
      </c>
    </row>
    <row r="4665" spans="1:11" ht="26.25" customHeight="1">
      <c r="A4665" s="343" t="s">
        <v>6434</v>
      </c>
      <c r="B4665" s="344" t="s">
        <v>162</v>
      </c>
      <c r="C4665" s="344">
        <v>11449</v>
      </c>
      <c r="D4665" s="343" t="s">
        <v>6784</v>
      </c>
      <c r="E4665" s="344">
        <v>5646452</v>
      </c>
      <c r="F4665" s="343" t="s">
        <v>9055</v>
      </c>
      <c r="G4665" s="360" t="s">
        <v>13604</v>
      </c>
      <c r="H4665" s="361">
        <v>43236</v>
      </c>
      <c r="I4665" s="343" t="s">
        <v>198</v>
      </c>
      <c r="J4665" s="343" t="s">
        <v>9683</v>
      </c>
      <c r="K4665" s="343" t="s">
        <v>168</v>
      </c>
    </row>
    <row r="4666" spans="1:11" ht="26.25" customHeight="1">
      <c r="A4666" s="343" t="s">
        <v>6434</v>
      </c>
      <c r="B4666" s="344" t="s">
        <v>162</v>
      </c>
      <c r="C4666" s="344">
        <v>11346</v>
      </c>
      <c r="D4666" s="343" t="s">
        <v>6754</v>
      </c>
      <c r="E4666" s="344">
        <v>6095533</v>
      </c>
      <c r="F4666" s="343" t="s">
        <v>9056</v>
      </c>
      <c r="G4666" s="360" t="s">
        <v>12215</v>
      </c>
      <c r="H4666" s="361">
        <v>43237</v>
      </c>
      <c r="I4666" s="343" t="s">
        <v>261</v>
      </c>
      <c r="J4666" s="343" t="s">
        <v>9505</v>
      </c>
      <c r="K4666" s="343" t="s">
        <v>168</v>
      </c>
    </row>
    <row r="4667" spans="1:11" ht="26.25" customHeight="1">
      <c r="A4667" s="343" t="s">
        <v>6434</v>
      </c>
      <c r="B4667" s="344" t="s">
        <v>162</v>
      </c>
      <c r="C4667" s="344">
        <v>11355</v>
      </c>
      <c r="D4667" s="343" t="s">
        <v>6442</v>
      </c>
      <c r="E4667" s="344">
        <v>6751725</v>
      </c>
      <c r="F4667" s="343" t="s">
        <v>9057</v>
      </c>
      <c r="G4667" s="360" t="s">
        <v>11736</v>
      </c>
      <c r="H4667" s="361">
        <v>43237</v>
      </c>
      <c r="I4667" s="343" t="s">
        <v>166</v>
      </c>
      <c r="J4667" s="343" t="s">
        <v>296</v>
      </c>
      <c r="K4667" s="343" t="s">
        <v>168</v>
      </c>
    </row>
    <row r="4668" spans="1:11" ht="26.25" customHeight="1">
      <c r="A4668" s="343" t="s">
        <v>6434</v>
      </c>
      <c r="B4668" s="344" t="s">
        <v>162</v>
      </c>
      <c r="C4668" s="344">
        <v>7188</v>
      </c>
      <c r="D4668" s="343" t="s">
        <v>6764</v>
      </c>
      <c r="E4668" s="344">
        <v>5723119</v>
      </c>
      <c r="F4668" s="343" t="s">
        <v>9058</v>
      </c>
      <c r="G4668" s="360" t="s">
        <v>13605</v>
      </c>
      <c r="H4668" s="361">
        <v>43216</v>
      </c>
      <c r="I4668" s="343" t="s">
        <v>366</v>
      </c>
      <c r="J4668" s="343" t="s">
        <v>366</v>
      </c>
      <c r="K4668" s="343" t="s">
        <v>168</v>
      </c>
    </row>
    <row r="4669" spans="1:11" ht="26.25" customHeight="1">
      <c r="A4669" s="343" t="s">
        <v>6434</v>
      </c>
      <c r="B4669" s="344" t="s">
        <v>162</v>
      </c>
      <c r="C4669" s="344">
        <v>7682</v>
      </c>
      <c r="D4669" s="343" t="s">
        <v>6433</v>
      </c>
      <c r="E4669" s="344">
        <v>6780766</v>
      </c>
      <c r="F4669" s="343" t="s">
        <v>9059</v>
      </c>
      <c r="G4669" s="360" t="s">
        <v>11796</v>
      </c>
      <c r="H4669" s="361">
        <v>43241</v>
      </c>
      <c r="I4669" s="343" t="s">
        <v>166</v>
      </c>
      <c r="J4669" s="343" t="s">
        <v>13606</v>
      </c>
      <c r="K4669" s="343" t="s">
        <v>173</v>
      </c>
    </row>
    <row r="4670" spans="1:11" ht="26.25" customHeight="1">
      <c r="A4670" s="343" t="s">
        <v>6434</v>
      </c>
      <c r="B4670" s="344" t="s">
        <v>162</v>
      </c>
      <c r="C4670" s="344">
        <v>6841</v>
      </c>
      <c r="D4670" s="343" t="s">
        <v>6848</v>
      </c>
      <c r="E4670" s="344">
        <v>6894132</v>
      </c>
      <c r="F4670" s="343" t="s">
        <v>9060</v>
      </c>
      <c r="G4670" s="360" t="s">
        <v>13607</v>
      </c>
      <c r="H4670" s="361">
        <v>43241</v>
      </c>
      <c r="I4670" s="343" t="s">
        <v>4190</v>
      </c>
      <c r="J4670" s="343" t="s">
        <v>9420</v>
      </c>
      <c r="K4670" s="343" t="s">
        <v>168</v>
      </c>
    </row>
    <row r="4671" spans="1:11" ht="26.25" customHeight="1">
      <c r="A4671" s="343" t="s">
        <v>6434</v>
      </c>
      <c r="B4671" s="344" t="s">
        <v>162</v>
      </c>
      <c r="C4671" s="344">
        <v>7190</v>
      </c>
      <c r="D4671" s="343" t="s">
        <v>6628</v>
      </c>
      <c r="E4671" s="344">
        <v>5608157</v>
      </c>
      <c r="F4671" s="343" t="s">
        <v>7174</v>
      </c>
      <c r="G4671" s="360" t="s">
        <v>13301</v>
      </c>
      <c r="H4671" s="361">
        <v>43241</v>
      </c>
      <c r="I4671" s="343" t="s">
        <v>9061</v>
      </c>
      <c r="J4671" s="343" t="s">
        <v>13608</v>
      </c>
      <c r="K4671" s="343" t="s">
        <v>168</v>
      </c>
    </row>
    <row r="4672" spans="1:11" ht="26.25" customHeight="1">
      <c r="A4672" s="343" t="s">
        <v>6434</v>
      </c>
      <c r="B4672" s="344" t="s">
        <v>162</v>
      </c>
      <c r="C4672" s="344">
        <v>11443</v>
      </c>
      <c r="D4672" s="343" t="s">
        <v>6927</v>
      </c>
      <c r="E4672" s="344">
        <v>6735785</v>
      </c>
      <c r="F4672" s="343" t="s">
        <v>9062</v>
      </c>
      <c r="G4672" s="360" t="s">
        <v>10117</v>
      </c>
      <c r="H4672" s="361">
        <v>43241</v>
      </c>
      <c r="I4672" s="343" t="s">
        <v>4225</v>
      </c>
      <c r="J4672" s="343" t="s">
        <v>9550</v>
      </c>
      <c r="K4672" s="343" t="s">
        <v>173</v>
      </c>
    </row>
    <row r="4673" spans="1:11" ht="26.25" customHeight="1">
      <c r="A4673" s="343" t="s">
        <v>6434</v>
      </c>
      <c r="B4673" s="344" t="s">
        <v>162</v>
      </c>
      <c r="C4673" s="344">
        <v>11447</v>
      </c>
      <c r="D4673" s="343" t="s">
        <v>6698</v>
      </c>
      <c r="E4673" s="344">
        <v>5625644</v>
      </c>
      <c r="F4673" s="343" t="s">
        <v>9063</v>
      </c>
      <c r="G4673" s="360" t="s">
        <v>13609</v>
      </c>
      <c r="H4673" s="361">
        <v>43241</v>
      </c>
      <c r="I4673" s="343" t="s">
        <v>193</v>
      </c>
      <c r="J4673" s="343" t="s">
        <v>637</v>
      </c>
      <c r="K4673" s="343" t="s">
        <v>168</v>
      </c>
    </row>
    <row r="4674" spans="1:11" ht="26.25" customHeight="1">
      <c r="A4674" s="343" t="s">
        <v>6434</v>
      </c>
      <c r="B4674" s="344" t="s">
        <v>162</v>
      </c>
      <c r="C4674" s="344">
        <v>11348</v>
      </c>
      <c r="D4674" s="343" t="s">
        <v>6802</v>
      </c>
      <c r="E4674" s="344">
        <v>5315348</v>
      </c>
      <c r="F4674" s="343" t="s">
        <v>6804</v>
      </c>
      <c r="G4674" s="360" t="s">
        <v>11991</v>
      </c>
      <c r="H4674" s="361">
        <v>43241</v>
      </c>
      <c r="I4674" s="343" t="s">
        <v>193</v>
      </c>
      <c r="J4674" s="343" t="s">
        <v>637</v>
      </c>
      <c r="K4674" s="343" t="s">
        <v>168</v>
      </c>
    </row>
    <row r="4675" spans="1:11" ht="26.25" customHeight="1">
      <c r="A4675" s="343" t="s">
        <v>6434</v>
      </c>
      <c r="B4675" s="344" t="s">
        <v>162</v>
      </c>
      <c r="C4675" s="344">
        <v>11319</v>
      </c>
      <c r="D4675" s="343" t="s">
        <v>6912</v>
      </c>
      <c r="E4675" s="344">
        <v>6001545</v>
      </c>
      <c r="F4675" s="343" t="s">
        <v>9064</v>
      </c>
      <c r="G4675" s="360" t="s">
        <v>11326</v>
      </c>
      <c r="H4675" s="361">
        <v>43241</v>
      </c>
      <c r="I4675" s="343" t="s">
        <v>166</v>
      </c>
      <c r="J4675" s="343" t="s">
        <v>296</v>
      </c>
      <c r="K4675" s="343" t="s">
        <v>168</v>
      </c>
    </row>
    <row r="4676" spans="1:11" ht="26.25" customHeight="1">
      <c r="A4676" s="343" t="s">
        <v>6434</v>
      </c>
      <c r="B4676" s="344" t="s">
        <v>162</v>
      </c>
      <c r="C4676" s="344">
        <v>11342</v>
      </c>
      <c r="D4676" s="343" t="s">
        <v>6739</v>
      </c>
      <c r="E4676" s="344">
        <v>5265769</v>
      </c>
      <c r="F4676" s="343" t="s">
        <v>9065</v>
      </c>
      <c r="G4676" s="360" t="s">
        <v>10771</v>
      </c>
      <c r="H4676" s="361">
        <v>43241</v>
      </c>
      <c r="I4676" s="343" t="s">
        <v>709</v>
      </c>
      <c r="J4676" s="343" t="s">
        <v>9629</v>
      </c>
      <c r="K4676" s="343" t="s">
        <v>168</v>
      </c>
    </row>
    <row r="4677" spans="1:11" ht="26.25" customHeight="1">
      <c r="A4677" s="343" t="s">
        <v>6434</v>
      </c>
      <c r="B4677" s="344" t="s">
        <v>162</v>
      </c>
      <c r="C4677" s="344">
        <v>11442</v>
      </c>
      <c r="D4677" s="343" t="s">
        <v>6965</v>
      </c>
      <c r="E4677" s="344">
        <v>6465145</v>
      </c>
      <c r="F4677" s="343" t="s">
        <v>9066</v>
      </c>
      <c r="G4677" s="360" t="s">
        <v>9706</v>
      </c>
      <c r="H4677" s="361">
        <v>43242</v>
      </c>
      <c r="I4677" s="343" t="s">
        <v>301</v>
      </c>
      <c r="J4677" s="343" t="s">
        <v>530</v>
      </c>
      <c r="K4677" s="343" t="s">
        <v>168</v>
      </c>
    </row>
    <row r="4678" spans="1:11" ht="26.25" customHeight="1">
      <c r="A4678" s="343" t="s">
        <v>6434</v>
      </c>
      <c r="B4678" s="344" t="s">
        <v>162</v>
      </c>
      <c r="C4678" s="344">
        <v>7687</v>
      </c>
      <c r="D4678" s="343" t="s">
        <v>6436</v>
      </c>
      <c r="E4678" s="344">
        <v>6688666</v>
      </c>
      <c r="F4678" s="343" t="s">
        <v>9067</v>
      </c>
      <c r="G4678" s="360" t="s">
        <v>13610</v>
      </c>
      <c r="H4678" s="361">
        <v>43242</v>
      </c>
      <c r="I4678" s="343" t="s">
        <v>366</v>
      </c>
      <c r="J4678" s="343" t="s">
        <v>366</v>
      </c>
      <c r="K4678" s="343" t="s">
        <v>168</v>
      </c>
    </row>
    <row r="4679" spans="1:11" ht="26.25" customHeight="1">
      <c r="A4679" s="343" t="s">
        <v>6434</v>
      </c>
      <c r="B4679" s="344" t="s">
        <v>162</v>
      </c>
      <c r="C4679" s="344">
        <v>11326</v>
      </c>
      <c r="D4679" s="343" t="s">
        <v>6958</v>
      </c>
      <c r="E4679" s="344">
        <v>6152933</v>
      </c>
      <c r="F4679" s="343" t="s">
        <v>9068</v>
      </c>
      <c r="G4679" s="360" t="s">
        <v>13611</v>
      </c>
      <c r="H4679" s="361">
        <v>43244</v>
      </c>
      <c r="I4679" s="343" t="s">
        <v>166</v>
      </c>
      <c r="J4679" s="343" t="s">
        <v>327</v>
      </c>
      <c r="K4679" s="343" t="s">
        <v>168</v>
      </c>
    </row>
    <row r="4680" spans="1:11" ht="26.25" customHeight="1">
      <c r="A4680" s="343" t="s">
        <v>6434</v>
      </c>
      <c r="B4680" s="344" t="s">
        <v>162</v>
      </c>
      <c r="C4680" s="344">
        <v>11326</v>
      </c>
      <c r="D4680" s="343" t="s">
        <v>6958</v>
      </c>
      <c r="E4680" s="344">
        <v>6073404</v>
      </c>
      <c r="F4680" s="343" t="s">
        <v>9069</v>
      </c>
      <c r="G4680" s="360" t="s">
        <v>11302</v>
      </c>
      <c r="H4680" s="361">
        <v>43244</v>
      </c>
      <c r="I4680" s="343" t="s">
        <v>166</v>
      </c>
      <c r="J4680" s="343" t="s">
        <v>296</v>
      </c>
      <c r="K4680" s="343" t="s">
        <v>168</v>
      </c>
    </row>
    <row r="4681" spans="1:11" ht="26.25" customHeight="1">
      <c r="A4681" s="343" t="s">
        <v>6434</v>
      </c>
      <c r="B4681" s="344" t="s">
        <v>162</v>
      </c>
      <c r="C4681" s="344">
        <v>11338</v>
      </c>
      <c r="D4681" s="343" t="s">
        <v>6677</v>
      </c>
      <c r="E4681" s="344">
        <v>5612595</v>
      </c>
      <c r="F4681" s="343" t="s">
        <v>6679</v>
      </c>
      <c r="G4681" s="360" t="s">
        <v>13612</v>
      </c>
      <c r="H4681" s="361">
        <v>43244</v>
      </c>
      <c r="I4681" s="343" t="s">
        <v>9070</v>
      </c>
      <c r="J4681" s="343" t="s">
        <v>13613</v>
      </c>
      <c r="K4681" s="343" t="s">
        <v>168</v>
      </c>
    </row>
    <row r="4682" spans="1:11" ht="26.25" customHeight="1">
      <c r="A4682" s="343" t="s">
        <v>6434</v>
      </c>
      <c r="B4682" s="344" t="s">
        <v>162</v>
      </c>
      <c r="C4682" s="344">
        <v>11336</v>
      </c>
      <c r="D4682" s="343" t="s">
        <v>6657</v>
      </c>
      <c r="E4682" s="344">
        <v>7076588</v>
      </c>
      <c r="F4682" s="343" t="s">
        <v>7304</v>
      </c>
      <c r="G4682" s="360" t="s">
        <v>13614</v>
      </c>
      <c r="H4682" s="361">
        <v>43245</v>
      </c>
      <c r="I4682" s="343" t="s">
        <v>180</v>
      </c>
      <c r="J4682" s="343" t="s">
        <v>13615</v>
      </c>
      <c r="K4682" s="343" t="s">
        <v>168</v>
      </c>
    </row>
    <row r="4683" spans="1:11" ht="26.25" customHeight="1">
      <c r="A4683" s="343" t="s">
        <v>6434</v>
      </c>
      <c r="B4683" s="344" t="s">
        <v>162</v>
      </c>
      <c r="C4683" s="344">
        <v>11358</v>
      </c>
      <c r="D4683" s="343" t="s">
        <v>6459</v>
      </c>
      <c r="E4683" s="344">
        <v>6972773</v>
      </c>
      <c r="F4683" s="343" t="s">
        <v>9071</v>
      </c>
      <c r="G4683" s="360" t="s">
        <v>13616</v>
      </c>
      <c r="H4683" s="361">
        <v>43245</v>
      </c>
      <c r="I4683" s="343" t="s">
        <v>166</v>
      </c>
      <c r="J4683" s="343" t="s">
        <v>13617</v>
      </c>
      <c r="K4683" s="343" t="s">
        <v>248</v>
      </c>
    </row>
    <row r="4684" spans="1:11" ht="26.25" customHeight="1">
      <c r="A4684" s="343" t="s">
        <v>6434</v>
      </c>
      <c r="B4684" s="344" t="s">
        <v>162</v>
      </c>
      <c r="C4684" s="344">
        <v>12037</v>
      </c>
      <c r="D4684" s="343" t="s">
        <v>6707</v>
      </c>
      <c r="E4684" s="344">
        <v>5728350</v>
      </c>
      <c r="F4684" s="343" t="s">
        <v>9072</v>
      </c>
      <c r="G4684" s="360" t="s">
        <v>13618</v>
      </c>
      <c r="H4684" s="361">
        <v>43248</v>
      </c>
      <c r="I4684" s="343" t="s">
        <v>198</v>
      </c>
      <c r="J4684" s="343" t="s">
        <v>198</v>
      </c>
      <c r="K4684" s="343" t="s">
        <v>168</v>
      </c>
    </row>
    <row r="4685" spans="1:11" ht="26.25" customHeight="1">
      <c r="A4685" s="343" t="s">
        <v>6434</v>
      </c>
      <c r="B4685" s="344" t="s">
        <v>162</v>
      </c>
      <c r="C4685" s="344">
        <v>11322</v>
      </c>
      <c r="D4685" s="343" t="s">
        <v>6935</v>
      </c>
      <c r="E4685" s="344">
        <v>6160411</v>
      </c>
      <c r="F4685" s="343" t="s">
        <v>9073</v>
      </c>
      <c r="G4685" s="360" t="s">
        <v>11534</v>
      </c>
      <c r="H4685" s="361">
        <v>43248</v>
      </c>
      <c r="I4685" s="343" t="s">
        <v>193</v>
      </c>
      <c r="J4685" s="343" t="s">
        <v>637</v>
      </c>
      <c r="K4685" s="343" t="s">
        <v>168</v>
      </c>
    </row>
    <row r="4686" spans="1:11" ht="26.25" customHeight="1">
      <c r="A4686" s="343" t="s">
        <v>6434</v>
      </c>
      <c r="B4686" s="344" t="s">
        <v>162</v>
      </c>
      <c r="C4686" s="344">
        <v>11318</v>
      </c>
      <c r="D4686" s="343" t="s">
        <v>6899</v>
      </c>
      <c r="E4686" s="344">
        <v>6237033</v>
      </c>
      <c r="F4686" s="343" t="s">
        <v>9074</v>
      </c>
      <c r="G4686" s="360" t="s">
        <v>681</v>
      </c>
      <c r="H4686" s="361">
        <v>43248</v>
      </c>
      <c r="I4686" s="343" t="s">
        <v>180</v>
      </c>
      <c r="J4686" s="343" t="s">
        <v>13619</v>
      </c>
      <c r="K4686" s="343" t="s">
        <v>168</v>
      </c>
    </row>
    <row r="4687" spans="1:11" ht="26.25" customHeight="1">
      <c r="A4687" s="343" t="s">
        <v>6434</v>
      </c>
      <c r="B4687" s="344" t="s">
        <v>162</v>
      </c>
      <c r="C4687" s="344">
        <v>11449</v>
      </c>
      <c r="D4687" s="343" t="s">
        <v>6784</v>
      </c>
      <c r="E4687" s="344">
        <v>5560171</v>
      </c>
      <c r="F4687" s="343" t="s">
        <v>9075</v>
      </c>
      <c r="G4687" s="360" t="s">
        <v>13411</v>
      </c>
      <c r="H4687" s="361">
        <v>43248</v>
      </c>
      <c r="I4687" s="343" t="s">
        <v>198</v>
      </c>
      <c r="J4687" s="343" t="s">
        <v>198</v>
      </c>
      <c r="K4687" s="343" t="s">
        <v>168</v>
      </c>
    </row>
    <row r="4688" spans="1:11" ht="26.25" customHeight="1">
      <c r="A4688" s="343" t="s">
        <v>6434</v>
      </c>
      <c r="B4688" s="344" t="s">
        <v>162</v>
      </c>
      <c r="C4688" s="344">
        <v>11857</v>
      </c>
      <c r="D4688" s="343" t="s">
        <v>6505</v>
      </c>
      <c r="E4688" s="344">
        <v>6683825</v>
      </c>
      <c r="F4688" s="343" t="s">
        <v>9076</v>
      </c>
      <c r="G4688" s="360" t="s">
        <v>11018</v>
      </c>
      <c r="H4688" s="361">
        <v>43248</v>
      </c>
      <c r="I4688" s="343" t="s">
        <v>193</v>
      </c>
      <c r="J4688" s="343" t="s">
        <v>637</v>
      </c>
      <c r="K4688" s="343" t="s">
        <v>168</v>
      </c>
    </row>
    <row r="4689" spans="1:11" ht="26.25" customHeight="1">
      <c r="A4689" s="343" t="s">
        <v>6434</v>
      </c>
      <c r="B4689" s="344" t="s">
        <v>162</v>
      </c>
      <c r="C4689" s="344">
        <v>11343</v>
      </c>
      <c r="D4689" s="343" t="s">
        <v>6795</v>
      </c>
      <c r="E4689" s="344">
        <v>5990201</v>
      </c>
      <c r="F4689" s="343" t="s">
        <v>9077</v>
      </c>
      <c r="G4689" s="360" t="s">
        <v>13620</v>
      </c>
      <c r="H4689" s="361">
        <v>43249</v>
      </c>
      <c r="I4689" s="343" t="s">
        <v>198</v>
      </c>
      <c r="J4689" s="343" t="s">
        <v>198</v>
      </c>
      <c r="K4689" s="343" t="s">
        <v>168</v>
      </c>
    </row>
    <row r="4690" spans="1:11" ht="26.25" customHeight="1">
      <c r="A4690" s="343" t="s">
        <v>6434</v>
      </c>
      <c r="B4690" s="344" t="s">
        <v>162</v>
      </c>
      <c r="C4690" s="344">
        <v>12441</v>
      </c>
      <c r="D4690" s="343" t="s">
        <v>6919</v>
      </c>
      <c r="E4690" s="344">
        <v>6078896</v>
      </c>
      <c r="F4690" s="343" t="s">
        <v>9079</v>
      </c>
      <c r="G4690" s="360" t="s">
        <v>10595</v>
      </c>
      <c r="H4690" s="361">
        <v>43249</v>
      </c>
      <c r="I4690" s="343" t="s">
        <v>219</v>
      </c>
      <c r="J4690" s="343" t="s">
        <v>9583</v>
      </c>
      <c r="K4690" s="343" t="s">
        <v>173</v>
      </c>
    </row>
    <row r="4691" spans="1:11" ht="26.25" customHeight="1">
      <c r="A4691" s="343" t="s">
        <v>6434</v>
      </c>
      <c r="B4691" s="344" t="s">
        <v>162</v>
      </c>
      <c r="C4691" s="344">
        <v>6842</v>
      </c>
      <c r="D4691" s="343" t="s">
        <v>6933</v>
      </c>
      <c r="E4691" s="344">
        <v>7002247</v>
      </c>
      <c r="F4691" s="343" t="s">
        <v>9080</v>
      </c>
      <c r="G4691" s="360" t="s">
        <v>10948</v>
      </c>
      <c r="H4691" s="361">
        <v>43250</v>
      </c>
      <c r="I4691" s="343" t="s">
        <v>193</v>
      </c>
      <c r="J4691" s="343" t="s">
        <v>13621</v>
      </c>
      <c r="K4691" s="343" t="s">
        <v>168</v>
      </c>
    </row>
    <row r="4692" spans="1:11" ht="26.25" customHeight="1">
      <c r="A4692" s="343" t="s">
        <v>6434</v>
      </c>
      <c r="B4692" s="344" t="s">
        <v>162</v>
      </c>
      <c r="C4692" s="344">
        <v>12847</v>
      </c>
      <c r="D4692" s="343" t="s">
        <v>6478</v>
      </c>
      <c r="E4692" s="344">
        <v>6585114</v>
      </c>
      <c r="F4692" s="343" t="s">
        <v>9081</v>
      </c>
      <c r="G4692" s="360" t="s">
        <v>237</v>
      </c>
      <c r="H4692" s="361">
        <v>43250</v>
      </c>
      <c r="I4692" s="343" t="s">
        <v>193</v>
      </c>
      <c r="J4692" s="343" t="s">
        <v>509</v>
      </c>
      <c r="K4692" s="343" t="s">
        <v>168</v>
      </c>
    </row>
    <row r="4693" spans="1:11" ht="26.25" customHeight="1">
      <c r="A4693" s="343" t="s">
        <v>6434</v>
      </c>
      <c r="B4693" s="344" t="s">
        <v>162</v>
      </c>
      <c r="C4693" s="344">
        <v>7687</v>
      </c>
      <c r="D4693" s="343" t="s">
        <v>6436</v>
      </c>
      <c r="E4693" s="344">
        <v>6624742</v>
      </c>
      <c r="F4693" s="343" t="s">
        <v>9082</v>
      </c>
      <c r="G4693" s="360" t="s">
        <v>9770</v>
      </c>
      <c r="H4693" s="361">
        <v>43250</v>
      </c>
      <c r="I4693" s="343" t="s">
        <v>887</v>
      </c>
      <c r="J4693" s="343" t="s">
        <v>13622</v>
      </c>
      <c r="K4693" s="343" t="s">
        <v>168</v>
      </c>
    </row>
    <row r="4694" spans="1:11" ht="26.25" customHeight="1">
      <c r="A4694" s="343" t="s">
        <v>6434</v>
      </c>
      <c r="B4694" s="344" t="s">
        <v>162</v>
      </c>
      <c r="C4694" s="344">
        <v>11316</v>
      </c>
      <c r="D4694" s="343" t="s">
        <v>6884</v>
      </c>
      <c r="E4694" s="344">
        <v>5883971</v>
      </c>
      <c r="F4694" s="343" t="s">
        <v>9083</v>
      </c>
      <c r="G4694" s="360" t="s">
        <v>12496</v>
      </c>
      <c r="H4694" s="361">
        <v>43256</v>
      </c>
      <c r="I4694" s="343" t="s">
        <v>198</v>
      </c>
      <c r="J4694" s="343" t="s">
        <v>198</v>
      </c>
      <c r="K4694" s="343" t="s">
        <v>168</v>
      </c>
    </row>
    <row r="4695" spans="1:11" ht="26.25" customHeight="1">
      <c r="A4695" s="343" t="s">
        <v>6434</v>
      </c>
      <c r="B4695" s="344" t="s">
        <v>162</v>
      </c>
      <c r="C4695" s="344">
        <v>12441</v>
      </c>
      <c r="D4695" s="343" t="s">
        <v>6919</v>
      </c>
      <c r="E4695" s="344">
        <v>6948515</v>
      </c>
      <c r="F4695" s="343" t="s">
        <v>9084</v>
      </c>
      <c r="G4695" s="360" t="s">
        <v>508</v>
      </c>
      <c r="H4695" s="361">
        <v>43256</v>
      </c>
      <c r="I4695" s="343" t="s">
        <v>802</v>
      </c>
      <c r="J4695" s="343" t="s">
        <v>1075</v>
      </c>
      <c r="K4695" s="343" t="s">
        <v>168</v>
      </c>
    </row>
    <row r="4696" spans="1:11" ht="26.25" customHeight="1">
      <c r="A4696" s="343" t="s">
        <v>6434</v>
      </c>
      <c r="B4696" s="344" t="s">
        <v>162</v>
      </c>
      <c r="C4696" s="344">
        <v>11445</v>
      </c>
      <c r="D4696" s="343" t="s">
        <v>9037</v>
      </c>
      <c r="E4696" s="344">
        <v>5689916</v>
      </c>
      <c r="F4696" s="343" t="s">
        <v>6584</v>
      </c>
      <c r="G4696" s="360" t="s">
        <v>13623</v>
      </c>
      <c r="H4696" s="361">
        <v>43256</v>
      </c>
      <c r="I4696" s="343" t="s">
        <v>193</v>
      </c>
      <c r="J4696" s="343" t="s">
        <v>12067</v>
      </c>
      <c r="K4696" s="343" t="s">
        <v>168</v>
      </c>
    </row>
    <row r="4697" spans="1:11" ht="26.25" customHeight="1">
      <c r="A4697" s="343" t="s">
        <v>6434</v>
      </c>
      <c r="B4697" s="344" t="s">
        <v>162</v>
      </c>
      <c r="C4697" s="344">
        <v>6848</v>
      </c>
      <c r="D4697" s="343" t="s">
        <v>8118</v>
      </c>
      <c r="E4697" s="344">
        <v>6034525</v>
      </c>
      <c r="F4697" s="343" t="s">
        <v>9085</v>
      </c>
      <c r="G4697" s="360" t="s">
        <v>10051</v>
      </c>
      <c r="H4697" s="361">
        <v>43256</v>
      </c>
      <c r="I4697" s="343" t="s">
        <v>193</v>
      </c>
      <c r="J4697" s="343" t="s">
        <v>9500</v>
      </c>
      <c r="K4697" s="343" t="s">
        <v>168</v>
      </c>
    </row>
    <row r="4698" spans="1:11" ht="26.25" customHeight="1">
      <c r="A4698" s="343" t="s">
        <v>6434</v>
      </c>
      <c r="B4698" s="344" t="s">
        <v>162</v>
      </c>
      <c r="C4698" s="344">
        <v>7688</v>
      </c>
      <c r="D4698" s="343" t="s">
        <v>6495</v>
      </c>
      <c r="E4698" s="344">
        <v>6607781</v>
      </c>
      <c r="F4698" s="343" t="s">
        <v>9086</v>
      </c>
      <c r="G4698" s="360" t="s">
        <v>12747</v>
      </c>
      <c r="H4698" s="361">
        <v>43256</v>
      </c>
      <c r="I4698" s="343" t="s">
        <v>166</v>
      </c>
      <c r="J4698" s="343" t="s">
        <v>9752</v>
      </c>
      <c r="K4698" s="343" t="s">
        <v>248</v>
      </c>
    </row>
    <row r="4699" spans="1:11" ht="26.25" customHeight="1">
      <c r="A4699" s="343" t="s">
        <v>6434</v>
      </c>
      <c r="B4699" s="344" t="s">
        <v>162</v>
      </c>
      <c r="C4699" s="344">
        <v>11318</v>
      </c>
      <c r="D4699" s="343" t="s">
        <v>6899</v>
      </c>
      <c r="E4699" s="344">
        <v>6416869</v>
      </c>
      <c r="F4699" s="343" t="s">
        <v>6467</v>
      </c>
      <c r="G4699" s="360" t="s">
        <v>10082</v>
      </c>
      <c r="H4699" s="361">
        <v>43258</v>
      </c>
      <c r="I4699" s="343" t="s">
        <v>3910</v>
      </c>
      <c r="J4699" s="343" t="s">
        <v>9547</v>
      </c>
      <c r="K4699" s="343" t="s">
        <v>173</v>
      </c>
    </row>
    <row r="4700" spans="1:11" ht="26.25" customHeight="1">
      <c r="A4700" s="343" t="s">
        <v>6434</v>
      </c>
      <c r="B4700" s="344" t="s">
        <v>162</v>
      </c>
      <c r="C4700" s="344">
        <v>7689</v>
      </c>
      <c r="D4700" s="343" t="s">
        <v>6439</v>
      </c>
      <c r="E4700" s="344">
        <v>6485959</v>
      </c>
      <c r="F4700" s="343" t="s">
        <v>6440</v>
      </c>
      <c r="G4700" s="360" t="s">
        <v>13624</v>
      </c>
      <c r="H4700" s="361">
        <v>43258</v>
      </c>
      <c r="I4700" s="343" t="s">
        <v>271</v>
      </c>
      <c r="J4700" s="343" t="s">
        <v>13625</v>
      </c>
      <c r="K4700" s="343" t="s">
        <v>168</v>
      </c>
    </row>
    <row r="4701" spans="1:11" ht="26.25" customHeight="1">
      <c r="A4701" s="343" t="s">
        <v>6434</v>
      </c>
      <c r="B4701" s="344" t="s">
        <v>162</v>
      </c>
      <c r="C4701" s="344">
        <v>11441</v>
      </c>
      <c r="D4701" s="343" t="s">
        <v>6896</v>
      </c>
      <c r="E4701" s="344">
        <v>6448832</v>
      </c>
      <c r="F4701" s="343" t="s">
        <v>9087</v>
      </c>
      <c r="G4701" s="360" t="s">
        <v>445</v>
      </c>
      <c r="H4701" s="361">
        <v>43259</v>
      </c>
      <c r="I4701" s="343" t="s">
        <v>3910</v>
      </c>
      <c r="J4701" s="343" t="s">
        <v>9985</v>
      </c>
      <c r="K4701" s="343" t="s">
        <v>173</v>
      </c>
    </row>
    <row r="4702" spans="1:11" ht="26.25" customHeight="1">
      <c r="A4702" s="343" t="s">
        <v>6434</v>
      </c>
      <c r="B4702" s="344" t="s">
        <v>162</v>
      </c>
      <c r="C4702" s="344">
        <v>9641</v>
      </c>
      <c r="D4702" s="343" t="s">
        <v>6838</v>
      </c>
      <c r="E4702" s="344">
        <v>5956852</v>
      </c>
      <c r="F4702" s="343" t="s">
        <v>9088</v>
      </c>
      <c r="G4702" s="360" t="s">
        <v>9577</v>
      </c>
      <c r="H4702" s="361">
        <v>43262</v>
      </c>
      <c r="I4702" s="343" t="s">
        <v>166</v>
      </c>
      <c r="J4702" s="343" t="s">
        <v>296</v>
      </c>
      <c r="K4702" s="343" t="s">
        <v>168</v>
      </c>
    </row>
    <row r="4703" spans="1:11" ht="26.25" customHeight="1">
      <c r="A4703" s="343" t="s">
        <v>6434</v>
      </c>
      <c r="B4703" s="344" t="s">
        <v>162</v>
      </c>
      <c r="C4703" s="344">
        <v>7198</v>
      </c>
      <c r="D4703" s="343" t="s">
        <v>6735</v>
      </c>
      <c r="E4703" s="344">
        <v>5641856</v>
      </c>
      <c r="F4703" s="343" t="s">
        <v>9089</v>
      </c>
      <c r="G4703" s="360" t="s">
        <v>12787</v>
      </c>
      <c r="H4703" s="361">
        <v>43262</v>
      </c>
      <c r="I4703" s="343" t="s">
        <v>301</v>
      </c>
      <c r="J4703" s="343" t="s">
        <v>530</v>
      </c>
      <c r="K4703" s="343" t="s">
        <v>168</v>
      </c>
    </row>
    <row r="4704" spans="1:11" ht="26.25" customHeight="1">
      <c r="A4704" s="343" t="s">
        <v>6434</v>
      </c>
      <c r="B4704" s="344" t="s">
        <v>162</v>
      </c>
      <c r="C4704" s="344">
        <v>11600</v>
      </c>
      <c r="D4704" s="343" t="s">
        <v>6560</v>
      </c>
      <c r="E4704" s="344">
        <v>5215166</v>
      </c>
      <c r="F4704" s="343" t="s">
        <v>6578</v>
      </c>
      <c r="G4704" s="360" t="s">
        <v>10480</v>
      </c>
      <c r="H4704" s="361">
        <v>43262</v>
      </c>
      <c r="I4704" s="343" t="s">
        <v>193</v>
      </c>
      <c r="J4704" s="343" t="s">
        <v>9500</v>
      </c>
      <c r="K4704" s="343" t="s">
        <v>168</v>
      </c>
    </row>
    <row r="4705" spans="1:11" ht="26.25" customHeight="1">
      <c r="A4705" s="343" t="s">
        <v>6434</v>
      </c>
      <c r="B4705" s="344" t="s">
        <v>162</v>
      </c>
      <c r="C4705" s="344">
        <v>11857</v>
      </c>
      <c r="D4705" s="343" t="s">
        <v>6505</v>
      </c>
      <c r="E4705" s="344">
        <v>6992173</v>
      </c>
      <c r="F4705" s="343" t="s">
        <v>9090</v>
      </c>
      <c r="G4705" s="360" t="s">
        <v>13626</v>
      </c>
      <c r="H4705" s="361">
        <v>43262</v>
      </c>
      <c r="I4705" s="343" t="s">
        <v>193</v>
      </c>
      <c r="J4705" s="343" t="s">
        <v>637</v>
      </c>
      <c r="K4705" s="343" t="s">
        <v>168</v>
      </c>
    </row>
    <row r="4706" spans="1:11" ht="26.25" customHeight="1">
      <c r="A4706" s="343" t="s">
        <v>6434</v>
      </c>
      <c r="B4706" s="344" t="s">
        <v>162</v>
      </c>
      <c r="C4706" s="344">
        <v>11342</v>
      </c>
      <c r="D4706" s="343" t="s">
        <v>6739</v>
      </c>
      <c r="E4706" s="344">
        <v>5261876</v>
      </c>
      <c r="F4706" s="343" t="s">
        <v>9091</v>
      </c>
      <c r="G4706" s="360" t="s">
        <v>9405</v>
      </c>
      <c r="H4706" s="361">
        <v>43262</v>
      </c>
      <c r="I4706" s="343" t="s">
        <v>366</v>
      </c>
      <c r="J4706" s="343" t="s">
        <v>366</v>
      </c>
      <c r="K4706" s="343" t="s">
        <v>168</v>
      </c>
    </row>
    <row r="4707" spans="1:11" ht="26.25" customHeight="1">
      <c r="A4707" s="343" t="s">
        <v>6434</v>
      </c>
      <c r="B4707" s="344" t="s">
        <v>162</v>
      </c>
      <c r="C4707" s="344">
        <v>11310</v>
      </c>
      <c r="D4707" s="343" t="s">
        <v>6888</v>
      </c>
      <c r="E4707" s="344">
        <v>6295278</v>
      </c>
      <c r="F4707" s="343" t="s">
        <v>9092</v>
      </c>
      <c r="G4707" s="360" t="s">
        <v>10005</v>
      </c>
      <c r="H4707" s="361">
        <v>43263</v>
      </c>
      <c r="I4707" s="343" t="s">
        <v>366</v>
      </c>
      <c r="J4707" s="343" t="s">
        <v>1095</v>
      </c>
      <c r="K4707" s="343" t="s">
        <v>168</v>
      </c>
    </row>
    <row r="4708" spans="1:11" ht="26.25" customHeight="1">
      <c r="A4708" s="343" t="s">
        <v>6434</v>
      </c>
      <c r="B4708" s="344" t="s">
        <v>162</v>
      </c>
      <c r="C4708" s="344">
        <v>11440</v>
      </c>
      <c r="D4708" s="343" t="s">
        <v>6583</v>
      </c>
      <c r="E4708" s="344">
        <v>6079539</v>
      </c>
      <c r="F4708" s="343" t="s">
        <v>9093</v>
      </c>
      <c r="G4708" s="360" t="s">
        <v>9954</v>
      </c>
      <c r="H4708" s="361">
        <v>43263</v>
      </c>
      <c r="I4708" s="343" t="s">
        <v>193</v>
      </c>
      <c r="J4708" s="343" t="s">
        <v>637</v>
      </c>
      <c r="K4708" s="343" t="s">
        <v>168</v>
      </c>
    </row>
    <row r="4709" spans="1:11" ht="26.25" customHeight="1">
      <c r="A4709" s="343" t="s">
        <v>6434</v>
      </c>
      <c r="B4709" s="344" t="s">
        <v>162</v>
      </c>
      <c r="C4709" s="344">
        <v>11310</v>
      </c>
      <c r="D4709" s="343" t="s">
        <v>6888</v>
      </c>
      <c r="E4709" s="344">
        <v>5992970</v>
      </c>
      <c r="F4709" s="343" t="s">
        <v>6443</v>
      </c>
      <c r="G4709" s="360" t="s">
        <v>11704</v>
      </c>
      <c r="H4709" s="361">
        <v>43263</v>
      </c>
      <c r="I4709" s="343" t="s">
        <v>193</v>
      </c>
      <c r="J4709" s="343" t="s">
        <v>603</v>
      </c>
      <c r="K4709" s="343" t="s">
        <v>168</v>
      </c>
    </row>
    <row r="4710" spans="1:11" ht="26.25" customHeight="1">
      <c r="A4710" s="343" t="s">
        <v>6434</v>
      </c>
      <c r="B4710" s="344" t="s">
        <v>162</v>
      </c>
      <c r="C4710" s="344">
        <v>11356</v>
      </c>
      <c r="D4710" s="343" t="s">
        <v>6444</v>
      </c>
      <c r="E4710" s="344">
        <v>6860153</v>
      </c>
      <c r="F4710" s="343" t="s">
        <v>9094</v>
      </c>
      <c r="G4710" s="360" t="s">
        <v>13627</v>
      </c>
      <c r="H4710" s="361">
        <v>43263</v>
      </c>
      <c r="I4710" s="343" t="s">
        <v>193</v>
      </c>
      <c r="J4710" s="343" t="s">
        <v>637</v>
      </c>
      <c r="K4710" s="343" t="s">
        <v>168</v>
      </c>
    </row>
    <row r="4711" spans="1:11" ht="26.25" customHeight="1">
      <c r="A4711" s="343" t="s">
        <v>6434</v>
      </c>
      <c r="B4711" s="344" t="s">
        <v>162</v>
      </c>
      <c r="C4711" s="344">
        <v>11457</v>
      </c>
      <c r="D4711" s="343" t="s">
        <v>6523</v>
      </c>
      <c r="E4711" s="344">
        <v>6883645</v>
      </c>
      <c r="F4711" s="343" t="s">
        <v>9095</v>
      </c>
      <c r="G4711" s="360" t="s">
        <v>12180</v>
      </c>
      <c r="H4711" s="361">
        <v>43264</v>
      </c>
      <c r="I4711" s="343" t="s">
        <v>193</v>
      </c>
      <c r="J4711" s="343" t="s">
        <v>637</v>
      </c>
      <c r="K4711" s="343" t="s">
        <v>168</v>
      </c>
    </row>
    <row r="4712" spans="1:11" ht="26.25" customHeight="1">
      <c r="A4712" s="343" t="s">
        <v>6434</v>
      </c>
      <c r="B4712" s="344" t="s">
        <v>162</v>
      </c>
      <c r="C4712" s="344">
        <v>7198</v>
      </c>
      <c r="D4712" s="343" t="s">
        <v>6735</v>
      </c>
      <c r="E4712" s="344">
        <v>4928392</v>
      </c>
      <c r="F4712" s="343" t="s">
        <v>9181</v>
      </c>
      <c r="G4712" s="360" t="s">
        <v>9873</v>
      </c>
      <c r="H4712" s="361">
        <v>43273</v>
      </c>
      <c r="I4712" s="343" t="s">
        <v>211</v>
      </c>
      <c r="J4712" s="343" t="s">
        <v>211</v>
      </c>
      <c r="K4712" s="343" t="s">
        <v>168</v>
      </c>
    </row>
    <row r="4713" spans="1:11" ht="26.25" customHeight="1">
      <c r="A4713" s="343" t="s">
        <v>6434</v>
      </c>
      <c r="B4713" s="344" t="s">
        <v>162</v>
      </c>
      <c r="C4713" s="344">
        <v>7689</v>
      </c>
      <c r="D4713" s="343" t="s">
        <v>6439</v>
      </c>
      <c r="E4713" s="344">
        <v>6912932</v>
      </c>
      <c r="F4713" s="343" t="s">
        <v>9182</v>
      </c>
      <c r="G4713" s="360" t="s">
        <v>13628</v>
      </c>
      <c r="H4713" s="361">
        <v>43273</v>
      </c>
      <c r="I4713" s="343" t="s">
        <v>193</v>
      </c>
      <c r="J4713" s="343" t="s">
        <v>9511</v>
      </c>
      <c r="K4713" s="343" t="s">
        <v>168</v>
      </c>
    </row>
    <row r="4714" spans="1:11" ht="26.25" customHeight="1">
      <c r="A4714" s="343" t="s">
        <v>6434</v>
      </c>
      <c r="B4714" s="344" t="s">
        <v>162</v>
      </c>
      <c r="C4714" s="344">
        <v>12441</v>
      </c>
      <c r="D4714" s="343" t="s">
        <v>6919</v>
      </c>
      <c r="E4714" s="344">
        <v>6259209</v>
      </c>
      <c r="F4714" s="343" t="s">
        <v>9183</v>
      </c>
      <c r="G4714" s="360" t="s">
        <v>9628</v>
      </c>
      <c r="H4714" s="361">
        <v>43273</v>
      </c>
      <c r="I4714" s="343" t="s">
        <v>9184</v>
      </c>
      <c r="J4714" s="343" t="s">
        <v>13629</v>
      </c>
      <c r="K4714" s="343" t="s">
        <v>168</v>
      </c>
    </row>
    <row r="4715" spans="1:11" ht="26.25" customHeight="1">
      <c r="A4715" s="343" t="s">
        <v>6434</v>
      </c>
      <c r="B4715" s="344" t="s">
        <v>162</v>
      </c>
      <c r="C4715" s="344">
        <v>11359</v>
      </c>
      <c r="D4715" s="343" t="s">
        <v>6468</v>
      </c>
      <c r="E4715" s="344">
        <v>6595365</v>
      </c>
      <c r="F4715" s="343" t="s">
        <v>9185</v>
      </c>
      <c r="G4715" s="360" t="s">
        <v>12970</v>
      </c>
      <c r="H4715" s="361">
        <v>43273</v>
      </c>
      <c r="I4715" s="343" t="s">
        <v>166</v>
      </c>
      <c r="J4715" s="343" t="s">
        <v>296</v>
      </c>
      <c r="K4715" s="343" t="s">
        <v>168</v>
      </c>
    </row>
    <row r="4716" spans="1:11" ht="26.25" customHeight="1">
      <c r="A4716" s="343" t="s">
        <v>6434</v>
      </c>
      <c r="B4716" s="344" t="s">
        <v>162</v>
      </c>
      <c r="C4716" s="344">
        <v>11359</v>
      </c>
      <c r="D4716" s="343" t="s">
        <v>6468</v>
      </c>
      <c r="E4716" s="344">
        <v>6595288</v>
      </c>
      <c r="F4716" s="343" t="s">
        <v>9186</v>
      </c>
      <c r="G4716" s="360" t="s">
        <v>12970</v>
      </c>
      <c r="H4716" s="361">
        <v>43273</v>
      </c>
      <c r="I4716" s="343" t="s">
        <v>166</v>
      </c>
      <c r="J4716" s="343" t="s">
        <v>296</v>
      </c>
      <c r="K4716" s="343" t="s">
        <v>168</v>
      </c>
    </row>
    <row r="4717" spans="1:11" ht="26.25" customHeight="1">
      <c r="A4717" s="343" t="s">
        <v>6434</v>
      </c>
      <c r="B4717" s="344" t="s">
        <v>162</v>
      </c>
      <c r="C4717" s="344">
        <v>11325</v>
      </c>
      <c r="D4717" s="343" t="s">
        <v>6948</v>
      </c>
      <c r="E4717" s="344">
        <v>6471032</v>
      </c>
      <c r="F4717" s="343" t="s">
        <v>9187</v>
      </c>
      <c r="G4717" s="360" t="s">
        <v>10140</v>
      </c>
      <c r="H4717" s="361">
        <v>43273</v>
      </c>
      <c r="I4717" s="343" t="s">
        <v>313</v>
      </c>
      <c r="J4717" s="343" t="s">
        <v>397</v>
      </c>
      <c r="K4717" s="343" t="s">
        <v>173</v>
      </c>
    </row>
    <row r="4718" spans="1:11" ht="26.25" customHeight="1">
      <c r="A4718" s="343" t="s">
        <v>6434</v>
      </c>
      <c r="B4718" s="344" t="s">
        <v>162</v>
      </c>
      <c r="C4718" s="344">
        <v>11342</v>
      </c>
      <c r="D4718" s="343" t="s">
        <v>6739</v>
      </c>
      <c r="E4718" s="344">
        <v>4789302</v>
      </c>
      <c r="F4718" s="343" t="s">
        <v>9188</v>
      </c>
      <c r="G4718" s="360" t="s">
        <v>13630</v>
      </c>
      <c r="H4718" s="361">
        <v>43273</v>
      </c>
      <c r="I4718" s="343" t="s">
        <v>211</v>
      </c>
      <c r="J4718" s="343" t="s">
        <v>909</v>
      </c>
      <c r="K4718" s="343" t="s">
        <v>168</v>
      </c>
    </row>
    <row r="4719" spans="1:11" ht="26.25" customHeight="1">
      <c r="A4719" s="343" t="s">
        <v>6434</v>
      </c>
      <c r="B4719" s="344" t="s">
        <v>162</v>
      </c>
      <c r="C4719" s="344">
        <v>6845</v>
      </c>
      <c r="D4719" s="343" t="s">
        <v>6955</v>
      </c>
      <c r="E4719" s="344">
        <v>6210435</v>
      </c>
      <c r="F4719" s="343" t="s">
        <v>9189</v>
      </c>
      <c r="G4719" s="360" t="s">
        <v>13631</v>
      </c>
      <c r="H4719" s="361">
        <v>43279</v>
      </c>
      <c r="I4719" s="343" t="s">
        <v>7710</v>
      </c>
      <c r="J4719" s="343" t="s">
        <v>13632</v>
      </c>
      <c r="K4719" s="343" t="s">
        <v>168</v>
      </c>
    </row>
    <row r="4720" spans="1:11" ht="26.25" customHeight="1">
      <c r="A4720" s="343" t="s">
        <v>6434</v>
      </c>
      <c r="B4720" s="344" t="s">
        <v>162</v>
      </c>
      <c r="C4720" s="344">
        <v>12263</v>
      </c>
      <c r="D4720" s="343" t="s">
        <v>6601</v>
      </c>
      <c r="E4720" s="344">
        <v>5629979</v>
      </c>
      <c r="F4720" s="343" t="s">
        <v>9191</v>
      </c>
      <c r="G4720" s="360" t="s">
        <v>1226</v>
      </c>
      <c r="H4720" s="361">
        <v>43279</v>
      </c>
      <c r="I4720" s="343" t="s">
        <v>166</v>
      </c>
      <c r="J4720" s="343" t="s">
        <v>296</v>
      </c>
      <c r="K4720" s="343" t="s">
        <v>168</v>
      </c>
    </row>
    <row r="4721" spans="1:11" ht="26.25" customHeight="1">
      <c r="A4721" s="343" t="s">
        <v>6434</v>
      </c>
      <c r="B4721" s="344" t="s">
        <v>162</v>
      </c>
      <c r="C4721" s="344">
        <v>7202</v>
      </c>
      <c r="D4721" s="343" t="s">
        <v>6550</v>
      </c>
      <c r="E4721" s="344">
        <v>5097148</v>
      </c>
      <c r="F4721" s="343" t="s">
        <v>6635</v>
      </c>
      <c r="G4721" s="360" t="s">
        <v>13214</v>
      </c>
      <c r="H4721" s="361">
        <v>43279</v>
      </c>
      <c r="I4721" s="343" t="s">
        <v>580</v>
      </c>
      <c r="J4721" s="343" t="s">
        <v>13633</v>
      </c>
      <c r="K4721" s="343" t="s">
        <v>248</v>
      </c>
    </row>
    <row r="4722" spans="1:11" ht="26.25" customHeight="1">
      <c r="A4722" s="343" t="s">
        <v>6434</v>
      </c>
      <c r="B4722" s="344" t="s">
        <v>162</v>
      </c>
      <c r="C4722" s="344">
        <v>9037</v>
      </c>
      <c r="D4722" s="343" t="s">
        <v>6983</v>
      </c>
      <c r="E4722" s="344">
        <v>5982472</v>
      </c>
      <c r="F4722" s="343" t="s">
        <v>9192</v>
      </c>
      <c r="G4722" s="360" t="s">
        <v>11543</v>
      </c>
      <c r="H4722" s="361">
        <v>43279</v>
      </c>
      <c r="I4722" s="343" t="s">
        <v>211</v>
      </c>
      <c r="J4722" s="343" t="s">
        <v>909</v>
      </c>
      <c r="K4722" s="343" t="s">
        <v>168</v>
      </c>
    </row>
    <row r="4723" spans="1:11" ht="26.25" customHeight="1">
      <c r="A4723" s="343" t="s">
        <v>6434</v>
      </c>
      <c r="B4723" s="344" t="s">
        <v>162</v>
      </c>
      <c r="C4723" s="344">
        <v>7680</v>
      </c>
      <c r="D4723" s="343" t="s">
        <v>6498</v>
      </c>
      <c r="E4723" s="344">
        <v>6814911</v>
      </c>
      <c r="F4723" s="343" t="s">
        <v>9193</v>
      </c>
      <c r="G4723" s="360" t="s">
        <v>13634</v>
      </c>
      <c r="H4723" s="361">
        <v>43284</v>
      </c>
      <c r="I4723" s="343" t="s">
        <v>193</v>
      </c>
      <c r="J4723" s="343" t="s">
        <v>13635</v>
      </c>
      <c r="K4723" s="343" t="s">
        <v>168</v>
      </c>
    </row>
    <row r="4724" spans="1:11" ht="26.25" customHeight="1">
      <c r="A4724" s="343" t="s">
        <v>6434</v>
      </c>
      <c r="B4724" s="344" t="s">
        <v>162</v>
      </c>
      <c r="C4724" s="344">
        <v>11851</v>
      </c>
      <c r="D4724" s="343" t="s">
        <v>6566</v>
      </c>
      <c r="E4724" s="344">
        <v>5893639</v>
      </c>
      <c r="F4724" s="343" t="s">
        <v>6887</v>
      </c>
      <c r="G4724" s="360" t="s">
        <v>1272</v>
      </c>
      <c r="H4724" s="361">
        <v>43285</v>
      </c>
      <c r="I4724" s="343" t="s">
        <v>193</v>
      </c>
      <c r="J4724" s="343" t="s">
        <v>637</v>
      </c>
      <c r="K4724" s="343" t="s">
        <v>168</v>
      </c>
    </row>
    <row r="4725" spans="1:11" ht="26.25" customHeight="1">
      <c r="A4725" s="343" t="s">
        <v>6434</v>
      </c>
      <c r="B4725" s="344" t="s">
        <v>162</v>
      </c>
      <c r="C4725" s="344">
        <v>11360</v>
      </c>
      <c r="D4725" s="343" t="s">
        <v>6471</v>
      </c>
      <c r="E4725" s="344">
        <v>6944029</v>
      </c>
      <c r="F4725" s="343" t="s">
        <v>9194</v>
      </c>
      <c r="G4725" s="360" t="s">
        <v>13636</v>
      </c>
      <c r="H4725" s="361">
        <v>43285</v>
      </c>
      <c r="I4725" s="343" t="s">
        <v>5043</v>
      </c>
      <c r="J4725" s="343" t="s">
        <v>11724</v>
      </c>
      <c r="K4725" s="343" t="s">
        <v>248</v>
      </c>
    </row>
    <row r="4726" spans="1:11" ht="26.25" customHeight="1">
      <c r="A4726" s="343" t="s">
        <v>6434</v>
      </c>
      <c r="B4726" s="344" t="s">
        <v>162</v>
      </c>
      <c r="C4726" s="344">
        <v>11358</v>
      </c>
      <c r="D4726" s="343" t="s">
        <v>6459</v>
      </c>
      <c r="E4726" s="344">
        <v>6615752</v>
      </c>
      <c r="F4726" s="343" t="s">
        <v>9195</v>
      </c>
      <c r="G4726" s="360" t="s">
        <v>11096</v>
      </c>
      <c r="H4726" s="361">
        <v>43285</v>
      </c>
      <c r="I4726" s="343" t="s">
        <v>193</v>
      </c>
      <c r="J4726" s="343" t="s">
        <v>12067</v>
      </c>
      <c r="K4726" s="343" t="s">
        <v>168</v>
      </c>
    </row>
    <row r="4727" spans="1:11" ht="26.25" customHeight="1">
      <c r="A4727" s="343" t="s">
        <v>6434</v>
      </c>
      <c r="B4727" s="344" t="s">
        <v>162</v>
      </c>
      <c r="C4727" s="344">
        <v>6846</v>
      </c>
      <c r="D4727" s="343" t="s">
        <v>6873</v>
      </c>
      <c r="E4727" s="344">
        <v>6012337</v>
      </c>
      <c r="F4727" s="343" t="s">
        <v>9196</v>
      </c>
      <c r="G4727" s="360" t="s">
        <v>12627</v>
      </c>
      <c r="H4727" s="361">
        <v>43287</v>
      </c>
      <c r="I4727" s="343" t="s">
        <v>193</v>
      </c>
      <c r="J4727" s="343" t="s">
        <v>637</v>
      </c>
      <c r="K4727" s="343" t="s">
        <v>168</v>
      </c>
    </row>
    <row r="4728" spans="1:11" ht="26.25" customHeight="1">
      <c r="A4728" s="343" t="s">
        <v>6434</v>
      </c>
      <c r="B4728" s="344" t="s">
        <v>162</v>
      </c>
      <c r="C4728" s="344">
        <v>7689</v>
      </c>
      <c r="D4728" s="343" t="s">
        <v>6439</v>
      </c>
      <c r="E4728" s="344">
        <v>6943041</v>
      </c>
      <c r="F4728" s="343" t="s">
        <v>9347</v>
      </c>
      <c r="G4728" s="360" t="s">
        <v>13637</v>
      </c>
      <c r="H4728" s="361">
        <v>43353</v>
      </c>
      <c r="I4728" s="343" t="s">
        <v>193</v>
      </c>
      <c r="J4728" s="343" t="s">
        <v>603</v>
      </c>
      <c r="K4728" s="343" t="s">
        <v>168</v>
      </c>
    </row>
    <row r="4729" spans="1:11" ht="26.25" customHeight="1">
      <c r="A4729" s="343" t="s">
        <v>6434</v>
      </c>
      <c r="B4729" s="344" t="s">
        <v>162</v>
      </c>
      <c r="C4729" s="344">
        <v>11330</v>
      </c>
      <c r="D4729" s="343" t="s">
        <v>6977</v>
      </c>
      <c r="E4729" s="344">
        <v>6489503</v>
      </c>
      <c r="F4729" s="343" t="s">
        <v>9337</v>
      </c>
      <c r="G4729" s="360" t="s">
        <v>669</v>
      </c>
      <c r="H4729" s="361">
        <v>43292</v>
      </c>
      <c r="I4729" s="343" t="s">
        <v>9338</v>
      </c>
      <c r="J4729" s="343" t="s">
        <v>13638</v>
      </c>
      <c r="K4729" s="343" t="s">
        <v>168</v>
      </c>
    </row>
    <row r="4730" spans="1:11" ht="26.25" customHeight="1">
      <c r="A4730" s="343" t="s">
        <v>6434</v>
      </c>
      <c r="B4730" s="344" t="s">
        <v>162</v>
      </c>
      <c r="C4730" s="344">
        <v>11857</v>
      </c>
      <c r="D4730" s="343" t="s">
        <v>6505</v>
      </c>
      <c r="E4730" s="344">
        <v>6621126</v>
      </c>
      <c r="F4730" s="343" t="s">
        <v>6506</v>
      </c>
      <c r="G4730" s="360" t="s">
        <v>200</v>
      </c>
      <c r="H4730" s="361">
        <v>43293</v>
      </c>
      <c r="I4730" s="343" t="s">
        <v>166</v>
      </c>
      <c r="J4730" s="343" t="s">
        <v>417</v>
      </c>
      <c r="K4730" s="343" t="s">
        <v>248</v>
      </c>
    </row>
    <row r="4731" spans="1:11" ht="26.25" customHeight="1">
      <c r="A4731" s="343" t="s">
        <v>6434</v>
      </c>
      <c r="B4731" s="344" t="s">
        <v>162</v>
      </c>
      <c r="C4731" s="344">
        <v>11363</v>
      </c>
      <c r="D4731" s="343" t="s">
        <v>6479</v>
      </c>
      <c r="E4731" s="344">
        <v>6845218</v>
      </c>
      <c r="F4731" s="343" t="s">
        <v>9342</v>
      </c>
      <c r="G4731" s="360" t="s">
        <v>11796</v>
      </c>
      <c r="H4731" s="361">
        <v>43312</v>
      </c>
      <c r="I4731" s="343" t="s">
        <v>7478</v>
      </c>
      <c r="J4731" s="343" t="s">
        <v>10063</v>
      </c>
      <c r="K4731" s="343" t="s">
        <v>168</v>
      </c>
    </row>
    <row r="4732" spans="1:11" ht="26.25" customHeight="1">
      <c r="A4732" s="343" t="s">
        <v>6434</v>
      </c>
      <c r="B4732" s="344" t="s">
        <v>162</v>
      </c>
      <c r="C4732" s="344">
        <v>11451</v>
      </c>
      <c r="D4732" s="343" t="s">
        <v>6461</v>
      </c>
      <c r="E4732" s="344">
        <v>6864359</v>
      </c>
      <c r="F4732" s="343" t="s">
        <v>9354</v>
      </c>
      <c r="G4732" s="360" t="s">
        <v>9561</v>
      </c>
      <c r="H4732" s="361">
        <v>43312</v>
      </c>
      <c r="I4732" s="343" t="s">
        <v>9355</v>
      </c>
      <c r="J4732" s="343" t="s">
        <v>13639</v>
      </c>
      <c r="K4732" s="343" t="s">
        <v>168</v>
      </c>
    </row>
    <row r="4733" spans="1:11" ht="26.25" customHeight="1">
      <c r="A4733" s="343" t="s">
        <v>6434</v>
      </c>
      <c r="B4733" s="344" t="s">
        <v>162</v>
      </c>
      <c r="C4733" s="344">
        <v>7194</v>
      </c>
      <c r="D4733" s="343" t="s">
        <v>6667</v>
      </c>
      <c r="E4733" s="344">
        <v>6403754</v>
      </c>
      <c r="F4733" s="343" t="s">
        <v>9341</v>
      </c>
      <c r="G4733" s="360" t="s">
        <v>13640</v>
      </c>
      <c r="H4733" s="361">
        <v>43318</v>
      </c>
      <c r="I4733" s="343" t="s">
        <v>180</v>
      </c>
      <c r="J4733" s="343" t="s">
        <v>13641</v>
      </c>
      <c r="K4733" s="343" t="s">
        <v>173</v>
      </c>
    </row>
    <row r="4734" spans="1:11" ht="26.25" customHeight="1">
      <c r="A4734" s="343" t="s">
        <v>6434</v>
      </c>
      <c r="B4734" s="344" t="s">
        <v>162</v>
      </c>
      <c r="C4734" s="344">
        <v>11314</v>
      </c>
      <c r="D4734" s="343" t="s">
        <v>6863</v>
      </c>
      <c r="E4734" s="344">
        <v>6912271</v>
      </c>
      <c r="F4734" s="343" t="s">
        <v>9345</v>
      </c>
      <c r="G4734" s="360" t="s">
        <v>10058</v>
      </c>
      <c r="H4734" s="361">
        <v>43318</v>
      </c>
      <c r="I4734" s="343" t="s">
        <v>180</v>
      </c>
      <c r="J4734" s="343" t="s">
        <v>13642</v>
      </c>
      <c r="K4734" s="343" t="s">
        <v>173</v>
      </c>
    </row>
    <row r="4735" spans="1:11" ht="26.25" customHeight="1">
      <c r="A4735" s="343" t="s">
        <v>6434</v>
      </c>
      <c r="B4735" s="344" t="s">
        <v>162</v>
      </c>
      <c r="C4735" s="344">
        <v>7191</v>
      </c>
      <c r="D4735" s="343" t="s">
        <v>6621</v>
      </c>
      <c r="E4735" s="344">
        <v>6512126</v>
      </c>
      <c r="F4735" s="343" t="s">
        <v>9350</v>
      </c>
      <c r="G4735" s="360" t="s">
        <v>11458</v>
      </c>
      <c r="H4735" s="361">
        <v>43322</v>
      </c>
      <c r="I4735" s="343" t="s">
        <v>366</v>
      </c>
      <c r="J4735" s="343" t="s">
        <v>366</v>
      </c>
      <c r="K4735" s="343" t="s">
        <v>168</v>
      </c>
    </row>
    <row r="4736" spans="1:11" ht="26.25" customHeight="1">
      <c r="A4736" s="343" t="s">
        <v>6434</v>
      </c>
      <c r="B4736" s="344" t="s">
        <v>162</v>
      </c>
      <c r="C4736" s="344">
        <v>11450</v>
      </c>
      <c r="D4736" s="343" t="s">
        <v>6457</v>
      </c>
      <c r="E4736" s="344">
        <v>6853853</v>
      </c>
      <c r="F4736" s="343" t="s">
        <v>9343</v>
      </c>
      <c r="G4736" s="360" t="s">
        <v>9561</v>
      </c>
      <c r="H4736" s="361">
        <v>43322</v>
      </c>
      <c r="I4736" s="343" t="s">
        <v>166</v>
      </c>
      <c r="J4736" s="343" t="s">
        <v>327</v>
      </c>
      <c r="K4736" s="343" t="s">
        <v>168</v>
      </c>
    </row>
    <row r="4737" spans="1:11" ht="26.25" customHeight="1">
      <c r="A4737" s="343" t="s">
        <v>6434</v>
      </c>
      <c r="B4737" s="344" t="s">
        <v>162</v>
      </c>
      <c r="C4737" s="344">
        <v>11356</v>
      </c>
      <c r="D4737" s="343" t="s">
        <v>6444</v>
      </c>
      <c r="E4737" s="344">
        <v>7095370</v>
      </c>
      <c r="F4737" s="343" t="s">
        <v>9348</v>
      </c>
      <c r="G4737" s="360" t="s">
        <v>13643</v>
      </c>
      <c r="H4737" s="361">
        <v>43322</v>
      </c>
      <c r="I4737" s="343" t="s">
        <v>284</v>
      </c>
      <c r="J4737" s="343" t="s">
        <v>13077</v>
      </c>
      <c r="K4737" s="343" t="s">
        <v>168</v>
      </c>
    </row>
    <row r="4738" spans="1:11" ht="26.25" customHeight="1">
      <c r="A4738" s="343" t="s">
        <v>6434</v>
      </c>
      <c r="B4738" s="344" t="s">
        <v>162</v>
      </c>
      <c r="C4738" s="344">
        <v>7688</v>
      </c>
      <c r="D4738" s="343" t="s">
        <v>6495</v>
      </c>
      <c r="E4738" s="344">
        <v>6901518</v>
      </c>
      <c r="F4738" s="343" t="s">
        <v>9353</v>
      </c>
      <c r="G4738" s="360" t="s">
        <v>12994</v>
      </c>
      <c r="H4738" s="361">
        <v>43322</v>
      </c>
      <c r="I4738" s="343" t="s">
        <v>423</v>
      </c>
      <c r="J4738" s="343" t="s">
        <v>10528</v>
      </c>
      <c r="K4738" s="343" t="s">
        <v>168</v>
      </c>
    </row>
    <row r="4739" spans="1:11" ht="26.25" customHeight="1">
      <c r="A4739" s="343" t="s">
        <v>6434</v>
      </c>
      <c r="B4739" s="344" t="s">
        <v>162</v>
      </c>
      <c r="C4739" s="344">
        <v>11358</v>
      </c>
      <c r="D4739" s="343" t="s">
        <v>6459</v>
      </c>
      <c r="E4739" s="344">
        <v>7022456</v>
      </c>
      <c r="F4739" s="343" t="s">
        <v>9351</v>
      </c>
      <c r="G4739" s="360" t="s">
        <v>13644</v>
      </c>
      <c r="H4739" s="361">
        <v>43322</v>
      </c>
      <c r="I4739" s="343" t="s">
        <v>193</v>
      </c>
      <c r="J4739" s="343" t="s">
        <v>11756</v>
      </c>
      <c r="K4739" s="343" t="s">
        <v>168</v>
      </c>
    </row>
    <row r="4740" spans="1:11" ht="26.25" customHeight="1">
      <c r="A4740" s="343" t="s">
        <v>6434</v>
      </c>
      <c r="B4740" s="344" t="s">
        <v>162</v>
      </c>
      <c r="C4740" s="344">
        <v>11359</v>
      </c>
      <c r="D4740" s="343" t="s">
        <v>6468</v>
      </c>
      <c r="E4740" s="344">
        <v>6568014</v>
      </c>
      <c r="F4740" s="343" t="s">
        <v>9339</v>
      </c>
      <c r="G4740" s="360" t="s">
        <v>9834</v>
      </c>
      <c r="H4740" s="361">
        <v>43322</v>
      </c>
      <c r="I4740" s="343" t="s">
        <v>166</v>
      </c>
      <c r="J4740" s="343" t="s">
        <v>13645</v>
      </c>
      <c r="K4740" s="343" t="s">
        <v>168</v>
      </c>
    </row>
    <row r="4741" spans="1:11" ht="26.25" customHeight="1">
      <c r="A4741" s="343" t="s">
        <v>6434</v>
      </c>
      <c r="B4741" s="344" t="s">
        <v>162</v>
      </c>
      <c r="C4741" s="344">
        <v>11337</v>
      </c>
      <c r="D4741" s="343" t="s">
        <v>6673</v>
      </c>
      <c r="E4741" s="344">
        <v>6350739</v>
      </c>
      <c r="F4741" s="343" t="s">
        <v>9352</v>
      </c>
      <c r="G4741" s="360" t="s">
        <v>11561</v>
      </c>
      <c r="H4741" s="361">
        <v>43322</v>
      </c>
      <c r="I4741" s="343" t="s">
        <v>211</v>
      </c>
      <c r="J4741" s="343" t="s">
        <v>909</v>
      </c>
      <c r="K4741" s="343" t="s">
        <v>168</v>
      </c>
    </row>
    <row r="4742" spans="1:11" ht="26.25" customHeight="1">
      <c r="A4742" s="343" t="s">
        <v>6434</v>
      </c>
      <c r="B4742" s="344" t="s">
        <v>162</v>
      </c>
      <c r="C4742" s="344">
        <v>11458</v>
      </c>
      <c r="D4742" s="343" t="s">
        <v>6533</v>
      </c>
      <c r="E4742" s="344">
        <v>6368320</v>
      </c>
      <c r="F4742" s="343" t="s">
        <v>9340</v>
      </c>
      <c r="G4742" s="360" t="s">
        <v>13305</v>
      </c>
      <c r="H4742" s="361">
        <v>43322</v>
      </c>
      <c r="I4742" s="343" t="s">
        <v>193</v>
      </c>
      <c r="J4742" s="343" t="s">
        <v>637</v>
      </c>
      <c r="K4742" s="343" t="s">
        <v>168</v>
      </c>
    </row>
    <row r="4743" spans="1:11" ht="26.25" customHeight="1">
      <c r="A4743" s="343" t="s">
        <v>6434</v>
      </c>
      <c r="B4743" s="344" t="s">
        <v>162</v>
      </c>
      <c r="C4743" s="344">
        <v>9840</v>
      </c>
      <c r="D4743" s="343" t="s">
        <v>6507</v>
      </c>
      <c r="E4743" s="344">
        <v>6842470</v>
      </c>
      <c r="F4743" s="343" t="s">
        <v>9344</v>
      </c>
      <c r="G4743" s="360" t="s">
        <v>13646</v>
      </c>
      <c r="H4743" s="361">
        <v>43325</v>
      </c>
      <c r="I4743" s="343" t="s">
        <v>4086</v>
      </c>
      <c r="J4743" s="343" t="s">
        <v>13647</v>
      </c>
      <c r="K4743" s="343" t="s">
        <v>248</v>
      </c>
    </row>
    <row r="4744" spans="1:11" ht="26.25" customHeight="1">
      <c r="A4744" s="343" t="s">
        <v>6434</v>
      </c>
      <c r="B4744" s="344" t="s">
        <v>162</v>
      </c>
      <c r="C4744" s="344">
        <v>11321</v>
      </c>
      <c r="D4744" s="343" t="s">
        <v>6929</v>
      </c>
      <c r="E4744" s="344">
        <v>5742863</v>
      </c>
      <c r="F4744" s="343" t="s">
        <v>9336</v>
      </c>
      <c r="G4744" s="360" t="s">
        <v>12142</v>
      </c>
      <c r="H4744" s="361">
        <v>43325</v>
      </c>
      <c r="I4744" s="343" t="s">
        <v>198</v>
      </c>
      <c r="J4744" s="343" t="s">
        <v>198</v>
      </c>
      <c r="K4744" s="343" t="s">
        <v>168</v>
      </c>
    </row>
    <row r="4745" spans="1:11" ht="26.25" customHeight="1">
      <c r="A4745" s="343" t="s">
        <v>6434</v>
      </c>
      <c r="B4745" s="344" t="s">
        <v>162</v>
      </c>
      <c r="C4745" s="344">
        <v>11364</v>
      </c>
      <c r="D4745" s="343" t="s">
        <v>6491</v>
      </c>
      <c r="E4745" s="344">
        <v>6540774</v>
      </c>
      <c r="F4745" s="343" t="s">
        <v>9349</v>
      </c>
      <c r="G4745" s="360" t="s">
        <v>11635</v>
      </c>
      <c r="H4745" s="361">
        <v>43325</v>
      </c>
      <c r="I4745" s="343" t="s">
        <v>193</v>
      </c>
      <c r="J4745" s="343" t="s">
        <v>13648</v>
      </c>
      <c r="K4745" s="343" t="s">
        <v>168</v>
      </c>
    </row>
    <row r="4746" spans="1:11" ht="26.25" customHeight="1">
      <c r="A4746" s="343" t="s">
        <v>6434</v>
      </c>
      <c r="B4746" s="344" t="s">
        <v>162</v>
      </c>
      <c r="C4746" s="344">
        <v>7682</v>
      </c>
      <c r="D4746" s="343" t="s">
        <v>6433</v>
      </c>
      <c r="E4746" s="344">
        <v>6418358</v>
      </c>
      <c r="F4746" s="343" t="s">
        <v>9346</v>
      </c>
      <c r="G4746" s="360" t="s">
        <v>13649</v>
      </c>
      <c r="H4746" s="361">
        <v>43325</v>
      </c>
      <c r="I4746" s="343" t="s">
        <v>301</v>
      </c>
      <c r="J4746" s="343" t="s">
        <v>530</v>
      </c>
      <c r="K4746" s="343" t="s">
        <v>168</v>
      </c>
    </row>
    <row r="4747" spans="1:11" ht="26.25" customHeight="1">
      <c r="A4747" s="343" t="s">
        <v>6434</v>
      </c>
      <c r="B4747" s="344" t="s">
        <v>162</v>
      </c>
      <c r="C4747" s="344">
        <v>7198</v>
      </c>
      <c r="D4747" s="343" t="s">
        <v>6735</v>
      </c>
      <c r="E4747" s="344">
        <v>5641855</v>
      </c>
      <c r="F4747" s="343" t="s">
        <v>9357</v>
      </c>
      <c r="G4747" s="360" t="s">
        <v>12597</v>
      </c>
      <c r="H4747" s="361">
        <v>43325</v>
      </c>
      <c r="I4747" s="343" t="s">
        <v>301</v>
      </c>
      <c r="J4747" s="343" t="s">
        <v>530</v>
      </c>
      <c r="K4747" s="343" t="s">
        <v>168</v>
      </c>
    </row>
    <row r="4748" spans="1:11" ht="26.25" customHeight="1">
      <c r="A4748" s="343" t="s">
        <v>6434</v>
      </c>
      <c r="B4748" s="344" t="s">
        <v>162</v>
      </c>
      <c r="C4748" s="344">
        <v>7682</v>
      </c>
      <c r="D4748" s="343" t="s">
        <v>6433</v>
      </c>
      <c r="E4748" s="344">
        <v>6702062</v>
      </c>
      <c r="F4748" s="343" t="s">
        <v>9078</v>
      </c>
      <c r="G4748" s="360" t="s">
        <v>13454</v>
      </c>
      <c r="H4748" s="361">
        <v>43327</v>
      </c>
      <c r="I4748" s="343" t="s">
        <v>4428</v>
      </c>
      <c r="J4748" s="343" t="s">
        <v>13650</v>
      </c>
      <c r="K4748" s="343" t="s">
        <v>168</v>
      </c>
    </row>
    <row r="4749" spans="1:11" ht="26.25" customHeight="1">
      <c r="A4749" s="343" t="s">
        <v>6434</v>
      </c>
      <c r="B4749" s="344" t="s">
        <v>162</v>
      </c>
      <c r="C4749" s="344">
        <v>11348</v>
      </c>
      <c r="D4749" s="343" t="s">
        <v>6802</v>
      </c>
      <c r="E4749" s="344">
        <v>5586979</v>
      </c>
      <c r="F4749" s="343" t="s">
        <v>9356</v>
      </c>
      <c r="G4749" s="360" t="s">
        <v>13651</v>
      </c>
      <c r="H4749" s="361">
        <v>43327</v>
      </c>
      <c r="I4749" s="343" t="s">
        <v>742</v>
      </c>
      <c r="J4749" s="343" t="s">
        <v>742</v>
      </c>
      <c r="K4749" s="343" t="s">
        <v>168</v>
      </c>
    </row>
    <row r="4750" spans="1:11" ht="26.25" customHeight="1">
      <c r="A4750" s="343" t="s">
        <v>6434</v>
      </c>
      <c r="B4750" s="344" t="s">
        <v>162</v>
      </c>
      <c r="C4750" s="344">
        <v>11440</v>
      </c>
      <c r="D4750" s="343" t="s">
        <v>6583</v>
      </c>
      <c r="E4750" s="344">
        <v>6233426</v>
      </c>
      <c r="F4750" s="343" t="s">
        <v>13652</v>
      </c>
      <c r="G4750" s="360" t="s">
        <v>9936</v>
      </c>
      <c r="H4750" s="361">
        <v>43328</v>
      </c>
      <c r="I4750" s="343" t="s">
        <v>709</v>
      </c>
      <c r="J4750" s="343" t="s">
        <v>9388</v>
      </c>
      <c r="K4750" s="343" t="s">
        <v>168</v>
      </c>
    </row>
    <row r="4751" spans="1:11" ht="26.25" customHeight="1">
      <c r="A4751" s="343" t="s">
        <v>6434</v>
      </c>
      <c r="B4751" s="344" t="s">
        <v>162</v>
      </c>
      <c r="C4751" s="344">
        <v>11313</v>
      </c>
      <c r="D4751" s="343" t="s">
        <v>6860</v>
      </c>
      <c r="E4751" s="344">
        <v>6760887</v>
      </c>
      <c r="F4751" s="343" t="s">
        <v>13653</v>
      </c>
      <c r="G4751" s="360" t="s">
        <v>13654</v>
      </c>
      <c r="H4751" s="361">
        <v>43332</v>
      </c>
      <c r="I4751" s="343" t="s">
        <v>366</v>
      </c>
      <c r="J4751" s="343" t="s">
        <v>366</v>
      </c>
      <c r="K4751" s="343" t="s">
        <v>168</v>
      </c>
    </row>
    <row r="4752" spans="1:11" ht="26.25" customHeight="1">
      <c r="A4752" s="343" t="s">
        <v>6434</v>
      </c>
      <c r="B4752" s="344" t="s">
        <v>162</v>
      </c>
      <c r="C4752" s="344">
        <v>11450</v>
      </c>
      <c r="D4752" s="343" t="s">
        <v>6457</v>
      </c>
      <c r="E4752" s="344">
        <v>6932249</v>
      </c>
      <c r="F4752" s="343" t="s">
        <v>13655</v>
      </c>
      <c r="G4752" s="360" t="s">
        <v>13656</v>
      </c>
      <c r="H4752" s="361">
        <v>43332</v>
      </c>
      <c r="I4752" s="343" t="s">
        <v>284</v>
      </c>
      <c r="J4752" s="343" t="s">
        <v>10521</v>
      </c>
      <c r="K4752" s="343" t="s">
        <v>168</v>
      </c>
    </row>
    <row r="4753" spans="1:11" ht="26.25" customHeight="1">
      <c r="A4753" s="343" t="s">
        <v>6434</v>
      </c>
      <c r="B4753" s="344" t="s">
        <v>162</v>
      </c>
      <c r="C4753" s="344">
        <v>11450</v>
      </c>
      <c r="D4753" s="343" t="s">
        <v>6457</v>
      </c>
      <c r="E4753" s="344">
        <v>6413796</v>
      </c>
      <c r="F4753" s="343" t="s">
        <v>13657</v>
      </c>
      <c r="G4753" s="360" t="s">
        <v>9380</v>
      </c>
      <c r="H4753" s="361">
        <v>43332</v>
      </c>
      <c r="I4753" s="343" t="s">
        <v>166</v>
      </c>
      <c r="J4753" s="343" t="s">
        <v>327</v>
      </c>
      <c r="K4753" s="343" t="s">
        <v>168</v>
      </c>
    </row>
    <row r="4754" spans="1:11" ht="26.25" customHeight="1">
      <c r="A4754" s="343" t="s">
        <v>6434</v>
      </c>
      <c r="B4754" s="344" t="s">
        <v>162</v>
      </c>
      <c r="C4754" s="344">
        <v>9294</v>
      </c>
      <c r="D4754" s="343" t="s">
        <v>6630</v>
      </c>
      <c r="E4754" s="344">
        <v>6775413</v>
      </c>
      <c r="F4754" s="343" t="s">
        <v>13658</v>
      </c>
      <c r="G4754" s="360" t="s">
        <v>13659</v>
      </c>
      <c r="H4754" s="361">
        <v>43332</v>
      </c>
      <c r="I4754" s="343" t="s">
        <v>742</v>
      </c>
      <c r="J4754" s="343" t="s">
        <v>742</v>
      </c>
      <c r="K4754" s="343" t="s">
        <v>168</v>
      </c>
    </row>
    <row r="4755" spans="1:11" ht="26.25" customHeight="1">
      <c r="A4755" s="343" t="s">
        <v>6434</v>
      </c>
      <c r="B4755" s="344" t="s">
        <v>162</v>
      </c>
      <c r="C4755" s="344">
        <v>7194</v>
      </c>
      <c r="D4755" s="343" t="s">
        <v>6667</v>
      </c>
      <c r="E4755" s="344">
        <v>6556149</v>
      </c>
      <c r="F4755" s="343" t="s">
        <v>6669</v>
      </c>
      <c r="G4755" s="360" t="s">
        <v>13660</v>
      </c>
      <c r="H4755" s="361">
        <v>43332</v>
      </c>
      <c r="I4755" s="343" t="s">
        <v>13661</v>
      </c>
      <c r="J4755" s="343" t="s">
        <v>13662</v>
      </c>
      <c r="K4755" s="343" t="s">
        <v>168</v>
      </c>
    </row>
    <row r="4756" spans="1:11" ht="26.25" customHeight="1">
      <c r="A4756" s="343" t="s">
        <v>6434</v>
      </c>
      <c r="B4756" s="344" t="s">
        <v>162</v>
      </c>
      <c r="C4756" s="344">
        <v>11441</v>
      </c>
      <c r="D4756" s="343" t="s">
        <v>6896</v>
      </c>
      <c r="E4756" s="344">
        <v>6096030</v>
      </c>
      <c r="F4756" s="343" t="s">
        <v>6898</v>
      </c>
      <c r="G4756" s="360" t="s">
        <v>10153</v>
      </c>
      <c r="H4756" s="361">
        <v>43332</v>
      </c>
      <c r="I4756" s="343" t="s">
        <v>166</v>
      </c>
      <c r="J4756" s="343" t="s">
        <v>327</v>
      </c>
      <c r="K4756" s="343" t="s">
        <v>168</v>
      </c>
    </row>
    <row r="4757" spans="1:11" ht="26.25" customHeight="1">
      <c r="A4757" s="343" t="s">
        <v>6434</v>
      </c>
      <c r="B4757" s="344" t="s">
        <v>162</v>
      </c>
      <c r="C4757" s="344">
        <v>7191</v>
      </c>
      <c r="D4757" s="343" t="s">
        <v>6621</v>
      </c>
      <c r="E4757" s="344">
        <v>4215801</v>
      </c>
      <c r="F4757" s="343" t="s">
        <v>7441</v>
      </c>
      <c r="G4757" s="360" t="s">
        <v>13663</v>
      </c>
      <c r="H4757" s="361">
        <v>43334</v>
      </c>
      <c r="I4757" s="343" t="s">
        <v>7514</v>
      </c>
      <c r="J4757" s="343" t="s">
        <v>13664</v>
      </c>
      <c r="K4757" s="343" t="s">
        <v>168</v>
      </c>
    </row>
    <row r="4758" spans="1:11" ht="26.25" customHeight="1">
      <c r="A4758" s="343" t="s">
        <v>6434</v>
      </c>
      <c r="B4758" s="344" t="s">
        <v>162</v>
      </c>
      <c r="C4758" s="344">
        <v>11322</v>
      </c>
      <c r="D4758" s="343" t="s">
        <v>6935</v>
      </c>
      <c r="E4758" s="344">
        <v>5953755</v>
      </c>
      <c r="F4758" s="343" t="s">
        <v>13665</v>
      </c>
      <c r="G4758" s="360" t="s">
        <v>9741</v>
      </c>
      <c r="H4758" s="361">
        <v>43334</v>
      </c>
      <c r="I4758" s="343" t="s">
        <v>193</v>
      </c>
      <c r="J4758" s="343" t="s">
        <v>509</v>
      </c>
      <c r="K4758" s="343" t="s">
        <v>168</v>
      </c>
    </row>
    <row r="4759" spans="1:11" ht="26.25" customHeight="1">
      <c r="A4759" s="343" t="s">
        <v>6434</v>
      </c>
      <c r="B4759" s="344" t="s">
        <v>162</v>
      </c>
      <c r="C4759" s="344">
        <v>11314</v>
      </c>
      <c r="D4759" s="343" t="s">
        <v>6863</v>
      </c>
      <c r="E4759" s="344">
        <v>6073300</v>
      </c>
      <c r="F4759" s="343" t="s">
        <v>4773</v>
      </c>
      <c r="G4759" s="360" t="s">
        <v>13666</v>
      </c>
      <c r="H4759" s="361">
        <v>43334</v>
      </c>
      <c r="I4759" s="343" t="s">
        <v>193</v>
      </c>
      <c r="J4759" s="343" t="s">
        <v>509</v>
      </c>
      <c r="K4759" s="343" t="s">
        <v>168</v>
      </c>
    </row>
    <row r="4760" spans="1:11" ht="26.25" customHeight="1">
      <c r="A4760" s="343" t="s">
        <v>6434</v>
      </c>
      <c r="B4760" s="344" t="s">
        <v>162</v>
      </c>
      <c r="C4760" s="344">
        <v>11447</v>
      </c>
      <c r="D4760" s="343" t="s">
        <v>6698</v>
      </c>
      <c r="E4760" s="344">
        <v>5141689</v>
      </c>
      <c r="F4760" s="343" t="s">
        <v>13667</v>
      </c>
      <c r="G4760" s="360" t="s">
        <v>10484</v>
      </c>
      <c r="H4760" s="361">
        <v>43334</v>
      </c>
      <c r="I4760" s="343" t="s">
        <v>547</v>
      </c>
      <c r="J4760" s="343" t="s">
        <v>936</v>
      </c>
      <c r="K4760" s="343" t="s">
        <v>248</v>
      </c>
    </row>
    <row r="4761" spans="1:11" ht="26.25" customHeight="1">
      <c r="A4761" s="343" t="s">
        <v>6434</v>
      </c>
      <c r="B4761" s="344" t="s">
        <v>162</v>
      </c>
      <c r="C4761" s="344">
        <v>11457</v>
      </c>
      <c r="D4761" s="343" t="s">
        <v>6523</v>
      </c>
      <c r="E4761" s="344">
        <v>6891646</v>
      </c>
      <c r="F4761" s="343" t="s">
        <v>13668</v>
      </c>
      <c r="G4761" s="360" t="s">
        <v>13669</v>
      </c>
      <c r="H4761" s="361">
        <v>43334</v>
      </c>
      <c r="I4761" s="343" t="s">
        <v>193</v>
      </c>
      <c r="J4761" s="343" t="s">
        <v>12067</v>
      </c>
      <c r="K4761" s="343" t="s">
        <v>168</v>
      </c>
    </row>
    <row r="4762" spans="1:11" ht="26.25" customHeight="1">
      <c r="A4762" s="343" t="s">
        <v>6434</v>
      </c>
      <c r="B4762" s="344" t="s">
        <v>162</v>
      </c>
      <c r="C4762" s="344">
        <v>6843</v>
      </c>
      <c r="D4762" s="343" t="s">
        <v>13670</v>
      </c>
      <c r="E4762" s="344">
        <v>5754891</v>
      </c>
      <c r="F4762" s="343" t="s">
        <v>13671</v>
      </c>
      <c r="G4762" s="360" t="s">
        <v>9599</v>
      </c>
      <c r="H4762" s="361">
        <v>43329</v>
      </c>
      <c r="I4762" s="343" t="s">
        <v>166</v>
      </c>
      <c r="J4762" s="343" t="s">
        <v>327</v>
      </c>
      <c r="K4762" s="343" t="s">
        <v>168</v>
      </c>
    </row>
    <row r="4763" spans="1:11" ht="26.25" customHeight="1">
      <c r="A4763" s="343" t="s">
        <v>6434</v>
      </c>
      <c r="B4763" s="344" t="s">
        <v>162</v>
      </c>
      <c r="C4763" s="344">
        <v>11442</v>
      </c>
      <c r="D4763" s="343" t="s">
        <v>6965</v>
      </c>
      <c r="E4763" s="344">
        <v>7132037</v>
      </c>
      <c r="F4763" s="343" t="s">
        <v>13672</v>
      </c>
      <c r="G4763" s="360" t="s">
        <v>13673</v>
      </c>
      <c r="H4763" s="361">
        <v>43335</v>
      </c>
      <c r="I4763" s="343" t="s">
        <v>193</v>
      </c>
      <c r="J4763" s="343" t="s">
        <v>637</v>
      </c>
      <c r="K4763" s="343" t="s">
        <v>168</v>
      </c>
    </row>
    <row r="4764" spans="1:11" ht="26.25" customHeight="1">
      <c r="A4764" s="343" t="s">
        <v>6434</v>
      </c>
      <c r="B4764" s="344" t="s">
        <v>162</v>
      </c>
      <c r="C4764" s="344">
        <v>11336</v>
      </c>
      <c r="D4764" s="343" t="s">
        <v>6657</v>
      </c>
      <c r="E4764" s="344">
        <v>5840705</v>
      </c>
      <c r="F4764" s="343" t="s">
        <v>13674</v>
      </c>
      <c r="G4764" s="360" t="s">
        <v>9856</v>
      </c>
      <c r="H4764" s="361">
        <v>43335</v>
      </c>
      <c r="I4764" s="343" t="s">
        <v>193</v>
      </c>
      <c r="J4764" s="343" t="s">
        <v>637</v>
      </c>
      <c r="K4764" s="343" t="s">
        <v>168</v>
      </c>
    </row>
    <row r="4765" spans="1:11" ht="26.25" customHeight="1">
      <c r="A4765" s="343" t="s">
        <v>6434</v>
      </c>
      <c r="B4765" s="344" t="s">
        <v>162</v>
      </c>
      <c r="C4765" s="344">
        <v>11311</v>
      </c>
      <c r="D4765" s="343" t="s">
        <v>6916</v>
      </c>
      <c r="E4765" s="344">
        <v>5995908</v>
      </c>
      <c r="F4765" s="343" t="s">
        <v>8121</v>
      </c>
      <c r="G4765" s="360" t="s">
        <v>9497</v>
      </c>
      <c r="H4765" s="361">
        <v>43335</v>
      </c>
      <c r="I4765" s="343" t="s">
        <v>13675</v>
      </c>
      <c r="J4765" s="343" t="s">
        <v>13676</v>
      </c>
      <c r="K4765" s="343" t="s">
        <v>168</v>
      </c>
    </row>
    <row r="4766" spans="1:11" ht="26.25" customHeight="1">
      <c r="A4766" s="343" t="s">
        <v>6434</v>
      </c>
      <c r="B4766" s="344" t="s">
        <v>162</v>
      </c>
      <c r="C4766" s="344">
        <v>12035</v>
      </c>
      <c r="D4766" s="343" t="s">
        <v>6741</v>
      </c>
      <c r="E4766" s="344">
        <v>4439652</v>
      </c>
      <c r="F4766" s="343" t="s">
        <v>13677</v>
      </c>
      <c r="G4766" s="360" t="s">
        <v>744</v>
      </c>
      <c r="H4766" s="361">
        <v>43335</v>
      </c>
      <c r="I4766" s="343" t="s">
        <v>198</v>
      </c>
      <c r="J4766" s="343" t="s">
        <v>198</v>
      </c>
      <c r="K4766" s="343" t="s">
        <v>168</v>
      </c>
    </row>
    <row r="4767" spans="1:11" ht="26.25" customHeight="1">
      <c r="A4767" s="343" t="s">
        <v>6434</v>
      </c>
      <c r="B4767" s="344" t="s">
        <v>162</v>
      </c>
      <c r="C4767" s="344">
        <v>11359</v>
      </c>
      <c r="D4767" s="343" t="s">
        <v>6468</v>
      </c>
      <c r="E4767" s="344">
        <v>6648103</v>
      </c>
      <c r="F4767" s="343" t="s">
        <v>13678</v>
      </c>
      <c r="G4767" s="360" t="s">
        <v>10509</v>
      </c>
      <c r="H4767" s="361">
        <v>43336</v>
      </c>
      <c r="I4767" s="343" t="s">
        <v>465</v>
      </c>
      <c r="J4767" s="343" t="s">
        <v>9614</v>
      </c>
      <c r="K4767" s="343" t="s">
        <v>168</v>
      </c>
    </row>
    <row r="4768" spans="1:11" ht="26.25" customHeight="1">
      <c r="A4768" s="343" t="s">
        <v>6434</v>
      </c>
      <c r="B4768" s="344" t="s">
        <v>162</v>
      </c>
      <c r="C4768" s="344">
        <v>11453</v>
      </c>
      <c r="D4768" s="343" t="s">
        <v>13679</v>
      </c>
      <c r="E4768" s="344">
        <v>6828088</v>
      </c>
      <c r="F4768" s="343" t="s">
        <v>13680</v>
      </c>
      <c r="G4768" s="360" t="s">
        <v>13584</v>
      </c>
      <c r="H4768" s="361">
        <v>43336</v>
      </c>
      <c r="I4768" s="343" t="s">
        <v>166</v>
      </c>
      <c r="J4768" s="343" t="s">
        <v>327</v>
      </c>
      <c r="K4768" s="343" t="s">
        <v>168</v>
      </c>
    </row>
    <row r="4769" spans="1:11" ht="26.25" customHeight="1">
      <c r="A4769" s="343" t="s">
        <v>6434</v>
      </c>
      <c r="B4769" s="344" t="s">
        <v>162</v>
      </c>
      <c r="C4769" s="344">
        <v>11852</v>
      </c>
      <c r="D4769" s="343" t="s">
        <v>6542</v>
      </c>
      <c r="E4769" s="344">
        <v>6778551</v>
      </c>
      <c r="F4769" s="343" t="s">
        <v>13681</v>
      </c>
      <c r="G4769" s="360" t="s">
        <v>12937</v>
      </c>
      <c r="H4769" s="361">
        <v>43336</v>
      </c>
      <c r="I4769" s="343" t="s">
        <v>595</v>
      </c>
      <c r="J4769" s="343" t="s">
        <v>13682</v>
      </c>
      <c r="K4769" s="343" t="s">
        <v>168</v>
      </c>
    </row>
    <row r="4770" spans="1:11" ht="26.25" customHeight="1">
      <c r="A4770" s="343" t="s">
        <v>6434</v>
      </c>
      <c r="B4770" s="344" t="s">
        <v>162</v>
      </c>
      <c r="C4770" s="344">
        <v>11327</v>
      </c>
      <c r="D4770" s="343" t="s">
        <v>6960</v>
      </c>
      <c r="E4770" s="344">
        <v>5961614</v>
      </c>
      <c r="F4770" s="343" t="s">
        <v>13683</v>
      </c>
      <c r="G4770" s="360" t="s">
        <v>11995</v>
      </c>
      <c r="H4770" s="361">
        <v>43339</v>
      </c>
      <c r="I4770" s="343" t="s">
        <v>8209</v>
      </c>
      <c r="J4770" s="343" t="s">
        <v>11164</v>
      </c>
      <c r="K4770" s="343" t="s">
        <v>168</v>
      </c>
    </row>
    <row r="4771" spans="1:11" ht="26.25" customHeight="1">
      <c r="A4771" s="343" t="s">
        <v>6434</v>
      </c>
      <c r="B4771" s="344" t="s">
        <v>162</v>
      </c>
      <c r="C4771" s="344">
        <v>7202</v>
      </c>
      <c r="D4771" s="343" t="s">
        <v>6550</v>
      </c>
      <c r="E4771" s="344">
        <v>5132559</v>
      </c>
      <c r="F4771" s="343" t="s">
        <v>13684</v>
      </c>
      <c r="G4771" s="360" t="s">
        <v>13685</v>
      </c>
      <c r="H4771" s="361">
        <v>43341</v>
      </c>
      <c r="I4771" s="343" t="s">
        <v>742</v>
      </c>
      <c r="J4771" s="343" t="s">
        <v>742</v>
      </c>
      <c r="K4771" s="343" t="s">
        <v>168</v>
      </c>
    </row>
    <row r="4772" spans="1:11" ht="26.25" customHeight="1">
      <c r="A4772" s="343" t="s">
        <v>6434</v>
      </c>
      <c r="B4772" s="344" t="s">
        <v>162</v>
      </c>
      <c r="C4772" s="344">
        <v>11321</v>
      </c>
      <c r="D4772" s="343" t="s">
        <v>6929</v>
      </c>
      <c r="E4772" s="344">
        <v>6822242</v>
      </c>
      <c r="F4772" s="343" t="s">
        <v>9190</v>
      </c>
      <c r="G4772" s="360" t="s">
        <v>9569</v>
      </c>
      <c r="H4772" s="361">
        <v>43339</v>
      </c>
      <c r="I4772" s="343" t="s">
        <v>13686</v>
      </c>
      <c r="J4772" s="343" t="s">
        <v>13687</v>
      </c>
      <c r="K4772" s="343" t="s">
        <v>168</v>
      </c>
    </row>
    <row r="4773" spans="1:11" ht="26.25" customHeight="1">
      <c r="A4773" s="343" t="s">
        <v>6434</v>
      </c>
      <c r="B4773" s="344" t="s">
        <v>162</v>
      </c>
      <c r="C4773" s="344">
        <v>11314</v>
      </c>
      <c r="D4773" s="343" t="s">
        <v>6863</v>
      </c>
      <c r="E4773" s="344">
        <v>6010328</v>
      </c>
      <c r="F4773" s="343" t="s">
        <v>13688</v>
      </c>
      <c r="G4773" s="360" t="s">
        <v>10121</v>
      </c>
      <c r="H4773" s="361">
        <v>43341</v>
      </c>
      <c r="I4773" s="343" t="s">
        <v>166</v>
      </c>
      <c r="J4773" s="343" t="s">
        <v>10627</v>
      </c>
      <c r="K4773" s="343" t="s">
        <v>168</v>
      </c>
    </row>
    <row r="4774" spans="1:11" ht="26.25" customHeight="1">
      <c r="A4774" s="343" t="s">
        <v>6434</v>
      </c>
      <c r="B4774" s="344" t="s">
        <v>162</v>
      </c>
      <c r="C4774" s="344">
        <v>12379</v>
      </c>
      <c r="D4774" s="343" t="s">
        <v>6768</v>
      </c>
      <c r="E4774" s="344">
        <v>4696681</v>
      </c>
      <c r="F4774" s="343" t="s">
        <v>6770</v>
      </c>
      <c r="G4774" s="360" t="s">
        <v>11864</v>
      </c>
      <c r="H4774" s="361">
        <v>43341</v>
      </c>
      <c r="I4774" s="343" t="s">
        <v>766</v>
      </c>
      <c r="J4774" s="343" t="s">
        <v>13689</v>
      </c>
      <c r="K4774" s="343" t="s">
        <v>168</v>
      </c>
    </row>
    <row r="4775" spans="1:11" ht="26.25" customHeight="1">
      <c r="A4775" s="343" t="s">
        <v>6434</v>
      </c>
      <c r="B4775" s="344" t="s">
        <v>162</v>
      </c>
      <c r="C4775" s="344">
        <v>12037</v>
      </c>
      <c r="D4775" s="343" t="s">
        <v>6707</v>
      </c>
      <c r="E4775" s="344">
        <v>4814896</v>
      </c>
      <c r="F4775" s="343" t="s">
        <v>6715</v>
      </c>
      <c r="G4775" s="360" t="s">
        <v>13690</v>
      </c>
      <c r="H4775" s="361">
        <v>43342</v>
      </c>
      <c r="I4775" s="343" t="s">
        <v>580</v>
      </c>
      <c r="J4775" s="343" t="s">
        <v>13691</v>
      </c>
      <c r="K4775" s="343" t="s">
        <v>248</v>
      </c>
    </row>
    <row r="4776" spans="1:11" ht="26.25" customHeight="1">
      <c r="A4776" s="343" t="s">
        <v>6434</v>
      </c>
      <c r="B4776" s="344" t="s">
        <v>162</v>
      </c>
      <c r="C4776" s="344">
        <v>11342</v>
      </c>
      <c r="D4776" s="343" t="s">
        <v>6739</v>
      </c>
      <c r="E4776" s="344">
        <v>6468012</v>
      </c>
      <c r="F4776" s="343" t="s">
        <v>13692</v>
      </c>
      <c r="G4776" s="360" t="s">
        <v>1107</v>
      </c>
      <c r="H4776" s="361">
        <v>43342</v>
      </c>
      <c r="I4776" s="343" t="s">
        <v>4711</v>
      </c>
      <c r="J4776" s="343" t="s">
        <v>11124</v>
      </c>
      <c r="K4776" s="343" t="s">
        <v>168</v>
      </c>
    </row>
    <row r="4777" spans="1:11" ht="26.25" customHeight="1">
      <c r="A4777" s="343" t="s">
        <v>6434</v>
      </c>
      <c r="B4777" s="344" t="s">
        <v>162</v>
      </c>
      <c r="C4777" s="344">
        <v>11321</v>
      </c>
      <c r="D4777" s="343" t="s">
        <v>6929</v>
      </c>
      <c r="E4777" s="344">
        <v>5787021</v>
      </c>
      <c r="F4777" s="343" t="s">
        <v>13693</v>
      </c>
      <c r="G4777" s="360" t="s">
        <v>291</v>
      </c>
      <c r="H4777" s="361">
        <v>43342</v>
      </c>
      <c r="I4777" s="343" t="s">
        <v>193</v>
      </c>
      <c r="J4777" s="343" t="s">
        <v>637</v>
      </c>
      <c r="K4777" s="343" t="s">
        <v>168</v>
      </c>
    </row>
    <row r="4778" spans="1:11" ht="26.25" customHeight="1">
      <c r="A4778" s="343" t="s">
        <v>6434</v>
      </c>
      <c r="B4778" s="344" t="s">
        <v>162</v>
      </c>
      <c r="C4778" s="344">
        <v>11851</v>
      </c>
      <c r="D4778" s="343" t="s">
        <v>6566</v>
      </c>
      <c r="E4778" s="344">
        <v>6609744</v>
      </c>
      <c r="F4778" s="343" t="s">
        <v>13694</v>
      </c>
      <c r="G4778" s="360" t="s">
        <v>9569</v>
      </c>
      <c r="H4778" s="361">
        <v>43343</v>
      </c>
      <c r="I4778" s="343" t="s">
        <v>13695</v>
      </c>
      <c r="J4778" s="343" t="s">
        <v>13696</v>
      </c>
      <c r="K4778" s="343" t="s">
        <v>248</v>
      </c>
    </row>
    <row r="4779" spans="1:11" ht="26.25" customHeight="1">
      <c r="A4779" s="343" t="s">
        <v>6434</v>
      </c>
      <c r="B4779" s="344" t="s">
        <v>162</v>
      </c>
      <c r="C4779" s="344">
        <v>11357</v>
      </c>
      <c r="D4779" s="343" t="s">
        <v>6453</v>
      </c>
      <c r="E4779" s="344">
        <v>6528141</v>
      </c>
      <c r="F4779" s="343" t="s">
        <v>6454</v>
      </c>
      <c r="G4779" s="360" t="s">
        <v>12541</v>
      </c>
      <c r="H4779" s="361">
        <v>43343</v>
      </c>
      <c r="I4779" s="343" t="s">
        <v>313</v>
      </c>
      <c r="J4779" s="343" t="s">
        <v>397</v>
      </c>
      <c r="K4779" s="343" t="s">
        <v>173</v>
      </c>
    </row>
  </sheetData>
  <sheetProtection password="EA99" sheet="1" objects="1" scenarios="1" autoFilter="0"/>
  <autoFilter ref="A1:F4701" xr:uid="{00000000-0009-0000-0000-000006000000}"/>
  <customSheetViews>
    <customSheetView guid="{A4151E33-58C6-41F5-BA81-6DF0478FCCB4}">
      <pane ySplit="1" topLeftCell="A363" activePane="bottomLeft" state="frozen"/>
      <selection pane="bottomLeft" activeCell="A380" sqref="A380:XFD383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E24"/>
  <sheetViews>
    <sheetView workbookViewId="0">
      <selection activeCell="E3" sqref="E3"/>
    </sheetView>
  </sheetViews>
  <sheetFormatPr baseColWidth="10" defaultColWidth="8.83203125" defaultRowHeight="15"/>
  <cols>
    <col min="1" max="1" width="24.5" bestFit="1" customWidth="1"/>
    <col min="2" max="2" width="24.1640625" customWidth="1"/>
    <col min="3" max="3" width="41.6640625" customWidth="1"/>
    <col min="4" max="4" width="9.5" customWidth="1"/>
  </cols>
  <sheetData>
    <row r="1" spans="1:5">
      <c r="B1" s="355" t="s">
        <v>7014</v>
      </c>
      <c r="C1" s="355" t="s">
        <v>7015</v>
      </c>
      <c r="D1" s="355"/>
    </row>
    <row r="2" spans="1:5" s="260" customFormat="1">
      <c r="A2" s="260" t="s">
        <v>161</v>
      </c>
      <c r="B2" s="359" t="s">
        <v>7028</v>
      </c>
      <c r="C2" s="357" t="s">
        <v>7029</v>
      </c>
      <c r="D2" s="358" t="str">
        <f>EMEI!BR11</f>
        <v xml:space="preserve">SM </v>
      </c>
      <c r="E2" s="260" t="str">
        <f>VLOOKUP(EMEI!BR11,Plan4!A2:C13,3)</f>
        <v xml:space="preserve">aterceirizadadrepenha@gmail.com    </v>
      </c>
    </row>
    <row r="3" spans="1:5" s="260" customFormat="1">
      <c r="A3" s="260" t="s">
        <v>1627</v>
      </c>
      <c r="B3" s="356" t="s">
        <v>7020</v>
      </c>
      <c r="C3" s="358" t="s">
        <v>7021</v>
      </c>
      <c r="D3" s="357"/>
    </row>
    <row r="4" spans="1:5" s="260" customFormat="1">
      <c r="A4" s="260" t="s">
        <v>1618</v>
      </c>
      <c r="B4" s="356" t="s">
        <v>7016</v>
      </c>
      <c r="C4" s="358" t="s">
        <v>7017</v>
      </c>
      <c r="D4" s="358"/>
    </row>
    <row r="5" spans="1:5" s="260" customFormat="1">
      <c r="A5" s="260" t="s">
        <v>1662</v>
      </c>
      <c r="B5" s="356" t="s">
        <v>7024</v>
      </c>
      <c r="C5" s="358" t="s">
        <v>7025</v>
      </c>
      <c r="D5" s="357"/>
    </row>
    <row r="6" spans="1:5" s="260" customFormat="1">
      <c r="A6" s="260" t="s">
        <v>1693</v>
      </c>
      <c r="B6" s="356" t="s">
        <v>7024</v>
      </c>
      <c r="C6" s="358" t="s">
        <v>7025</v>
      </c>
      <c r="D6" s="358"/>
    </row>
    <row r="7" spans="1:5" s="260" customFormat="1">
      <c r="A7" s="260" t="s">
        <v>1813</v>
      </c>
      <c r="B7" s="356" t="s">
        <v>7018</v>
      </c>
      <c r="C7" s="357" t="s">
        <v>7019</v>
      </c>
      <c r="D7" s="358"/>
    </row>
    <row r="8" spans="1:5" s="260" customFormat="1">
      <c r="A8" s="260" t="s">
        <v>1708</v>
      </c>
      <c r="B8" s="356" t="s">
        <v>7026</v>
      </c>
      <c r="C8" s="357" t="s">
        <v>7027</v>
      </c>
      <c r="D8" s="357"/>
    </row>
    <row r="9" spans="1:5" s="260" customFormat="1">
      <c r="A9" s="260" t="s">
        <v>1725</v>
      </c>
      <c r="B9" s="356" t="s">
        <v>7026</v>
      </c>
      <c r="C9" s="357" t="s">
        <v>7027</v>
      </c>
      <c r="D9" s="357"/>
    </row>
    <row r="10" spans="1:5" s="260" customFormat="1">
      <c r="A10" s="260" t="s">
        <v>1828</v>
      </c>
      <c r="B10" s="359" t="s">
        <v>7030</v>
      </c>
      <c r="C10" s="358" t="s">
        <v>7031</v>
      </c>
      <c r="D10" s="357"/>
    </row>
    <row r="11" spans="1:5" s="260" customFormat="1">
      <c r="A11" s="260" t="s">
        <v>1821</v>
      </c>
      <c r="B11" s="359" t="s">
        <v>7030</v>
      </c>
      <c r="C11" s="358" t="s">
        <v>7031</v>
      </c>
      <c r="D11" s="358"/>
    </row>
    <row r="12" spans="1:5" s="260" customFormat="1">
      <c r="A12" s="260" t="s">
        <v>1655</v>
      </c>
      <c r="B12" s="356" t="s">
        <v>7022</v>
      </c>
      <c r="C12" s="357" t="s">
        <v>7023</v>
      </c>
      <c r="D12" s="358"/>
    </row>
    <row r="13" spans="1:5" s="260" customFormat="1">
      <c r="A13" s="260" t="s">
        <v>1700</v>
      </c>
      <c r="B13" s="356" t="s">
        <v>7022</v>
      </c>
      <c r="C13" s="357" t="s">
        <v>7023</v>
      </c>
    </row>
    <row r="16" spans="1:5">
      <c r="A16" s="259"/>
    </row>
    <row r="17" spans="1:1">
      <c r="A17" s="259"/>
    </row>
    <row r="18" spans="1:1">
      <c r="A18" s="259"/>
    </row>
    <row r="19" spans="1:1">
      <c r="A19" s="259"/>
    </row>
    <row r="20" spans="1:1">
      <c r="A20" s="259"/>
    </row>
    <row r="21" spans="1:1">
      <c r="A21" s="259"/>
    </row>
    <row r="22" spans="1:1">
      <c r="A22" s="259"/>
    </row>
    <row r="23" spans="1:1">
      <c r="A23" s="259"/>
    </row>
    <row r="24" spans="1:1">
      <c r="A24" s="259"/>
    </row>
  </sheetData>
  <sortState xmlns:xlrd2="http://schemas.microsoft.com/office/spreadsheetml/2017/richdata2" ref="A2:C24">
    <sortCondition ref="A1"/>
  </sortState>
  <hyperlinks>
    <hyperlink ref="C12" r:id="rId1" display="mailto:apenasplanilha@gmail.com" xr:uid="{00000000-0004-0000-0700-000000000000}"/>
    <hyperlink ref="C10" r:id="rId2" display="mailto:aterceirizadadrepenha@gmail.com" xr:uid="{00000000-0004-0000-0700-000001000000}"/>
    <hyperlink ref="C2" r:id="rId3" xr:uid="{00000000-0004-0000-0700-000002000000}"/>
    <hyperlink ref="C3" r:id="rId4" display="mailto:alimentcaoescolardrefb@gmail.com" xr:uid="{00000000-0004-0000-0700-000003000000}"/>
    <hyperlink ref="C9" r:id="rId5" display="mailto:drempmerenda@gmail.com" xr:uid="{00000000-0004-0000-0700-000004000000}"/>
    <hyperlink ref="C5" r:id="rId6" display="mailto:merendaipiranga@gmail.com" xr:uid="{00000000-0004-0000-0700-000005000000}"/>
    <hyperlink ref="C7" r:id="rId7" display="mailto:alimentacaoiq@gmail.com" xr:uid="{00000000-0004-0000-0700-000006000000}"/>
    <hyperlink ref="C4" r:id="rId8" xr:uid="{00000000-0004-0000-0700-000007000000}"/>
    <hyperlink ref="C11" r:id="rId9" display="mailto:aterceirizadadrepenha@gmail.com" xr:uid="{00000000-0004-0000-0700-000008000000}"/>
    <hyperlink ref="C8" r:id="rId10" display="mailto:drempmerenda@gmail.com" xr:uid="{00000000-0004-0000-0700-000009000000}"/>
    <hyperlink ref="C6" r:id="rId11" display="mailto:merendaipiranga@gmail.com" xr:uid="{00000000-0004-0000-0700-00000A000000}"/>
    <hyperlink ref="C13" r:id="rId12" display="mailto:apenasplanilha@gmail.com" xr:uid="{00000000-0004-0000-0700-00000B000000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d0bfaa-ef59-461e-a565-a16f645efd68">
      <Terms xmlns="http://schemas.microsoft.com/office/infopath/2007/PartnerControls"/>
    </lcf76f155ced4ddcb4097134ff3c332f>
    <TaxCatchAll xmlns="0a80d84f-c794-49e2-ab6e-2faab7e982b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3D88DB75B223F40B4CA03121690BE2C" ma:contentTypeVersion="14" ma:contentTypeDescription="Crie um novo documento." ma:contentTypeScope="" ma:versionID="1d8a4c2a4ba3700c548e38c20a499a0d">
  <xsd:schema xmlns:xsd="http://www.w3.org/2001/XMLSchema" xmlns:xs="http://www.w3.org/2001/XMLSchema" xmlns:p="http://schemas.microsoft.com/office/2006/metadata/properties" xmlns:ns2="68d0bfaa-ef59-461e-a565-a16f645efd68" xmlns:ns3="0a80d84f-c794-49e2-ab6e-2faab7e982b4" targetNamespace="http://schemas.microsoft.com/office/2006/metadata/properties" ma:root="true" ma:fieldsID="e77b6859b940e741f528689374525c9e" ns2:_="" ns3:_="">
    <xsd:import namespace="68d0bfaa-ef59-461e-a565-a16f645efd68"/>
    <xsd:import namespace="0a80d84f-c794-49e2-ab6e-2faab7e982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d0bfaa-ef59-461e-a565-a16f645efd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4e235577-fc96-4be5-bc73-d4be570dd0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80d84f-c794-49e2-ab6e-2faab7e982b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84faf3e-7e78-4b87-abc0-608c2ffd709e}" ma:internalName="TaxCatchAll" ma:showField="CatchAllData" ma:web="0a80d84f-c794-49e2-ab6e-2faab7e982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73E00E-4BEC-45FB-B019-EE875D53C5ED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0a80d84f-c794-49e2-ab6e-2faab7e982b4"/>
    <ds:schemaRef ds:uri="68d0bfaa-ef59-461e-a565-a16f645efd6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CCD3BFB-7B75-45CD-8BEF-1A46CC6B82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E88C4E-600C-4A7C-A734-F9E88648C8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d0bfaa-ef59-461e-a565-a16f645efd68"/>
    <ds:schemaRef ds:uri="0a80d84f-c794-49e2-ab6e-2faab7e982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398df9c-fd0c-4829-a003-c770a1c4a063}" enabled="0" method="" siteId="{f398df9c-fd0c-4829-a003-c770a1c4a06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INÍCIO</vt:lpstr>
      <vt:lpstr>EMEI</vt:lpstr>
      <vt:lpstr>UNIDADES</vt:lpstr>
      <vt:lpstr>BancoDietas</vt:lpstr>
      <vt:lpstr>Plan4</vt:lpstr>
      <vt:lpstr>EMEI!Print_Area</vt:lpstr>
      <vt:lpstr>Plan1!Print_Area</vt:lpstr>
      <vt:lpstr>EMEI!Print_Titles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Dennis Paul</cp:lastModifiedBy>
  <cp:lastPrinted>2025-08-29T19:08:13Z</cp:lastPrinted>
  <dcterms:created xsi:type="dcterms:W3CDTF">2016-10-31T16:09:45Z</dcterms:created>
  <dcterms:modified xsi:type="dcterms:W3CDTF">2025-11-12T00:02:06Z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0x01010043D88DB75B223F40B4CA03121690BE2C</vt:lpwstr>
  </property>
</Properties>
</file>